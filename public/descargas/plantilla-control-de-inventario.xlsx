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esus-PC\AppData\Local\Temp\claude\c--Users-Jesus-PC-Documents-pagina-web-agencia-master\40ff4451-5660-497b-9b07-52ff6df40735\scratchpad\"/>
    </mc:Choice>
  </mc:AlternateContent>
  <xr:revisionPtr revIDLastSave="0" documentId="13_ncr:1_{EF7028C9-0A0A-4F8D-8634-E0E8EF2036A4}" xr6:coauthVersionLast="47" xr6:coauthVersionMax="47" xr10:uidLastSave="{00000000-0000-0000-0000-000000000000}"/>
  <bookViews>
    <workbookView xWindow="-26235" yWindow="1980" windowWidth="21600" windowHeight="11295" xr2:uid="{00000000-000D-0000-FFFF-FFFF00000000}"/>
  </bookViews>
  <sheets>
    <sheet name="Cómo usar" sheetId="1" r:id="rId1"/>
    <sheet name="Resumen" sheetId="2" r:id="rId2"/>
    <sheet name="Productos" sheetId="3" r:id="rId3"/>
    <sheet name="Movimientos" sheetId="4" r:id="rId4"/>
    <sheet name="Kardex" sheetId="5" r:id="rId5"/>
  </sheets>
  <definedNames>
    <definedName name="_xlnm._FilterDatabase" localSheetId="3" hidden="1">Movimientos!$A$4:$L$3004</definedName>
    <definedName name="_xlnm._FilterDatabase" localSheetId="2" hidden="1">Productos!$A$4:$N$504</definedName>
  </definedNames>
  <calcPr calcId="181029"/>
</workbook>
</file>

<file path=xl/calcChain.xml><?xml version="1.0" encoding="utf-8"?>
<calcChain xmlns="http://schemas.openxmlformats.org/spreadsheetml/2006/main">
  <c r="C5" i="5" l="1"/>
  <c r="D4" i="5"/>
  <c r="M3004" i="4"/>
  <c r="I3004" i="4"/>
  <c r="H3004" i="4"/>
  <c r="G3004" i="4"/>
  <c r="E3004" i="4"/>
  <c r="D3004" i="4"/>
  <c r="M3003" i="4"/>
  <c r="I3003" i="4"/>
  <c r="H3003" i="4"/>
  <c r="G3003" i="4"/>
  <c r="E3003" i="4"/>
  <c r="D3003" i="4"/>
  <c r="M3002" i="4"/>
  <c r="I3002" i="4"/>
  <c r="H3002" i="4"/>
  <c r="G3002" i="4"/>
  <c r="E3002" i="4"/>
  <c r="D3002" i="4"/>
  <c r="M3001" i="4"/>
  <c r="I3001" i="4"/>
  <c r="H3001" i="4"/>
  <c r="G3001" i="4"/>
  <c r="E3001" i="4"/>
  <c r="D3001" i="4"/>
  <c r="M3000" i="4"/>
  <c r="I3000" i="4"/>
  <c r="H3000" i="4"/>
  <c r="G3000" i="4"/>
  <c r="E3000" i="4"/>
  <c r="D3000" i="4"/>
  <c r="M2999" i="4"/>
  <c r="I2999" i="4"/>
  <c r="H2999" i="4"/>
  <c r="G2999" i="4"/>
  <c r="E2999" i="4"/>
  <c r="D2999" i="4"/>
  <c r="M2998" i="4"/>
  <c r="I2998" i="4"/>
  <c r="H2998" i="4"/>
  <c r="G2998" i="4"/>
  <c r="E2998" i="4"/>
  <c r="D2998" i="4"/>
  <c r="M2997" i="4"/>
  <c r="I2997" i="4"/>
  <c r="H2997" i="4"/>
  <c r="G2997" i="4"/>
  <c r="E2997" i="4"/>
  <c r="D2997" i="4"/>
  <c r="M2996" i="4"/>
  <c r="I2996" i="4"/>
  <c r="H2996" i="4"/>
  <c r="G2996" i="4"/>
  <c r="E2996" i="4"/>
  <c r="D2996" i="4"/>
  <c r="M2995" i="4"/>
  <c r="I2995" i="4"/>
  <c r="H2995" i="4"/>
  <c r="G2995" i="4"/>
  <c r="E2995" i="4"/>
  <c r="D2995" i="4"/>
  <c r="M2994" i="4"/>
  <c r="I2994" i="4"/>
  <c r="H2994" i="4"/>
  <c r="G2994" i="4"/>
  <c r="E2994" i="4"/>
  <c r="D2994" i="4"/>
  <c r="M2993" i="4"/>
  <c r="I2993" i="4"/>
  <c r="H2993" i="4"/>
  <c r="G2993" i="4"/>
  <c r="E2993" i="4"/>
  <c r="D2993" i="4"/>
  <c r="M2992" i="4"/>
  <c r="I2992" i="4"/>
  <c r="H2992" i="4"/>
  <c r="G2992" i="4"/>
  <c r="E2992" i="4"/>
  <c r="D2992" i="4"/>
  <c r="M2991" i="4"/>
  <c r="I2991" i="4"/>
  <c r="H2991" i="4"/>
  <c r="G2991" i="4"/>
  <c r="E2991" i="4"/>
  <c r="D2991" i="4"/>
  <c r="M2990" i="4"/>
  <c r="I2990" i="4"/>
  <c r="H2990" i="4"/>
  <c r="G2990" i="4"/>
  <c r="E2990" i="4"/>
  <c r="D2990" i="4"/>
  <c r="M2989" i="4"/>
  <c r="I2989" i="4"/>
  <c r="H2989" i="4"/>
  <c r="G2989" i="4"/>
  <c r="E2989" i="4"/>
  <c r="D2989" i="4"/>
  <c r="M2988" i="4"/>
  <c r="I2988" i="4"/>
  <c r="H2988" i="4"/>
  <c r="G2988" i="4"/>
  <c r="E2988" i="4"/>
  <c r="D2988" i="4"/>
  <c r="M2987" i="4"/>
  <c r="I2987" i="4"/>
  <c r="H2987" i="4"/>
  <c r="G2987" i="4"/>
  <c r="E2987" i="4"/>
  <c r="D2987" i="4"/>
  <c r="M2986" i="4"/>
  <c r="I2986" i="4"/>
  <c r="H2986" i="4"/>
  <c r="G2986" i="4"/>
  <c r="E2986" i="4"/>
  <c r="D2986" i="4"/>
  <c r="M2985" i="4"/>
  <c r="I2985" i="4"/>
  <c r="H2985" i="4"/>
  <c r="G2985" i="4"/>
  <c r="E2985" i="4"/>
  <c r="D2985" i="4"/>
  <c r="M2984" i="4"/>
  <c r="I2984" i="4"/>
  <c r="H2984" i="4"/>
  <c r="G2984" i="4"/>
  <c r="E2984" i="4"/>
  <c r="D2984" i="4"/>
  <c r="M2983" i="4"/>
  <c r="I2983" i="4"/>
  <c r="H2983" i="4"/>
  <c r="G2983" i="4"/>
  <c r="E2983" i="4"/>
  <c r="D2983" i="4"/>
  <c r="M2982" i="4"/>
  <c r="I2982" i="4"/>
  <c r="H2982" i="4"/>
  <c r="G2982" i="4"/>
  <c r="E2982" i="4"/>
  <c r="D2982" i="4"/>
  <c r="M2981" i="4"/>
  <c r="I2981" i="4"/>
  <c r="H2981" i="4"/>
  <c r="G2981" i="4"/>
  <c r="E2981" i="4"/>
  <c r="D2981" i="4"/>
  <c r="M2980" i="4"/>
  <c r="I2980" i="4"/>
  <c r="H2980" i="4"/>
  <c r="G2980" i="4"/>
  <c r="E2980" i="4"/>
  <c r="D2980" i="4"/>
  <c r="M2979" i="4"/>
  <c r="I2979" i="4"/>
  <c r="H2979" i="4"/>
  <c r="G2979" i="4"/>
  <c r="E2979" i="4"/>
  <c r="D2979" i="4"/>
  <c r="M2978" i="4"/>
  <c r="I2978" i="4"/>
  <c r="H2978" i="4"/>
  <c r="G2978" i="4"/>
  <c r="E2978" i="4"/>
  <c r="D2978" i="4"/>
  <c r="M2977" i="4"/>
  <c r="I2977" i="4"/>
  <c r="H2977" i="4"/>
  <c r="G2977" i="4"/>
  <c r="E2977" i="4"/>
  <c r="D2977" i="4"/>
  <c r="M2976" i="4"/>
  <c r="I2976" i="4"/>
  <c r="H2976" i="4"/>
  <c r="G2976" i="4"/>
  <c r="E2976" i="4"/>
  <c r="D2976" i="4"/>
  <c r="M2975" i="4"/>
  <c r="I2975" i="4"/>
  <c r="H2975" i="4"/>
  <c r="G2975" i="4"/>
  <c r="E2975" i="4"/>
  <c r="D2975" i="4"/>
  <c r="M2974" i="4"/>
  <c r="I2974" i="4"/>
  <c r="H2974" i="4"/>
  <c r="G2974" i="4"/>
  <c r="E2974" i="4"/>
  <c r="D2974" i="4"/>
  <c r="M2973" i="4"/>
  <c r="I2973" i="4"/>
  <c r="H2973" i="4"/>
  <c r="G2973" i="4"/>
  <c r="E2973" i="4"/>
  <c r="D2973" i="4"/>
  <c r="M2972" i="4"/>
  <c r="I2972" i="4"/>
  <c r="H2972" i="4"/>
  <c r="G2972" i="4"/>
  <c r="E2972" i="4"/>
  <c r="D2972" i="4"/>
  <c r="M2971" i="4"/>
  <c r="I2971" i="4"/>
  <c r="H2971" i="4"/>
  <c r="G2971" i="4"/>
  <c r="E2971" i="4"/>
  <c r="D2971" i="4"/>
  <c r="M2970" i="4"/>
  <c r="I2970" i="4"/>
  <c r="H2970" i="4"/>
  <c r="G2970" i="4"/>
  <c r="E2970" i="4"/>
  <c r="D2970" i="4"/>
  <c r="M2969" i="4"/>
  <c r="I2969" i="4"/>
  <c r="H2969" i="4"/>
  <c r="G2969" i="4"/>
  <c r="E2969" i="4"/>
  <c r="D2969" i="4"/>
  <c r="M2968" i="4"/>
  <c r="I2968" i="4"/>
  <c r="H2968" i="4"/>
  <c r="G2968" i="4"/>
  <c r="E2968" i="4"/>
  <c r="D2968" i="4"/>
  <c r="M2967" i="4"/>
  <c r="I2967" i="4"/>
  <c r="H2967" i="4"/>
  <c r="G2967" i="4"/>
  <c r="E2967" i="4"/>
  <c r="D2967" i="4"/>
  <c r="M2966" i="4"/>
  <c r="I2966" i="4"/>
  <c r="H2966" i="4"/>
  <c r="G2966" i="4"/>
  <c r="E2966" i="4"/>
  <c r="D2966" i="4"/>
  <c r="M2965" i="4"/>
  <c r="I2965" i="4"/>
  <c r="H2965" i="4"/>
  <c r="G2965" i="4"/>
  <c r="E2965" i="4"/>
  <c r="D2965" i="4"/>
  <c r="M2964" i="4"/>
  <c r="I2964" i="4"/>
  <c r="H2964" i="4"/>
  <c r="G2964" i="4"/>
  <c r="E2964" i="4"/>
  <c r="D2964" i="4"/>
  <c r="M2963" i="4"/>
  <c r="I2963" i="4"/>
  <c r="H2963" i="4"/>
  <c r="G2963" i="4"/>
  <c r="E2963" i="4"/>
  <c r="D2963" i="4"/>
  <c r="M2962" i="4"/>
  <c r="I2962" i="4"/>
  <c r="H2962" i="4"/>
  <c r="G2962" i="4"/>
  <c r="E2962" i="4"/>
  <c r="D2962" i="4"/>
  <c r="M2961" i="4"/>
  <c r="I2961" i="4"/>
  <c r="H2961" i="4"/>
  <c r="G2961" i="4"/>
  <c r="E2961" i="4"/>
  <c r="D2961" i="4"/>
  <c r="M2960" i="4"/>
  <c r="I2960" i="4"/>
  <c r="H2960" i="4"/>
  <c r="G2960" i="4"/>
  <c r="E2960" i="4"/>
  <c r="D2960" i="4"/>
  <c r="M2959" i="4"/>
  <c r="I2959" i="4"/>
  <c r="H2959" i="4"/>
  <c r="G2959" i="4"/>
  <c r="E2959" i="4"/>
  <c r="D2959" i="4"/>
  <c r="M2958" i="4"/>
  <c r="I2958" i="4"/>
  <c r="H2958" i="4"/>
  <c r="G2958" i="4"/>
  <c r="E2958" i="4"/>
  <c r="D2958" i="4"/>
  <c r="M2957" i="4"/>
  <c r="I2957" i="4"/>
  <c r="H2957" i="4"/>
  <c r="G2957" i="4"/>
  <c r="E2957" i="4"/>
  <c r="D2957" i="4"/>
  <c r="M2956" i="4"/>
  <c r="I2956" i="4"/>
  <c r="H2956" i="4"/>
  <c r="G2956" i="4"/>
  <c r="E2956" i="4"/>
  <c r="D2956" i="4"/>
  <c r="M2955" i="4"/>
  <c r="I2955" i="4"/>
  <c r="H2955" i="4"/>
  <c r="G2955" i="4"/>
  <c r="E2955" i="4"/>
  <c r="D2955" i="4"/>
  <c r="M2954" i="4"/>
  <c r="I2954" i="4"/>
  <c r="H2954" i="4"/>
  <c r="G2954" i="4"/>
  <c r="E2954" i="4"/>
  <c r="D2954" i="4"/>
  <c r="M2953" i="4"/>
  <c r="I2953" i="4"/>
  <c r="H2953" i="4"/>
  <c r="G2953" i="4"/>
  <c r="E2953" i="4"/>
  <c r="D2953" i="4"/>
  <c r="M2952" i="4"/>
  <c r="I2952" i="4"/>
  <c r="H2952" i="4"/>
  <c r="G2952" i="4"/>
  <c r="E2952" i="4"/>
  <c r="D2952" i="4"/>
  <c r="M2951" i="4"/>
  <c r="I2951" i="4"/>
  <c r="H2951" i="4"/>
  <c r="G2951" i="4"/>
  <c r="E2951" i="4"/>
  <c r="D2951" i="4"/>
  <c r="M2950" i="4"/>
  <c r="I2950" i="4"/>
  <c r="H2950" i="4"/>
  <c r="G2950" i="4"/>
  <c r="E2950" i="4"/>
  <c r="D2950" i="4"/>
  <c r="M2949" i="4"/>
  <c r="I2949" i="4"/>
  <c r="H2949" i="4"/>
  <c r="G2949" i="4"/>
  <c r="E2949" i="4"/>
  <c r="D2949" i="4"/>
  <c r="M2948" i="4"/>
  <c r="I2948" i="4"/>
  <c r="H2948" i="4"/>
  <c r="G2948" i="4"/>
  <c r="E2948" i="4"/>
  <c r="D2948" i="4"/>
  <c r="M2947" i="4"/>
  <c r="I2947" i="4"/>
  <c r="H2947" i="4"/>
  <c r="G2947" i="4"/>
  <c r="E2947" i="4"/>
  <c r="D2947" i="4"/>
  <c r="M2946" i="4"/>
  <c r="I2946" i="4"/>
  <c r="H2946" i="4"/>
  <c r="G2946" i="4"/>
  <c r="E2946" i="4"/>
  <c r="D2946" i="4"/>
  <c r="M2945" i="4"/>
  <c r="I2945" i="4"/>
  <c r="H2945" i="4"/>
  <c r="G2945" i="4"/>
  <c r="E2945" i="4"/>
  <c r="D2945" i="4"/>
  <c r="M2944" i="4"/>
  <c r="I2944" i="4"/>
  <c r="H2944" i="4"/>
  <c r="G2944" i="4"/>
  <c r="E2944" i="4"/>
  <c r="D2944" i="4"/>
  <c r="M2943" i="4"/>
  <c r="I2943" i="4"/>
  <c r="H2943" i="4"/>
  <c r="G2943" i="4"/>
  <c r="E2943" i="4"/>
  <c r="D2943" i="4"/>
  <c r="M2942" i="4"/>
  <c r="I2942" i="4"/>
  <c r="H2942" i="4"/>
  <c r="G2942" i="4"/>
  <c r="E2942" i="4"/>
  <c r="D2942" i="4"/>
  <c r="M2941" i="4"/>
  <c r="I2941" i="4"/>
  <c r="H2941" i="4"/>
  <c r="G2941" i="4"/>
  <c r="E2941" i="4"/>
  <c r="D2941" i="4"/>
  <c r="M2940" i="4"/>
  <c r="I2940" i="4"/>
  <c r="H2940" i="4"/>
  <c r="G2940" i="4"/>
  <c r="E2940" i="4"/>
  <c r="D2940" i="4"/>
  <c r="M2939" i="4"/>
  <c r="I2939" i="4"/>
  <c r="H2939" i="4"/>
  <c r="G2939" i="4"/>
  <c r="E2939" i="4"/>
  <c r="D2939" i="4"/>
  <c r="M2938" i="4"/>
  <c r="I2938" i="4"/>
  <c r="H2938" i="4"/>
  <c r="G2938" i="4"/>
  <c r="E2938" i="4"/>
  <c r="D2938" i="4"/>
  <c r="M2937" i="4"/>
  <c r="I2937" i="4"/>
  <c r="H2937" i="4"/>
  <c r="G2937" i="4"/>
  <c r="E2937" i="4"/>
  <c r="D2937" i="4"/>
  <c r="M2936" i="4"/>
  <c r="I2936" i="4"/>
  <c r="H2936" i="4"/>
  <c r="G2936" i="4"/>
  <c r="E2936" i="4"/>
  <c r="D2936" i="4"/>
  <c r="M2935" i="4"/>
  <c r="I2935" i="4"/>
  <c r="H2935" i="4"/>
  <c r="G2935" i="4"/>
  <c r="E2935" i="4"/>
  <c r="D2935" i="4"/>
  <c r="M2934" i="4"/>
  <c r="I2934" i="4"/>
  <c r="H2934" i="4"/>
  <c r="G2934" i="4"/>
  <c r="E2934" i="4"/>
  <c r="D2934" i="4"/>
  <c r="M2933" i="4"/>
  <c r="I2933" i="4"/>
  <c r="H2933" i="4"/>
  <c r="G2933" i="4"/>
  <c r="E2933" i="4"/>
  <c r="D2933" i="4"/>
  <c r="M2932" i="4"/>
  <c r="I2932" i="4"/>
  <c r="H2932" i="4"/>
  <c r="G2932" i="4"/>
  <c r="E2932" i="4"/>
  <c r="D2932" i="4"/>
  <c r="M2931" i="4"/>
  <c r="I2931" i="4"/>
  <c r="H2931" i="4"/>
  <c r="G2931" i="4"/>
  <c r="E2931" i="4"/>
  <c r="D2931" i="4"/>
  <c r="M2930" i="4"/>
  <c r="I2930" i="4"/>
  <c r="H2930" i="4"/>
  <c r="G2930" i="4"/>
  <c r="E2930" i="4"/>
  <c r="D2930" i="4"/>
  <c r="M2929" i="4"/>
  <c r="I2929" i="4"/>
  <c r="H2929" i="4"/>
  <c r="G2929" i="4"/>
  <c r="E2929" i="4"/>
  <c r="D2929" i="4"/>
  <c r="M2928" i="4"/>
  <c r="I2928" i="4"/>
  <c r="H2928" i="4"/>
  <c r="G2928" i="4"/>
  <c r="E2928" i="4"/>
  <c r="D2928" i="4"/>
  <c r="M2927" i="4"/>
  <c r="I2927" i="4"/>
  <c r="H2927" i="4"/>
  <c r="G2927" i="4"/>
  <c r="E2927" i="4"/>
  <c r="D2927" i="4"/>
  <c r="M2926" i="4"/>
  <c r="I2926" i="4"/>
  <c r="H2926" i="4"/>
  <c r="G2926" i="4"/>
  <c r="E2926" i="4"/>
  <c r="D2926" i="4"/>
  <c r="M2925" i="4"/>
  <c r="I2925" i="4"/>
  <c r="H2925" i="4"/>
  <c r="G2925" i="4"/>
  <c r="E2925" i="4"/>
  <c r="D2925" i="4"/>
  <c r="M2924" i="4"/>
  <c r="I2924" i="4"/>
  <c r="H2924" i="4"/>
  <c r="G2924" i="4"/>
  <c r="E2924" i="4"/>
  <c r="D2924" i="4"/>
  <c r="M2923" i="4"/>
  <c r="I2923" i="4"/>
  <c r="H2923" i="4"/>
  <c r="G2923" i="4"/>
  <c r="E2923" i="4"/>
  <c r="D2923" i="4"/>
  <c r="M2922" i="4"/>
  <c r="I2922" i="4"/>
  <c r="H2922" i="4"/>
  <c r="G2922" i="4"/>
  <c r="E2922" i="4"/>
  <c r="D2922" i="4"/>
  <c r="M2921" i="4"/>
  <c r="I2921" i="4"/>
  <c r="H2921" i="4"/>
  <c r="G2921" i="4"/>
  <c r="E2921" i="4"/>
  <c r="D2921" i="4"/>
  <c r="M2920" i="4"/>
  <c r="I2920" i="4"/>
  <c r="H2920" i="4"/>
  <c r="G2920" i="4"/>
  <c r="E2920" i="4"/>
  <c r="D2920" i="4"/>
  <c r="M2919" i="4"/>
  <c r="I2919" i="4"/>
  <c r="H2919" i="4"/>
  <c r="G2919" i="4"/>
  <c r="E2919" i="4"/>
  <c r="D2919" i="4"/>
  <c r="M2918" i="4"/>
  <c r="I2918" i="4"/>
  <c r="H2918" i="4"/>
  <c r="G2918" i="4"/>
  <c r="E2918" i="4"/>
  <c r="D2918" i="4"/>
  <c r="M2917" i="4"/>
  <c r="I2917" i="4"/>
  <c r="H2917" i="4"/>
  <c r="G2917" i="4"/>
  <c r="E2917" i="4"/>
  <c r="D2917" i="4"/>
  <c r="M2916" i="4"/>
  <c r="I2916" i="4"/>
  <c r="H2916" i="4"/>
  <c r="G2916" i="4"/>
  <c r="E2916" i="4"/>
  <c r="D2916" i="4"/>
  <c r="M2915" i="4"/>
  <c r="I2915" i="4"/>
  <c r="H2915" i="4"/>
  <c r="G2915" i="4"/>
  <c r="E2915" i="4"/>
  <c r="D2915" i="4"/>
  <c r="M2914" i="4"/>
  <c r="I2914" i="4"/>
  <c r="H2914" i="4"/>
  <c r="G2914" i="4"/>
  <c r="E2914" i="4"/>
  <c r="D2914" i="4"/>
  <c r="M2913" i="4"/>
  <c r="I2913" i="4"/>
  <c r="H2913" i="4"/>
  <c r="G2913" i="4"/>
  <c r="E2913" i="4"/>
  <c r="D2913" i="4"/>
  <c r="M2912" i="4"/>
  <c r="I2912" i="4"/>
  <c r="H2912" i="4"/>
  <c r="G2912" i="4"/>
  <c r="E2912" i="4"/>
  <c r="D2912" i="4"/>
  <c r="M2911" i="4"/>
  <c r="I2911" i="4"/>
  <c r="H2911" i="4"/>
  <c r="G2911" i="4"/>
  <c r="E2911" i="4"/>
  <c r="D2911" i="4"/>
  <c r="M2910" i="4"/>
  <c r="I2910" i="4"/>
  <c r="H2910" i="4"/>
  <c r="G2910" i="4"/>
  <c r="E2910" i="4"/>
  <c r="D2910" i="4"/>
  <c r="M2909" i="4"/>
  <c r="I2909" i="4"/>
  <c r="H2909" i="4"/>
  <c r="G2909" i="4"/>
  <c r="E2909" i="4"/>
  <c r="D2909" i="4"/>
  <c r="M2908" i="4"/>
  <c r="I2908" i="4"/>
  <c r="H2908" i="4"/>
  <c r="G2908" i="4"/>
  <c r="E2908" i="4"/>
  <c r="D2908" i="4"/>
  <c r="M2907" i="4"/>
  <c r="I2907" i="4"/>
  <c r="H2907" i="4"/>
  <c r="G2907" i="4"/>
  <c r="E2907" i="4"/>
  <c r="D2907" i="4"/>
  <c r="M2906" i="4"/>
  <c r="I2906" i="4"/>
  <c r="H2906" i="4"/>
  <c r="G2906" i="4"/>
  <c r="E2906" i="4"/>
  <c r="D2906" i="4"/>
  <c r="M2905" i="4"/>
  <c r="I2905" i="4"/>
  <c r="H2905" i="4"/>
  <c r="G2905" i="4"/>
  <c r="E2905" i="4"/>
  <c r="D2905" i="4"/>
  <c r="M2904" i="4"/>
  <c r="I2904" i="4"/>
  <c r="H2904" i="4"/>
  <c r="G2904" i="4"/>
  <c r="E2904" i="4"/>
  <c r="D2904" i="4"/>
  <c r="M2903" i="4"/>
  <c r="I2903" i="4"/>
  <c r="H2903" i="4"/>
  <c r="G2903" i="4"/>
  <c r="E2903" i="4"/>
  <c r="D2903" i="4"/>
  <c r="M2902" i="4"/>
  <c r="I2902" i="4"/>
  <c r="H2902" i="4"/>
  <c r="G2902" i="4"/>
  <c r="E2902" i="4"/>
  <c r="D2902" i="4"/>
  <c r="M2901" i="4"/>
  <c r="I2901" i="4"/>
  <c r="H2901" i="4"/>
  <c r="G2901" i="4"/>
  <c r="E2901" i="4"/>
  <c r="D2901" i="4"/>
  <c r="M2900" i="4"/>
  <c r="I2900" i="4"/>
  <c r="H2900" i="4"/>
  <c r="G2900" i="4"/>
  <c r="E2900" i="4"/>
  <c r="D2900" i="4"/>
  <c r="M2899" i="4"/>
  <c r="I2899" i="4"/>
  <c r="H2899" i="4"/>
  <c r="G2899" i="4"/>
  <c r="E2899" i="4"/>
  <c r="D2899" i="4"/>
  <c r="M2898" i="4"/>
  <c r="I2898" i="4"/>
  <c r="H2898" i="4"/>
  <c r="G2898" i="4"/>
  <c r="E2898" i="4"/>
  <c r="D2898" i="4"/>
  <c r="M2897" i="4"/>
  <c r="I2897" i="4"/>
  <c r="H2897" i="4"/>
  <c r="G2897" i="4"/>
  <c r="E2897" i="4"/>
  <c r="D2897" i="4"/>
  <c r="M2896" i="4"/>
  <c r="I2896" i="4"/>
  <c r="H2896" i="4"/>
  <c r="G2896" i="4"/>
  <c r="E2896" i="4"/>
  <c r="D2896" i="4"/>
  <c r="M2895" i="4"/>
  <c r="I2895" i="4"/>
  <c r="H2895" i="4"/>
  <c r="G2895" i="4"/>
  <c r="E2895" i="4"/>
  <c r="D2895" i="4"/>
  <c r="M2894" i="4"/>
  <c r="I2894" i="4"/>
  <c r="H2894" i="4"/>
  <c r="G2894" i="4"/>
  <c r="E2894" i="4"/>
  <c r="D2894" i="4"/>
  <c r="M2893" i="4"/>
  <c r="I2893" i="4"/>
  <c r="H2893" i="4"/>
  <c r="G2893" i="4"/>
  <c r="E2893" i="4"/>
  <c r="D2893" i="4"/>
  <c r="M2892" i="4"/>
  <c r="I2892" i="4"/>
  <c r="H2892" i="4"/>
  <c r="G2892" i="4"/>
  <c r="E2892" i="4"/>
  <c r="D2892" i="4"/>
  <c r="M2891" i="4"/>
  <c r="I2891" i="4"/>
  <c r="H2891" i="4"/>
  <c r="G2891" i="4"/>
  <c r="E2891" i="4"/>
  <c r="D2891" i="4"/>
  <c r="M2890" i="4"/>
  <c r="I2890" i="4"/>
  <c r="H2890" i="4"/>
  <c r="G2890" i="4"/>
  <c r="E2890" i="4"/>
  <c r="D2890" i="4"/>
  <c r="M2889" i="4"/>
  <c r="I2889" i="4"/>
  <c r="H2889" i="4"/>
  <c r="G2889" i="4"/>
  <c r="E2889" i="4"/>
  <c r="D2889" i="4"/>
  <c r="M2888" i="4"/>
  <c r="I2888" i="4"/>
  <c r="H2888" i="4"/>
  <c r="G2888" i="4"/>
  <c r="E2888" i="4"/>
  <c r="D2888" i="4"/>
  <c r="M2887" i="4"/>
  <c r="I2887" i="4"/>
  <c r="H2887" i="4"/>
  <c r="G2887" i="4"/>
  <c r="E2887" i="4"/>
  <c r="D2887" i="4"/>
  <c r="M2886" i="4"/>
  <c r="I2886" i="4"/>
  <c r="H2886" i="4"/>
  <c r="G2886" i="4"/>
  <c r="E2886" i="4"/>
  <c r="D2886" i="4"/>
  <c r="M2885" i="4"/>
  <c r="I2885" i="4"/>
  <c r="H2885" i="4"/>
  <c r="G2885" i="4"/>
  <c r="E2885" i="4"/>
  <c r="D2885" i="4"/>
  <c r="M2884" i="4"/>
  <c r="I2884" i="4"/>
  <c r="H2884" i="4"/>
  <c r="G2884" i="4"/>
  <c r="E2884" i="4"/>
  <c r="D2884" i="4"/>
  <c r="M2883" i="4"/>
  <c r="I2883" i="4"/>
  <c r="H2883" i="4"/>
  <c r="G2883" i="4"/>
  <c r="E2883" i="4"/>
  <c r="D2883" i="4"/>
  <c r="M2882" i="4"/>
  <c r="I2882" i="4"/>
  <c r="H2882" i="4"/>
  <c r="G2882" i="4"/>
  <c r="E2882" i="4"/>
  <c r="D2882" i="4"/>
  <c r="M2881" i="4"/>
  <c r="I2881" i="4"/>
  <c r="H2881" i="4"/>
  <c r="G2881" i="4"/>
  <c r="E2881" i="4"/>
  <c r="D2881" i="4"/>
  <c r="M2880" i="4"/>
  <c r="I2880" i="4"/>
  <c r="H2880" i="4"/>
  <c r="G2880" i="4"/>
  <c r="E2880" i="4"/>
  <c r="D2880" i="4"/>
  <c r="M2879" i="4"/>
  <c r="I2879" i="4"/>
  <c r="H2879" i="4"/>
  <c r="G2879" i="4"/>
  <c r="E2879" i="4"/>
  <c r="D2879" i="4"/>
  <c r="M2878" i="4"/>
  <c r="I2878" i="4"/>
  <c r="H2878" i="4"/>
  <c r="G2878" i="4"/>
  <c r="E2878" i="4"/>
  <c r="D2878" i="4"/>
  <c r="M2877" i="4"/>
  <c r="I2877" i="4"/>
  <c r="H2877" i="4"/>
  <c r="G2877" i="4"/>
  <c r="E2877" i="4"/>
  <c r="D2877" i="4"/>
  <c r="M2876" i="4"/>
  <c r="I2876" i="4"/>
  <c r="H2876" i="4"/>
  <c r="G2876" i="4"/>
  <c r="E2876" i="4"/>
  <c r="D2876" i="4"/>
  <c r="M2875" i="4"/>
  <c r="I2875" i="4"/>
  <c r="H2875" i="4"/>
  <c r="G2875" i="4"/>
  <c r="E2875" i="4"/>
  <c r="D2875" i="4"/>
  <c r="M2874" i="4"/>
  <c r="I2874" i="4"/>
  <c r="H2874" i="4"/>
  <c r="G2874" i="4"/>
  <c r="E2874" i="4"/>
  <c r="D2874" i="4"/>
  <c r="M2873" i="4"/>
  <c r="I2873" i="4"/>
  <c r="H2873" i="4"/>
  <c r="G2873" i="4"/>
  <c r="E2873" i="4"/>
  <c r="D2873" i="4"/>
  <c r="M2872" i="4"/>
  <c r="I2872" i="4"/>
  <c r="H2872" i="4"/>
  <c r="G2872" i="4"/>
  <c r="E2872" i="4"/>
  <c r="D2872" i="4"/>
  <c r="M2871" i="4"/>
  <c r="I2871" i="4"/>
  <c r="H2871" i="4"/>
  <c r="G2871" i="4"/>
  <c r="E2871" i="4"/>
  <c r="D2871" i="4"/>
  <c r="M2870" i="4"/>
  <c r="I2870" i="4"/>
  <c r="H2870" i="4"/>
  <c r="G2870" i="4"/>
  <c r="E2870" i="4"/>
  <c r="D2870" i="4"/>
  <c r="M2869" i="4"/>
  <c r="I2869" i="4"/>
  <c r="H2869" i="4"/>
  <c r="G2869" i="4"/>
  <c r="E2869" i="4"/>
  <c r="D2869" i="4"/>
  <c r="M2868" i="4"/>
  <c r="I2868" i="4"/>
  <c r="H2868" i="4"/>
  <c r="G2868" i="4"/>
  <c r="E2868" i="4"/>
  <c r="D2868" i="4"/>
  <c r="M2867" i="4"/>
  <c r="I2867" i="4"/>
  <c r="H2867" i="4"/>
  <c r="G2867" i="4"/>
  <c r="E2867" i="4"/>
  <c r="D2867" i="4"/>
  <c r="M2866" i="4"/>
  <c r="I2866" i="4"/>
  <c r="H2866" i="4"/>
  <c r="G2866" i="4"/>
  <c r="E2866" i="4"/>
  <c r="D2866" i="4"/>
  <c r="M2865" i="4"/>
  <c r="I2865" i="4"/>
  <c r="H2865" i="4"/>
  <c r="G2865" i="4"/>
  <c r="E2865" i="4"/>
  <c r="D2865" i="4"/>
  <c r="M2864" i="4"/>
  <c r="I2864" i="4"/>
  <c r="H2864" i="4"/>
  <c r="G2864" i="4"/>
  <c r="E2864" i="4"/>
  <c r="D2864" i="4"/>
  <c r="M2863" i="4"/>
  <c r="I2863" i="4"/>
  <c r="H2863" i="4"/>
  <c r="G2863" i="4"/>
  <c r="E2863" i="4"/>
  <c r="D2863" i="4"/>
  <c r="M2862" i="4"/>
  <c r="I2862" i="4"/>
  <c r="H2862" i="4"/>
  <c r="G2862" i="4"/>
  <c r="E2862" i="4"/>
  <c r="D2862" i="4"/>
  <c r="M2861" i="4"/>
  <c r="I2861" i="4"/>
  <c r="H2861" i="4"/>
  <c r="G2861" i="4"/>
  <c r="E2861" i="4"/>
  <c r="D2861" i="4"/>
  <c r="M2860" i="4"/>
  <c r="I2860" i="4"/>
  <c r="H2860" i="4"/>
  <c r="G2860" i="4"/>
  <c r="E2860" i="4"/>
  <c r="D2860" i="4"/>
  <c r="M2859" i="4"/>
  <c r="I2859" i="4"/>
  <c r="H2859" i="4"/>
  <c r="G2859" i="4"/>
  <c r="E2859" i="4"/>
  <c r="D2859" i="4"/>
  <c r="M2858" i="4"/>
  <c r="I2858" i="4"/>
  <c r="H2858" i="4"/>
  <c r="G2858" i="4"/>
  <c r="E2858" i="4"/>
  <c r="D2858" i="4"/>
  <c r="M2857" i="4"/>
  <c r="I2857" i="4"/>
  <c r="H2857" i="4"/>
  <c r="G2857" i="4"/>
  <c r="E2857" i="4"/>
  <c r="D2857" i="4"/>
  <c r="M2856" i="4"/>
  <c r="I2856" i="4"/>
  <c r="H2856" i="4"/>
  <c r="G2856" i="4"/>
  <c r="E2856" i="4"/>
  <c r="D2856" i="4"/>
  <c r="M2855" i="4"/>
  <c r="I2855" i="4"/>
  <c r="H2855" i="4"/>
  <c r="G2855" i="4"/>
  <c r="E2855" i="4"/>
  <c r="D2855" i="4"/>
  <c r="M2854" i="4"/>
  <c r="I2854" i="4"/>
  <c r="H2854" i="4"/>
  <c r="G2854" i="4"/>
  <c r="E2854" i="4"/>
  <c r="D2854" i="4"/>
  <c r="M2853" i="4"/>
  <c r="I2853" i="4"/>
  <c r="H2853" i="4"/>
  <c r="G2853" i="4"/>
  <c r="E2853" i="4"/>
  <c r="D2853" i="4"/>
  <c r="M2852" i="4"/>
  <c r="I2852" i="4"/>
  <c r="H2852" i="4"/>
  <c r="G2852" i="4"/>
  <c r="E2852" i="4"/>
  <c r="D2852" i="4"/>
  <c r="M2851" i="4"/>
  <c r="I2851" i="4"/>
  <c r="H2851" i="4"/>
  <c r="G2851" i="4"/>
  <c r="E2851" i="4"/>
  <c r="D2851" i="4"/>
  <c r="M2850" i="4"/>
  <c r="I2850" i="4"/>
  <c r="H2850" i="4"/>
  <c r="G2850" i="4"/>
  <c r="E2850" i="4"/>
  <c r="D2850" i="4"/>
  <c r="M2849" i="4"/>
  <c r="I2849" i="4"/>
  <c r="H2849" i="4"/>
  <c r="G2849" i="4"/>
  <c r="E2849" i="4"/>
  <c r="D2849" i="4"/>
  <c r="M2848" i="4"/>
  <c r="I2848" i="4"/>
  <c r="H2848" i="4"/>
  <c r="G2848" i="4"/>
  <c r="E2848" i="4"/>
  <c r="D2848" i="4"/>
  <c r="M2847" i="4"/>
  <c r="I2847" i="4"/>
  <c r="H2847" i="4"/>
  <c r="G2847" i="4"/>
  <c r="E2847" i="4"/>
  <c r="D2847" i="4"/>
  <c r="M2846" i="4"/>
  <c r="I2846" i="4"/>
  <c r="H2846" i="4"/>
  <c r="G2846" i="4"/>
  <c r="E2846" i="4"/>
  <c r="D2846" i="4"/>
  <c r="M2845" i="4"/>
  <c r="I2845" i="4"/>
  <c r="H2845" i="4"/>
  <c r="G2845" i="4"/>
  <c r="E2845" i="4"/>
  <c r="D2845" i="4"/>
  <c r="M2844" i="4"/>
  <c r="I2844" i="4"/>
  <c r="H2844" i="4"/>
  <c r="G2844" i="4"/>
  <c r="E2844" i="4"/>
  <c r="D2844" i="4"/>
  <c r="M2843" i="4"/>
  <c r="I2843" i="4"/>
  <c r="H2843" i="4"/>
  <c r="G2843" i="4"/>
  <c r="E2843" i="4"/>
  <c r="D2843" i="4"/>
  <c r="M2842" i="4"/>
  <c r="I2842" i="4"/>
  <c r="H2842" i="4"/>
  <c r="G2842" i="4"/>
  <c r="E2842" i="4"/>
  <c r="D2842" i="4"/>
  <c r="M2841" i="4"/>
  <c r="I2841" i="4"/>
  <c r="H2841" i="4"/>
  <c r="G2841" i="4"/>
  <c r="E2841" i="4"/>
  <c r="D2841" i="4"/>
  <c r="M2840" i="4"/>
  <c r="I2840" i="4"/>
  <c r="H2840" i="4"/>
  <c r="G2840" i="4"/>
  <c r="E2840" i="4"/>
  <c r="D2840" i="4"/>
  <c r="M2839" i="4"/>
  <c r="I2839" i="4"/>
  <c r="H2839" i="4"/>
  <c r="G2839" i="4"/>
  <c r="E2839" i="4"/>
  <c r="D2839" i="4"/>
  <c r="M2838" i="4"/>
  <c r="I2838" i="4"/>
  <c r="H2838" i="4"/>
  <c r="G2838" i="4"/>
  <c r="E2838" i="4"/>
  <c r="D2838" i="4"/>
  <c r="M2837" i="4"/>
  <c r="I2837" i="4"/>
  <c r="H2837" i="4"/>
  <c r="G2837" i="4"/>
  <c r="E2837" i="4"/>
  <c r="D2837" i="4"/>
  <c r="M2836" i="4"/>
  <c r="I2836" i="4"/>
  <c r="H2836" i="4"/>
  <c r="G2836" i="4"/>
  <c r="E2836" i="4"/>
  <c r="D2836" i="4"/>
  <c r="M2835" i="4"/>
  <c r="I2835" i="4"/>
  <c r="H2835" i="4"/>
  <c r="G2835" i="4"/>
  <c r="E2835" i="4"/>
  <c r="D2835" i="4"/>
  <c r="M2834" i="4"/>
  <c r="I2834" i="4"/>
  <c r="H2834" i="4"/>
  <c r="G2834" i="4"/>
  <c r="E2834" i="4"/>
  <c r="D2834" i="4"/>
  <c r="M2833" i="4"/>
  <c r="I2833" i="4"/>
  <c r="H2833" i="4"/>
  <c r="G2833" i="4"/>
  <c r="E2833" i="4"/>
  <c r="D2833" i="4"/>
  <c r="M2832" i="4"/>
  <c r="I2832" i="4"/>
  <c r="H2832" i="4"/>
  <c r="G2832" i="4"/>
  <c r="E2832" i="4"/>
  <c r="D2832" i="4"/>
  <c r="M2831" i="4"/>
  <c r="I2831" i="4"/>
  <c r="H2831" i="4"/>
  <c r="G2831" i="4"/>
  <c r="E2831" i="4"/>
  <c r="D2831" i="4"/>
  <c r="M2830" i="4"/>
  <c r="I2830" i="4"/>
  <c r="H2830" i="4"/>
  <c r="G2830" i="4"/>
  <c r="E2830" i="4"/>
  <c r="D2830" i="4"/>
  <c r="M2829" i="4"/>
  <c r="I2829" i="4"/>
  <c r="H2829" i="4"/>
  <c r="G2829" i="4"/>
  <c r="E2829" i="4"/>
  <c r="D2829" i="4"/>
  <c r="M2828" i="4"/>
  <c r="I2828" i="4"/>
  <c r="H2828" i="4"/>
  <c r="G2828" i="4"/>
  <c r="E2828" i="4"/>
  <c r="D2828" i="4"/>
  <c r="M2827" i="4"/>
  <c r="I2827" i="4"/>
  <c r="H2827" i="4"/>
  <c r="G2827" i="4"/>
  <c r="E2827" i="4"/>
  <c r="D2827" i="4"/>
  <c r="M2826" i="4"/>
  <c r="I2826" i="4"/>
  <c r="H2826" i="4"/>
  <c r="G2826" i="4"/>
  <c r="E2826" i="4"/>
  <c r="D2826" i="4"/>
  <c r="M2825" i="4"/>
  <c r="I2825" i="4"/>
  <c r="H2825" i="4"/>
  <c r="G2825" i="4"/>
  <c r="E2825" i="4"/>
  <c r="D2825" i="4"/>
  <c r="M2824" i="4"/>
  <c r="I2824" i="4"/>
  <c r="H2824" i="4"/>
  <c r="G2824" i="4"/>
  <c r="E2824" i="4"/>
  <c r="D2824" i="4"/>
  <c r="M2823" i="4"/>
  <c r="I2823" i="4"/>
  <c r="H2823" i="4"/>
  <c r="G2823" i="4"/>
  <c r="E2823" i="4"/>
  <c r="D2823" i="4"/>
  <c r="M2822" i="4"/>
  <c r="I2822" i="4"/>
  <c r="H2822" i="4"/>
  <c r="G2822" i="4"/>
  <c r="E2822" i="4"/>
  <c r="D2822" i="4"/>
  <c r="M2821" i="4"/>
  <c r="I2821" i="4"/>
  <c r="H2821" i="4"/>
  <c r="G2821" i="4"/>
  <c r="E2821" i="4"/>
  <c r="D2821" i="4"/>
  <c r="M2820" i="4"/>
  <c r="I2820" i="4"/>
  <c r="H2820" i="4"/>
  <c r="G2820" i="4"/>
  <c r="E2820" i="4"/>
  <c r="D2820" i="4"/>
  <c r="M2819" i="4"/>
  <c r="I2819" i="4"/>
  <c r="H2819" i="4"/>
  <c r="G2819" i="4"/>
  <c r="E2819" i="4"/>
  <c r="D2819" i="4"/>
  <c r="M2818" i="4"/>
  <c r="I2818" i="4"/>
  <c r="H2818" i="4"/>
  <c r="G2818" i="4"/>
  <c r="E2818" i="4"/>
  <c r="D2818" i="4"/>
  <c r="M2817" i="4"/>
  <c r="I2817" i="4"/>
  <c r="H2817" i="4"/>
  <c r="G2817" i="4"/>
  <c r="E2817" i="4"/>
  <c r="D2817" i="4"/>
  <c r="M2816" i="4"/>
  <c r="I2816" i="4"/>
  <c r="H2816" i="4"/>
  <c r="G2816" i="4"/>
  <c r="E2816" i="4"/>
  <c r="D2816" i="4"/>
  <c r="M2815" i="4"/>
  <c r="I2815" i="4"/>
  <c r="H2815" i="4"/>
  <c r="G2815" i="4"/>
  <c r="E2815" i="4"/>
  <c r="D2815" i="4"/>
  <c r="M2814" i="4"/>
  <c r="I2814" i="4"/>
  <c r="H2814" i="4"/>
  <c r="G2814" i="4"/>
  <c r="E2814" i="4"/>
  <c r="D2814" i="4"/>
  <c r="M2813" i="4"/>
  <c r="I2813" i="4"/>
  <c r="H2813" i="4"/>
  <c r="G2813" i="4"/>
  <c r="E2813" i="4"/>
  <c r="D2813" i="4"/>
  <c r="M2812" i="4"/>
  <c r="I2812" i="4"/>
  <c r="H2812" i="4"/>
  <c r="G2812" i="4"/>
  <c r="E2812" i="4"/>
  <c r="D2812" i="4"/>
  <c r="M2811" i="4"/>
  <c r="I2811" i="4"/>
  <c r="H2811" i="4"/>
  <c r="G2811" i="4"/>
  <c r="E2811" i="4"/>
  <c r="D2811" i="4"/>
  <c r="M2810" i="4"/>
  <c r="I2810" i="4"/>
  <c r="H2810" i="4"/>
  <c r="G2810" i="4"/>
  <c r="E2810" i="4"/>
  <c r="D2810" i="4"/>
  <c r="M2809" i="4"/>
  <c r="I2809" i="4"/>
  <c r="H2809" i="4"/>
  <c r="G2809" i="4"/>
  <c r="E2809" i="4"/>
  <c r="D2809" i="4"/>
  <c r="M2808" i="4"/>
  <c r="I2808" i="4"/>
  <c r="H2808" i="4"/>
  <c r="G2808" i="4"/>
  <c r="E2808" i="4"/>
  <c r="D2808" i="4"/>
  <c r="M2807" i="4"/>
  <c r="I2807" i="4"/>
  <c r="H2807" i="4"/>
  <c r="G2807" i="4"/>
  <c r="E2807" i="4"/>
  <c r="D2807" i="4"/>
  <c r="M2806" i="4"/>
  <c r="I2806" i="4"/>
  <c r="H2806" i="4"/>
  <c r="G2806" i="4"/>
  <c r="E2806" i="4"/>
  <c r="D2806" i="4"/>
  <c r="M2805" i="4"/>
  <c r="I2805" i="4"/>
  <c r="H2805" i="4"/>
  <c r="G2805" i="4"/>
  <c r="E2805" i="4"/>
  <c r="D2805" i="4"/>
  <c r="M2804" i="4"/>
  <c r="I2804" i="4"/>
  <c r="H2804" i="4"/>
  <c r="G2804" i="4"/>
  <c r="E2804" i="4"/>
  <c r="D2804" i="4"/>
  <c r="M2803" i="4"/>
  <c r="I2803" i="4"/>
  <c r="H2803" i="4"/>
  <c r="G2803" i="4"/>
  <c r="E2803" i="4"/>
  <c r="D2803" i="4"/>
  <c r="M2802" i="4"/>
  <c r="I2802" i="4"/>
  <c r="H2802" i="4"/>
  <c r="G2802" i="4"/>
  <c r="E2802" i="4"/>
  <c r="D2802" i="4"/>
  <c r="M2801" i="4"/>
  <c r="I2801" i="4"/>
  <c r="H2801" i="4"/>
  <c r="G2801" i="4"/>
  <c r="E2801" i="4"/>
  <c r="D2801" i="4"/>
  <c r="M2800" i="4"/>
  <c r="I2800" i="4"/>
  <c r="H2800" i="4"/>
  <c r="G2800" i="4"/>
  <c r="E2800" i="4"/>
  <c r="D2800" i="4"/>
  <c r="M2799" i="4"/>
  <c r="I2799" i="4"/>
  <c r="H2799" i="4"/>
  <c r="G2799" i="4"/>
  <c r="E2799" i="4"/>
  <c r="D2799" i="4"/>
  <c r="M2798" i="4"/>
  <c r="I2798" i="4"/>
  <c r="H2798" i="4"/>
  <c r="G2798" i="4"/>
  <c r="E2798" i="4"/>
  <c r="D2798" i="4"/>
  <c r="M2797" i="4"/>
  <c r="I2797" i="4"/>
  <c r="H2797" i="4"/>
  <c r="G2797" i="4"/>
  <c r="E2797" i="4"/>
  <c r="D2797" i="4"/>
  <c r="M2796" i="4"/>
  <c r="I2796" i="4"/>
  <c r="H2796" i="4"/>
  <c r="G2796" i="4"/>
  <c r="E2796" i="4"/>
  <c r="D2796" i="4"/>
  <c r="M2795" i="4"/>
  <c r="I2795" i="4"/>
  <c r="H2795" i="4"/>
  <c r="G2795" i="4"/>
  <c r="E2795" i="4"/>
  <c r="D2795" i="4"/>
  <c r="M2794" i="4"/>
  <c r="I2794" i="4"/>
  <c r="H2794" i="4"/>
  <c r="G2794" i="4"/>
  <c r="E2794" i="4"/>
  <c r="D2794" i="4"/>
  <c r="M2793" i="4"/>
  <c r="I2793" i="4"/>
  <c r="H2793" i="4"/>
  <c r="G2793" i="4"/>
  <c r="E2793" i="4"/>
  <c r="D2793" i="4"/>
  <c r="M2792" i="4"/>
  <c r="I2792" i="4"/>
  <c r="H2792" i="4"/>
  <c r="G2792" i="4"/>
  <c r="E2792" i="4"/>
  <c r="D2792" i="4"/>
  <c r="M2791" i="4"/>
  <c r="I2791" i="4"/>
  <c r="H2791" i="4"/>
  <c r="G2791" i="4"/>
  <c r="E2791" i="4"/>
  <c r="D2791" i="4"/>
  <c r="M2790" i="4"/>
  <c r="I2790" i="4"/>
  <c r="H2790" i="4"/>
  <c r="G2790" i="4"/>
  <c r="E2790" i="4"/>
  <c r="D2790" i="4"/>
  <c r="M2789" i="4"/>
  <c r="I2789" i="4"/>
  <c r="H2789" i="4"/>
  <c r="G2789" i="4"/>
  <c r="E2789" i="4"/>
  <c r="D2789" i="4"/>
  <c r="M2788" i="4"/>
  <c r="I2788" i="4"/>
  <c r="H2788" i="4"/>
  <c r="G2788" i="4"/>
  <c r="E2788" i="4"/>
  <c r="D2788" i="4"/>
  <c r="M2787" i="4"/>
  <c r="I2787" i="4"/>
  <c r="H2787" i="4"/>
  <c r="G2787" i="4"/>
  <c r="E2787" i="4"/>
  <c r="D2787" i="4"/>
  <c r="M2786" i="4"/>
  <c r="I2786" i="4"/>
  <c r="H2786" i="4"/>
  <c r="G2786" i="4"/>
  <c r="E2786" i="4"/>
  <c r="D2786" i="4"/>
  <c r="M2785" i="4"/>
  <c r="I2785" i="4"/>
  <c r="H2785" i="4"/>
  <c r="G2785" i="4"/>
  <c r="E2785" i="4"/>
  <c r="D2785" i="4"/>
  <c r="M2784" i="4"/>
  <c r="I2784" i="4"/>
  <c r="H2784" i="4"/>
  <c r="G2784" i="4"/>
  <c r="E2784" i="4"/>
  <c r="D2784" i="4"/>
  <c r="M2783" i="4"/>
  <c r="I2783" i="4"/>
  <c r="H2783" i="4"/>
  <c r="G2783" i="4"/>
  <c r="E2783" i="4"/>
  <c r="D2783" i="4"/>
  <c r="M2782" i="4"/>
  <c r="I2782" i="4"/>
  <c r="H2782" i="4"/>
  <c r="G2782" i="4"/>
  <c r="E2782" i="4"/>
  <c r="D2782" i="4"/>
  <c r="M2781" i="4"/>
  <c r="I2781" i="4"/>
  <c r="H2781" i="4"/>
  <c r="G2781" i="4"/>
  <c r="E2781" i="4"/>
  <c r="D2781" i="4"/>
  <c r="M2780" i="4"/>
  <c r="I2780" i="4"/>
  <c r="H2780" i="4"/>
  <c r="G2780" i="4"/>
  <c r="E2780" i="4"/>
  <c r="D2780" i="4"/>
  <c r="M2779" i="4"/>
  <c r="I2779" i="4"/>
  <c r="H2779" i="4"/>
  <c r="G2779" i="4"/>
  <c r="E2779" i="4"/>
  <c r="D2779" i="4"/>
  <c r="M2778" i="4"/>
  <c r="I2778" i="4"/>
  <c r="H2778" i="4"/>
  <c r="G2778" i="4"/>
  <c r="E2778" i="4"/>
  <c r="D2778" i="4"/>
  <c r="M2777" i="4"/>
  <c r="I2777" i="4"/>
  <c r="H2777" i="4"/>
  <c r="G2777" i="4"/>
  <c r="E2777" i="4"/>
  <c r="D2777" i="4"/>
  <c r="M2776" i="4"/>
  <c r="I2776" i="4"/>
  <c r="H2776" i="4"/>
  <c r="G2776" i="4"/>
  <c r="E2776" i="4"/>
  <c r="D2776" i="4"/>
  <c r="M2775" i="4"/>
  <c r="I2775" i="4"/>
  <c r="H2775" i="4"/>
  <c r="G2775" i="4"/>
  <c r="E2775" i="4"/>
  <c r="D2775" i="4"/>
  <c r="M2774" i="4"/>
  <c r="I2774" i="4"/>
  <c r="H2774" i="4"/>
  <c r="G2774" i="4"/>
  <c r="E2774" i="4"/>
  <c r="D2774" i="4"/>
  <c r="M2773" i="4"/>
  <c r="I2773" i="4"/>
  <c r="H2773" i="4"/>
  <c r="G2773" i="4"/>
  <c r="E2773" i="4"/>
  <c r="D2773" i="4"/>
  <c r="M2772" i="4"/>
  <c r="I2772" i="4"/>
  <c r="H2772" i="4"/>
  <c r="G2772" i="4"/>
  <c r="E2772" i="4"/>
  <c r="D2772" i="4"/>
  <c r="M2771" i="4"/>
  <c r="I2771" i="4"/>
  <c r="H2771" i="4"/>
  <c r="G2771" i="4"/>
  <c r="E2771" i="4"/>
  <c r="D2771" i="4"/>
  <c r="M2770" i="4"/>
  <c r="I2770" i="4"/>
  <c r="H2770" i="4"/>
  <c r="G2770" i="4"/>
  <c r="E2770" i="4"/>
  <c r="D2770" i="4"/>
  <c r="M2769" i="4"/>
  <c r="I2769" i="4"/>
  <c r="H2769" i="4"/>
  <c r="G2769" i="4"/>
  <c r="E2769" i="4"/>
  <c r="D2769" i="4"/>
  <c r="M2768" i="4"/>
  <c r="I2768" i="4"/>
  <c r="H2768" i="4"/>
  <c r="G2768" i="4"/>
  <c r="E2768" i="4"/>
  <c r="D2768" i="4"/>
  <c r="M2767" i="4"/>
  <c r="I2767" i="4"/>
  <c r="H2767" i="4"/>
  <c r="G2767" i="4"/>
  <c r="E2767" i="4"/>
  <c r="D2767" i="4"/>
  <c r="M2766" i="4"/>
  <c r="I2766" i="4"/>
  <c r="H2766" i="4"/>
  <c r="G2766" i="4"/>
  <c r="E2766" i="4"/>
  <c r="D2766" i="4"/>
  <c r="M2765" i="4"/>
  <c r="I2765" i="4"/>
  <c r="H2765" i="4"/>
  <c r="G2765" i="4"/>
  <c r="E2765" i="4"/>
  <c r="D2765" i="4"/>
  <c r="M2764" i="4"/>
  <c r="I2764" i="4"/>
  <c r="H2764" i="4"/>
  <c r="G2764" i="4"/>
  <c r="E2764" i="4"/>
  <c r="D2764" i="4"/>
  <c r="M2763" i="4"/>
  <c r="I2763" i="4"/>
  <c r="H2763" i="4"/>
  <c r="G2763" i="4"/>
  <c r="E2763" i="4"/>
  <c r="D2763" i="4"/>
  <c r="M2762" i="4"/>
  <c r="I2762" i="4"/>
  <c r="H2762" i="4"/>
  <c r="G2762" i="4"/>
  <c r="E2762" i="4"/>
  <c r="D2762" i="4"/>
  <c r="M2761" i="4"/>
  <c r="I2761" i="4"/>
  <c r="H2761" i="4"/>
  <c r="G2761" i="4"/>
  <c r="E2761" i="4"/>
  <c r="D2761" i="4"/>
  <c r="M2760" i="4"/>
  <c r="I2760" i="4"/>
  <c r="H2760" i="4"/>
  <c r="G2760" i="4"/>
  <c r="E2760" i="4"/>
  <c r="D2760" i="4"/>
  <c r="M2759" i="4"/>
  <c r="I2759" i="4"/>
  <c r="H2759" i="4"/>
  <c r="G2759" i="4"/>
  <c r="E2759" i="4"/>
  <c r="D2759" i="4"/>
  <c r="M2758" i="4"/>
  <c r="I2758" i="4"/>
  <c r="H2758" i="4"/>
  <c r="G2758" i="4"/>
  <c r="E2758" i="4"/>
  <c r="D2758" i="4"/>
  <c r="M2757" i="4"/>
  <c r="I2757" i="4"/>
  <c r="H2757" i="4"/>
  <c r="G2757" i="4"/>
  <c r="E2757" i="4"/>
  <c r="D2757" i="4"/>
  <c r="M2756" i="4"/>
  <c r="I2756" i="4"/>
  <c r="H2756" i="4"/>
  <c r="G2756" i="4"/>
  <c r="E2756" i="4"/>
  <c r="D2756" i="4"/>
  <c r="M2755" i="4"/>
  <c r="I2755" i="4"/>
  <c r="H2755" i="4"/>
  <c r="G2755" i="4"/>
  <c r="E2755" i="4"/>
  <c r="D2755" i="4"/>
  <c r="M2754" i="4"/>
  <c r="I2754" i="4"/>
  <c r="H2754" i="4"/>
  <c r="G2754" i="4"/>
  <c r="E2754" i="4"/>
  <c r="D2754" i="4"/>
  <c r="M2753" i="4"/>
  <c r="I2753" i="4"/>
  <c r="H2753" i="4"/>
  <c r="G2753" i="4"/>
  <c r="E2753" i="4"/>
  <c r="D2753" i="4"/>
  <c r="M2752" i="4"/>
  <c r="I2752" i="4"/>
  <c r="H2752" i="4"/>
  <c r="G2752" i="4"/>
  <c r="E2752" i="4"/>
  <c r="D2752" i="4"/>
  <c r="M2751" i="4"/>
  <c r="I2751" i="4"/>
  <c r="H2751" i="4"/>
  <c r="G2751" i="4"/>
  <c r="E2751" i="4"/>
  <c r="D2751" i="4"/>
  <c r="M2750" i="4"/>
  <c r="I2750" i="4"/>
  <c r="H2750" i="4"/>
  <c r="G2750" i="4"/>
  <c r="E2750" i="4"/>
  <c r="D2750" i="4"/>
  <c r="M2749" i="4"/>
  <c r="I2749" i="4"/>
  <c r="H2749" i="4"/>
  <c r="G2749" i="4"/>
  <c r="E2749" i="4"/>
  <c r="D2749" i="4"/>
  <c r="M2748" i="4"/>
  <c r="I2748" i="4"/>
  <c r="H2748" i="4"/>
  <c r="G2748" i="4"/>
  <c r="E2748" i="4"/>
  <c r="D2748" i="4"/>
  <c r="M2747" i="4"/>
  <c r="I2747" i="4"/>
  <c r="H2747" i="4"/>
  <c r="G2747" i="4"/>
  <c r="E2747" i="4"/>
  <c r="D2747" i="4"/>
  <c r="M2746" i="4"/>
  <c r="I2746" i="4"/>
  <c r="H2746" i="4"/>
  <c r="G2746" i="4"/>
  <c r="E2746" i="4"/>
  <c r="D2746" i="4"/>
  <c r="M2745" i="4"/>
  <c r="I2745" i="4"/>
  <c r="H2745" i="4"/>
  <c r="G2745" i="4"/>
  <c r="E2745" i="4"/>
  <c r="D2745" i="4"/>
  <c r="M2744" i="4"/>
  <c r="I2744" i="4"/>
  <c r="H2744" i="4"/>
  <c r="G2744" i="4"/>
  <c r="E2744" i="4"/>
  <c r="D2744" i="4"/>
  <c r="M2743" i="4"/>
  <c r="I2743" i="4"/>
  <c r="H2743" i="4"/>
  <c r="G2743" i="4"/>
  <c r="E2743" i="4"/>
  <c r="D2743" i="4"/>
  <c r="M2742" i="4"/>
  <c r="I2742" i="4"/>
  <c r="H2742" i="4"/>
  <c r="G2742" i="4"/>
  <c r="E2742" i="4"/>
  <c r="D2742" i="4"/>
  <c r="M2741" i="4"/>
  <c r="I2741" i="4"/>
  <c r="H2741" i="4"/>
  <c r="G2741" i="4"/>
  <c r="E2741" i="4"/>
  <c r="D2741" i="4"/>
  <c r="M2740" i="4"/>
  <c r="I2740" i="4"/>
  <c r="H2740" i="4"/>
  <c r="G2740" i="4"/>
  <c r="E2740" i="4"/>
  <c r="D2740" i="4"/>
  <c r="M2739" i="4"/>
  <c r="I2739" i="4"/>
  <c r="H2739" i="4"/>
  <c r="G2739" i="4"/>
  <c r="E2739" i="4"/>
  <c r="D2739" i="4"/>
  <c r="M2738" i="4"/>
  <c r="I2738" i="4"/>
  <c r="H2738" i="4"/>
  <c r="G2738" i="4"/>
  <c r="E2738" i="4"/>
  <c r="D2738" i="4"/>
  <c r="M2737" i="4"/>
  <c r="I2737" i="4"/>
  <c r="H2737" i="4"/>
  <c r="G2737" i="4"/>
  <c r="E2737" i="4"/>
  <c r="D2737" i="4"/>
  <c r="M2736" i="4"/>
  <c r="I2736" i="4"/>
  <c r="H2736" i="4"/>
  <c r="G2736" i="4"/>
  <c r="E2736" i="4"/>
  <c r="D2736" i="4"/>
  <c r="M2735" i="4"/>
  <c r="I2735" i="4"/>
  <c r="H2735" i="4"/>
  <c r="G2735" i="4"/>
  <c r="E2735" i="4"/>
  <c r="D2735" i="4"/>
  <c r="M2734" i="4"/>
  <c r="I2734" i="4"/>
  <c r="H2734" i="4"/>
  <c r="G2734" i="4"/>
  <c r="E2734" i="4"/>
  <c r="D2734" i="4"/>
  <c r="M2733" i="4"/>
  <c r="I2733" i="4"/>
  <c r="H2733" i="4"/>
  <c r="G2733" i="4"/>
  <c r="E2733" i="4"/>
  <c r="D2733" i="4"/>
  <c r="M2732" i="4"/>
  <c r="I2732" i="4"/>
  <c r="H2732" i="4"/>
  <c r="G2732" i="4"/>
  <c r="E2732" i="4"/>
  <c r="D2732" i="4"/>
  <c r="M2731" i="4"/>
  <c r="I2731" i="4"/>
  <c r="H2731" i="4"/>
  <c r="G2731" i="4"/>
  <c r="E2731" i="4"/>
  <c r="D2731" i="4"/>
  <c r="M2730" i="4"/>
  <c r="I2730" i="4"/>
  <c r="H2730" i="4"/>
  <c r="G2730" i="4"/>
  <c r="E2730" i="4"/>
  <c r="D2730" i="4"/>
  <c r="M2729" i="4"/>
  <c r="I2729" i="4"/>
  <c r="H2729" i="4"/>
  <c r="G2729" i="4"/>
  <c r="E2729" i="4"/>
  <c r="D2729" i="4"/>
  <c r="M2728" i="4"/>
  <c r="I2728" i="4"/>
  <c r="H2728" i="4"/>
  <c r="G2728" i="4"/>
  <c r="E2728" i="4"/>
  <c r="D2728" i="4"/>
  <c r="M2727" i="4"/>
  <c r="I2727" i="4"/>
  <c r="H2727" i="4"/>
  <c r="G2727" i="4"/>
  <c r="E2727" i="4"/>
  <c r="D2727" i="4"/>
  <c r="M2726" i="4"/>
  <c r="I2726" i="4"/>
  <c r="H2726" i="4"/>
  <c r="G2726" i="4"/>
  <c r="E2726" i="4"/>
  <c r="D2726" i="4"/>
  <c r="M2725" i="4"/>
  <c r="I2725" i="4"/>
  <c r="H2725" i="4"/>
  <c r="G2725" i="4"/>
  <c r="E2725" i="4"/>
  <c r="D2725" i="4"/>
  <c r="M2724" i="4"/>
  <c r="I2724" i="4"/>
  <c r="H2724" i="4"/>
  <c r="G2724" i="4"/>
  <c r="E2724" i="4"/>
  <c r="D2724" i="4"/>
  <c r="M2723" i="4"/>
  <c r="I2723" i="4"/>
  <c r="H2723" i="4"/>
  <c r="G2723" i="4"/>
  <c r="E2723" i="4"/>
  <c r="D2723" i="4"/>
  <c r="M2722" i="4"/>
  <c r="I2722" i="4"/>
  <c r="H2722" i="4"/>
  <c r="G2722" i="4"/>
  <c r="E2722" i="4"/>
  <c r="D2722" i="4"/>
  <c r="M2721" i="4"/>
  <c r="I2721" i="4"/>
  <c r="H2721" i="4"/>
  <c r="G2721" i="4"/>
  <c r="E2721" i="4"/>
  <c r="D2721" i="4"/>
  <c r="M2720" i="4"/>
  <c r="I2720" i="4"/>
  <c r="H2720" i="4"/>
  <c r="G2720" i="4"/>
  <c r="E2720" i="4"/>
  <c r="D2720" i="4"/>
  <c r="M2719" i="4"/>
  <c r="I2719" i="4"/>
  <c r="H2719" i="4"/>
  <c r="G2719" i="4"/>
  <c r="E2719" i="4"/>
  <c r="D2719" i="4"/>
  <c r="M2718" i="4"/>
  <c r="I2718" i="4"/>
  <c r="H2718" i="4"/>
  <c r="G2718" i="4"/>
  <c r="E2718" i="4"/>
  <c r="D2718" i="4"/>
  <c r="M2717" i="4"/>
  <c r="I2717" i="4"/>
  <c r="H2717" i="4"/>
  <c r="G2717" i="4"/>
  <c r="E2717" i="4"/>
  <c r="D2717" i="4"/>
  <c r="M2716" i="4"/>
  <c r="I2716" i="4"/>
  <c r="H2716" i="4"/>
  <c r="G2716" i="4"/>
  <c r="E2716" i="4"/>
  <c r="D2716" i="4"/>
  <c r="M2715" i="4"/>
  <c r="I2715" i="4"/>
  <c r="H2715" i="4"/>
  <c r="G2715" i="4"/>
  <c r="E2715" i="4"/>
  <c r="D2715" i="4"/>
  <c r="M2714" i="4"/>
  <c r="I2714" i="4"/>
  <c r="H2714" i="4"/>
  <c r="G2714" i="4"/>
  <c r="E2714" i="4"/>
  <c r="D2714" i="4"/>
  <c r="M2713" i="4"/>
  <c r="I2713" i="4"/>
  <c r="H2713" i="4"/>
  <c r="G2713" i="4"/>
  <c r="E2713" i="4"/>
  <c r="D2713" i="4"/>
  <c r="M2712" i="4"/>
  <c r="I2712" i="4"/>
  <c r="H2712" i="4"/>
  <c r="G2712" i="4"/>
  <c r="E2712" i="4"/>
  <c r="D2712" i="4"/>
  <c r="M2711" i="4"/>
  <c r="I2711" i="4"/>
  <c r="H2711" i="4"/>
  <c r="G2711" i="4"/>
  <c r="E2711" i="4"/>
  <c r="D2711" i="4"/>
  <c r="M2710" i="4"/>
  <c r="I2710" i="4"/>
  <c r="H2710" i="4"/>
  <c r="G2710" i="4"/>
  <c r="E2710" i="4"/>
  <c r="D2710" i="4"/>
  <c r="M2709" i="4"/>
  <c r="I2709" i="4"/>
  <c r="H2709" i="4"/>
  <c r="G2709" i="4"/>
  <c r="E2709" i="4"/>
  <c r="D2709" i="4"/>
  <c r="M2708" i="4"/>
  <c r="I2708" i="4"/>
  <c r="H2708" i="4"/>
  <c r="G2708" i="4"/>
  <c r="E2708" i="4"/>
  <c r="D2708" i="4"/>
  <c r="M2707" i="4"/>
  <c r="I2707" i="4"/>
  <c r="H2707" i="4"/>
  <c r="G2707" i="4"/>
  <c r="E2707" i="4"/>
  <c r="D2707" i="4"/>
  <c r="M2706" i="4"/>
  <c r="I2706" i="4"/>
  <c r="H2706" i="4"/>
  <c r="G2706" i="4"/>
  <c r="E2706" i="4"/>
  <c r="D2706" i="4"/>
  <c r="M2705" i="4"/>
  <c r="I2705" i="4"/>
  <c r="H2705" i="4"/>
  <c r="G2705" i="4"/>
  <c r="E2705" i="4"/>
  <c r="D2705" i="4"/>
  <c r="M2704" i="4"/>
  <c r="I2704" i="4"/>
  <c r="H2704" i="4"/>
  <c r="G2704" i="4"/>
  <c r="E2704" i="4"/>
  <c r="D2704" i="4"/>
  <c r="M2703" i="4"/>
  <c r="I2703" i="4"/>
  <c r="H2703" i="4"/>
  <c r="G2703" i="4"/>
  <c r="E2703" i="4"/>
  <c r="D2703" i="4"/>
  <c r="M2702" i="4"/>
  <c r="I2702" i="4"/>
  <c r="H2702" i="4"/>
  <c r="G2702" i="4"/>
  <c r="E2702" i="4"/>
  <c r="D2702" i="4"/>
  <c r="M2701" i="4"/>
  <c r="I2701" i="4"/>
  <c r="H2701" i="4"/>
  <c r="G2701" i="4"/>
  <c r="E2701" i="4"/>
  <c r="D2701" i="4"/>
  <c r="M2700" i="4"/>
  <c r="I2700" i="4"/>
  <c r="H2700" i="4"/>
  <c r="G2700" i="4"/>
  <c r="E2700" i="4"/>
  <c r="D2700" i="4"/>
  <c r="M2699" i="4"/>
  <c r="I2699" i="4"/>
  <c r="H2699" i="4"/>
  <c r="G2699" i="4"/>
  <c r="E2699" i="4"/>
  <c r="D2699" i="4"/>
  <c r="M2698" i="4"/>
  <c r="I2698" i="4"/>
  <c r="H2698" i="4"/>
  <c r="G2698" i="4"/>
  <c r="E2698" i="4"/>
  <c r="D2698" i="4"/>
  <c r="M2697" i="4"/>
  <c r="I2697" i="4"/>
  <c r="H2697" i="4"/>
  <c r="G2697" i="4"/>
  <c r="E2697" i="4"/>
  <c r="D2697" i="4"/>
  <c r="M2696" i="4"/>
  <c r="I2696" i="4"/>
  <c r="H2696" i="4"/>
  <c r="G2696" i="4"/>
  <c r="E2696" i="4"/>
  <c r="D2696" i="4"/>
  <c r="M2695" i="4"/>
  <c r="I2695" i="4"/>
  <c r="H2695" i="4"/>
  <c r="G2695" i="4"/>
  <c r="E2695" i="4"/>
  <c r="D2695" i="4"/>
  <c r="M2694" i="4"/>
  <c r="I2694" i="4"/>
  <c r="H2694" i="4"/>
  <c r="G2694" i="4"/>
  <c r="E2694" i="4"/>
  <c r="D2694" i="4"/>
  <c r="M2693" i="4"/>
  <c r="I2693" i="4"/>
  <c r="H2693" i="4"/>
  <c r="G2693" i="4"/>
  <c r="E2693" i="4"/>
  <c r="D2693" i="4"/>
  <c r="M2692" i="4"/>
  <c r="I2692" i="4"/>
  <c r="H2692" i="4"/>
  <c r="G2692" i="4"/>
  <c r="E2692" i="4"/>
  <c r="D2692" i="4"/>
  <c r="M2691" i="4"/>
  <c r="I2691" i="4"/>
  <c r="H2691" i="4"/>
  <c r="G2691" i="4"/>
  <c r="E2691" i="4"/>
  <c r="D2691" i="4"/>
  <c r="M2690" i="4"/>
  <c r="I2690" i="4"/>
  <c r="H2690" i="4"/>
  <c r="G2690" i="4"/>
  <c r="E2690" i="4"/>
  <c r="D2690" i="4"/>
  <c r="M2689" i="4"/>
  <c r="I2689" i="4"/>
  <c r="H2689" i="4"/>
  <c r="G2689" i="4"/>
  <c r="E2689" i="4"/>
  <c r="D2689" i="4"/>
  <c r="M2688" i="4"/>
  <c r="I2688" i="4"/>
  <c r="H2688" i="4"/>
  <c r="G2688" i="4"/>
  <c r="E2688" i="4"/>
  <c r="D2688" i="4"/>
  <c r="M2687" i="4"/>
  <c r="I2687" i="4"/>
  <c r="H2687" i="4"/>
  <c r="G2687" i="4"/>
  <c r="E2687" i="4"/>
  <c r="D2687" i="4"/>
  <c r="M2686" i="4"/>
  <c r="I2686" i="4"/>
  <c r="H2686" i="4"/>
  <c r="G2686" i="4"/>
  <c r="E2686" i="4"/>
  <c r="D2686" i="4"/>
  <c r="M2685" i="4"/>
  <c r="I2685" i="4"/>
  <c r="H2685" i="4"/>
  <c r="G2685" i="4"/>
  <c r="E2685" i="4"/>
  <c r="D2685" i="4"/>
  <c r="M2684" i="4"/>
  <c r="I2684" i="4"/>
  <c r="H2684" i="4"/>
  <c r="G2684" i="4"/>
  <c r="E2684" i="4"/>
  <c r="D2684" i="4"/>
  <c r="M2683" i="4"/>
  <c r="I2683" i="4"/>
  <c r="H2683" i="4"/>
  <c r="G2683" i="4"/>
  <c r="E2683" i="4"/>
  <c r="D2683" i="4"/>
  <c r="M2682" i="4"/>
  <c r="I2682" i="4"/>
  <c r="H2682" i="4"/>
  <c r="G2682" i="4"/>
  <c r="E2682" i="4"/>
  <c r="D2682" i="4"/>
  <c r="M2681" i="4"/>
  <c r="I2681" i="4"/>
  <c r="H2681" i="4"/>
  <c r="G2681" i="4"/>
  <c r="E2681" i="4"/>
  <c r="D2681" i="4"/>
  <c r="M2680" i="4"/>
  <c r="I2680" i="4"/>
  <c r="H2680" i="4"/>
  <c r="G2680" i="4"/>
  <c r="E2680" i="4"/>
  <c r="D2680" i="4"/>
  <c r="M2679" i="4"/>
  <c r="I2679" i="4"/>
  <c r="H2679" i="4"/>
  <c r="G2679" i="4"/>
  <c r="E2679" i="4"/>
  <c r="D2679" i="4"/>
  <c r="M2678" i="4"/>
  <c r="I2678" i="4"/>
  <c r="H2678" i="4"/>
  <c r="G2678" i="4"/>
  <c r="E2678" i="4"/>
  <c r="D2678" i="4"/>
  <c r="M2677" i="4"/>
  <c r="I2677" i="4"/>
  <c r="H2677" i="4"/>
  <c r="G2677" i="4"/>
  <c r="E2677" i="4"/>
  <c r="D2677" i="4"/>
  <c r="M2676" i="4"/>
  <c r="I2676" i="4"/>
  <c r="H2676" i="4"/>
  <c r="G2676" i="4"/>
  <c r="E2676" i="4"/>
  <c r="D2676" i="4"/>
  <c r="M2675" i="4"/>
  <c r="I2675" i="4"/>
  <c r="H2675" i="4"/>
  <c r="G2675" i="4"/>
  <c r="E2675" i="4"/>
  <c r="D2675" i="4"/>
  <c r="M2674" i="4"/>
  <c r="I2674" i="4"/>
  <c r="H2674" i="4"/>
  <c r="G2674" i="4"/>
  <c r="E2674" i="4"/>
  <c r="D2674" i="4"/>
  <c r="M2673" i="4"/>
  <c r="I2673" i="4"/>
  <c r="H2673" i="4"/>
  <c r="G2673" i="4"/>
  <c r="E2673" i="4"/>
  <c r="D2673" i="4"/>
  <c r="M2672" i="4"/>
  <c r="I2672" i="4"/>
  <c r="H2672" i="4"/>
  <c r="G2672" i="4"/>
  <c r="E2672" i="4"/>
  <c r="D2672" i="4"/>
  <c r="M2671" i="4"/>
  <c r="I2671" i="4"/>
  <c r="H2671" i="4"/>
  <c r="G2671" i="4"/>
  <c r="E2671" i="4"/>
  <c r="D2671" i="4"/>
  <c r="M2670" i="4"/>
  <c r="I2670" i="4"/>
  <c r="H2670" i="4"/>
  <c r="G2670" i="4"/>
  <c r="E2670" i="4"/>
  <c r="D2670" i="4"/>
  <c r="M2669" i="4"/>
  <c r="I2669" i="4"/>
  <c r="H2669" i="4"/>
  <c r="G2669" i="4"/>
  <c r="E2669" i="4"/>
  <c r="D2669" i="4"/>
  <c r="M2668" i="4"/>
  <c r="I2668" i="4"/>
  <c r="H2668" i="4"/>
  <c r="G2668" i="4"/>
  <c r="E2668" i="4"/>
  <c r="D2668" i="4"/>
  <c r="M2667" i="4"/>
  <c r="I2667" i="4"/>
  <c r="H2667" i="4"/>
  <c r="G2667" i="4"/>
  <c r="E2667" i="4"/>
  <c r="D2667" i="4"/>
  <c r="M2666" i="4"/>
  <c r="I2666" i="4"/>
  <c r="H2666" i="4"/>
  <c r="G2666" i="4"/>
  <c r="E2666" i="4"/>
  <c r="D2666" i="4"/>
  <c r="M2665" i="4"/>
  <c r="I2665" i="4"/>
  <c r="H2665" i="4"/>
  <c r="G2665" i="4"/>
  <c r="E2665" i="4"/>
  <c r="D2665" i="4"/>
  <c r="M2664" i="4"/>
  <c r="I2664" i="4"/>
  <c r="H2664" i="4"/>
  <c r="G2664" i="4"/>
  <c r="E2664" i="4"/>
  <c r="D2664" i="4"/>
  <c r="M2663" i="4"/>
  <c r="I2663" i="4"/>
  <c r="H2663" i="4"/>
  <c r="G2663" i="4"/>
  <c r="E2663" i="4"/>
  <c r="D2663" i="4"/>
  <c r="M2662" i="4"/>
  <c r="I2662" i="4"/>
  <c r="H2662" i="4"/>
  <c r="G2662" i="4"/>
  <c r="E2662" i="4"/>
  <c r="D2662" i="4"/>
  <c r="M2661" i="4"/>
  <c r="I2661" i="4"/>
  <c r="H2661" i="4"/>
  <c r="G2661" i="4"/>
  <c r="E2661" i="4"/>
  <c r="D2661" i="4"/>
  <c r="M2660" i="4"/>
  <c r="I2660" i="4"/>
  <c r="H2660" i="4"/>
  <c r="G2660" i="4"/>
  <c r="E2660" i="4"/>
  <c r="D2660" i="4"/>
  <c r="M2659" i="4"/>
  <c r="I2659" i="4"/>
  <c r="H2659" i="4"/>
  <c r="G2659" i="4"/>
  <c r="E2659" i="4"/>
  <c r="D2659" i="4"/>
  <c r="M2658" i="4"/>
  <c r="I2658" i="4"/>
  <c r="H2658" i="4"/>
  <c r="G2658" i="4"/>
  <c r="E2658" i="4"/>
  <c r="D2658" i="4"/>
  <c r="M2657" i="4"/>
  <c r="I2657" i="4"/>
  <c r="H2657" i="4"/>
  <c r="G2657" i="4"/>
  <c r="E2657" i="4"/>
  <c r="D2657" i="4"/>
  <c r="M2656" i="4"/>
  <c r="I2656" i="4"/>
  <c r="H2656" i="4"/>
  <c r="G2656" i="4"/>
  <c r="E2656" i="4"/>
  <c r="D2656" i="4"/>
  <c r="M2655" i="4"/>
  <c r="I2655" i="4"/>
  <c r="H2655" i="4"/>
  <c r="G2655" i="4"/>
  <c r="E2655" i="4"/>
  <c r="D2655" i="4"/>
  <c r="M2654" i="4"/>
  <c r="I2654" i="4"/>
  <c r="H2654" i="4"/>
  <c r="G2654" i="4"/>
  <c r="E2654" i="4"/>
  <c r="D2654" i="4"/>
  <c r="M2653" i="4"/>
  <c r="I2653" i="4"/>
  <c r="H2653" i="4"/>
  <c r="G2653" i="4"/>
  <c r="E2653" i="4"/>
  <c r="D2653" i="4"/>
  <c r="M2652" i="4"/>
  <c r="I2652" i="4"/>
  <c r="H2652" i="4"/>
  <c r="G2652" i="4"/>
  <c r="E2652" i="4"/>
  <c r="D2652" i="4"/>
  <c r="M2651" i="4"/>
  <c r="I2651" i="4"/>
  <c r="H2651" i="4"/>
  <c r="G2651" i="4"/>
  <c r="E2651" i="4"/>
  <c r="D2651" i="4"/>
  <c r="M2650" i="4"/>
  <c r="I2650" i="4"/>
  <c r="H2650" i="4"/>
  <c r="G2650" i="4"/>
  <c r="E2650" i="4"/>
  <c r="D2650" i="4"/>
  <c r="M2649" i="4"/>
  <c r="I2649" i="4"/>
  <c r="H2649" i="4"/>
  <c r="G2649" i="4"/>
  <c r="E2649" i="4"/>
  <c r="D2649" i="4"/>
  <c r="M2648" i="4"/>
  <c r="I2648" i="4"/>
  <c r="H2648" i="4"/>
  <c r="G2648" i="4"/>
  <c r="E2648" i="4"/>
  <c r="D2648" i="4"/>
  <c r="M2647" i="4"/>
  <c r="I2647" i="4"/>
  <c r="H2647" i="4"/>
  <c r="G2647" i="4"/>
  <c r="E2647" i="4"/>
  <c r="D2647" i="4"/>
  <c r="M2646" i="4"/>
  <c r="I2646" i="4"/>
  <c r="H2646" i="4"/>
  <c r="G2646" i="4"/>
  <c r="E2646" i="4"/>
  <c r="D2646" i="4"/>
  <c r="M2645" i="4"/>
  <c r="I2645" i="4"/>
  <c r="H2645" i="4"/>
  <c r="G2645" i="4"/>
  <c r="E2645" i="4"/>
  <c r="D2645" i="4"/>
  <c r="M2644" i="4"/>
  <c r="I2644" i="4"/>
  <c r="H2644" i="4"/>
  <c r="G2644" i="4"/>
  <c r="E2644" i="4"/>
  <c r="D2644" i="4"/>
  <c r="M2643" i="4"/>
  <c r="I2643" i="4"/>
  <c r="H2643" i="4"/>
  <c r="G2643" i="4"/>
  <c r="E2643" i="4"/>
  <c r="D2643" i="4"/>
  <c r="M2642" i="4"/>
  <c r="I2642" i="4"/>
  <c r="H2642" i="4"/>
  <c r="G2642" i="4"/>
  <c r="E2642" i="4"/>
  <c r="D2642" i="4"/>
  <c r="M2641" i="4"/>
  <c r="I2641" i="4"/>
  <c r="H2641" i="4"/>
  <c r="G2641" i="4"/>
  <c r="E2641" i="4"/>
  <c r="D2641" i="4"/>
  <c r="M2640" i="4"/>
  <c r="I2640" i="4"/>
  <c r="H2640" i="4"/>
  <c r="G2640" i="4"/>
  <c r="E2640" i="4"/>
  <c r="D2640" i="4"/>
  <c r="M2639" i="4"/>
  <c r="I2639" i="4"/>
  <c r="H2639" i="4"/>
  <c r="G2639" i="4"/>
  <c r="E2639" i="4"/>
  <c r="D2639" i="4"/>
  <c r="M2638" i="4"/>
  <c r="I2638" i="4"/>
  <c r="H2638" i="4"/>
  <c r="G2638" i="4"/>
  <c r="E2638" i="4"/>
  <c r="D2638" i="4"/>
  <c r="M2637" i="4"/>
  <c r="I2637" i="4"/>
  <c r="H2637" i="4"/>
  <c r="G2637" i="4"/>
  <c r="E2637" i="4"/>
  <c r="D2637" i="4"/>
  <c r="M2636" i="4"/>
  <c r="I2636" i="4"/>
  <c r="H2636" i="4"/>
  <c r="G2636" i="4"/>
  <c r="E2636" i="4"/>
  <c r="D2636" i="4"/>
  <c r="M2635" i="4"/>
  <c r="I2635" i="4"/>
  <c r="H2635" i="4"/>
  <c r="G2635" i="4"/>
  <c r="E2635" i="4"/>
  <c r="D2635" i="4"/>
  <c r="M2634" i="4"/>
  <c r="I2634" i="4"/>
  <c r="H2634" i="4"/>
  <c r="G2634" i="4"/>
  <c r="E2634" i="4"/>
  <c r="D2634" i="4"/>
  <c r="M2633" i="4"/>
  <c r="I2633" i="4"/>
  <c r="H2633" i="4"/>
  <c r="G2633" i="4"/>
  <c r="E2633" i="4"/>
  <c r="D2633" i="4"/>
  <c r="M2632" i="4"/>
  <c r="I2632" i="4"/>
  <c r="H2632" i="4"/>
  <c r="G2632" i="4"/>
  <c r="E2632" i="4"/>
  <c r="D2632" i="4"/>
  <c r="M2631" i="4"/>
  <c r="I2631" i="4"/>
  <c r="H2631" i="4"/>
  <c r="G2631" i="4"/>
  <c r="E2631" i="4"/>
  <c r="D2631" i="4"/>
  <c r="M2630" i="4"/>
  <c r="I2630" i="4"/>
  <c r="H2630" i="4"/>
  <c r="G2630" i="4"/>
  <c r="E2630" i="4"/>
  <c r="D2630" i="4"/>
  <c r="M2629" i="4"/>
  <c r="I2629" i="4"/>
  <c r="H2629" i="4"/>
  <c r="G2629" i="4"/>
  <c r="E2629" i="4"/>
  <c r="D2629" i="4"/>
  <c r="M2628" i="4"/>
  <c r="I2628" i="4"/>
  <c r="H2628" i="4"/>
  <c r="G2628" i="4"/>
  <c r="E2628" i="4"/>
  <c r="D2628" i="4"/>
  <c r="M2627" i="4"/>
  <c r="I2627" i="4"/>
  <c r="H2627" i="4"/>
  <c r="G2627" i="4"/>
  <c r="E2627" i="4"/>
  <c r="D2627" i="4"/>
  <c r="M2626" i="4"/>
  <c r="I2626" i="4"/>
  <c r="H2626" i="4"/>
  <c r="G2626" i="4"/>
  <c r="E2626" i="4"/>
  <c r="D2626" i="4"/>
  <c r="M2625" i="4"/>
  <c r="I2625" i="4"/>
  <c r="H2625" i="4"/>
  <c r="G2625" i="4"/>
  <c r="E2625" i="4"/>
  <c r="D2625" i="4"/>
  <c r="M2624" i="4"/>
  <c r="I2624" i="4"/>
  <c r="H2624" i="4"/>
  <c r="G2624" i="4"/>
  <c r="E2624" i="4"/>
  <c r="D2624" i="4"/>
  <c r="M2623" i="4"/>
  <c r="I2623" i="4"/>
  <c r="H2623" i="4"/>
  <c r="G2623" i="4"/>
  <c r="E2623" i="4"/>
  <c r="D2623" i="4"/>
  <c r="M2622" i="4"/>
  <c r="I2622" i="4"/>
  <c r="H2622" i="4"/>
  <c r="G2622" i="4"/>
  <c r="E2622" i="4"/>
  <c r="D2622" i="4"/>
  <c r="M2621" i="4"/>
  <c r="I2621" i="4"/>
  <c r="H2621" i="4"/>
  <c r="G2621" i="4"/>
  <c r="E2621" i="4"/>
  <c r="D2621" i="4"/>
  <c r="M2620" i="4"/>
  <c r="I2620" i="4"/>
  <c r="H2620" i="4"/>
  <c r="G2620" i="4"/>
  <c r="E2620" i="4"/>
  <c r="D2620" i="4"/>
  <c r="M2619" i="4"/>
  <c r="I2619" i="4"/>
  <c r="H2619" i="4"/>
  <c r="G2619" i="4"/>
  <c r="E2619" i="4"/>
  <c r="D2619" i="4"/>
  <c r="M2618" i="4"/>
  <c r="I2618" i="4"/>
  <c r="H2618" i="4"/>
  <c r="G2618" i="4"/>
  <c r="E2618" i="4"/>
  <c r="D2618" i="4"/>
  <c r="M2617" i="4"/>
  <c r="I2617" i="4"/>
  <c r="H2617" i="4"/>
  <c r="G2617" i="4"/>
  <c r="E2617" i="4"/>
  <c r="D2617" i="4"/>
  <c r="M2616" i="4"/>
  <c r="I2616" i="4"/>
  <c r="H2616" i="4"/>
  <c r="G2616" i="4"/>
  <c r="E2616" i="4"/>
  <c r="D2616" i="4"/>
  <c r="M2615" i="4"/>
  <c r="I2615" i="4"/>
  <c r="H2615" i="4"/>
  <c r="G2615" i="4"/>
  <c r="E2615" i="4"/>
  <c r="D2615" i="4"/>
  <c r="M2614" i="4"/>
  <c r="I2614" i="4"/>
  <c r="H2614" i="4"/>
  <c r="G2614" i="4"/>
  <c r="E2614" i="4"/>
  <c r="D2614" i="4"/>
  <c r="M2613" i="4"/>
  <c r="I2613" i="4"/>
  <c r="H2613" i="4"/>
  <c r="G2613" i="4"/>
  <c r="E2613" i="4"/>
  <c r="D2613" i="4"/>
  <c r="M2612" i="4"/>
  <c r="I2612" i="4"/>
  <c r="H2612" i="4"/>
  <c r="G2612" i="4"/>
  <c r="E2612" i="4"/>
  <c r="D2612" i="4"/>
  <c r="M2611" i="4"/>
  <c r="I2611" i="4"/>
  <c r="H2611" i="4"/>
  <c r="G2611" i="4"/>
  <c r="E2611" i="4"/>
  <c r="D2611" i="4"/>
  <c r="M2610" i="4"/>
  <c r="I2610" i="4"/>
  <c r="H2610" i="4"/>
  <c r="G2610" i="4"/>
  <c r="E2610" i="4"/>
  <c r="D2610" i="4"/>
  <c r="M2609" i="4"/>
  <c r="I2609" i="4"/>
  <c r="H2609" i="4"/>
  <c r="G2609" i="4"/>
  <c r="E2609" i="4"/>
  <c r="D2609" i="4"/>
  <c r="M2608" i="4"/>
  <c r="I2608" i="4"/>
  <c r="H2608" i="4"/>
  <c r="G2608" i="4"/>
  <c r="E2608" i="4"/>
  <c r="D2608" i="4"/>
  <c r="M2607" i="4"/>
  <c r="I2607" i="4"/>
  <c r="H2607" i="4"/>
  <c r="G2607" i="4"/>
  <c r="E2607" i="4"/>
  <c r="D2607" i="4"/>
  <c r="M2606" i="4"/>
  <c r="I2606" i="4"/>
  <c r="H2606" i="4"/>
  <c r="G2606" i="4"/>
  <c r="E2606" i="4"/>
  <c r="D2606" i="4"/>
  <c r="M2605" i="4"/>
  <c r="I2605" i="4"/>
  <c r="H2605" i="4"/>
  <c r="G2605" i="4"/>
  <c r="E2605" i="4"/>
  <c r="D2605" i="4"/>
  <c r="M2604" i="4"/>
  <c r="I2604" i="4"/>
  <c r="H2604" i="4"/>
  <c r="G2604" i="4"/>
  <c r="E2604" i="4"/>
  <c r="D2604" i="4"/>
  <c r="M2603" i="4"/>
  <c r="I2603" i="4"/>
  <c r="H2603" i="4"/>
  <c r="G2603" i="4"/>
  <c r="E2603" i="4"/>
  <c r="D2603" i="4"/>
  <c r="M2602" i="4"/>
  <c r="I2602" i="4"/>
  <c r="H2602" i="4"/>
  <c r="G2602" i="4"/>
  <c r="E2602" i="4"/>
  <c r="D2602" i="4"/>
  <c r="M2601" i="4"/>
  <c r="I2601" i="4"/>
  <c r="H2601" i="4"/>
  <c r="G2601" i="4"/>
  <c r="E2601" i="4"/>
  <c r="D2601" i="4"/>
  <c r="M2600" i="4"/>
  <c r="I2600" i="4"/>
  <c r="H2600" i="4"/>
  <c r="G2600" i="4"/>
  <c r="E2600" i="4"/>
  <c r="D2600" i="4"/>
  <c r="M2599" i="4"/>
  <c r="I2599" i="4"/>
  <c r="H2599" i="4"/>
  <c r="G2599" i="4"/>
  <c r="E2599" i="4"/>
  <c r="D2599" i="4"/>
  <c r="M2598" i="4"/>
  <c r="I2598" i="4"/>
  <c r="H2598" i="4"/>
  <c r="G2598" i="4"/>
  <c r="E2598" i="4"/>
  <c r="D2598" i="4"/>
  <c r="M2597" i="4"/>
  <c r="I2597" i="4"/>
  <c r="H2597" i="4"/>
  <c r="G2597" i="4"/>
  <c r="E2597" i="4"/>
  <c r="D2597" i="4"/>
  <c r="M2596" i="4"/>
  <c r="I2596" i="4"/>
  <c r="H2596" i="4"/>
  <c r="G2596" i="4"/>
  <c r="E2596" i="4"/>
  <c r="D2596" i="4"/>
  <c r="M2595" i="4"/>
  <c r="I2595" i="4"/>
  <c r="H2595" i="4"/>
  <c r="G2595" i="4"/>
  <c r="E2595" i="4"/>
  <c r="D2595" i="4"/>
  <c r="M2594" i="4"/>
  <c r="I2594" i="4"/>
  <c r="H2594" i="4"/>
  <c r="G2594" i="4"/>
  <c r="E2594" i="4"/>
  <c r="D2594" i="4"/>
  <c r="M2593" i="4"/>
  <c r="I2593" i="4"/>
  <c r="H2593" i="4"/>
  <c r="G2593" i="4"/>
  <c r="E2593" i="4"/>
  <c r="D2593" i="4"/>
  <c r="M2592" i="4"/>
  <c r="I2592" i="4"/>
  <c r="H2592" i="4"/>
  <c r="G2592" i="4"/>
  <c r="E2592" i="4"/>
  <c r="D2592" i="4"/>
  <c r="M2591" i="4"/>
  <c r="I2591" i="4"/>
  <c r="H2591" i="4"/>
  <c r="G2591" i="4"/>
  <c r="E2591" i="4"/>
  <c r="D2591" i="4"/>
  <c r="M2590" i="4"/>
  <c r="I2590" i="4"/>
  <c r="H2590" i="4"/>
  <c r="G2590" i="4"/>
  <c r="E2590" i="4"/>
  <c r="D2590" i="4"/>
  <c r="M2589" i="4"/>
  <c r="I2589" i="4"/>
  <c r="H2589" i="4"/>
  <c r="G2589" i="4"/>
  <c r="E2589" i="4"/>
  <c r="D2589" i="4"/>
  <c r="M2588" i="4"/>
  <c r="I2588" i="4"/>
  <c r="H2588" i="4"/>
  <c r="G2588" i="4"/>
  <c r="E2588" i="4"/>
  <c r="D2588" i="4"/>
  <c r="M2587" i="4"/>
  <c r="I2587" i="4"/>
  <c r="H2587" i="4"/>
  <c r="G2587" i="4"/>
  <c r="E2587" i="4"/>
  <c r="D2587" i="4"/>
  <c r="M2586" i="4"/>
  <c r="I2586" i="4"/>
  <c r="H2586" i="4"/>
  <c r="G2586" i="4"/>
  <c r="E2586" i="4"/>
  <c r="D2586" i="4"/>
  <c r="M2585" i="4"/>
  <c r="I2585" i="4"/>
  <c r="H2585" i="4"/>
  <c r="G2585" i="4"/>
  <c r="E2585" i="4"/>
  <c r="D2585" i="4"/>
  <c r="M2584" i="4"/>
  <c r="I2584" i="4"/>
  <c r="H2584" i="4"/>
  <c r="G2584" i="4"/>
  <c r="E2584" i="4"/>
  <c r="D2584" i="4"/>
  <c r="M2583" i="4"/>
  <c r="I2583" i="4"/>
  <c r="H2583" i="4"/>
  <c r="G2583" i="4"/>
  <c r="E2583" i="4"/>
  <c r="D2583" i="4"/>
  <c r="M2582" i="4"/>
  <c r="I2582" i="4"/>
  <c r="H2582" i="4"/>
  <c r="G2582" i="4"/>
  <c r="E2582" i="4"/>
  <c r="D2582" i="4"/>
  <c r="M2581" i="4"/>
  <c r="I2581" i="4"/>
  <c r="H2581" i="4"/>
  <c r="G2581" i="4"/>
  <c r="E2581" i="4"/>
  <c r="D2581" i="4"/>
  <c r="M2580" i="4"/>
  <c r="I2580" i="4"/>
  <c r="H2580" i="4"/>
  <c r="G2580" i="4"/>
  <c r="E2580" i="4"/>
  <c r="D2580" i="4"/>
  <c r="M2579" i="4"/>
  <c r="I2579" i="4"/>
  <c r="H2579" i="4"/>
  <c r="G2579" i="4"/>
  <c r="E2579" i="4"/>
  <c r="D2579" i="4"/>
  <c r="M2578" i="4"/>
  <c r="I2578" i="4"/>
  <c r="H2578" i="4"/>
  <c r="G2578" i="4"/>
  <c r="E2578" i="4"/>
  <c r="D2578" i="4"/>
  <c r="M2577" i="4"/>
  <c r="I2577" i="4"/>
  <c r="H2577" i="4"/>
  <c r="G2577" i="4"/>
  <c r="E2577" i="4"/>
  <c r="D2577" i="4"/>
  <c r="M2576" i="4"/>
  <c r="I2576" i="4"/>
  <c r="H2576" i="4"/>
  <c r="G2576" i="4"/>
  <c r="E2576" i="4"/>
  <c r="D2576" i="4"/>
  <c r="M2575" i="4"/>
  <c r="I2575" i="4"/>
  <c r="H2575" i="4"/>
  <c r="G2575" i="4"/>
  <c r="E2575" i="4"/>
  <c r="D2575" i="4"/>
  <c r="M2574" i="4"/>
  <c r="I2574" i="4"/>
  <c r="H2574" i="4"/>
  <c r="G2574" i="4"/>
  <c r="E2574" i="4"/>
  <c r="D2574" i="4"/>
  <c r="M2573" i="4"/>
  <c r="I2573" i="4"/>
  <c r="H2573" i="4"/>
  <c r="G2573" i="4"/>
  <c r="E2573" i="4"/>
  <c r="D2573" i="4"/>
  <c r="M2572" i="4"/>
  <c r="I2572" i="4"/>
  <c r="H2572" i="4"/>
  <c r="G2572" i="4"/>
  <c r="E2572" i="4"/>
  <c r="D2572" i="4"/>
  <c r="M2571" i="4"/>
  <c r="I2571" i="4"/>
  <c r="H2571" i="4"/>
  <c r="G2571" i="4"/>
  <c r="E2571" i="4"/>
  <c r="D2571" i="4"/>
  <c r="M2570" i="4"/>
  <c r="I2570" i="4"/>
  <c r="H2570" i="4"/>
  <c r="G2570" i="4"/>
  <c r="E2570" i="4"/>
  <c r="D2570" i="4"/>
  <c r="M2569" i="4"/>
  <c r="I2569" i="4"/>
  <c r="H2569" i="4"/>
  <c r="G2569" i="4"/>
  <c r="E2569" i="4"/>
  <c r="D2569" i="4"/>
  <c r="M2568" i="4"/>
  <c r="I2568" i="4"/>
  <c r="H2568" i="4"/>
  <c r="G2568" i="4"/>
  <c r="E2568" i="4"/>
  <c r="D2568" i="4"/>
  <c r="M2567" i="4"/>
  <c r="I2567" i="4"/>
  <c r="H2567" i="4"/>
  <c r="G2567" i="4"/>
  <c r="E2567" i="4"/>
  <c r="D2567" i="4"/>
  <c r="M2566" i="4"/>
  <c r="I2566" i="4"/>
  <c r="H2566" i="4"/>
  <c r="G2566" i="4"/>
  <c r="E2566" i="4"/>
  <c r="D2566" i="4"/>
  <c r="M2565" i="4"/>
  <c r="I2565" i="4"/>
  <c r="H2565" i="4"/>
  <c r="G2565" i="4"/>
  <c r="E2565" i="4"/>
  <c r="D2565" i="4"/>
  <c r="M2564" i="4"/>
  <c r="I2564" i="4"/>
  <c r="H2564" i="4"/>
  <c r="G2564" i="4"/>
  <c r="E2564" i="4"/>
  <c r="D2564" i="4"/>
  <c r="M2563" i="4"/>
  <c r="I2563" i="4"/>
  <c r="H2563" i="4"/>
  <c r="G2563" i="4"/>
  <c r="E2563" i="4"/>
  <c r="D2563" i="4"/>
  <c r="M2562" i="4"/>
  <c r="I2562" i="4"/>
  <c r="H2562" i="4"/>
  <c r="G2562" i="4"/>
  <c r="E2562" i="4"/>
  <c r="D2562" i="4"/>
  <c r="M2561" i="4"/>
  <c r="I2561" i="4"/>
  <c r="H2561" i="4"/>
  <c r="G2561" i="4"/>
  <c r="E2561" i="4"/>
  <c r="D2561" i="4"/>
  <c r="M2560" i="4"/>
  <c r="I2560" i="4"/>
  <c r="H2560" i="4"/>
  <c r="G2560" i="4"/>
  <c r="E2560" i="4"/>
  <c r="D2560" i="4"/>
  <c r="M2559" i="4"/>
  <c r="I2559" i="4"/>
  <c r="H2559" i="4"/>
  <c r="G2559" i="4"/>
  <c r="E2559" i="4"/>
  <c r="D2559" i="4"/>
  <c r="M2558" i="4"/>
  <c r="I2558" i="4"/>
  <c r="H2558" i="4"/>
  <c r="G2558" i="4"/>
  <c r="E2558" i="4"/>
  <c r="D2558" i="4"/>
  <c r="M2557" i="4"/>
  <c r="I2557" i="4"/>
  <c r="H2557" i="4"/>
  <c r="G2557" i="4"/>
  <c r="E2557" i="4"/>
  <c r="D2557" i="4"/>
  <c r="M2556" i="4"/>
  <c r="I2556" i="4"/>
  <c r="H2556" i="4"/>
  <c r="G2556" i="4"/>
  <c r="E2556" i="4"/>
  <c r="D2556" i="4"/>
  <c r="M2555" i="4"/>
  <c r="I2555" i="4"/>
  <c r="H2555" i="4"/>
  <c r="G2555" i="4"/>
  <c r="E2555" i="4"/>
  <c r="D2555" i="4"/>
  <c r="M2554" i="4"/>
  <c r="I2554" i="4"/>
  <c r="H2554" i="4"/>
  <c r="G2554" i="4"/>
  <c r="E2554" i="4"/>
  <c r="D2554" i="4"/>
  <c r="M2553" i="4"/>
  <c r="I2553" i="4"/>
  <c r="H2553" i="4"/>
  <c r="G2553" i="4"/>
  <c r="E2553" i="4"/>
  <c r="D2553" i="4"/>
  <c r="M2552" i="4"/>
  <c r="I2552" i="4"/>
  <c r="H2552" i="4"/>
  <c r="G2552" i="4"/>
  <c r="E2552" i="4"/>
  <c r="D2552" i="4"/>
  <c r="M2551" i="4"/>
  <c r="I2551" i="4"/>
  <c r="H2551" i="4"/>
  <c r="G2551" i="4"/>
  <c r="E2551" i="4"/>
  <c r="D2551" i="4"/>
  <c r="M2550" i="4"/>
  <c r="I2550" i="4"/>
  <c r="H2550" i="4"/>
  <c r="G2550" i="4"/>
  <c r="E2550" i="4"/>
  <c r="D2550" i="4"/>
  <c r="M2549" i="4"/>
  <c r="I2549" i="4"/>
  <c r="H2549" i="4"/>
  <c r="G2549" i="4"/>
  <c r="E2549" i="4"/>
  <c r="D2549" i="4"/>
  <c r="M2548" i="4"/>
  <c r="I2548" i="4"/>
  <c r="H2548" i="4"/>
  <c r="G2548" i="4"/>
  <c r="E2548" i="4"/>
  <c r="D2548" i="4"/>
  <c r="M2547" i="4"/>
  <c r="I2547" i="4"/>
  <c r="H2547" i="4"/>
  <c r="G2547" i="4"/>
  <c r="E2547" i="4"/>
  <c r="D2547" i="4"/>
  <c r="M2546" i="4"/>
  <c r="I2546" i="4"/>
  <c r="H2546" i="4"/>
  <c r="G2546" i="4"/>
  <c r="E2546" i="4"/>
  <c r="D2546" i="4"/>
  <c r="M2545" i="4"/>
  <c r="I2545" i="4"/>
  <c r="H2545" i="4"/>
  <c r="G2545" i="4"/>
  <c r="E2545" i="4"/>
  <c r="D2545" i="4"/>
  <c r="M2544" i="4"/>
  <c r="I2544" i="4"/>
  <c r="H2544" i="4"/>
  <c r="G2544" i="4"/>
  <c r="E2544" i="4"/>
  <c r="D2544" i="4"/>
  <c r="M2543" i="4"/>
  <c r="I2543" i="4"/>
  <c r="H2543" i="4"/>
  <c r="G2543" i="4"/>
  <c r="E2543" i="4"/>
  <c r="D2543" i="4"/>
  <c r="M2542" i="4"/>
  <c r="I2542" i="4"/>
  <c r="H2542" i="4"/>
  <c r="G2542" i="4"/>
  <c r="E2542" i="4"/>
  <c r="D2542" i="4"/>
  <c r="M2541" i="4"/>
  <c r="I2541" i="4"/>
  <c r="H2541" i="4"/>
  <c r="G2541" i="4"/>
  <c r="E2541" i="4"/>
  <c r="D2541" i="4"/>
  <c r="M2540" i="4"/>
  <c r="I2540" i="4"/>
  <c r="H2540" i="4"/>
  <c r="G2540" i="4"/>
  <c r="E2540" i="4"/>
  <c r="D2540" i="4"/>
  <c r="M2539" i="4"/>
  <c r="I2539" i="4"/>
  <c r="H2539" i="4"/>
  <c r="G2539" i="4"/>
  <c r="E2539" i="4"/>
  <c r="D2539" i="4"/>
  <c r="M2538" i="4"/>
  <c r="I2538" i="4"/>
  <c r="H2538" i="4"/>
  <c r="G2538" i="4"/>
  <c r="E2538" i="4"/>
  <c r="D2538" i="4"/>
  <c r="M2537" i="4"/>
  <c r="I2537" i="4"/>
  <c r="H2537" i="4"/>
  <c r="G2537" i="4"/>
  <c r="E2537" i="4"/>
  <c r="D2537" i="4"/>
  <c r="M2536" i="4"/>
  <c r="I2536" i="4"/>
  <c r="H2536" i="4"/>
  <c r="G2536" i="4"/>
  <c r="E2536" i="4"/>
  <c r="D2536" i="4"/>
  <c r="M2535" i="4"/>
  <c r="I2535" i="4"/>
  <c r="H2535" i="4"/>
  <c r="G2535" i="4"/>
  <c r="E2535" i="4"/>
  <c r="D2535" i="4"/>
  <c r="M2534" i="4"/>
  <c r="I2534" i="4"/>
  <c r="H2534" i="4"/>
  <c r="G2534" i="4"/>
  <c r="E2534" i="4"/>
  <c r="D2534" i="4"/>
  <c r="M2533" i="4"/>
  <c r="I2533" i="4"/>
  <c r="H2533" i="4"/>
  <c r="G2533" i="4"/>
  <c r="E2533" i="4"/>
  <c r="D2533" i="4"/>
  <c r="M2532" i="4"/>
  <c r="I2532" i="4"/>
  <c r="H2532" i="4"/>
  <c r="G2532" i="4"/>
  <c r="E2532" i="4"/>
  <c r="D2532" i="4"/>
  <c r="M2531" i="4"/>
  <c r="I2531" i="4"/>
  <c r="H2531" i="4"/>
  <c r="G2531" i="4"/>
  <c r="E2531" i="4"/>
  <c r="D2531" i="4"/>
  <c r="M2530" i="4"/>
  <c r="I2530" i="4"/>
  <c r="H2530" i="4"/>
  <c r="G2530" i="4"/>
  <c r="E2530" i="4"/>
  <c r="D2530" i="4"/>
  <c r="M2529" i="4"/>
  <c r="I2529" i="4"/>
  <c r="H2529" i="4"/>
  <c r="G2529" i="4"/>
  <c r="E2529" i="4"/>
  <c r="D2529" i="4"/>
  <c r="M2528" i="4"/>
  <c r="I2528" i="4"/>
  <c r="H2528" i="4"/>
  <c r="G2528" i="4"/>
  <c r="E2528" i="4"/>
  <c r="D2528" i="4"/>
  <c r="M2527" i="4"/>
  <c r="I2527" i="4"/>
  <c r="H2527" i="4"/>
  <c r="G2527" i="4"/>
  <c r="E2527" i="4"/>
  <c r="D2527" i="4"/>
  <c r="M2526" i="4"/>
  <c r="I2526" i="4"/>
  <c r="H2526" i="4"/>
  <c r="G2526" i="4"/>
  <c r="E2526" i="4"/>
  <c r="D2526" i="4"/>
  <c r="M2525" i="4"/>
  <c r="I2525" i="4"/>
  <c r="H2525" i="4"/>
  <c r="G2525" i="4"/>
  <c r="E2525" i="4"/>
  <c r="D2525" i="4"/>
  <c r="M2524" i="4"/>
  <c r="I2524" i="4"/>
  <c r="H2524" i="4"/>
  <c r="G2524" i="4"/>
  <c r="E2524" i="4"/>
  <c r="D2524" i="4"/>
  <c r="M2523" i="4"/>
  <c r="I2523" i="4"/>
  <c r="H2523" i="4"/>
  <c r="G2523" i="4"/>
  <c r="E2523" i="4"/>
  <c r="D2523" i="4"/>
  <c r="M2522" i="4"/>
  <c r="I2522" i="4"/>
  <c r="H2522" i="4"/>
  <c r="G2522" i="4"/>
  <c r="E2522" i="4"/>
  <c r="D2522" i="4"/>
  <c r="M2521" i="4"/>
  <c r="I2521" i="4"/>
  <c r="H2521" i="4"/>
  <c r="G2521" i="4"/>
  <c r="E2521" i="4"/>
  <c r="D2521" i="4"/>
  <c r="M2520" i="4"/>
  <c r="I2520" i="4"/>
  <c r="H2520" i="4"/>
  <c r="G2520" i="4"/>
  <c r="E2520" i="4"/>
  <c r="D2520" i="4"/>
  <c r="M2519" i="4"/>
  <c r="I2519" i="4"/>
  <c r="H2519" i="4"/>
  <c r="G2519" i="4"/>
  <c r="E2519" i="4"/>
  <c r="D2519" i="4"/>
  <c r="M2518" i="4"/>
  <c r="I2518" i="4"/>
  <c r="H2518" i="4"/>
  <c r="G2518" i="4"/>
  <c r="E2518" i="4"/>
  <c r="D2518" i="4"/>
  <c r="M2517" i="4"/>
  <c r="I2517" i="4"/>
  <c r="H2517" i="4"/>
  <c r="G2517" i="4"/>
  <c r="E2517" i="4"/>
  <c r="D2517" i="4"/>
  <c r="M2516" i="4"/>
  <c r="I2516" i="4"/>
  <c r="H2516" i="4"/>
  <c r="G2516" i="4"/>
  <c r="E2516" i="4"/>
  <c r="D2516" i="4"/>
  <c r="M2515" i="4"/>
  <c r="I2515" i="4"/>
  <c r="H2515" i="4"/>
  <c r="G2515" i="4"/>
  <c r="E2515" i="4"/>
  <c r="D2515" i="4"/>
  <c r="M2514" i="4"/>
  <c r="I2514" i="4"/>
  <c r="H2514" i="4"/>
  <c r="G2514" i="4"/>
  <c r="E2514" i="4"/>
  <c r="D2514" i="4"/>
  <c r="M2513" i="4"/>
  <c r="I2513" i="4"/>
  <c r="H2513" i="4"/>
  <c r="G2513" i="4"/>
  <c r="E2513" i="4"/>
  <c r="D2513" i="4"/>
  <c r="M2512" i="4"/>
  <c r="I2512" i="4"/>
  <c r="H2512" i="4"/>
  <c r="G2512" i="4"/>
  <c r="E2512" i="4"/>
  <c r="D2512" i="4"/>
  <c r="M2511" i="4"/>
  <c r="I2511" i="4"/>
  <c r="H2511" i="4"/>
  <c r="G2511" i="4"/>
  <c r="E2511" i="4"/>
  <c r="D2511" i="4"/>
  <c r="M2510" i="4"/>
  <c r="I2510" i="4"/>
  <c r="H2510" i="4"/>
  <c r="G2510" i="4"/>
  <c r="E2510" i="4"/>
  <c r="D2510" i="4"/>
  <c r="M2509" i="4"/>
  <c r="I2509" i="4"/>
  <c r="H2509" i="4"/>
  <c r="G2509" i="4"/>
  <c r="E2509" i="4"/>
  <c r="D2509" i="4"/>
  <c r="M2508" i="4"/>
  <c r="I2508" i="4"/>
  <c r="H2508" i="4"/>
  <c r="G2508" i="4"/>
  <c r="E2508" i="4"/>
  <c r="D2508" i="4"/>
  <c r="M2507" i="4"/>
  <c r="I2507" i="4"/>
  <c r="H2507" i="4"/>
  <c r="G2507" i="4"/>
  <c r="E2507" i="4"/>
  <c r="D2507" i="4"/>
  <c r="M2506" i="4"/>
  <c r="I2506" i="4"/>
  <c r="H2506" i="4"/>
  <c r="G2506" i="4"/>
  <c r="E2506" i="4"/>
  <c r="D2506" i="4"/>
  <c r="M2505" i="4"/>
  <c r="I2505" i="4"/>
  <c r="H2505" i="4"/>
  <c r="G2505" i="4"/>
  <c r="E2505" i="4"/>
  <c r="D2505" i="4"/>
  <c r="M2504" i="4"/>
  <c r="I2504" i="4"/>
  <c r="H2504" i="4"/>
  <c r="G2504" i="4"/>
  <c r="E2504" i="4"/>
  <c r="D2504" i="4"/>
  <c r="M2503" i="4"/>
  <c r="I2503" i="4"/>
  <c r="H2503" i="4"/>
  <c r="G2503" i="4"/>
  <c r="E2503" i="4"/>
  <c r="D2503" i="4"/>
  <c r="M2502" i="4"/>
  <c r="I2502" i="4"/>
  <c r="H2502" i="4"/>
  <c r="G2502" i="4"/>
  <c r="E2502" i="4"/>
  <c r="D2502" i="4"/>
  <c r="M2501" i="4"/>
  <c r="I2501" i="4"/>
  <c r="H2501" i="4"/>
  <c r="G2501" i="4"/>
  <c r="E2501" i="4"/>
  <c r="D2501" i="4"/>
  <c r="M2500" i="4"/>
  <c r="I2500" i="4"/>
  <c r="H2500" i="4"/>
  <c r="G2500" i="4"/>
  <c r="E2500" i="4"/>
  <c r="D2500" i="4"/>
  <c r="M2499" i="4"/>
  <c r="I2499" i="4"/>
  <c r="H2499" i="4"/>
  <c r="G2499" i="4"/>
  <c r="E2499" i="4"/>
  <c r="D2499" i="4"/>
  <c r="M2498" i="4"/>
  <c r="I2498" i="4"/>
  <c r="H2498" i="4"/>
  <c r="G2498" i="4"/>
  <c r="E2498" i="4"/>
  <c r="D2498" i="4"/>
  <c r="M2497" i="4"/>
  <c r="I2497" i="4"/>
  <c r="H2497" i="4"/>
  <c r="G2497" i="4"/>
  <c r="E2497" i="4"/>
  <c r="D2497" i="4"/>
  <c r="M2496" i="4"/>
  <c r="I2496" i="4"/>
  <c r="H2496" i="4"/>
  <c r="G2496" i="4"/>
  <c r="E2496" i="4"/>
  <c r="D2496" i="4"/>
  <c r="M2495" i="4"/>
  <c r="I2495" i="4"/>
  <c r="H2495" i="4"/>
  <c r="G2495" i="4"/>
  <c r="E2495" i="4"/>
  <c r="D2495" i="4"/>
  <c r="M2494" i="4"/>
  <c r="I2494" i="4"/>
  <c r="H2494" i="4"/>
  <c r="G2494" i="4"/>
  <c r="E2494" i="4"/>
  <c r="D2494" i="4"/>
  <c r="M2493" i="4"/>
  <c r="I2493" i="4"/>
  <c r="H2493" i="4"/>
  <c r="G2493" i="4"/>
  <c r="E2493" i="4"/>
  <c r="D2493" i="4"/>
  <c r="M2492" i="4"/>
  <c r="I2492" i="4"/>
  <c r="H2492" i="4"/>
  <c r="G2492" i="4"/>
  <c r="E2492" i="4"/>
  <c r="D2492" i="4"/>
  <c r="M2491" i="4"/>
  <c r="I2491" i="4"/>
  <c r="H2491" i="4"/>
  <c r="G2491" i="4"/>
  <c r="E2491" i="4"/>
  <c r="D2491" i="4"/>
  <c r="M2490" i="4"/>
  <c r="I2490" i="4"/>
  <c r="H2490" i="4"/>
  <c r="G2490" i="4"/>
  <c r="E2490" i="4"/>
  <c r="D2490" i="4"/>
  <c r="M2489" i="4"/>
  <c r="I2489" i="4"/>
  <c r="H2489" i="4"/>
  <c r="G2489" i="4"/>
  <c r="E2489" i="4"/>
  <c r="D2489" i="4"/>
  <c r="M2488" i="4"/>
  <c r="I2488" i="4"/>
  <c r="H2488" i="4"/>
  <c r="G2488" i="4"/>
  <c r="E2488" i="4"/>
  <c r="D2488" i="4"/>
  <c r="M2487" i="4"/>
  <c r="I2487" i="4"/>
  <c r="H2487" i="4"/>
  <c r="G2487" i="4"/>
  <c r="E2487" i="4"/>
  <c r="D2487" i="4"/>
  <c r="M2486" i="4"/>
  <c r="I2486" i="4"/>
  <c r="H2486" i="4"/>
  <c r="G2486" i="4"/>
  <c r="E2486" i="4"/>
  <c r="D2486" i="4"/>
  <c r="M2485" i="4"/>
  <c r="I2485" i="4"/>
  <c r="H2485" i="4"/>
  <c r="G2485" i="4"/>
  <c r="E2485" i="4"/>
  <c r="D2485" i="4"/>
  <c r="M2484" i="4"/>
  <c r="I2484" i="4"/>
  <c r="H2484" i="4"/>
  <c r="G2484" i="4"/>
  <c r="E2484" i="4"/>
  <c r="D2484" i="4"/>
  <c r="M2483" i="4"/>
  <c r="I2483" i="4"/>
  <c r="H2483" i="4"/>
  <c r="G2483" i="4"/>
  <c r="E2483" i="4"/>
  <c r="D2483" i="4"/>
  <c r="M2482" i="4"/>
  <c r="I2482" i="4"/>
  <c r="H2482" i="4"/>
  <c r="G2482" i="4"/>
  <c r="E2482" i="4"/>
  <c r="D2482" i="4"/>
  <c r="M2481" i="4"/>
  <c r="I2481" i="4"/>
  <c r="H2481" i="4"/>
  <c r="G2481" i="4"/>
  <c r="E2481" i="4"/>
  <c r="D2481" i="4"/>
  <c r="M2480" i="4"/>
  <c r="I2480" i="4"/>
  <c r="H2480" i="4"/>
  <c r="G2480" i="4"/>
  <c r="E2480" i="4"/>
  <c r="D2480" i="4"/>
  <c r="M2479" i="4"/>
  <c r="I2479" i="4"/>
  <c r="H2479" i="4"/>
  <c r="G2479" i="4"/>
  <c r="E2479" i="4"/>
  <c r="D2479" i="4"/>
  <c r="M2478" i="4"/>
  <c r="I2478" i="4"/>
  <c r="H2478" i="4"/>
  <c r="G2478" i="4"/>
  <c r="E2478" i="4"/>
  <c r="D2478" i="4"/>
  <c r="M2477" i="4"/>
  <c r="I2477" i="4"/>
  <c r="H2477" i="4"/>
  <c r="G2477" i="4"/>
  <c r="E2477" i="4"/>
  <c r="D2477" i="4"/>
  <c r="M2476" i="4"/>
  <c r="I2476" i="4"/>
  <c r="H2476" i="4"/>
  <c r="G2476" i="4"/>
  <c r="E2476" i="4"/>
  <c r="D2476" i="4"/>
  <c r="M2475" i="4"/>
  <c r="I2475" i="4"/>
  <c r="H2475" i="4"/>
  <c r="G2475" i="4"/>
  <c r="E2475" i="4"/>
  <c r="D2475" i="4"/>
  <c r="M2474" i="4"/>
  <c r="I2474" i="4"/>
  <c r="H2474" i="4"/>
  <c r="G2474" i="4"/>
  <c r="E2474" i="4"/>
  <c r="D2474" i="4"/>
  <c r="M2473" i="4"/>
  <c r="I2473" i="4"/>
  <c r="H2473" i="4"/>
  <c r="G2473" i="4"/>
  <c r="E2473" i="4"/>
  <c r="D2473" i="4"/>
  <c r="M2472" i="4"/>
  <c r="I2472" i="4"/>
  <c r="H2472" i="4"/>
  <c r="G2472" i="4"/>
  <c r="E2472" i="4"/>
  <c r="D2472" i="4"/>
  <c r="M2471" i="4"/>
  <c r="I2471" i="4"/>
  <c r="H2471" i="4"/>
  <c r="G2471" i="4"/>
  <c r="E2471" i="4"/>
  <c r="D2471" i="4"/>
  <c r="M2470" i="4"/>
  <c r="I2470" i="4"/>
  <c r="H2470" i="4"/>
  <c r="G2470" i="4"/>
  <c r="E2470" i="4"/>
  <c r="D2470" i="4"/>
  <c r="M2469" i="4"/>
  <c r="I2469" i="4"/>
  <c r="H2469" i="4"/>
  <c r="G2469" i="4"/>
  <c r="E2469" i="4"/>
  <c r="D2469" i="4"/>
  <c r="M2468" i="4"/>
  <c r="I2468" i="4"/>
  <c r="H2468" i="4"/>
  <c r="G2468" i="4"/>
  <c r="E2468" i="4"/>
  <c r="D2468" i="4"/>
  <c r="M2467" i="4"/>
  <c r="I2467" i="4"/>
  <c r="H2467" i="4"/>
  <c r="G2467" i="4"/>
  <c r="E2467" i="4"/>
  <c r="D2467" i="4"/>
  <c r="M2466" i="4"/>
  <c r="I2466" i="4"/>
  <c r="H2466" i="4"/>
  <c r="G2466" i="4"/>
  <c r="E2466" i="4"/>
  <c r="D2466" i="4"/>
  <c r="M2465" i="4"/>
  <c r="I2465" i="4"/>
  <c r="H2465" i="4"/>
  <c r="G2465" i="4"/>
  <c r="E2465" i="4"/>
  <c r="D2465" i="4"/>
  <c r="M2464" i="4"/>
  <c r="I2464" i="4"/>
  <c r="H2464" i="4"/>
  <c r="G2464" i="4"/>
  <c r="E2464" i="4"/>
  <c r="D2464" i="4"/>
  <c r="M2463" i="4"/>
  <c r="I2463" i="4"/>
  <c r="H2463" i="4"/>
  <c r="G2463" i="4"/>
  <c r="E2463" i="4"/>
  <c r="D2463" i="4"/>
  <c r="M2462" i="4"/>
  <c r="I2462" i="4"/>
  <c r="H2462" i="4"/>
  <c r="G2462" i="4"/>
  <c r="E2462" i="4"/>
  <c r="D2462" i="4"/>
  <c r="M2461" i="4"/>
  <c r="I2461" i="4"/>
  <c r="H2461" i="4"/>
  <c r="G2461" i="4"/>
  <c r="E2461" i="4"/>
  <c r="D2461" i="4"/>
  <c r="M2460" i="4"/>
  <c r="I2460" i="4"/>
  <c r="H2460" i="4"/>
  <c r="G2460" i="4"/>
  <c r="E2460" i="4"/>
  <c r="D2460" i="4"/>
  <c r="M2459" i="4"/>
  <c r="I2459" i="4"/>
  <c r="H2459" i="4"/>
  <c r="G2459" i="4"/>
  <c r="E2459" i="4"/>
  <c r="D2459" i="4"/>
  <c r="M2458" i="4"/>
  <c r="I2458" i="4"/>
  <c r="H2458" i="4"/>
  <c r="G2458" i="4"/>
  <c r="E2458" i="4"/>
  <c r="D2458" i="4"/>
  <c r="M2457" i="4"/>
  <c r="I2457" i="4"/>
  <c r="H2457" i="4"/>
  <c r="G2457" i="4"/>
  <c r="E2457" i="4"/>
  <c r="D2457" i="4"/>
  <c r="M2456" i="4"/>
  <c r="I2456" i="4"/>
  <c r="H2456" i="4"/>
  <c r="G2456" i="4"/>
  <c r="E2456" i="4"/>
  <c r="D2456" i="4"/>
  <c r="M2455" i="4"/>
  <c r="I2455" i="4"/>
  <c r="H2455" i="4"/>
  <c r="G2455" i="4"/>
  <c r="E2455" i="4"/>
  <c r="D2455" i="4"/>
  <c r="M2454" i="4"/>
  <c r="I2454" i="4"/>
  <c r="H2454" i="4"/>
  <c r="G2454" i="4"/>
  <c r="E2454" i="4"/>
  <c r="D2454" i="4"/>
  <c r="M2453" i="4"/>
  <c r="I2453" i="4"/>
  <c r="H2453" i="4"/>
  <c r="G2453" i="4"/>
  <c r="E2453" i="4"/>
  <c r="D2453" i="4"/>
  <c r="M2452" i="4"/>
  <c r="I2452" i="4"/>
  <c r="H2452" i="4"/>
  <c r="G2452" i="4"/>
  <c r="E2452" i="4"/>
  <c r="D2452" i="4"/>
  <c r="M2451" i="4"/>
  <c r="I2451" i="4"/>
  <c r="H2451" i="4"/>
  <c r="G2451" i="4"/>
  <c r="E2451" i="4"/>
  <c r="D2451" i="4"/>
  <c r="M2450" i="4"/>
  <c r="I2450" i="4"/>
  <c r="H2450" i="4"/>
  <c r="G2450" i="4"/>
  <c r="E2450" i="4"/>
  <c r="D2450" i="4"/>
  <c r="M2449" i="4"/>
  <c r="I2449" i="4"/>
  <c r="H2449" i="4"/>
  <c r="G2449" i="4"/>
  <c r="E2449" i="4"/>
  <c r="D2449" i="4"/>
  <c r="M2448" i="4"/>
  <c r="I2448" i="4"/>
  <c r="H2448" i="4"/>
  <c r="G2448" i="4"/>
  <c r="E2448" i="4"/>
  <c r="D2448" i="4"/>
  <c r="M2447" i="4"/>
  <c r="I2447" i="4"/>
  <c r="H2447" i="4"/>
  <c r="G2447" i="4"/>
  <c r="E2447" i="4"/>
  <c r="D2447" i="4"/>
  <c r="M2446" i="4"/>
  <c r="I2446" i="4"/>
  <c r="H2446" i="4"/>
  <c r="G2446" i="4"/>
  <c r="E2446" i="4"/>
  <c r="D2446" i="4"/>
  <c r="M2445" i="4"/>
  <c r="I2445" i="4"/>
  <c r="H2445" i="4"/>
  <c r="G2445" i="4"/>
  <c r="E2445" i="4"/>
  <c r="D2445" i="4"/>
  <c r="M2444" i="4"/>
  <c r="I2444" i="4"/>
  <c r="H2444" i="4"/>
  <c r="G2444" i="4"/>
  <c r="E2444" i="4"/>
  <c r="D2444" i="4"/>
  <c r="M2443" i="4"/>
  <c r="I2443" i="4"/>
  <c r="H2443" i="4"/>
  <c r="G2443" i="4"/>
  <c r="E2443" i="4"/>
  <c r="D2443" i="4"/>
  <c r="M2442" i="4"/>
  <c r="I2442" i="4"/>
  <c r="H2442" i="4"/>
  <c r="G2442" i="4"/>
  <c r="E2442" i="4"/>
  <c r="D2442" i="4"/>
  <c r="M2441" i="4"/>
  <c r="I2441" i="4"/>
  <c r="H2441" i="4"/>
  <c r="G2441" i="4"/>
  <c r="E2441" i="4"/>
  <c r="D2441" i="4"/>
  <c r="M2440" i="4"/>
  <c r="I2440" i="4"/>
  <c r="H2440" i="4"/>
  <c r="G2440" i="4"/>
  <c r="E2440" i="4"/>
  <c r="D2440" i="4"/>
  <c r="M2439" i="4"/>
  <c r="I2439" i="4"/>
  <c r="H2439" i="4"/>
  <c r="G2439" i="4"/>
  <c r="E2439" i="4"/>
  <c r="D2439" i="4"/>
  <c r="M2438" i="4"/>
  <c r="I2438" i="4"/>
  <c r="H2438" i="4"/>
  <c r="G2438" i="4"/>
  <c r="E2438" i="4"/>
  <c r="D2438" i="4"/>
  <c r="M2437" i="4"/>
  <c r="I2437" i="4"/>
  <c r="H2437" i="4"/>
  <c r="G2437" i="4"/>
  <c r="E2437" i="4"/>
  <c r="D2437" i="4"/>
  <c r="M2436" i="4"/>
  <c r="I2436" i="4"/>
  <c r="H2436" i="4"/>
  <c r="G2436" i="4"/>
  <c r="E2436" i="4"/>
  <c r="D2436" i="4"/>
  <c r="M2435" i="4"/>
  <c r="I2435" i="4"/>
  <c r="H2435" i="4"/>
  <c r="G2435" i="4"/>
  <c r="E2435" i="4"/>
  <c r="D2435" i="4"/>
  <c r="M2434" i="4"/>
  <c r="I2434" i="4"/>
  <c r="H2434" i="4"/>
  <c r="G2434" i="4"/>
  <c r="E2434" i="4"/>
  <c r="D2434" i="4"/>
  <c r="M2433" i="4"/>
  <c r="I2433" i="4"/>
  <c r="H2433" i="4"/>
  <c r="G2433" i="4"/>
  <c r="E2433" i="4"/>
  <c r="D2433" i="4"/>
  <c r="M2432" i="4"/>
  <c r="I2432" i="4"/>
  <c r="H2432" i="4"/>
  <c r="G2432" i="4"/>
  <c r="E2432" i="4"/>
  <c r="D2432" i="4"/>
  <c r="M2431" i="4"/>
  <c r="I2431" i="4"/>
  <c r="H2431" i="4"/>
  <c r="G2431" i="4"/>
  <c r="E2431" i="4"/>
  <c r="D2431" i="4"/>
  <c r="M2430" i="4"/>
  <c r="I2430" i="4"/>
  <c r="H2430" i="4"/>
  <c r="G2430" i="4"/>
  <c r="E2430" i="4"/>
  <c r="D2430" i="4"/>
  <c r="M2429" i="4"/>
  <c r="I2429" i="4"/>
  <c r="H2429" i="4"/>
  <c r="G2429" i="4"/>
  <c r="E2429" i="4"/>
  <c r="D2429" i="4"/>
  <c r="M2428" i="4"/>
  <c r="I2428" i="4"/>
  <c r="H2428" i="4"/>
  <c r="G2428" i="4"/>
  <c r="E2428" i="4"/>
  <c r="D2428" i="4"/>
  <c r="M2427" i="4"/>
  <c r="I2427" i="4"/>
  <c r="H2427" i="4"/>
  <c r="G2427" i="4"/>
  <c r="E2427" i="4"/>
  <c r="D2427" i="4"/>
  <c r="M2426" i="4"/>
  <c r="I2426" i="4"/>
  <c r="H2426" i="4"/>
  <c r="G2426" i="4"/>
  <c r="E2426" i="4"/>
  <c r="D2426" i="4"/>
  <c r="M2425" i="4"/>
  <c r="I2425" i="4"/>
  <c r="H2425" i="4"/>
  <c r="G2425" i="4"/>
  <c r="E2425" i="4"/>
  <c r="D2425" i="4"/>
  <c r="M2424" i="4"/>
  <c r="I2424" i="4"/>
  <c r="H2424" i="4"/>
  <c r="G2424" i="4"/>
  <c r="E2424" i="4"/>
  <c r="D2424" i="4"/>
  <c r="M2423" i="4"/>
  <c r="I2423" i="4"/>
  <c r="H2423" i="4"/>
  <c r="G2423" i="4"/>
  <c r="E2423" i="4"/>
  <c r="D2423" i="4"/>
  <c r="M2422" i="4"/>
  <c r="I2422" i="4"/>
  <c r="H2422" i="4"/>
  <c r="G2422" i="4"/>
  <c r="E2422" i="4"/>
  <c r="D2422" i="4"/>
  <c r="M2421" i="4"/>
  <c r="I2421" i="4"/>
  <c r="H2421" i="4"/>
  <c r="G2421" i="4"/>
  <c r="E2421" i="4"/>
  <c r="D2421" i="4"/>
  <c r="M2420" i="4"/>
  <c r="I2420" i="4"/>
  <c r="H2420" i="4"/>
  <c r="G2420" i="4"/>
  <c r="E2420" i="4"/>
  <c r="D2420" i="4"/>
  <c r="M2419" i="4"/>
  <c r="I2419" i="4"/>
  <c r="H2419" i="4"/>
  <c r="G2419" i="4"/>
  <c r="E2419" i="4"/>
  <c r="D2419" i="4"/>
  <c r="M2418" i="4"/>
  <c r="I2418" i="4"/>
  <c r="H2418" i="4"/>
  <c r="G2418" i="4"/>
  <c r="E2418" i="4"/>
  <c r="D2418" i="4"/>
  <c r="M2417" i="4"/>
  <c r="I2417" i="4"/>
  <c r="H2417" i="4"/>
  <c r="G2417" i="4"/>
  <c r="E2417" i="4"/>
  <c r="D2417" i="4"/>
  <c r="M2416" i="4"/>
  <c r="I2416" i="4"/>
  <c r="H2416" i="4"/>
  <c r="G2416" i="4"/>
  <c r="E2416" i="4"/>
  <c r="D2416" i="4"/>
  <c r="M2415" i="4"/>
  <c r="I2415" i="4"/>
  <c r="H2415" i="4"/>
  <c r="G2415" i="4"/>
  <c r="E2415" i="4"/>
  <c r="D2415" i="4"/>
  <c r="M2414" i="4"/>
  <c r="I2414" i="4"/>
  <c r="H2414" i="4"/>
  <c r="G2414" i="4"/>
  <c r="E2414" i="4"/>
  <c r="D2414" i="4"/>
  <c r="M2413" i="4"/>
  <c r="I2413" i="4"/>
  <c r="H2413" i="4"/>
  <c r="G2413" i="4"/>
  <c r="E2413" i="4"/>
  <c r="D2413" i="4"/>
  <c r="M2412" i="4"/>
  <c r="I2412" i="4"/>
  <c r="H2412" i="4"/>
  <c r="G2412" i="4"/>
  <c r="E2412" i="4"/>
  <c r="D2412" i="4"/>
  <c r="M2411" i="4"/>
  <c r="I2411" i="4"/>
  <c r="H2411" i="4"/>
  <c r="G2411" i="4"/>
  <c r="E2411" i="4"/>
  <c r="D2411" i="4"/>
  <c r="M2410" i="4"/>
  <c r="I2410" i="4"/>
  <c r="H2410" i="4"/>
  <c r="G2410" i="4"/>
  <c r="E2410" i="4"/>
  <c r="D2410" i="4"/>
  <c r="M2409" i="4"/>
  <c r="I2409" i="4"/>
  <c r="H2409" i="4"/>
  <c r="G2409" i="4"/>
  <c r="E2409" i="4"/>
  <c r="D2409" i="4"/>
  <c r="M2408" i="4"/>
  <c r="I2408" i="4"/>
  <c r="H2408" i="4"/>
  <c r="G2408" i="4"/>
  <c r="E2408" i="4"/>
  <c r="D2408" i="4"/>
  <c r="M2407" i="4"/>
  <c r="I2407" i="4"/>
  <c r="H2407" i="4"/>
  <c r="G2407" i="4"/>
  <c r="E2407" i="4"/>
  <c r="D2407" i="4"/>
  <c r="M2406" i="4"/>
  <c r="I2406" i="4"/>
  <c r="H2406" i="4"/>
  <c r="G2406" i="4"/>
  <c r="E2406" i="4"/>
  <c r="D2406" i="4"/>
  <c r="M2405" i="4"/>
  <c r="I2405" i="4"/>
  <c r="H2405" i="4"/>
  <c r="G2405" i="4"/>
  <c r="E2405" i="4"/>
  <c r="D2405" i="4"/>
  <c r="M2404" i="4"/>
  <c r="I2404" i="4"/>
  <c r="H2404" i="4"/>
  <c r="G2404" i="4"/>
  <c r="E2404" i="4"/>
  <c r="D2404" i="4"/>
  <c r="M2403" i="4"/>
  <c r="I2403" i="4"/>
  <c r="H2403" i="4"/>
  <c r="G2403" i="4"/>
  <c r="E2403" i="4"/>
  <c r="D2403" i="4"/>
  <c r="M2402" i="4"/>
  <c r="I2402" i="4"/>
  <c r="H2402" i="4"/>
  <c r="G2402" i="4"/>
  <c r="E2402" i="4"/>
  <c r="D2402" i="4"/>
  <c r="M2401" i="4"/>
  <c r="I2401" i="4"/>
  <c r="H2401" i="4"/>
  <c r="G2401" i="4"/>
  <c r="E2401" i="4"/>
  <c r="D2401" i="4"/>
  <c r="M2400" i="4"/>
  <c r="I2400" i="4"/>
  <c r="H2400" i="4"/>
  <c r="G2400" i="4"/>
  <c r="E2400" i="4"/>
  <c r="D2400" i="4"/>
  <c r="M2399" i="4"/>
  <c r="I2399" i="4"/>
  <c r="H2399" i="4"/>
  <c r="G2399" i="4"/>
  <c r="E2399" i="4"/>
  <c r="D2399" i="4"/>
  <c r="M2398" i="4"/>
  <c r="I2398" i="4"/>
  <c r="H2398" i="4"/>
  <c r="G2398" i="4"/>
  <c r="E2398" i="4"/>
  <c r="D2398" i="4"/>
  <c r="M2397" i="4"/>
  <c r="I2397" i="4"/>
  <c r="H2397" i="4"/>
  <c r="G2397" i="4"/>
  <c r="E2397" i="4"/>
  <c r="D2397" i="4"/>
  <c r="M2396" i="4"/>
  <c r="I2396" i="4"/>
  <c r="H2396" i="4"/>
  <c r="G2396" i="4"/>
  <c r="E2396" i="4"/>
  <c r="D2396" i="4"/>
  <c r="M2395" i="4"/>
  <c r="I2395" i="4"/>
  <c r="H2395" i="4"/>
  <c r="G2395" i="4"/>
  <c r="E2395" i="4"/>
  <c r="D2395" i="4"/>
  <c r="M2394" i="4"/>
  <c r="I2394" i="4"/>
  <c r="H2394" i="4"/>
  <c r="G2394" i="4"/>
  <c r="E2394" i="4"/>
  <c r="D2394" i="4"/>
  <c r="M2393" i="4"/>
  <c r="I2393" i="4"/>
  <c r="H2393" i="4"/>
  <c r="G2393" i="4"/>
  <c r="E2393" i="4"/>
  <c r="D2393" i="4"/>
  <c r="M2392" i="4"/>
  <c r="I2392" i="4"/>
  <c r="H2392" i="4"/>
  <c r="G2392" i="4"/>
  <c r="E2392" i="4"/>
  <c r="D2392" i="4"/>
  <c r="M2391" i="4"/>
  <c r="I2391" i="4"/>
  <c r="H2391" i="4"/>
  <c r="G2391" i="4"/>
  <c r="E2391" i="4"/>
  <c r="D2391" i="4"/>
  <c r="M2390" i="4"/>
  <c r="I2390" i="4"/>
  <c r="H2390" i="4"/>
  <c r="G2390" i="4"/>
  <c r="E2390" i="4"/>
  <c r="D2390" i="4"/>
  <c r="M2389" i="4"/>
  <c r="I2389" i="4"/>
  <c r="H2389" i="4"/>
  <c r="G2389" i="4"/>
  <c r="E2389" i="4"/>
  <c r="D2389" i="4"/>
  <c r="M2388" i="4"/>
  <c r="I2388" i="4"/>
  <c r="H2388" i="4"/>
  <c r="G2388" i="4"/>
  <c r="E2388" i="4"/>
  <c r="D2388" i="4"/>
  <c r="M2387" i="4"/>
  <c r="I2387" i="4"/>
  <c r="H2387" i="4"/>
  <c r="G2387" i="4"/>
  <c r="E2387" i="4"/>
  <c r="D2387" i="4"/>
  <c r="M2386" i="4"/>
  <c r="I2386" i="4"/>
  <c r="H2386" i="4"/>
  <c r="G2386" i="4"/>
  <c r="E2386" i="4"/>
  <c r="D2386" i="4"/>
  <c r="M2385" i="4"/>
  <c r="I2385" i="4"/>
  <c r="H2385" i="4"/>
  <c r="G2385" i="4"/>
  <c r="E2385" i="4"/>
  <c r="D2385" i="4"/>
  <c r="M2384" i="4"/>
  <c r="I2384" i="4"/>
  <c r="H2384" i="4"/>
  <c r="G2384" i="4"/>
  <c r="E2384" i="4"/>
  <c r="D2384" i="4"/>
  <c r="M2383" i="4"/>
  <c r="I2383" i="4"/>
  <c r="H2383" i="4"/>
  <c r="G2383" i="4"/>
  <c r="E2383" i="4"/>
  <c r="D2383" i="4"/>
  <c r="M2382" i="4"/>
  <c r="I2382" i="4"/>
  <c r="H2382" i="4"/>
  <c r="G2382" i="4"/>
  <c r="E2382" i="4"/>
  <c r="D2382" i="4"/>
  <c r="M2381" i="4"/>
  <c r="I2381" i="4"/>
  <c r="H2381" i="4"/>
  <c r="G2381" i="4"/>
  <c r="E2381" i="4"/>
  <c r="D2381" i="4"/>
  <c r="M2380" i="4"/>
  <c r="I2380" i="4"/>
  <c r="H2380" i="4"/>
  <c r="G2380" i="4"/>
  <c r="E2380" i="4"/>
  <c r="D2380" i="4"/>
  <c r="M2379" i="4"/>
  <c r="I2379" i="4"/>
  <c r="H2379" i="4"/>
  <c r="G2379" i="4"/>
  <c r="E2379" i="4"/>
  <c r="D2379" i="4"/>
  <c r="M2378" i="4"/>
  <c r="I2378" i="4"/>
  <c r="H2378" i="4"/>
  <c r="G2378" i="4"/>
  <c r="E2378" i="4"/>
  <c r="D2378" i="4"/>
  <c r="M2377" i="4"/>
  <c r="I2377" i="4"/>
  <c r="H2377" i="4"/>
  <c r="G2377" i="4"/>
  <c r="E2377" i="4"/>
  <c r="D2377" i="4"/>
  <c r="M2376" i="4"/>
  <c r="I2376" i="4"/>
  <c r="H2376" i="4"/>
  <c r="G2376" i="4"/>
  <c r="E2376" i="4"/>
  <c r="D2376" i="4"/>
  <c r="M2375" i="4"/>
  <c r="I2375" i="4"/>
  <c r="H2375" i="4"/>
  <c r="G2375" i="4"/>
  <c r="E2375" i="4"/>
  <c r="D2375" i="4"/>
  <c r="M2374" i="4"/>
  <c r="I2374" i="4"/>
  <c r="H2374" i="4"/>
  <c r="G2374" i="4"/>
  <c r="E2374" i="4"/>
  <c r="D2374" i="4"/>
  <c r="M2373" i="4"/>
  <c r="I2373" i="4"/>
  <c r="H2373" i="4"/>
  <c r="G2373" i="4"/>
  <c r="E2373" i="4"/>
  <c r="D2373" i="4"/>
  <c r="M2372" i="4"/>
  <c r="I2372" i="4"/>
  <c r="H2372" i="4"/>
  <c r="G2372" i="4"/>
  <c r="E2372" i="4"/>
  <c r="D2372" i="4"/>
  <c r="M2371" i="4"/>
  <c r="I2371" i="4"/>
  <c r="H2371" i="4"/>
  <c r="G2371" i="4"/>
  <c r="E2371" i="4"/>
  <c r="D2371" i="4"/>
  <c r="M2370" i="4"/>
  <c r="I2370" i="4"/>
  <c r="H2370" i="4"/>
  <c r="G2370" i="4"/>
  <c r="E2370" i="4"/>
  <c r="D2370" i="4"/>
  <c r="M2369" i="4"/>
  <c r="I2369" i="4"/>
  <c r="H2369" i="4"/>
  <c r="G2369" i="4"/>
  <c r="E2369" i="4"/>
  <c r="D2369" i="4"/>
  <c r="M2368" i="4"/>
  <c r="I2368" i="4"/>
  <c r="H2368" i="4"/>
  <c r="G2368" i="4"/>
  <c r="E2368" i="4"/>
  <c r="D2368" i="4"/>
  <c r="M2367" i="4"/>
  <c r="I2367" i="4"/>
  <c r="H2367" i="4"/>
  <c r="G2367" i="4"/>
  <c r="E2367" i="4"/>
  <c r="D2367" i="4"/>
  <c r="M2366" i="4"/>
  <c r="I2366" i="4"/>
  <c r="H2366" i="4"/>
  <c r="G2366" i="4"/>
  <c r="E2366" i="4"/>
  <c r="D2366" i="4"/>
  <c r="M2365" i="4"/>
  <c r="I2365" i="4"/>
  <c r="H2365" i="4"/>
  <c r="G2365" i="4"/>
  <c r="E2365" i="4"/>
  <c r="D2365" i="4"/>
  <c r="M2364" i="4"/>
  <c r="I2364" i="4"/>
  <c r="H2364" i="4"/>
  <c r="G2364" i="4"/>
  <c r="E2364" i="4"/>
  <c r="D2364" i="4"/>
  <c r="M2363" i="4"/>
  <c r="I2363" i="4"/>
  <c r="H2363" i="4"/>
  <c r="G2363" i="4"/>
  <c r="E2363" i="4"/>
  <c r="D2363" i="4"/>
  <c r="M2362" i="4"/>
  <c r="I2362" i="4"/>
  <c r="H2362" i="4"/>
  <c r="G2362" i="4"/>
  <c r="E2362" i="4"/>
  <c r="D2362" i="4"/>
  <c r="M2361" i="4"/>
  <c r="I2361" i="4"/>
  <c r="H2361" i="4"/>
  <c r="G2361" i="4"/>
  <c r="E2361" i="4"/>
  <c r="D2361" i="4"/>
  <c r="M2360" i="4"/>
  <c r="I2360" i="4"/>
  <c r="H2360" i="4"/>
  <c r="G2360" i="4"/>
  <c r="E2360" i="4"/>
  <c r="D2360" i="4"/>
  <c r="M2359" i="4"/>
  <c r="I2359" i="4"/>
  <c r="H2359" i="4"/>
  <c r="G2359" i="4"/>
  <c r="E2359" i="4"/>
  <c r="D2359" i="4"/>
  <c r="M2358" i="4"/>
  <c r="I2358" i="4"/>
  <c r="H2358" i="4"/>
  <c r="G2358" i="4"/>
  <c r="E2358" i="4"/>
  <c r="D2358" i="4"/>
  <c r="M2357" i="4"/>
  <c r="I2357" i="4"/>
  <c r="H2357" i="4"/>
  <c r="G2357" i="4"/>
  <c r="E2357" i="4"/>
  <c r="D2357" i="4"/>
  <c r="M2356" i="4"/>
  <c r="I2356" i="4"/>
  <c r="H2356" i="4"/>
  <c r="G2356" i="4"/>
  <c r="E2356" i="4"/>
  <c r="D2356" i="4"/>
  <c r="M2355" i="4"/>
  <c r="I2355" i="4"/>
  <c r="H2355" i="4"/>
  <c r="G2355" i="4"/>
  <c r="E2355" i="4"/>
  <c r="D2355" i="4"/>
  <c r="M2354" i="4"/>
  <c r="I2354" i="4"/>
  <c r="H2354" i="4"/>
  <c r="G2354" i="4"/>
  <c r="E2354" i="4"/>
  <c r="D2354" i="4"/>
  <c r="M2353" i="4"/>
  <c r="I2353" i="4"/>
  <c r="H2353" i="4"/>
  <c r="G2353" i="4"/>
  <c r="E2353" i="4"/>
  <c r="D2353" i="4"/>
  <c r="M2352" i="4"/>
  <c r="I2352" i="4"/>
  <c r="H2352" i="4"/>
  <c r="G2352" i="4"/>
  <c r="E2352" i="4"/>
  <c r="D2352" i="4"/>
  <c r="M2351" i="4"/>
  <c r="I2351" i="4"/>
  <c r="H2351" i="4"/>
  <c r="G2351" i="4"/>
  <c r="E2351" i="4"/>
  <c r="D2351" i="4"/>
  <c r="M2350" i="4"/>
  <c r="I2350" i="4"/>
  <c r="H2350" i="4"/>
  <c r="G2350" i="4"/>
  <c r="E2350" i="4"/>
  <c r="D2350" i="4"/>
  <c r="M2349" i="4"/>
  <c r="I2349" i="4"/>
  <c r="H2349" i="4"/>
  <c r="G2349" i="4"/>
  <c r="E2349" i="4"/>
  <c r="D2349" i="4"/>
  <c r="M2348" i="4"/>
  <c r="I2348" i="4"/>
  <c r="H2348" i="4"/>
  <c r="G2348" i="4"/>
  <c r="E2348" i="4"/>
  <c r="D2348" i="4"/>
  <c r="M2347" i="4"/>
  <c r="I2347" i="4"/>
  <c r="H2347" i="4"/>
  <c r="G2347" i="4"/>
  <c r="E2347" i="4"/>
  <c r="D2347" i="4"/>
  <c r="M2346" i="4"/>
  <c r="I2346" i="4"/>
  <c r="H2346" i="4"/>
  <c r="G2346" i="4"/>
  <c r="E2346" i="4"/>
  <c r="D2346" i="4"/>
  <c r="M2345" i="4"/>
  <c r="I2345" i="4"/>
  <c r="H2345" i="4"/>
  <c r="G2345" i="4"/>
  <c r="E2345" i="4"/>
  <c r="D2345" i="4"/>
  <c r="M2344" i="4"/>
  <c r="I2344" i="4"/>
  <c r="H2344" i="4"/>
  <c r="G2344" i="4"/>
  <c r="E2344" i="4"/>
  <c r="D2344" i="4"/>
  <c r="M2343" i="4"/>
  <c r="I2343" i="4"/>
  <c r="H2343" i="4"/>
  <c r="G2343" i="4"/>
  <c r="E2343" i="4"/>
  <c r="D2343" i="4"/>
  <c r="M2342" i="4"/>
  <c r="I2342" i="4"/>
  <c r="H2342" i="4"/>
  <c r="G2342" i="4"/>
  <c r="E2342" i="4"/>
  <c r="D2342" i="4"/>
  <c r="M2341" i="4"/>
  <c r="I2341" i="4"/>
  <c r="H2341" i="4"/>
  <c r="G2341" i="4"/>
  <c r="E2341" i="4"/>
  <c r="D2341" i="4"/>
  <c r="M2340" i="4"/>
  <c r="I2340" i="4"/>
  <c r="H2340" i="4"/>
  <c r="G2340" i="4"/>
  <c r="E2340" i="4"/>
  <c r="D2340" i="4"/>
  <c r="M2339" i="4"/>
  <c r="I2339" i="4"/>
  <c r="H2339" i="4"/>
  <c r="G2339" i="4"/>
  <c r="E2339" i="4"/>
  <c r="D2339" i="4"/>
  <c r="M2338" i="4"/>
  <c r="I2338" i="4"/>
  <c r="H2338" i="4"/>
  <c r="G2338" i="4"/>
  <c r="E2338" i="4"/>
  <c r="D2338" i="4"/>
  <c r="M2337" i="4"/>
  <c r="I2337" i="4"/>
  <c r="H2337" i="4"/>
  <c r="G2337" i="4"/>
  <c r="E2337" i="4"/>
  <c r="D2337" i="4"/>
  <c r="M2336" i="4"/>
  <c r="I2336" i="4"/>
  <c r="H2336" i="4"/>
  <c r="G2336" i="4"/>
  <c r="E2336" i="4"/>
  <c r="D2336" i="4"/>
  <c r="M2335" i="4"/>
  <c r="I2335" i="4"/>
  <c r="H2335" i="4"/>
  <c r="G2335" i="4"/>
  <c r="E2335" i="4"/>
  <c r="D2335" i="4"/>
  <c r="M2334" i="4"/>
  <c r="I2334" i="4"/>
  <c r="H2334" i="4"/>
  <c r="G2334" i="4"/>
  <c r="E2334" i="4"/>
  <c r="D2334" i="4"/>
  <c r="M2333" i="4"/>
  <c r="I2333" i="4"/>
  <c r="H2333" i="4"/>
  <c r="G2333" i="4"/>
  <c r="E2333" i="4"/>
  <c r="D2333" i="4"/>
  <c r="M2332" i="4"/>
  <c r="I2332" i="4"/>
  <c r="H2332" i="4"/>
  <c r="G2332" i="4"/>
  <c r="E2332" i="4"/>
  <c r="D2332" i="4"/>
  <c r="M2331" i="4"/>
  <c r="I2331" i="4"/>
  <c r="H2331" i="4"/>
  <c r="G2331" i="4"/>
  <c r="E2331" i="4"/>
  <c r="D2331" i="4"/>
  <c r="M2330" i="4"/>
  <c r="I2330" i="4"/>
  <c r="H2330" i="4"/>
  <c r="G2330" i="4"/>
  <c r="E2330" i="4"/>
  <c r="D2330" i="4"/>
  <c r="M2329" i="4"/>
  <c r="I2329" i="4"/>
  <c r="H2329" i="4"/>
  <c r="G2329" i="4"/>
  <c r="E2329" i="4"/>
  <c r="D2329" i="4"/>
  <c r="M2328" i="4"/>
  <c r="I2328" i="4"/>
  <c r="H2328" i="4"/>
  <c r="G2328" i="4"/>
  <c r="E2328" i="4"/>
  <c r="D2328" i="4"/>
  <c r="M2327" i="4"/>
  <c r="I2327" i="4"/>
  <c r="H2327" i="4"/>
  <c r="G2327" i="4"/>
  <c r="E2327" i="4"/>
  <c r="D2327" i="4"/>
  <c r="M2326" i="4"/>
  <c r="I2326" i="4"/>
  <c r="H2326" i="4"/>
  <c r="G2326" i="4"/>
  <c r="E2326" i="4"/>
  <c r="D2326" i="4"/>
  <c r="M2325" i="4"/>
  <c r="I2325" i="4"/>
  <c r="H2325" i="4"/>
  <c r="G2325" i="4"/>
  <c r="E2325" i="4"/>
  <c r="D2325" i="4"/>
  <c r="M2324" i="4"/>
  <c r="I2324" i="4"/>
  <c r="H2324" i="4"/>
  <c r="G2324" i="4"/>
  <c r="E2324" i="4"/>
  <c r="D2324" i="4"/>
  <c r="M2323" i="4"/>
  <c r="I2323" i="4"/>
  <c r="H2323" i="4"/>
  <c r="G2323" i="4"/>
  <c r="E2323" i="4"/>
  <c r="D2323" i="4"/>
  <c r="M2322" i="4"/>
  <c r="I2322" i="4"/>
  <c r="H2322" i="4"/>
  <c r="G2322" i="4"/>
  <c r="E2322" i="4"/>
  <c r="D2322" i="4"/>
  <c r="M2321" i="4"/>
  <c r="I2321" i="4"/>
  <c r="H2321" i="4"/>
  <c r="G2321" i="4"/>
  <c r="E2321" i="4"/>
  <c r="D2321" i="4"/>
  <c r="M2320" i="4"/>
  <c r="I2320" i="4"/>
  <c r="H2320" i="4"/>
  <c r="G2320" i="4"/>
  <c r="E2320" i="4"/>
  <c r="D2320" i="4"/>
  <c r="M2319" i="4"/>
  <c r="I2319" i="4"/>
  <c r="H2319" i="4"/>
  <c r="G2319" i="4"/>
  <c r="E2319" i="4"/>
  <c r="D2319" i="4"/>
  <c r="M2318" i="4"/>
  <c r="I2318" i="4"/>
  <c r="H2318" i="4"/>
  <c r="G2318" i="4"/>
  <c r="E2318" i="4"/>
  <c r="D2318" i="4"/>
  <c r="M2317" i="4"/>
  <c r="I2317" i="4"/>
  <c r="H2317" i="4"/>
  <c r="G2317" i="4"/>
  <c r="E2317" i="4"/>
  <c r="D2317" i="4"/>
  <c r="M2316" i="4"/>
  <c r="I2316" i="4"/>
  <c r="H2316" i="4"/>
  <c r="G2316" i="4"/>
  <c r="E2316" i="4"/>
  <c r="D2316" i="4"/>
  <c r="M2315" i="4"/>
  <c r="I2315" i="4"/>
  <c r="H2315" i="4"/>
  <c r="G2315" i="4"/>
  <c r="E2315" i="4"/>
  <c r="D2315" i="4"/>
  <c r="M2314" i="4"/>
  <c r="I2314" i="4"/>
  <c r="H2314" i="4"/>
  <c r="G2314" i="4"/>
  <c r="E2314" i="4"/>
  <c r="D2314" i="4"/>
  <c r="M2313" i="4"/>
  <c r="I2313" i="4"/>
  <c r="H2313" i="4"/>
  <c r="G2313" i="4"/>
  <c r="E2313" i="4"/>
  <c r="D2313" i="4"/>
  <c r="M2312" i="4"/>
  <c r="I2312" i="4"/>
  <c r="H2312" i="4"/>
  <c r="G2312" i="4"/>
  <c r="E2312" i="4"/>
  <c r="D2312" i="4"/>
  <c r="M2311" i="4"/>
  <c r="I2311" i="4"/>
  <c r="H2311" i="4"/>
  <c r="G2311" i="4"/>
  <c r="E2311" i="4"/>
  <c r="D2311" i="4"/>
  <c r="M2310" i="4"/>
  <c r="I2310" i="4"/>
  <c r="H2310" i="4"/>
  <c r="G2310" i="4"/>
  <c r="E2310" i="4"/>
  <c r="D2310" i="4"/>
  <c r="M2309" i="4"/>
  <c r="I2309" i="4"/>
  <c r="H2309" i="4"/>
  <c r="G2309" i="4"/>
  <c r="E2309" i="4"/>
  <c r="D2309" i="4"/>
  <c r="M2308" i="4"/>
  <c r="I2308" i="4"/>
  <c r="H2308" i="4"/>
  <c r="G2308" i="4"/>
  <c r="E2308" i="4"/>
  <c r="D2308" i="4"/>
  <c r="M2307" i="4"/>
  <c r="I2307" i="4"/>
  <c r="H2307" i="4"/>
  <c r="G2307" i="4"/>
  <c r="E2307" i="4"/>
  <c r="D2307" i="4"/>
  <c r="M2306" i="4"/>
  <c r="I2306" i="4"/>
  <c r="H2306" i="4"/>
  <c r="G2306" i="4"/>
  <c r="E2306" i="4"/>
  <c r="D2306" i="4"/>
  <c r="M2305" i="4"/>
  <c r="I2305" i="4"/>
  <c r="H2305" i="4"/>
  <c r="G2305" i="4"/>
  <c r="E2305" i="4"/>
  <c r="D2305" i="4"/>
  <c r="M2304" i="4"/>
  <c r="I2304" i="4"/>
  <c r="H2304" i="4"/>
  <c r="G2304" i="4"/>
  <c r="E2304" i="4"/>
  <c r="D2304" i="4"/>
  <c r="M2303" i="4"/>
  <c r="I2303" i="4"/>
  <c r="H2303" i="4"/>
  <c r="G2303" i="4"/>
  <c r="E2303" i="4"/>
  <c r="D2303" i="4"/>
  <c r="M2302" i="4"/>
  <c r="I2302" i="4"/>
  <c r="H2302" i="4"/>
  <c r="G2302" i="4"/>
  <c r="E2302" i="4"/>
  <c r="D2302" i="4"/>
  <c r="M2301" i="4"/>
  <c r="I2301" i="4"/>
  <c r="H2301" i="4"/>
  <c r="G2301" i="4"/>
  <c r="E2301" i="4"/>
  <c r="D2301" i="4"/>
  <c r="M2300" i="4"/>
  <c r="I2300" i="4"/>
  <c r="H2300" i="4"/>
  <c r="G2300" i="4"/>
  <c r="E2300" i="4"/>
  <c r="D2300" i="4"/>
  <c r="M2299" i="4"/>
  <c r="I2299" i="4"/>
  <c r="H2299" i="4"/>
  <c r="G2299" i="4"/>
  <c r="E2299" i="4"/>
  <c r="D2299" i="4"/>
  <c r="M2298" i="4"/>
  <c r="I2298" i="4"/>
  <c r="H2298" i="4"/>
  <c r="G2298" i="4"/>
  <c r="E2298" i="4"/>
  <c r="D2298" i="4"/>
  <c r="M2297" i="4"/>
  <c r="I2297" i="4"/>
  <c r="H2297" i="4"/>
  <c r="G2297" i="4"/>
  <c r="E2297" i="4"/>
  <c r="D2297" i="4"/>
  <c r="M2296" i="4"/>
  <c r="I2296" i="4"/>
  <c r="H2296" i="4"/>
  <c r="G2296" i="4"/>
  <c r="E2296" i="4"/>
  <c r="D2296" i="4"/>
  <c r="M2295" i="4"/>
  <c r="I2295" i="4"/>
  <c r="H2295" i="4"/>
  <c r="G2295" i="4"/>
  <c r="E2295" i="4"/>
  <c r="D2295" i="4"/>
  <c r="M2294" i="4"/>
  <c r="I2294" i="4"/>
  <c r="H2294" i="4"/>
  <c r="G2294" i="4"/>
  <c r="E2294" i="4"/>
  <c r="D2294" i="4"/>
  <c r="M2293" i="4"/>
  <c r="I2293" i="4"/>
  <c r="H2293" i="4"/>
  <c r="G2293" i="4"/>
  <c r="E2293" i="4"/>
  <c r="D2293" i="4"/>
  <c r="M2292" i="4"/>
  <c r="I2292" i="4"/>
  <c r="H2292" i="4"/>
  <c r="G2292" i="4"/>
  <c r="E2292" i="4"/>
  <c r="D2292" i="4"/>
  <c r="M2291" i="4"/>
  <c r="I2291" i="4"/>
  <c r="H2291" i="4"/>
  <c r="G2291" i="4"/>
  <c r="E2291" i="4"/>
  <c r="D2291" i="4"/>
  <c r="M2290" i="4"/>
  <c r="I2290" i="4"/>
  <c r="H2290" i="4"/>
  <c r="G2290" i="4"/>
  <c r="E2290" i="4"/>
  <c r="D2290" i="4"/>
  <c r="M2289" i="4"/>
  <c r="I2289" i="4"/>
  <c r="H2289" i="4"/>
  <c r="G2289" i="4"/>
  <c r="E2289" i="4"/>
  <c r="D2289" i="4"/>
  <c r="M2288" i="4"/>
  <c r="I2288" i="4"/>
  <c r="H2288" i="4"/>
  <c r="G2288" i="4"/>
  <c r="E2288" i="4"/>
  <c r="D2288" i="4"/>
  <c r="M2287" i="4"/>
  <c r="I2287" i="4"/>
  <c r="H2287" i="4"/>
  <c r="G2287" i="4"/>
  <c r="E2287" i="4"/>
  <c r="D2287" i="4"/>
  <c r="M2286" i="4"/>
  <c r="I2286" i="4"/>
  <c r="H2286" i="4"/>
  <c r="G2286" i="4"/>
  <c r="E2286" i="4"/>
  <c r="D2286" i="4"/>
  <c r="M2285" i="4"/>
  <c r="I2285" i="4"/>
  <c r="H2285" i="4"/>
  <c r="G2285" i="4"/>
  <c r="E2285" i="4"/>
  <c r="D2285" i="4"/>
  <c r="M2284" i="4"/>
  <c r="I2284" i="4"/>
  <c r="H2284" i="4"/>
  <c r="G2284" i="4"/>
  <c r="E2284" i="4"/>
  <c r="D2284" i="4"/>
  <c r="M2283" i="4"/>
  <c r="I2283" i="4"/>
  <c r="H2283" i="4"/>
  <c r="G2283" i="4"/>
  <c r="E2283" i="4"/>
  <c r="D2283" i="4"/>
  <c r="M2282" i="4"/>
  <c r="I2282" i="4"/>
  <c r="H2282" i="4"/>
  <c r="G2282" i="4"/>
  <c r="E2282" i="4"/>
  <c r="D2282" i="4"/>
  <c r="M2281" i="4"/>
  <c r="I2281" i="4"/>
  <c r="H2281" i="4"/>
  <c r="G2281" i="4"/>
  <c r="E2281" i="4"/>
  <c r="D2281" i="4"/>
  <c r="M2280" i="4"/>
  <c r="I2280" i="4"/>
  <c r="H2280" i="4"/>
  <c r="G2280" i="4"/>
  <c r="E2280" i="4"/>
  <c r="D2280" i="4"/>
  <c r="M2279" i="4"/>
  <c r="I2279" i="4"/>
  <c r="H2279" i="4"/>
  <c r="G2279" i="4"/>
  <c r="E2279" i="4"/>
  <c r="D2279" i="4"/>
  <c r="M2278" i="4"/>
  <c r="I2278" i="4"/>
  <c r="H2278" i="4"/>
  <c r="G2278" i="4"/>
  <c r="E2278" i="4"/>
  <c r="D2278" i="4"/>
  <c r="M2277" i="4"/>
  <c r="I2277" i="4"/>
  <c r="H2277" i="4"/>
  <c r="G2277" i="4"/>
  <c r="E2277" i="4"/>
  <c r="D2277" i="4"/>
  <c r="M2276" i="4"/>
  <c r="I2276" i="4"/>
  <c r="H2276" i="4"/>
  <c r="G2276" i="4"/>
  <c r="E2276" i="4"/>
  <c r="D2276" i="4"/>
  <c r="M2275" i="4"/>
  <c r="I2275" i="4"/>
  <c r="H2275" i="4"/>
  <c r="G2275" i="4"/>
  <c r="E2275" i="4"/>
  <c r="D2275" i="4"/>
  <c r="M2274" i="4"/>
  <c r="I2274" i="4"/>
  <c r="H2274" i="4"/>
  <c r="G2274" i="4"/>
  <c r="E2274" i="4"/>
  <c r="D2274" i="4"/>
  <c r="M2273" i="4"/>
  <c r="I2273" i="4"/>
  <c r="H2273" i="4"/>
  <c r="G2273" i="4"/>
  <c r="E2273" i="4"/>
  <c r="D2273" i="4"/>
  <c r="M2272" i="4"/>
  <c r="I2272" i="4"/>
  <c r="H2272" i="4"/>
  <c r="G2272" i="4"/>
  <c r="E2272" i="4"/>
  <c r="D2272" i="4"/>
  <c r="M2271" i="4"/>
  <c r="I2271" i="4"/>
  <c r="H2271" i="4"/>
  <c r="G2271" i="4"/>
  <c r="E2271" i="4"/>
  <c r="D2271" i="4"/>
  <c r="M2270" i="4"/>
  <c r="I2270" i="4"/>
  <c r="H2270" i="4"/>
  <c r="G2270" i="4"/>
  <c r="E2270" i="4"/>
  <c r="D2270" i="4"/>
  <c r="M2269" i="4"/>
  <c r="I2269" i="4"/>
  <c r="H2269" i="4"/>
  <c r="G2269" i="4"/>
  <c r="E2269" i="4"/>
  <c r="D2269" i="4"/>
  <c r="M2268" i="4"/>
  <c r="I2268" i="4"/>
  <c r="H2268" i="4"/>
  <c r="G2268" i="4"/>
  <c r="E2268" i="4"/>
  <c r="D2268" i="4"/>
  <c r="M2267" i="4"/>
  <c r="I2267" i="4"/>
  <c r="H2267" i="4"/>
  <c r="G2267" i="4"/>
  <c r="E2267" i="4"/>
  <c r="D2267" i="4"/>
  <c r="M2266" i="4"/>
  <c r="I2266" i="4"/>
  <c r="H2266" i="4"/>
  <c r="G2266" i="4"/>
  <c r="E2266" i="4"/>
  <c r="D2266" i="4"/>
  <c r="M2265" i="4"/>
  <c r="I2265" i="4"/>
  <c r="H2265" i="4"/>
  <c r="G2265" i="4"/>
  <c r="E2265" i="4"/>
  <c r="D2265" i="4"/>
  <c r="M2264" i="4"/>
  <c r="I2264" i="4"/>
  <c r="H2264" i="4"/>
  <c r="G2264" i="4"/>
  <c r="E2264" i="4"/>
  <c r="D2264" i="4"/>
  <c r="M2263" i="4"/>
  <c r="I2263" i="4"/>
  <c r="H2263" i="4"/>
  <c r="G2263" i="4"/>
  <c r="E2263" i="4"/>
  <c r="D2263" i="4"/>
  <c r="M2262" i="4"/>
  <c r="I2262" i="4"/>
  <c r="H2262" i="4"/>
  <c r="G2262" i="4"/>
  <c r="E2262" i="4"/>
  <c r="D2262" i="4"/>
  <c r="M2261" i="4"/>
  <c r="I2261" i="4"/>
  <c r="H2261" i="4"/>
  <c r="G2261" i="4"/>
  <c r="E2261" i="4"/>
  <c r="D2261" i="4"/>
  <c r="M2260" i="4"/>
  <c r="I2260" i="4"/>
  <c r="H2260" i="4"/>
  <c r="G2260" i="4"/>
  <c r="E2260" i="4"/>
  <c r="D2260" i="4"/>
  <c r="M2259" i="4"/>
  <c r="I2259" i="4"/>
  <c r="H2259" i="4"/>
  <c r="G2259" i="4"/>
  <c r="E2259" i="4"/>
  <c r="D2259" i="4"/>
  <c r="M2258" i="4"/>
  <c r="I2258" i="4"/>
  <c r="H2258" i="4"/>
  <c r="G2258" i="4"/>
  <c r="E2258" i="4"/>
  <c r="D2258" i="4"/>
  <c r="M2257" i="4"/>
  <c r="I2257" i="4"/>
  <c r="H2257" i="4"/>
  <c r="G2257" i="4"/>
  <c r="E2257" i="4"/>
  <c r="D2257" i="4"/>
  <c r="M2256" i="4"/>
  <c r="I2256" i="4"/>
  <c r="H2256" i="4"/>
  <c r="G2256" i="4"/>
  <c r="E2256" i="4"/>
  <c r="D2256" i="4"/>
  <c r="M2255" i="4"/>
  <c r="I2255" i="4"/>
  <c r="H2255" i="4"/>
  <c r="G2255" i="4"/>
  <c r="E2255" i="4"/>
  <c r="D2255" i="4"/>
  <c r="M2254" i="4"/>
  <c r="I2254" i="4"/>
  <c r="H2254" i="4"/>
  <c r="G2254" i="4"/>
  <c r="E2254" i="4"/>
  <c r="D2254" i="4"/>
  <c r="M2253" i="4"/>
  <c r="I2253" i="4"/>
  <c r="H2253" i="4"/>
  <c r="G2253" i="4"/>
  <c r="E2253" i="4"/>
  <c r="D2253" i="4"/>
  <c r="M2252" i="4"/>
  <c r="I2252" i="4"/>
  <c r="H2252" i="4"/>
  <c r="G2252" i="4"/>
  <c r="E2252" i="4"/>
  <c r="D2252" i="4"/>
  <c r="M2251" i="4"/>
  <c r="I2251" i="4"/>
  <c r="H2251" i="4"/>
  <c r="G2251" i="4"/>
  <c r="E2251" i="4"/>
  <c r="D2251" i="4"/>
  <c r="M2250" i="4"/>
  <c r="I2250" i="4"/>
  <c r="H2250" i="4"/>
  <c r="G2250" i="4"/>
  <c r="E2250" i="4"/>
  <c r="D2250" i="4"/>
  <c r="M2249" i="4"/>
  <c r="I2249" i="4"/>
  <c r="H2249" i="4"/>
  <c r="G2249" i="4"/>
  <c r="E2249" i="4"/>
  <c r="D2249" i="4"/>
  <c r="M2248" i="4"/>
  <c r="I2248" i="4"/>
  <c r="H2248" i="4"/>
  <c r="G2248" i="4"/>
  <c r="E2248" i="4"/>
  <c r="D2248" i="4"/>
  <c r="M2247" i="4"/>
  <c r="I2247" i="4"/>
  <c r="H2247" i="4"/>
  <c r="G2247" i="4"/>
  <c r="E2247" i="4"/>
  <c r="D2247" i="4"/>
  <c r="M2246" i="4"/>
  <c r="I2246" i="4"/>
  <c r="H2246" i="4"/>
  <c r="G2246" i="4"/>
  <c r="E2246" i="4"/>
  <c r="D2246" i="4"/>
  <c r="M2245" i="4"/>
  <c r="I2245" i="4"/>
  <c r="H2245" i="4"/>
  <c r="G2245" i="4"/>
  <c r="E2245" i="4"/>
  <c r="D2245" i="4"/>
  <c r="M2244" i="4"/>
  <c r="I2244" i="4"/>
  <c r="H2244" i="4"/>
  <c r="G2244" i="4"/>
  <c r="E2244" i="4"/>
  <c r="D2244" i="4"/>
  <c r="M2243" i="4"/>
  <c r="I2243" i="4"/>
  <c r="H2243" i="4"/>
  <c r="G2243" i="4"/>
  <c r="E2243" i="4"/>
  <c r="D2243" i="4"/>
  <c r="M2242" i="4"/>
  <c r="I2242" i="4"/>
  <c r="H2242" i="4"/>
  <c r="G2242" i="4"/>
  <c r="E2242" i="4"/>
  <c r="D2242" i="4"/>
  <c r="M2241" i="4"/>
  <c r="I2241" i="4"/>
  <c r="H2241" i="4"/>
  <c r="G2241" i="4"/>
  <c r="E2241" i="4"/>
  <c r="D2241" i="4"/>
  <c r="M2240" i="4"/>
  <c r="I2240" i="4"/>
  <c r="H2240" i="4"/>
  <c r="G2240" i="4"/>
  <c r="E2240" i="4"/>
  <c r="D2240" i="4"/>
  <c r="M2239" i="4"/>
  <c r="I2239" i="4"/>
  <c r="H2239" i="4"/>
  <c r="G2239" i="4"/>
  <c r="E2239" i="4"/>
  <c r="D2239" i="4"/>
  <c r="M2238" i="4"/>
  <c r="I2238" i="4"/>
  <c r="H2238" i="4"/>
  <c r="G2238" i="4"/>
  <c r="E2238" i="4"/>
  <c r="D2238" i="4"/>
  <c r="M2237" i="4"/>
  <c r="I2237" i="4"/>
  <c r="H2237" i="4"/>
  <c r="G2237" i="4"/>
  <c r="E2237" i="4"/>
  <c r="D2237" i="4"/>
  <c r="M2236" i="4"/>
  <c r="I2236" i="4"/>
  <c r="H2236" i="4"/>
  <c r="G2236" i="4"/>
  <c r="E2236" i="4"/>
  <c r="D2236" i="4"/>
  <c r="M2235" i="4"/>
  <c r="I2235" i="4"/>
  <c r="H2235" i="4"/>
  <c r="G2235" i="4"/>
  <c r="E2235" i="4"/>
  <c r="D2235" i="4"/>
  <c r="M2234" i="4"/>
  <c r="I2234" i="4"/>
  <c r="H2234" i="4"/>
  <c r="G2234" i="4"/>
  <c r="E2234" i="4"/>
  <c r="D2234" i="4"/>
  <c r="M2233" i="4"/>
  <c r="I2233" i="4"/>
  <c r="H2233" i="4"/>
  <c r="G2233" i="4"/>
  <c r="E2233" i="4"/>
  <c r="D2233" i="4"/>
  <c r="M2232" i="4"/>
  <c r="I2232" i="4"/>
  <c r="H2232" i="4"/>
  <c r="G2232" i="4"/>
  <c r="E2232" i="4"/>
  <c r="D2232" i="4"/>
  <c r="M2231" i="4"/>
  <c r="I2231" i="4"/>
  <c r="H2231" i="4"/>
  <c r="G2231" i="4"/>
  <c r="E2231" i="4"/>
  <c r="D2231" i="4"/>
  <c r="M2230" i="4"/>
  <c r="I2230" i="4"/>
  <c r="H2230" i="4"/>
  <c r="G2230" i="4"/>
  <c r="E2230" i="4"/>
  <c r="D2230" i="4"/>
  <c r="M2229" i="4"/>
  <c r="I2229" i="4"/>
  <c r="H2229" i="4"/>
  <c r="G2229" i="4"/>
  <c r="E2229" i="4"/>
  <c r="D2229" i="4"/>
  <c r="M2228" i="4"/>
  <c r="I2228" i="4"/>
  <c r="H2228" i="4"/>
  <c r="G2228" i="4"/>
  <c r="E2228" i="4"/>
  <c r="D2228" i="4"/>
  <c r="M2227" i="4"/>
  <c r="I2227" i="4"/>
  <c r="H2227" i="4"/>
  <c r="G2227" i="4"/>
  <c r="E2227" i="4"/>
  <c r="D2227" i="4"/>
  <c r="M2226" i="4"/>
  <c r="I2226" i="4"/>
  <c r="H2226" i="4"/>
  <c r="G2226" i="4"/>
  <c r="E2226" i="4"/>
  <c r="D2226" i="4"/>
  <c r="M2225" i="4"/>
  <c r="I2225" i="4"/>
  <c r="H2225" i="4"/>
  <c r="G2225" i="4"/>
  <c r="E2225" i="4"/>
  <c r="D2225" i="4"/>
  <c r="M2224" i="4"/>
  <c r="I2224" i="4"/>
  <c r="H2224" i="4"/>
  <c r="G2224" i="4"/>
  <c r="E2224" i="4"/>
  <c r="D2224" i="4"/>
  <c r="M2223" i="4"/>
  <c r="I2223" i="4"/>
  <c r="H2223" i="4"/>
  <c r="G2223" i="4"/>
  <c r="E2223" i="4"/>
  <c r="D2223" i="4"/>
  <c r="M2222" i="4"/>
  <c r="I2222" i="4"/>
  <c r="H2222" i="4"/>
  <c r="G2222" i="4"/>
  <c r="E2222" i="4"/>
  <c r="D2222" i="4"/>
  <c r="M2221" i="4"/>
  <c r="I2221" i="4"/>
  <c r="H2221" i="4"/>
  <c r="G2221" i="4"/>
  <c r="E2221" i="4"/>
  <c r="D2221" i="4"/>
  <c r="M2220" i="4"/>
  <c r="I2220" i="4"/>
  <c r="H2220" i="4"/>
  <c r="G2220" i="4"/>
  <c r="E2220" i="4"/>
  <c r="D2220" i="4"/>
  <c r="M2219" i="4"/>
  <c r="I2219" i="4"/>
  <c r="H2219" i="4"/>
  <c r="G2219" i="4"/>
  <c r="E2219" i="4"/>
  <c r="D2219" i="4"/>
  <c r="M2218" i="4"/>
  <c r="I2218" i="4"/>
  <c r="H2218" i="4"/>
  <c r="G2218" i="4"/>
  <c r="E2218" i="4"/>
  <c r="D2218" i="4"/>
  <c r="M2217" i="4"/>
  <c r="I2217" i="4"/>
  <c r="H2217" i="4"/>
  <c r="G2217" i="4"/>
  <c r="E2217" i="4"/>
  <c r="D2217" i="4"/>
  <c r="M2216" i="4"/>
  <c r="I2216" i="4"/>
  <c r="H2216" i="4"/>
  <c r="G2216" i="4"/>
  <c r="E2216" i="4"/>
  <c r="D2216" i="4"/>
  <c r="M2215" i="4"/>
  <c r="I2215" i="4"/>
  <c r="H2215" i="4"/>
  <c r="G2215" i="4"/>
  <c r="E2215" i="4"/>
  <c r="D2215" i="4"/>
  <c r="M2214" i="4"/>
  <c r="I2214" i="4"/>
  <c r="H2214" i="4"/>
  <c r="G2214" i="4"/>
  <c r="E2214" i="4"/>
  <c r="D2214" i="4"/>
  <c r="M2213" i="4"/>
  <c r="I2213" i="4"/>
  <c r="H2213" i="4"/>
  <c r="G2213" i="4"/>
  <c r="E2213" i="4"/>
  <c r="D2213" i="4"/>
  <c r="M2212" i="4"/>
  <c r="I2212" i="4"/>
  <c r="H2212" i="4"/>
  <c r="G2212" i="4"/>
  <c r="E2212" i="4"/>
  <c r="D2212" i="4"/>
  <c r="M2211" i="4"/>
  <c r="I2211" i="4"/>
  <c r="H2211" i="4"/>
  <c r="G2211" i="4"/>
  <c r="E2211" i="4"/>
  <c r="D2211" i="4"/>
  <c r="M2210" i="4"/>
  <c r="I2210" i="4"/>
  <c r="H2210" i="4"/>
  <c r="G2210" i="4"/>
  <c r="E2210" i="4"/>
  <c r="D2210" i="4"/>
  <c r="M2209" i="4"/>
  <c r="I2209" i="4"/>
  <c r="H2209" i="4"/>
  <c r="G2209" i="4"/>
  <c r="E2209" i="4"/>
  <c r="D2209" i="4"/>
  <c r="M2208" i="4"/>
  <c r="I2208" i="4"/>
  <c r="H2208" i="4"/>
  <c r="G2208" i="4"/>
  <c r="E2208" i="4"/>
  <c r="D2208" i="4"/>
  <c r="M2207" i="4"/>
  <c r="I2207" i="4"/>
  <c r="H2207" i="4"/>
  <c r="G2207" i="4"/>
  <c r="E2207" i="4"/>
  <c r="D2207" i="4"/>
  <c r="M2206" i="4"/>
  <c r="I2206" i="4"/>
  <c r="H2206" i="4"/>
  <c r="G2206" i="4"/>
  <c r="E2206" i="4"/>
  <c r="D2206" i="4"/>
  <c r="M2205" i="4"/>
  <c r="I2205" i="4"/>
  <c r="H2205" i="4"/>
  <c r="G2205" i="4"/>
  <c r="E2205" i="4"/>
  <c r="D2205" i="4"/>
  <c r="M2204" i="4"/>
  <c r="I2204" i="4"/>
  <c r="H2204" i="4"/>
  <c r="G2204" i="4"/>
  <c r="E2204" i="4"/>
  <c r="D2204" i="4"/>
  <c r="M2203" i="4"/>
  <c r="I2203" i="4"/>
  <c r="H2203" i="4"/>
  <c r="G2203" i="4"/>
  <c r="E2203" i="4"/>
  <c r="D2203" i="4"/>
  <c r="M2202" i="4"/>
  <c r="I2202" i="4"/>
  <c r="H2202" i="4"/>
  <c r="G2202" i="4"/>
  <c r="E2202" i="4"/>
  <c r="D2202" i="4"/>
  <c r="M2201" i="4"/>
  <c r="I2201" i="4"/>
  <c r="H2201" i="4"/>
  <c r="G2201" i="4"/>
  <c r="E2201" i="4"/>
  <c r="D2201" i="4"/>
  <c r="M2200" i="4"/>
  <c r="I2200" i="4"/>
  <c r="H2200" i="4"/>
  <c r="G2200" i="4"/>
  <c r="E2200" i="4"/>
  <c r="D2200" i="4"/>
  <c r="M2199" i="4"/>
  <c r="I2199" i="4"/>
  <c r="H2199" i="4"/>
  <c r="G2199" i="4"/>
  <c r="E2199" i="4"/>
  <c r="D2199" i="4"/>
  <c r="M2198" i="4"/>
  <c r="I2198" i="4"/>
  <c r="H2198" i="4"/>
  <c r="G2198" i="4"/>
  <c r="E2198" i="4"/>
  <c r="D2198" i="4"/>
  <c r="M2197" i="4"/>
  <c r="I2197" i="4"/>
  <c r="H2197" i="4"/>
  <c r="G2197" i="4"/>
  <c r="E2197" i="4"/>
  <c r="D2197" i="4"/>
  <c r="M2196" i="4"/>
  <c r="I2196" i="4"/>
  <c r="H2196" i="4"/>
  <c r="G2196" i="4"/>
  <c r="E2196" i="4"/>
  <c r="D2196" i="4"/>
  <c r="M2195" i="4"/>
  <c r="I2195" i="4"/>
  <c r="H2195" i="4"/>
  <c r="G2195" i="4"/>
  <c r="E2195" i="4"/>
  <c r="D2195" i="4"/>
  <c r="M2194" i="4"/>
  <c r="I2194" i="4"/>
  <c r="H2194" i="4"/>
  <c r="G2194" i="4"/>
  <c r="E2194" i="4"/>
  <c r="D2194" i="4"/>
  <c r="M2193" i="4"/>
  <c r="I2193" i="4"/>
  <c r="H2193" i="4"/>
  <c r="G2193" i="4"/>
  <c r="E2193" i="4"/>
  <c r="D2193" i="4"/>
  <c r="M2192" i="4"/>
  <c r="I2192" i="4"/>
  <c r="H2192" i="4"/>
  <c r="G2192" i="4"/>
  <c r="E2192" i="4"/>
  <c r="D2192" i="4"/>
  <c r="M2191" i="4"/>
  <c r="I2191" i="4"/>
  <c r="H2191" i="4"/>
  <c r="G2191" i="4"/>
  <c r="E2191" i="4"/>
  <c r="D2191" i="4"/>
  <c r="M2190" i="4"/>
  <c r="I2190" i="4"/>
  <c r="H2190" i="4"/>
  <c r="G2190" i="4"/>
  <c r="E2190" i="4"/>
  <c r="D2190" i="4"/>
  <c r="M2189" i="4"/>
  <c r="I2189" i="4"/>
  <c r="H2189" i="4"/>
  <c r="G2189" i="4"/>
  <c r="E2189" i="4"/>
  <c r="D2189" i="4"/>
  <c r="M2188" i="4"/>
  <c r="I2188" i="4"/>
  <c r="H2188" i="4"/>
  <c r="G2188" i="4"/>
  <c r="E2188" i="4"/>
  <c r="D2188" i="4"/>
  <c r="M2187" i="4"/>
  <c r="I2187" i="4"/>
  <c r="H2187" i="4"/>
  <c r="G2187" i="4"/>
  <c r="E2187" i="4"/>
  <c r="D2187" i="4"/>
  <c r="M2186" i="4"/>
  <c r="I2186" i="4"/>
  <c r="H2186" i="4"/>
  <c r="G2186" i="4"/>
  <c r="E2186" i="4"/>
  <c r="D2186" i="4"/>
  <c r="M2185" i="4"/>
  <c r="I2185" i="4"/>
  <c r="H2185" i="4"/>
  <c r="G2185" i="4"/>
  <c r="E2185" i="4"/>
  <c r="D2185" i="4"/>
  <c r="M2184" i="4"/>
  <c r="I2184" i="4"/>
  <c r="H2184" i="4"/>
  <c r="G2184" i="4"/>
  <c r="E2184" i="4"/>
  <c r="D2184" i="4"/>
  <c r="M2183" i="4"/>
  <c r="I2183" i="4"/>
  <c r="H2183" i="4"/>
  <c r="G2183" i="4"/>
  <c r="E2183" i="4"/>
  <c r="D2183" i="4"/>
  <c r="M2182" i="4"/>
  <c r="I2182" i="4"/>
  <c r="H2182" i="4"/>
  <c r="G2182" i="4"/>
  <c r="E2182" i="4"/>
  <c r="D2182" i="4"/>
  <c r="M2181" i="4"/>
  <c r="I2181" i="4"/>
  <c r="H2181" i="4"/>
  <c r="G2181" i="4"/>
  <c r="E2181" i="4"/>
  <c r="D2181" i="4"/>
  <c r="M2180" i="4"/>
  <c r="I2180" i="4"/>
  <c r="H2180" i="4"/>
  <c r="G2180" i="4"/>
  <c r="E2180" i="4"/>
  <c r="D2180" i="4"/>
  <c r="M2179" i="4"/>
  <c r="I2179" i="4"/>
  <c r="H2179" i="4"/>
  <c r="G2179" i="4"/>
  <c r="E2179" i="4"/>
  <c r="D2179" i="4"/>
  <c r="M2178" i="4"/>
  <c r="I2178" i="4"/>
  <c r="H2178" i="4"/>
  <c r="G2178" i="4"/>
  <c r="E2178" i="4"/>
  <c r="D2178" i="4"/>
  <c r="M2177" i="4"/>
  <c r="I2177" i="4"/>
  <c r="H2177" i="4"/>
  <c r="G2177" i="4"/>
  <c r="E2177" i="4"/>
  <c r="D2177" i="4"/>
  <c r="M2176" i="4"/>
  <c r="I2176" i="4"/>
  <c r="H2176" i="4"/>
  <c r="G2176" i="4"/>
  <c r="E2176" i="4"/>
  <c r="D2176" i="4"/>
  <c r="M2175" i="4"/>
  <c r="I2175" i="4"/>
  <c r="H2175" i="4"/>
  <c r="G2175" i="4"/>
  <c r="E2175" i="4"/>
  <c r="D2175" i="4"/>
  <c r="M2174" i="4"/>
  <c r="I2174" i="4"/>
  <c r="H2174" i="4"/>
  <c r="G2174" i="4"/>
  <c r="E2174" i="4"/>
  <c r="D2174" i="4"/>
  <c r="M2173" i="4"/>
  <c r="I2173" i="4"/>
  <c r="H2173" i="4"/>
  <c r="G2173" i="4"/>
  <c r="E2173" i="4"/>
  <c r="D2173" i="4"/>
  <c r="M2172" i="4"/>
  <c r="I2172" i="4"/>
  <c r="H2172" i="4"/>
  <c r="G2172" i="4"/>
  <c r="E2172" i="4"/>
  <c r="D2172" i="4"/>
  <c r="M2171" i="4"/>
  <c r="I2171" i="4"/>
  <c r="H2171" i="4"/>
  <c r="G2171" i="4"/>
  <c r="E2171" i="4"/>
  <c r="D2171" i="4"/>
  <c r="M2170" i="4"/>
  <c r="I2170" i="4"/>
  <c r="H2170" i="4"/>
  <c r="G2170" i="4"/>
  <c r="E2170" i="4"/>
  <c r="D2170" i="4"/>
  <c r="M2169" i="4"/>
  <c r="I2169" i="4"/>
  <c r="H2169" i="4"/>
  <c r="G2169" i="4"/>
  <c r="E2169" i="4"/>
  <c r="D2169" i="4"/>
  <c r="M2168" i="4"/>
  <c r="I2168" i="4"/>
  <c r="H2168" i="4"/>
  <c r="G2168" i="4"/>
  <c r="E2168" i="4"/>
  <c r="D2168" i="4"/>
  <c r="M2167" i="4"/>
  <c r="I2167" i="4"/>
  <c r="H2167" i="4"/>
  <c r="G2167" i="4"/>
  <c r="E2167" i="4"/>
  <c r="D2167" i="4"/>
  <c r="M2166" i="4"/>
  <c r="I2166" i="4"/>
  <c r="H2166" i="4"/>
  <c r="G2166" i="4"/>
  <c r="E2166" i="4"/>
  <c r="D2166" i="4"/>
  <c r="M2165" i="4"/>
  <c r="I2165" i="4"/>
  <c r="H2165" i="4"/>
  <c r="G2165" i="4"/>
  <c r="E2165" i="4"/>
  <c r="D2165" i="4"/>
  <c r="M2164" i="4"/>
  <c r="I2164" i="4"/>
  <c r="H2164" i="4"/>
  <c r="G2164" i="4"/>
  <c r="E2164" i="4"/>
  <c r="D2164" i="4"/>
  <c r="M2163" i="4"/>
  <c r="I2163" i="4"/>
  <c r="H2163" i="4"/>
  <c r="G2163" i="4"/>
  <c r="E2163" i="4"/>
  <c r="D2163" i="4"/>
  <c r="M2162" i="4"/>
  <c r="I2162" i="4"/>
  <c r="H2162" i="4"/>
  <c r="G2162" i="4"/>
  <c r="E2162" i="4"/>
  <c r="D2162" i="4"/>
  <c r="M2161" i="4"/>
  <c r="I2161" i="4"/>
  <c r="H2161" i="4"/>
  <c r="G2161" i="4"/>
  <c r="E2161" i="4"/>
  <c r="D2161" i="4"/>
  <c r="M2160" i="4"/>
  <c r="I2160" i="4"/>
  <c r="H2160" i="4"/>
  <c r="G2160" i="4"/>
  <c r="E2160" i="4"/>
  <c r="D2160" i="4"/>
  <c r="M2159" i="4"/>
  <c r="I2159" i="4"/>
  <c r="H2159" i="4"/>
  <c r="G2159" i="4"/>
  <c r="E2159" i="4"/>
  <c r="D2159" i="4"/>
  <c r="M2158" i="4"/>
  <c r="I2158" i="4"/>
  <c r="H2158" i="4"/>
  <c r="G2158" i="4"/>
  <c r="E2158" i="4"/>
  <c r="D2158" i="4"/>
  <c r="M2157" i="4"/>
  <c r="I2157" i="4"/>
  <c r="H2157" i="4"/>
  <c r="G2157" i="4"/>
  <c r="E2157" i="4"/>
  <c r="D2157" i="4"/>
  <c r="M2156" i="4"/>
  <c r="I2156" i="4"/>
  <c r="H2156" i="4"/>
  <c r="G2156" i="4"/>
  <c r="E2156" i="4"/>
  <c r="D2156" i="4"/>
  <c r="M2155" i="4"/>
  <c r="I2155" i="4"/>
  <c r="H2155" i="4"/>
  <c r="G2155" i="4"/>
  <c r="E2155" i="4"/>
  <c r="D2155" i="4"/>
  <c r="M2154" i="4"/>
  <c r="I2154" i="4"/>
  <c r="H2154" i="4"/>
  <c r="G2154" i="4"/>
  <c r="E2154" i="4"/>
  <c r="D2154" i="4"/>
  <c r="M2153" i="4"/>
  <c r="I2153" i="4"/>
  <c r="H2153" i="4"/>
  <c r="G2153" i="4"/>
  <c r="E2153" i="4"/>
  <c r="D2153" i="4"/>
  <c r="M2152" i="4"/>
  <c r="I2152" i="4"/>
  <c r="H2152" i="4"/>
  <c r="G2152" i="4"/>
  <c r="E2152" i="4"/>
  <c r="D2152" i="4"/>
  <c r="M2151" i="4"/>
  <c r="I2151" i="4"/>
  <c r="H2151" i="4"/>
  <c r="G2151" i="4"/>
  <c r="E2151" i="4"/>
  <c r="D2151" i="4"/>
  <c r="M2150" i="4"/>
  <c r="I2150" i="4"/>
  <c r="H2150" i="4"/>
  <c r="G2150" i="4"/>
  <c r="E2150" i="4"/>
  <c r="D2150" i="4"/>
  <c r="M2149" i="4"/>
  <c r="I2149" i="4"/>
  <c r="H2149" i="4"/>
  <c r="G2149" i="4"/>
  <c r="E2149" i="4"/>
  <c r="D2149" i="4"/>
  <c r="M2148" i="4"/>
  <c r="I2148" i="4"/>
  <c r="H2148" i="4"/>
  <c r="G2148" i="4"/>
  <c r="E2148" i="4"/>
  <c r="D2148" i="4"/>
  <c r="M2147" i="4"/>
  <c r="I2147" i="4"/>
  <c r="H2147" i="4"/>
  <c r="G2147" i="4"/>
  <c r="E2147" i="4"/>
  <c r="D2147" i="4"/>
  <c r="M2146" i="4"/>
  <c r="I2146" i="4"/>
  <c r="H2146" i="4"/>
  <c r="G2146" i="4"/>
  <c r="E2146" i="4"/>
  <c r="D2146" i="4"/>
  <c r="M2145" i="4"/>
  <c r="I2145" i="4"/>
  <c r="H2145" i="4"/>
  <c r="G2145" i="4"/>
  <c r="E2145" i="4"/>
  <c r="D2145" i="4"/>
  <c r="M2144" i="4"/>
  <c r="I2144" i="4"/>
  <c r="H2144" i="4"/>
  <c r="G2144" i="4"/>
  <c r="E2144" i="4"/>
  <c r="D2144" i="4"/>
  <c r="M2143" i="4"/>
  <c r="I2143" i="4"/>
  <c r="H2143" i="4"/>
  <c r="G2143" i="4"/>
  <c r="E2143" i="4"/>
  <c r="D2143" i="4"/>
  <c r="M2142" i="4"/>
  <c r="I2142" i="4"/>
  <c r="H2142" i="4"/>
  <c r="G2142" i="4"/>
  <c r="E2142" i="4"/>
  <c r="D2142" i="4"/>
  <c r="M2141" i="4"/>
  <c r="I2141" i="4"/>
  <c r="H2141" i="4"/>
  <c r="G2141" i="4"/>
  <c r="E2141" i="4"/>
  <c r="D2141" i="4"/>
  <c r="M2140" i="4"/>
  <c r="I2140" i="4"/>
  <c r="H2140" i="4"/>
  <c r="G2140" i="4"/>
  <c r="E2140" i="4"/>
  <c r="D2140" i="4"/>
  <c r="M2139" i="4"/>
  <c r="I2139" i="4"/>
  <c r="H2139" i="4"/>
  <c r="G2139" i="4"/>
  <c r="E2139" i="4"/>
  <c r="D2139" i="4"/>
  <c r="M2138" i="4"/>
  <c r="I2138" i="4"/>
  <c r="H2138" i="4"/>
  <c r="G2138" i="4"/>
  <c r="E2138" i="4"/>
  <c r="D2138" i="4"/>
  <c r="M2137" i="4"/>
  <c r="I2137" i="4"/>
  <c r="H2137" i="4"/>
  <c r="G2137" i="4"/>
  <c r="E2137" i="4"/>
  <c r="D2137" i="4"/>
  <c r="M2136" i="4"/>
  <c r="I2136" i="4"/>
  <c r="H2136" i="4"/>
  <c r="G2136" i="4"/>
  <c r="E2136" i="4"/>
  <c r="D2136" i="4"/>
  <c r="M2135" i="4"/>
  <c r="I2135" i="4"/>
  <c r="H2135" i="4"/>
  <c r="G2135" i="4"/>
  <c r="E2135" i="4"/>
  <c r="D2135" i="4"/>
  <c r="M2134" i="4"/>
  <c r="I2134" i="4"/>
  <c r="H2134" i="4"/>
  <c r="G2134" i="4"/>
  <c r="E2134" i="4"/>
  <c r="D2134" i="4"/>
  <c r="M2133" i="4"/>
  <c r="I2133" i="4"/>
  <c r="H2133" i="4"/>
  <c r="G2133" i="4"/>
  <c r="E2133" i="4"/>
  <c r="D2133" i="4"/>
  <c r="M2132" i="4"/>
  <c r="I2132" i="4"/>
  <c r="H2132" i="4"/>
  <c r="G2132" i="4"/>
  <c r="E2132" i="4"/>
  <c r="D2132" i="4"/>
  <c r="M2131" i="4"/>
  <c r="I2131" i="4"/>
  <c r="H2131" i="4"/>
  <c r="G2131" i="4"/>
  <c r="E2131" i="4"/>
  <c r="D2131" i="4"/>
  <c r="M2130" i="4"/>
  <c r="I2130" i="4"/>
  <c r="H2130" i="4"/>
  <c r="G2130" i="4"/>
  <c r="E2130" i="4"/>
  <c r="D2130" i="4"/>
  <c r="M2129" i="4"/>
  <c r="I2129" i="4"/>
  <c r="H2129" i="4"/>
  <c r="G2129" i="4"/>
  <c r="E2129" i="4"/>
  <c r="D2129" i="4"/>
  <c r="M2128" i="4"/>
  <c r="I2128" i="4"/>
  <c r="H2128" i="4"/>
  <c r="G2128" i="4"/>
  <c r="E2128" i="4"/>
  <c r="D2128" i="4"/>
  <c r="M2127" i="4"/>
  <c r="I2127" i="4"/>
  <c r="H2127" i="4"/>
  <c r="G2127" i="4"/>
  <c r="E2127" i="4"/>
  <c r="D2127" i="4"/>
  <c r="M2126" i="4"/>
  <c r="I2126" i="4"/>
  <c r="H2126" i="4"/>
  <c r="G2126" i="4"/>
  <c r="E2126" i="4"/>
  <c r="D2126" i="4"/>
  <c r="M2125" i="4"/>
  <c r="I2125" i="4"/>
  <c r="H2125" i="4"/>
  <c r="G2125" i="4"/>
  <c r="E2125" i="4"/>
  <c r="D2125" i="4"/>
  <c r="M2124" i="4"/>
  <c r="I2124" i="4"/>
  <c r="H2124" i="4"/>
  <c r="G2124" i="4"/>
  <c r="E2124" i="4"/>
  <c r="D2124" i="4"/>
  <c r="M2123" i="4"/>
  <c r="I2123" i="4"/>
  <c r="H2123" i="4"/>
  <c r="G2123" i="4"/>
  <c r="E2123" i="4"/>
  <c r="D2123" i="4"/>
  <c r="M2122" i="4"/>
  <c r="I2122" i="4"/>
  <c r="H2122" i="4"/>
  <c r="G2122" i="4"/>
  <c r="E2122" i="4"/>
  <c r="D2122" i="4"/>
  <c r="M2121" i="4"/>
  <c r="I2121" i="4"/>
  <c r="H2121" i="4"/>
  <c r="G2121" i="4"/>
  <c r="E2121" i="4"/>
  <c r="D2121" i="4"/>
  <c r="M2120" i="4"/>
  <c r="I2120" i="4"/>
  <c r="H2120" i="4"/>
  <c r="G2120" i="4"/>
  <c r="E2120" i="4"/>
  <c r="D2120" i="4"/>
  <c r="M2119" i="4"/>
  <c r="I2119" i="4"/>
  <c r="H2119" i="4"/>
  <c r="G2119" i="4"/>
  <c r="E2119" i="4"/>
  <c r="D2119" i="4"/>
  <c r="M2118" i="4"/>
  <c r="I2118" i="4"/>
  <c r="H2118" i="4"/>
  <c r="G2118" i="4"/>
  <c r="E2118" i="4"/>
  <c r="D2118" i="4"/>
  <c r="M2117" i="4"/>
  <c r="I2117" i="4"/>
  <c r="H2117" i="4"/>
  <c r="G2117" i="4"/>
  <c r="E2117" i="4"/>
  <c r="D2117" i="4"/>
  <c r="M2116" i="4"/>
  <c r="I2116" i="4"/>
  <c r="H2116" i="4"/>
  <c r="G2116" i="4"/>
  <c r="E2116" i="4"/>
  <c r="D2116" i="4"/>
  <c r="M2115" i="4"/>
  <c r="I2115" i="4"/>
  <c r="H2115" i="4"/>
  <c r="G2115" i="4"/>
  <c r="E2115" i="4"/>
  <c r="D2115" i="4"/>
  <c r="M2114" i="4"/>
  <c r="I2114" i="4"/>
  <c r="H2114" i="4"/>
  <c r="G2114" i="4"/>
  <c r="E2114" i="4"/>
  <c r="D2114" i="4"/>
  <c r="M2113" i="4"/>
  <c r="I2113" i="4"/>
  <c r="H2113" i="4"/>
  <c r="G2113" i="4"/>
  <c r="E2113" i="4"/>
  <c r="D2113" i="4"/>
  <c r="M2112" i="4"/>
  <c r="I2112" i="4"/>
  <c r="H2112" i="4"/>
  <c r="G2112" i="4"/>
  <c r="E2112" i="4"/>
  <c r="D2112" i="4"/>
  <c r="M2111" i="4"/>
  <c r="I2111" i="4"/>
  <c r="H2111" i="4"/>
  <c r="G2111" i="4"/>
  <c r="E2111" i="4"/>
  <c r="D2111" i="4"/>
  <c r="M2110" i="4"/>
  <c r="I2110" i="4"/>
  <c r="H2110" i="4"/>
  <c r="G2110" i="4"/>
  <c r="E2110" i="4"/>
  <c r="D2110" i="4"/>
  <c r="M2109" i="4"/>
  <c r="I2109" i="4"/>
  <c r="H2109" i="4"/>
  <c r="G2109" i="4"/>
  <c r="E2109" i="4"/>
  <c r="D2109" i="4"/>
  <c r="M2108" i="4"/>
  <c r="I2108" i="4"/>
  <c r="H2108" i="4"/>
  <c r="G2108" i="4"/>
  <c r="E2108" i="4"/>
  <c r="D2108" i="4"/>
  <c r="M2107" i="4"/>
  <c r="I2107" i="4"/>
  <c r="H2107" i="4"/>
  <c r="G2107" i="4"/>
  <c r="E2107" i="4"/>
  <c r="D2107" i="4"/>
  <c r="M2106" i="4"/>
  <c r="I2106" i="4"/>
  <c r="H2106" i="4"/>
  <c r="G2106" i="4"/>
  <c r="E2106" i="4"/>
  <c r="D2106" i="4"/>
  <c r="M2105" i="4"/>
  <c r="I2105" i="4"/>
  <c r="H2105" i="4"/>
  <c r="G2105" i="4"/>
  <c r="E2105" i="4"/>
  <c r="D2105" i="4"/>
  <c r="M2104" i="4"/>
  <c r="I2104" i="4"/>
  <c r="H2104" i="4"/>
  <c r="G2104" i="4"/>
  <c r="E2104" i="4"/>
  <c r="D2104" i="4"/>
  <c r="M2103" i="4"/>
  <c r="I2103" i="4"/>
  <c r="H2103" i="4"/>
  <c r="G2103" i="4"/>
  <c r="E2103" i="4"/>
  <c r="D2103" i="4"/>
  <c r="M2102" i="4"/>
  <c r="I2102" i="4"/>
  <c r="H2102" i="4"/>
  <c r="G2102" i="4"/>
  <c r="E2102" i="4"/>
  <c r="D2102" i="4"/>
  <c r="M2101" i="4"/>
  <c r="I2101" i="4"/>
  <c r="H2101" i="4"/>
  <c r="G2101" i="4"/>
  <c r="E2101" i="4"/>
  <c r="D2101" i="4"/>
  <c r="M2100" i="4"/>
  <c r="I2100" i="4"/>
  <c r="H2100" i="4"/>
  <c r="G2100" i="4"/>
  <c r="E2100" i="4"/>
  <c r="D2100" i="4"/>
  <c r="M2099" i="4"/>
  <c r="I2099" i="4"/>
  <c r="H2099" i="4"/>
  <c r="G2099" i="4"/>
  <c r="E2099" i="4"/>
  <c r="D2099" i="4"/>
  <c r="M2098" i="4"/>
  <c r="I2098" i="4"/>
  <c r="H2098" i="4"/>
  <c r="G2098" i="4"/>
  <c r="E2098" i="4"/>
  <c r="D2098" i="4"/>
  <c r="M2097" i="4"/>
  <c r="I2097" i="4"/>
  <c r="H2097" i="4"/>
  <c r="G2097" i="4"/>
  <c r="E2097" i="4"/>
  <c r="D2097" i="4"/>
  <c r="M2096" i="4"/>
  <c r="I2096" i="4"/>
  <c r="H2096" i="4"/>
  <c r="G2096" i="4"/>
  <c r="E2096" i="4"/>
  <c r="D2096" i="4"/>
  <c r="M2095" i="4"/>
  <c r="I2095" i="4"/>
  <c r="H2095" i="4"/>
  <c r="G2095" i="4"/>
  <c r="E2095" i="4"/>
  <c r="D2095" i="4"/>
  <c r="M2094" i="4"/>
  <c r="I2094" i="4"/>
  <c r="H2094" i="4"/>
  <c r="G2094" i="4"/>
  <c r="E2094" i="4"/>
  <c r="D2094" i="4"/>
  <c r="M2093" i="4"/>
  <c r="I2093" i="4"/>
  <c r="H2093" i="4"/>
  <c r="G2093" i="4"/>
  <c r="E2093" i="4"/>
  <c r="D2093" i="4"/>
  <c r="M2092" i="4"/>
  <c r="I2092" i="4"/>
  <c r="H2092" i="4"/>
  <c r="G2092" i="4"/>
  <c r="E2092" i="4"/>
  <c r="D2092" i="4"/>
  <c r="M2091" i="4"/>
  <c r="I2091" i="4"/>
  <c r="H2091" i="4"/>
  <c r="G2091" i="4"/>
  <c r="E2091" i="4"/>
  <c r="D2091" i="4"/>
  <c r="M2090" i="4"/>
  <c r="I2090" i="4"/>
  <c r="H2090" i="4"/>
  <c r="G2090" i="4"/>
  <c r="E2090" i="4"/>
  <c r="D2090" i="4"/>
  <c r="M2089" i="4"/>
  <c r="I2089" i="4"/>
  <c r="H2089" i="4"/>
  <c r="G2089" i="4"/>
  <c r="E2089" i="4"/>
  <c r="D2089" i="4"/>
  <c r="M2088" i="4"/>
  <c r="I2088" i="4"/>
  <c r="H2088" i="4"/>
  <c r="G2088" i="4"/>
  <c r="E2088" i="4"/>
  <c r="D2088" i="4"/>
  <c r="M2087" i="4"/>
  <c r="I2087" i="4"/>
  <c r="H2087" i="4"/>
  <c r="G2087" i="4"/>
  <c r="E2087" i="4"/>
  <c r="D2087" i="4"/>
  <c r="M2086" i="4"/>
  <c r="I2086" i="4"/>
  <c r="H2086" i="4"/>
  <c r="G2086" i="4"/>
  <c r="E2086" i="4"/>
  <c r="D2086" i="4"/>
  <c r="M2085" i="4"/>
  <c r="I2085" i="4"/>
  <c r="H2085" i="4"/>
  <c r="G2085" i="4"/>
  <c r="E2085" i="4"/>
  <c r="D2085" i="4"/>
  <c r="M2084" i="4"/>
  <c r="I2084" i="4"/>
  <c r="H2084" i="4"/>
  <c r="G2084" i="4"/>
  <c r="E2084" i="4"/>
  <c r="D2084" i="4"/>
  <c r="M2083" i="4"/>
  <c r="I2083" i="4"/>
  <c r="H2083" i="4"/>
  <c r="G2083" i="4"/>
  <c r="E2083" i="4"/>
  <c r="D2083" i="4"/>
  <c r="M2082" i="4"/>
  <c r="I2082" i="4"/>
  <c r="H2082" i="4"/>
  <c r="G2082" i="4"/>
  <c r="E2082" i="4"/>
  <c r="D2082" i="4"/>
  <c r="M2081" i="4"/>
  <c r="I2081" i="4"/>
  <c r="H2081" i="4"/>
  <c r="G2081" i="4"/>
  <c r="E2081" i="4"/>
  <c r="D2081" i="4"/>
  <c r="M2080" i="4"/>
  <c r="I2080" i="4"/>
  <c r="H2080" i="4"/>
  <c r="G2080" i="4"/>
  <c r="E2080" i="4"/>
  <c r="D2080" i="4"/>
  <c r="M2079" i="4"/>
  <c r="I2079" i="4"/>
  <c r="H2079" i="4"/>
  <c r="G2079" i="4"/>
  <c r="E2079" i="4"/>
  <c r="D2079" i="4"/>
  <c r="M2078" i="4"/>
  <c r="I2078" i="4"/>
  <c r="H2078" i="4"/>
  <c r="G2078" i="4"/>
  <c r="E2078" i="4"/>
  <c r="D2078" i="4"/>
  <c r="M2077" i="4"/>
  <c r="I2077" i="4"/>
  <c r="H2077" i="4"/>
  <c r="G2077" i="4"/>
  <c r="E2077" i="4"/>
  <c r="D2077" i="4"/>
  <c r="M2076" i="4"/>
  <c r="I2076" i="4"/>
  <c r="H2076" i="4"/>
  <c r="G2076" i="4"/>
  <c r="E2076" i="4"/>
  <c r="D2076" i="4"/>
  <c r="M2075" i="4"/>
  <c r="I2075" i="4"/>
  <c r="H2075" i="4"/>
  <c r="G2075" i="4"/>
  <c r="E2075" i="4"/>
  <c r="D2075" i="4"/>
  <c r="M2074" i="4"/>
  <c r="I2074" i="4"/>
  <c r="H2074" i="4"/>
  <c r="G2074" i="4"/>
  <c r="E2074" i="4"/>
  <c r="D2074" i="4"/>
  <c r="M2073" i="4"/>
  <c r="I2073" i="4"/>
  <c r="H2073" i="4"/>
  <c r="G2073" i="4"/>
  <c r="E2073" i="4"/>
  <c r="D2073" i="4"/>
  <c r="M2072" i="4"/>
  <c r="I2072" i="4"/>
  <c r="H2072" i="4"/>
  <c r="G2072" i="4"/>
  <c r="E2072" i="4"/>
  <c r="D2072" i="4"/>
  <c r="M2071" i="4"/>
  <c r="I2071" i="4"/>
  <c r="H2071" i="4"/>
  <c r="G2071" i="4"/>
  <c r="E2071" i="4"/>
  <c r="D2071" i="4"/>
  <c r="M2070" i="4"/>
  <c r="I2070" i="4"/>
  <c r="H2070" i="4"/>
  <c r="G2070" i="4"/>
  <c r="E2070" i="4"/>
  <c r="D2070" i="4"/>
  <c r="M2069" i="4"/>
  <c r="I2069" i="4"/>
  <c r="H2069" i="4"/>
  <c r="G2069" i="4"/>
  <c r="E2069" i="4"/>
  <c r="D2069" i="4"/>
  <c r="M2068" i="4"/>
  <c r="I2068" i="4"/>
  <c r="H2068" i="4"/>
  <c r="G2068" i="4"/>
  <c r="E2068" i="4"/>
  <c r="D2068" i="4"/>
  <c r="M2067" i="4"/>
  <c r="I2067" i="4"/>
  <c r="H2067" i="4"/>
  <c r="G2067" i="4"/>
  <c r="E2067" i="4"/>
  <c r="D2067" i="4"/>
  <c r="M2066" i="4"/>
  <c r="I2066" i="4"/>
  <c r="H2066" i="4"/>
  <c r="G2066" i="4"/>
  <c r="E2066" i="4"/>
  <c r="D2066" i="4"/>
  <c r="M2065" i="4"/>
  <c r="I2065" i="4"/>
  <c r="H2065" i="4"/>
  <c r="G2065" i="4"/>
  <c r="E2065" i="4"/>
  <c r="D2065" i="4"/>
  <c r="M2064" i="4"/>
  <c r="I2064" i="4"/>
  <c r="H2064" i="4"/>
  <c r="G2064" i="4"/>
  <c r="E2064" i="4"/>
  <c r="D2064" i="4"/>
  <c r="M2063" i="4"/>
  <c r="I2063" i="4"/>
  <c r="H2063" i="4"/>
  <c r="G2063" i="4"/>
  <c r="E2063" i="4"/>
  <c r="D2063" i="4"/>
  <c r="M2062" i="4"/>
  <c r="I2062" i="4"/>
  <c r="H2062" i="4"/>
  <c r="G2062" i="4"/>
  <c r="E2062" i="4"/>
  <c r="D2062" i="4"/>
  <c r="M2061" i="4"/>
  <c r="I2061" i="4"/>
  <c r="H2061" i="4"/>
  <c r="G2061" i="4"/>
  <c r="E2061" i="4"/>
  <c r="D2061" i="4"/>
  <c r="M2060" i="4"/>
  <c r="I2060" i="4"/>
  <c r="H2060" i="4"/>
  <c r="G2060" i="4"/>
  <c r="E2060" i="4"/>
  <c r="D2060" i="4"/>
  <c r="M2059" i="4"/>
  <c r="I2059" i="4"/>
  <c r="H2059" i="4"/>
  <c r="G2059" i="4"/>
  <c r="E2059" i="4"/>
  <c r="D2059" i="4"/>
  <c r="M2058" i="4"/>
  <c r="I2058" i="4"/>
  <c r="H2058" i="4"/>
  <c r="G2058" i="4"/>
  <c r="E2058" i="4"/>
  <c r="D2058" i="4"/>
  <c r="M2057" i="4"/>
  <c r="I2057" i="4"/>
  <c r="H2057" i="4"/>
  <c r="G2057" i="4"/>
  <c r="E2057" i="4"/>
  <c r="D2057" i="4"/>
  <c r="M2056" i="4"/>
  <c r="I2056" i="4"/>
  <c r="H2056" i="4"/>
  <c r="G2056" i="4"/>
  <c r="E2056" i="4"/>
  <c r="D2056" i="4"/>
  <c r="M2055" i="4"/>
  <c r="I2055" i="4"/>
  <c r="H2055" i="4"/>
  <c r="G2055" i="4"/>
  <c r="E2055" i="4"/>
  <c r="D2055" i="4"/>
  <c r="M2054" i="4"/>
  <c r="I2054" i="4"/>
  <c r="H2054" i="4"/>
  <c r="G2054" i="4"/>
  <c r="E2054" i="4"/>
  <c r="D2054" i="4"/>
  <c r="M2053" i="4"/>
  <c r="I2053" i="4"/>
  <c r="H2053" i="4"/>
  <c r="G2053" i="4"/>
  <c r="E2053" i="4"/>
  <c r="D2053" i="4"/>
  <c r="M2052" i="4"/>
  <c r="I2052" i="4"/>
  <c r="H2052" i="4"/>
  <c r="G2052" i="4"/>
  <c r="E2052" i="4"/>
  <c r="D2052" i="4"/>
  <c r="M2051" i="4"/>
  <c r="I2051" i="4"/>
  <c r="H2051" i="4"/>
  <c r="G2051" i="4"/>
  <c r="E2051" i="4"/>
  <c r="D2051" i="4"/>
  <c r="M2050" i="4"/>
  <c r="I2050" i="4"/>
  <c r="H2050" i="4"/>
  <c r="G2050" i="4"/>
  <c r="E2050" i="4"/>
  <c r="D2050" i="4"/>
  <c r="M2049" i="4"/>
  <c r="I2049" i="4"/>
  <c r="H2049" i="4"/>
  <c r="G2049" i="4"/>
  <c r="E2049" i="4"/>
  <c r="D2049" i="4"/>
  <c r="M2048" i="4"/>
  <c r="I2048" i="4"/>
  <c r="H2048" i="4"/>
  <c r="G2048" i="4"/>
  <c r="E2048" i="4"/>
  <c r="D2048" i="4"/>
  <c r="M2047" i="4"/>
  <c r="I2047" i="4"/>
  <c r="H2047" i="4"/>
  <c r="G2047" i="4"/>
  <c r="E2047" i="4"/>
  <c r="D2047" i="4"/>
  <c r="M2046" i="4"/>
  <c r="I2046" i="4"/>
  <c r="H2046" i="4"/>
  <c r="G2046" i="4"/>
  <c r="E2046" i="4"/>
  <c r="D2046" i="4"/>
  <c r="M2045" i="4"/>
  <c r="I2045" i="4"/>
  <c r="H2045" i="4"/>
  <c r="G2045" i="4"/>
  <c r="E2045" i="4"/>
  <c r="D2045" i="4"/>
  <c r="M2044" i="4"/>
  <c r="I2044" i="4"/>
  <c r="H2044" i="4"/>
  <c r="G2044" i="4"/>
  <c r="E2044" i="4"/>
  <c r="D2044" i="4"/>
  <c r="M2043" i="4"/>
  <c r="I2043" i="4"/>
  <c r="H2043" i="4"/>
  <c r="G2043" i="4"/>
  <c r="E2043" i="4"/>
  <c r="D2043" i="4"/>
  <c r="M2042" i="4"/>
  <c r="I2042" i="4"/>
  <c r="H2042" i="4"/>
  <c r="G2042" i="4"/>
  <c r="E2042" i="4"/>
  <c r="D2042" i="4"/>
  <c r="M2041" i="4"/>
  <c r="I2041" i="4"/>
  <c r="H2041" i="4"/>
  <c r="G2041" i="4"/>
  <c r="E2041" i="4"/>
  <c r="D2041" i="4"/>
  <c r="M2040" i="4"/>
  <c r="I2040" i="4"/>
  <c r="H2040" i="4"/>
  <c r="G2040" i="4"/>
  <c r="E2040" i="4"/>
  <c r="D2040" i="4"/>
  <c r="M2039" i="4"/>
  <c r="I2039" i="4"/>
  <c r="H2039" i="4"/>
  <c r="G2039" i="4"/>
  <c r="E2039" i="4"/>
  <c r="D2039" i="4"/>
  <c r="M2038" i="4"/>
  <c r="I2038" i="4"/>
  <c r="H2038" i="4"/>
  <c r="G2038" i="4"/>
  <c r="E2038" i="4"/>
  <c r="D2038" i="4"/>
  <c r="M2037" i="4"/>
  <c r="I2037" i="4"/>
  <c r="H2037" i="4"/>
  <c r="G2037" i="4"/>
  <c r="E2037" i="4"/>
  <c r="D2037" i="4"/>
  <c r="M2036" i="4"/>
  <c r="I2036" i="4"/>
  <c r="H2036" i="4"/>
  <c r="G2036" i="4"/>
  <c r="E2036" i="4"/>
  <c r="D2036" i="4"/>
  <c r="M2035" i="4"/>
  <c r="I2035" i="4"/>
  <c r="H2035" i="4"/>
  <c r="G2035" i="4"/>
  <c r="E2035" i="4"/>
  <c r="D2035" i="4"/>
  <c r="M2034" i="4"/>
  <c r="I2034" i="4"/>
  <c r="H2034" i="4"/>
  <c r="G2034" i="4"/>
  <c r="E2034" i="4"/>
  <c r="D2034" i="4"/>
  <c r="M2033" i="4"/>
  <c r="I2033" i="4"/>
  <c r="H2033" i="4"/>
  <c r="G2033" i="4"/>
  <c r="E2033" i="4"/>
  <c r="D2033" i="4"/>
  <c r="M2032" i="4"/>
  <c r="I2032" i="4"/>
  <c r="H2032" i="4"/>
  <c r="G2032" i="4"/>
  <c r="E2032" i="4"/>
  <c r="D2032" i="4"/>
  <c r="M2031" i="4"/>
  <c r="I2031" i="4"/>
  <c r="H2031" i="4"/>
  <c r="G2031" i="4"/>
  <c r="E2031" i="4"/>
  <c r="D2031" i="4"/>
  <c r="M2030" i="4"/>
  <c r="I2030" i="4"/>
  <c r="H2030" i="4"/>
  <c r="G2030" i="4"/>
  <c r="E2030" i="4"/>
  <c r="D2030" i="4"/>
  <c r="M2029" i="4"/>
  <c r="I2029" i="4"/>
  <c r="H2029" i="4"/>
  <c r="G2029" i="4"/>
  <c r="E2029" i="4"/>
  <c r="D2029" i="4"/>
  <c r="M2028" i="4"/>
  <c r="I2028" i="4"/>
  <c r="H2028" i="4"/>
  <c r="G2028" i="4"/>
  <c r="E2028" i="4"/>
  <c r="D2028" i="4"/>
  <c r="M2027" i="4"/>
  <c r="I2027" i="4"/>
  <c r="H2027" i="4"/>
  <c r="G2027" i="4"/>
  <c r="E2027" i="4"/>
  <c r="D2027" i="4"/>
  <c r="M2026" i="4"/>
  <c r="I2026" i="4"/>
  <c r="H2026" i="4"/>
  <c r="G2026" i="4"/>
  <c r="E2026" i="4"/>
  <c r="D2026" i="4"/>
  <c r="M2025" i="4"/>
  <c r="I2025" i="4"/>
  <c r="H2025" i="4"/>
  <c r="G2025" i="4"/>
  <c r="E2025" i="4"/>
  <c r="D2025" i="4"/>
  <c r="M2024" i="4"/>
  <c r="I2024" i="4"/>
  <c r="H2024" i="4"/>
  <c r="G2024" i="4"/>
  <c r="E2024" i="4"/>
  <c r="D2024" i="4"/>
  <c r="M2023" i="4"/>
  <c r="I2023" i="4"/>
  <c r="H2023" i="4"/>
  <c r="G2023" i="4"/>
  <c r="E2023" i="4"/>
  <c r="D2023" i="4"/>
  <c r="M2022" i="4"/>
  <c r="I2022" i="4"/>
  <c r="H2022" i="4"/>
  <c r="G2022" i="4"/>
  <c r="E2022" i="4"/>
  <c r="D2022" i="4"/>
  <c r="M2021" i="4"/>
  <c r="I2021" i="4"/>
  <c r="H2021" i="4"/>
  <c r="G2021" i="4"/>
  <c r="E2021" i="4"/>
  <c r="D2021" i="4"/>
  <c r="M2020" i="4"/>
  <c r="I2020" i="4"/>
  <c r="H2020" i="4"/>
  <c r="G2020" i="4"/>
  <c r="E2020" i="4"/>
  <c r="D2020" i="4"/>
  <c r="M2019" i="4"/>
  <c r="I2019" i="4"/>
  <c r="H2019" i="4"/>
  <c r="G2019" i="4"/>
  <c r="E2019" i="4"/>
  <c r="D2019" i="4"/>
  <c r="M2018" i="4"/>
  <c r="I2018" i="4"/>
  <c r="H2018" i="4"/>
  <c r="G2018" i="4"/>
  <c r="E2018" i="4"/>
  <c r="D2018" i="4"/>
  <c r="M2017" i="4"/>
  <c r="I2017" i="4"/>
  <c r="H2017" i="4"/>
  <c r="G2017" i="4"/>
  <c r="E2017" i="4"/>
  <c r="D2017" i="4"/>
  <c r="M2016" i="4"/>
  <c r="I2016" i="4"/>
  <c r="H2016" i="4"/>
  <c r="G2016" i="4"/>
  <c r="E2016" i="4"/>
  <c r="D2016" i="4"/>
  <c r="M2015" i="4"/>
  <c r="I2015" i="4"/>
  <c r="H2015" i="4"/>
  <c r="G2015" i="4"/>
  <c r="E2015" i="4"/>
  <c r="D2015" i="4"/>
  <c r="M2014" i="4"/>
  <c r="I2014" i="4"/>
  <c r="H2014" i="4"/>
  <c r="G2014" i="4"/>
  <c r="E2014" i="4"/>
  <c r="D2014" i="4"/>
  <c r="M2013" i="4"/>
  <c r="I2013" i="4"/>
  <c r="H2013" i="4"/>
  <c r="G2013" i="4"/>
  <c r="E2013" i="4"/>
  <c r="D2013" i="4"/>
  <c r="M2012" i="4"/>
  <c r="I2012" i="4"/>
  <c r="H2012" i="4"/>
  <c r="G2012" i="4"/>
  <c r="E2012" i="4"/>
  <c r="D2012" i="4"/>
  <c r="M2011" i="4"/>
  <c r="I2011" i="4"/>
  <c r="H2011" i="4"/>
  <c r="G2011" i="4"/>
  <c r="E2011" i="4"/>
  <c r="D2011" i="4"/>
  <c r="M2010" i="4"/>
  <c r="I2010" i="4"/>
  <c r="H2010" i="4"/>
  <c r="G2010" i="4"/>
  <c r="E2010" i="4"/>
  <c r="D2010" i="4"/>
  <c r="M2009" i="4"/>
  <c r="I2009" i="4"/>
  <c r="H2009" i="4"/>
  <c r="G2009" i="4"/>
  <c r="E2009" i="4"/>
  <c r="D2009" i="4"/>
  <c r="M2008" i="4"/>
  <c r="I2008" i="4"/>
  <c r="H2008" i="4"/>
  <c r="G2008" i="4"/>
  <c r="E2008" i="4"/>
  <c r="D2008" i="4"/>
  <c r="M2007" i="4"/>
  <c r="I2007" i="4"/>
  <c r="H2007" i="4"/>
  <c r="G2007" i="4"/>
  <c r="E2007" i="4"/>
  <c r="D2007" i="4"/>
  <c r="M2006" i="4"/>
  <c r="I2006" i="4"/>
  <c r="H2006" i="4"/>
  <c r="G2006" i="4"/>
  <c r="E2006" i="4"/>
  <c r="D2006" i="4"/>
  <c r="M2005" i="4"/>
  <c r="I2005" i="4"/>
  <c r="H2005" i="4"/>
  <c r="G2005" i="4"/>
  <c r="E2005" i="4"/>
  <c r="D2005" i="4"/>
  <c r="M2004" i="4"/>
  <c r="I2004" i="4"/>
  <c r="H2004" i="4"/>
  <c r="G2004" i="4"/>
  <c r="E2004" i="4"/>
  <c r="D2004" i="4"/>
  <c r="M2003" i="4"/>
  <c r="I2003" i="4"/>
  <c r="H2003" i="4"/>
  <c r="G2003" i="4"/>
  <c r="E2003" i="4"/>
  <c r="D2003" i="4"/>
  <c r="M2002" i="4"/>
  <c r="I2002" i="4"/>
  <c r="H2002" i="4"/>
  <c r="G2002" i="4"/>
  <c r="E2002" i="4"/>
  <c r="D2002" i="4"/>
  <c r="M2001" i="4"/>
  <c r="I2001" i="4"/>
  <c r="H2001" i="4"/>
  <c r="G2001" i="4"/>
  <c r="E2001" i="4"/>
  <c r="D2001" i="4"/>
  <c r="M2000" i="4"/>
  <c r="I2000" i="4"/>
  <c r="H2000" i="4"/>
  <c r="G2000" i="4"/>
  <c r="E2000" i="4"/>
  <c r="D2000" i="4"/>
  <c r="M1999" i="4"/>
  <c r="I1999" i="4"/>
  <c r="H1999" i="4"/>
  <c r="G1999" i="4"/>
  <c r="E1999" i="4"/>
  <c r="D1999" i="4"/>
  <c r="M1998" i="4"/>
  <c r="I1998" i="4"/>
  <c r="H1998" i="4"/>
  <c r="G1998" i="4"/>
  <c r="E1998" i="4"/>
  <c r="D1998" i="4"/>
  <c r="M1997" i="4"/>
  <c r="I1997" i="4"/>
  <c r="H1997" i="4"/>
  <c r="G1997" i="4"/>
  <c r="E1997" i="4"/>
  <c r="D1997" i="4"/>
  <c r="M1996" i="4"/>
  <c r="I1996" i="4"/>
  <c r="H1996" i="4"/>
  <c r="G1996" i="4"/>
  <c r="E1996" i="4"/>
  <c r="D1996" i="4"/>
  <c r="M1995" i="4"/>
  <c r="I1995" i="4"/>
  <c r="H1995" i="4"/>
  <c r="G1995" i="4"/>
  <c r="E1995" i="4"/>
  <c r="D1995" i="4"/>
  <c r="M1994" i="4"/>
  <c r="I1994" i="4"/>
  <c r="H1994" i="4"/>
  <c r="G1994" i="4"/>
  <c r="E1994" i="4"/>
  <c r="D1994" i="4"/>
  <c r="M1993" i="4"/>
  <c r="I1993" i="4"/>
  <c r="H1993" i="4"/>
  <c r="G1993" i="4"/>
  <c r="E1993" i="4"/>
  <c r="D1993" i="4"/>
  <c r="M1992" i="4"/>
  <c r="I1992" i="4"/>
  <c r="H1992" i="4"/>
  <c r="G1992" i="4"/>
  <c r="E1992" i="4"/>
  <c r="D1992" i="4"/>
  <c r="M1991" i="4"/>
  <c r="I1991" i="4"/>
  <c r="H1991" i="4"/>
  <c r="G1991" i="4"/>
  <c r="E1991" i="4"/>
  <c r="D1991" i="4"/>
  <c r="M1990" i="4"/>
  <c r="I1990" i="4"/>
  <c r="H1990" i="4"/>
  <c r="G1990" i="4"/>
  <c r="E1990" i="4"/>
  <c r="D1990" i="4"/>
  <c r="M1989" i="4"/>
  <c r="I1989" i="4"/>
  <c r="H1989" i="4"/>
  <c r="G1989" i="4"/>
  <c r="E1989" i="4"/>
  <c r="D1989" i="4"/>
  <c r="M1988" i="4"/>
  <c r="I1988" i="4"/>
  <c r="H1988" i="4"/>
  <c r="G1988" i="4"/>
  <c r="E1988" i="4"/>
  <c r="D1988" i="4"/>
  <c r="M1987" i="4"/>
  <c r="I1987" i="4"/>
  <c r="H1987" i="4"/>
  <c r="G1987" i="4"/>
  <c r="E1987" i="4"/>
  <c r="D1987" i="4"/>
  <c r="M1986" i="4"/>
  <c r="I1986" i="4"/>
  <c r="H1986" i="4"/>
  <c r="G1986" i="4"/>
  <c r="E1986" i="4"/>
  <c r="D1986" i="4"/>
  <c r="M1985" i="4"/>
  <c r="I1985" i="4"/>
  <c r="H1985" i="4"/>
  <c r="G1985" i="4"/>
  <c r="E1985" i="4"/>
  <c r="D1985" i="4"/>
  <c r="M1984" i="4"/>
  <c r="I1984" i="4"/>
  <c r="H1984" i="4"/>
  <c r="G1984" i="4"/>
  <c r="E1984" i="4"/>
  <c r="D1984" i="4"/>
  <c r="M1983" i="4"/>
  <c r="I1983" i="4"/>
  <c r="H1983" i="4"/>
  <c r="G1983" i="4"/>
  <c r="E1983" i="4"/>
  <c r="D1983" i="4"/>
  <c r="M1982" i="4"/>
  <c r="I1982" i="4"/>
  <c r="H1982" i="4"/>
  <c r="G1982" i="4"/>
  <c r="E1982" i="4"/>
  <c r="D1982" i="4"/>
  <c r="M1981" i="4"/>
  <c r="I1981" i="4"/>
  <c r="H1981" i="4"/>
  <c r="G1981" i="4"/>
  <c r="E1981" i="4"/>
  <c r="D1981" i="4"/>
  <c r="M1980" i="4"/>
  <c r="I1980" i="4"/>
  <c r="H1980" i="4"/>
  <c r="G1980" i="4"/>
  <c r="E1980" i="4"/>
  <c r="D1980" i="4"/>
  <c r="M1979" i="4"/>
  <c r="I1979" i="4"/>
  <c r="H1979" i="4"/>
  <c r="G1979" i="4"/>
  <c r="E1979" i="4"/>
  <c r="D1979" i="4"/>
  <c r="M1978" i="4"/>
  <c r="I1978" i="4"/>
  <c r="H1978" i="4"/>
  <c r="G1978" i="4"/>
  <c r="E1978" i="4"/>
  <c r="D1978" i="4"/>
  <c r="M1977" i="4"/>
  <c r="I1977" i="4"/>
  <c r="H1977" i="4"/>
  <c r="G1977" i="4"/>
  <c r="E1977" i="4"/>
  <c r="D1977" i="4"/>
  <c r="M1976" i="4"/>
  <c r="I1976" i="4"/>
  <c r="H1976" i="4"/>
  <c r="G1976" i="4"/>
  <c r="E1976" i="4"/>
  <c r="D1976" i="4"/>
  <c r="M1975" i="4"/>
  <c r="I1975" i="4"/>
  <c r="H1975" i="4"/>
  <c r="G1975" i="4"/>
  <c r="E1975" i="4"/>
  <c r="D1975" i="4"/>
  <c r="M1974" i="4"/>
  <c r="I1974" i="4"/>
  <c r="H1974" i="4"/>
  <c r="G1974" i="4"/>
  <c r="E1974" i="4"/>
  <c r="D1974" i="4"/>
  <c r="M1973" i="4"/>
  <c r="I1973" i="4"/>
  <c r="H1973" i="4"/>
  <c r="G1973" i="4"/>
  <c r="E1973" i="4"/>
  <c r="D1973" i="4"/>
  <c r="M1972" i="4"/>
  <c r="I1972" i="4"/>
  <c r="H1972" i="4"/>
  <c r="G1972" i="4"/>
  <c r="E1972" i="4"/>
  <c r="D1972" i="4"/>
  <c r="M1971" i="4"/>
  <c r="I1971" i="4"/>
  <c r="H1971" i="4"/>
  <c r="G1971" i="4"/>
  <c r="E1971" i="4"/>
  <c r="D1971" i="4"/>
  <c r="M1970" i="4"/>
  <c r="I1970" i="4"/>
  <c r="H1970" i="4"/>
  <c r="G1970" i="4"/>
  <c r="E1970" i="4"/>
  <c r="D1970" i="4"/>
  <c r="M1969" i="4"/>
  <c r="I1969" i="4"/>
  <c r="H1969" i="4"/>
  <c r="G1969" i="4"/>
  <c r="E1969" i="4"/>
  <c r="D1969" i="4"/>
  <c r="M1968" i="4"/>
  <c r="I1968" i="4"/>
  <c r="H1968" i="4"/>
  <c r="G1968" i="4"/>
  <c r="E1968" i="4"/>
  <c r="D1968" i="4"/>
  <c r="M1967" i="4"/>
  <c r="I1967" i="4"/>
  <c r="H1967" i="4"/>
  <c r="G1967" i="4"/>
  <c r="E1967" i="4"/>
  <c r="D1967" i="4"/>
  <c r="M1966" i="4"/>
  <c r="I1966" i="4"/>
  <c r="H1966" i="4"/>
  <c r="G1966" i="4"/>
  <c r="E1966" i="4"/>
  <c r="D1966" i="4"/>
  <c r="M1965" i="4"/>
  <c r="I1965" i="4"/>
  <c r="H1965" i="4"/>
  <c r="G1965" i="4"/>
  <c r="E1965" i="4"/>
  <c r="D1965" i="4"/>
  <c r="M1964" i="4"/>
  <c r="I1964" i="4"/>
  <c r="H1964" i="4"/>
  <c r="G1964" i="4"/>
  <c r="E1964" i="4"/>
  <c r="D1964" i="4"/>
  <c r="M1963" i="4"/>
  <c r="I1963" i="4"/>
  <c r="H1963" i="4"/>
  <c r="G1963" i="4"/>
  <c r="E1963" i="4"/>
  <c r="D1963" i="4"/>
  <c r="M1962" i="4"/>
  <c r="I1962" i="4"/>
  <c r="H1962" i="4"/>
  <c r="G1962" i="4"/>
  <c r="E1962" i="4"/>
  <c r="D1962" i="4"/>
  <c r="M1961" i="4"/>
  <c r="I1961" i="4"/>
  <c r="H1961" i="4"/>
  <c r="G1961" i="4"/>
  <c r="E1961" i="4"/>
  <c r="D1961" i="4"/>
  <c r="M1960" i="4"/>
  <c r="I1960" i="4"/>
  <c r="H1960" i="4"/>
  <c r="G1960" i="4"/>
  <c r="E1960" i="4"/>
  <c r="D1960" i="4"/>
  <c r="M1959" i="4"/>
  <c r="I1959" i="4"/>
  <c r="H1959" i="4"/>
  <c r="G1959" i="4"/>
  <c r="E1959" i="4"/>
  <c r="D1959" i="4"/>
  <c r="M1958" i="4"/>
  <c r="I1958" i="4"/>
  <c r="H1958" i="4"/>
  <c r="G1958" i="4"/>
  <c r="E1958" i="4"/>
  <c r="D1958" i="4"/>
  <c r="M1957" i="4"/>
  <c r="I1957" i="4"/>
  <c r="H1957" i="4"/>
  <c r="G1957" i="4"/>
  <c r="E1957" i="4"/>
  <c r="D1957" i="4"/>
  <c r="M1956" i="4"/>
  <c r="I1956" i="4"/>
  <c r="H1956" i="4"/>
  <c r="G1956" i="4"/>
  <c r="E1956" i="4"/>
  <c r="D1956" i="4"/>
  <c r="M1955" i="4"/>
  <c r="I1955" i="4"/>
  <c r="H1955" i="4"/>
  <c r="G1955" i="4"/>
  <c r="E1955" i="4"/>
  <c r="D1955" i="4"/>
  <c r="M1954" i="4"/>
  <c r="I1954" i="4"/>
  <c r="H1954" i="4"/>
  <c r="G1954" i="4"/>
  <c r="E1954" i="4"/>
  <c r="D1954" i="4"/>
  <c r="M1953" i="4"/>
  <c r="I1953" i="4"/>
  <c r="H1953" i="4"/>
  <c r="G1953" i="4"/>
  <c r="E1953" i="4"/>
  <c r="D1953" i="4"/>
  <c r="M1952" i="4"/>
  <c r="I1952" i="4"/>
  <c r="H1952" i="4"/>
  <c r="G1952" i="4"/>
  <c r="E1952" i="4"/>
  <c r="D1952" i="4"/>
  <c r="M1951" i="4"/>
  <c r="I1951" i="4"/>
  <c r="H1951" i="4"/>
  <c r="G1951" i="4"/>
  <c r="E1951" i="4"/>
  <c r="D1951" i="4"/>
  <c r="M1950" i="4"/>
  <c r="I1950" i="4"/>
  <c r="H1950" i="4"/>
  <c r="G1950" i="4"/>
  <c r="E1950" i="4"/>
  <c r="D1950" i="4"/>
  <c r="M1949" i="4"/>
  <c r="I1949" i="4"/>
  <c r="H1949" i="4"/>
  <c r="G1949" i="4"/>
  <c r="E1949" i="4"/>
  <c r="D1949" i="4"/>
  <c r="M1948" i="4"/>
  <c r="I1948" i="4"/>
  <c r="H1948" i="4"/>
  <c r="G1948" i="4"/>
  <c r="E1948" i="4"/>
  <c r="D1948" i="4"/>
  <c r="M1947" i="4"/>
  <c r="I1947" i="4"/>
  <c r="H1947" i="4"/>
  <c r="G1947" i="4"/>
  <c r="E1947" i="4"/>
  <c r="D1947" i="4"/>
  <c r="M1946" i="4"/>
  <c r="I1946" i="4"/>
  <c r="H1946" i="4"/>
  <c r="G1946" i="4"/>
  <c r="E1946" i="4"/>
  <c r="D1946" i="4"/>
  <c r="M1945" i="4"/>
  <c r="I1945" i="4"/>
  <c r="H1945" i="4"/>
  <c r="G1945" i="4"/>
  <c r="E1945" i="4"/>
  <c r="D1945" i="4"/>
  <c r="M1944" i="4"/>
  <c r="I1944" i="4"/>
  <c r="H1944" i="4"/>
  <c r="G1944" i="4"/>
  <c r="E1944" i="4"/>
  <c r="D1944" i="4"/>
  <c r="M1943" i="4"/>
  <c r="I1943" i="4"/>
  <c r="H1943" i="4"/>
  <c r="G1943" i="4"/>
  <c r="E1943" i="4"/>
  <c r="D1943" i="4"/>
  <c r="M1942" i="4"/>
  <c r="I1942" i="4"/>
  <c r="H1942" i="4"/>
  <c r="G1942" i="4"/>
  <c r="E1942" i="4"/>
  <c r="D1942" i="4"/>
  <c r="M1941" i="4"/>
  <c r="I1941" i="4"/>
  <c r="H1941" i="4"/>
  <c r="G1941" i="4"/>
  <c r="E1941" i="4"/>
  <c r="D1941" i="4"/>
  <c r="M1940" i="4"/>
  <c r="I1940" i="4"/>
  <c r="H1940" i="4"/>
  <c r="G1940" i="4"/>
  <c r="E1940" i="4"/>
  <c r="D1940" i="4"/>
  <c r="M1939" i="4"/>
  <c r="I1939" i="4"/>
  <c r="H1939" i="4"/>
  <c r="G1939" i="4"/>
  <c r="E1939" i="4"/>
  <c r="D1939" i="4"/>
  <c r="M1938" i="4"/>
  <c r="I1938" i="4"/>
  <c r="H1938" i="4"/>
  <c r="G1938" i="4"/>
  <c r="E1938" i="4"/>
  <c r="D1938" i="4"/>
  <c r="M1937" i="4"/>
  <c r="I1937" i="4"/>
  <c r="H1937" i="4"/>
  <c r="G1937" i="4"/>
  <c r="E1937" i="4"/>
  <c r="D1937" i="4"/>
  <c r="M1936" i="4"/>
  <c r="I1936" i="4"/>
  <c r="H1936" i="4"/>
  <c r="G1936" i="4"/>
  <c r="E1936" i="4"/>
  <c r="D1936" i="4"/>
  <c r="M1935" i="4"/>
  <c r="I1935" i="4"/>
  <c r="H1935" i="4"/>
  <c r="G1935" i="4"/>
  <c r="E1935" i="4"/>
  <c r="D1935" i="4"/>
  <c r="M1934" i="4"/>
  <c r="I1934" i="4"/>
  <c r="H1934" i="4"/>
  <c r="G1934" i="4"/>
  <c r="E1934" i="4"/>
  <c r="D1934" i="4"/>
  <c r="M1933" i="4"/>
  <c r="I1933" i="4"/>
  <c r="H1933" i="4"/>
  <c r="G1933" i="4"/>
  <c r="E1933" i="4"/>
  <c r="D1933" i="4"/>
  <c r="M1932" i="4"/>
  <c r="I1932" i="4"/>
  <c r="H1932" i="4"/>
  <c r="G1932" i="4"/>
  <c r="E1932" i="4"/>
  <c r="D1932" i="4"/>
  <c r="M1931" i="4"/>
  <c r="I1931" i="4"/>
  <c r="H1931" i="4"/>
  <c r="G1931" i="4"/>
  <c r="E1931" i="4"/>
  <c r="D1931" i="4"/>
  <c r="M1930" i="4"/>
  <c r="I1930" i="4"/>
  <c r="H1930" i="4"/>
  <c r="G1930" i="4"/>
  <c r="E1930" i="4"/>
  <c r="D1930" i="4"/>
  <c r="M1929" i="4"/>
  <c r="I1929" i="4"/>
  <c r="H1929" i="4"/>
  <c r="G1929" i="4"/>
  <c r="E1929" i="4"/>
  <c r="D1929" i="4"/>
  <c r="M1928" i="4"/>
  <c r="I1928" i="4"/>
  <c r="H1928" i="4"/>
  <c r="G1928" i="4"/>
  <c r="E1928" i="4"/>
  <c r="D1928" i="4"/>
  <c r="M1927" i="4"/>
  <c r="I1927" i="4"/>
  <c r="H1927" i="4"/>
  <c r="G1927" i="4"/>
  <c r="E1927" i="4"/>
  <c r="D1927" i="4"/>
  <c r="M1926" i="4"/>
  <c r="I1926" i="4"/>
  <c r="H1926" i="4"/>
  <c r="G1926" i="4"/>
  <c r="E1926" i="4"/>
  <c r="D1926" i="4"/>
  <c r="M1925" i="4"/>
  <c r="I1925" i="4"/>
  <c r="H1925" i="4"/>
  <c r="G1925" i="4"/>
  <c r="E1925" i="4"/>
  <c r="D1925" i="4"/>
  <c r="M1924" i="4"/>
  <c r="I1924" i="4"/>
  <c r="H1924" i="4"/>
  <c r="G1924" i="4"/>
  <c r="E1924" i="4"/>
  <c r="D1924" i="4"/>
  <c r="M1923" i="4"/>
  <c r="I1923" i="4"/>
  <c r="H1923" i="4"/>
  <c r="G1923" i="4"/>
  <c r="E1923" i="4"/>
  <c r="D1923" i="4"/>
  <c r="M1922" i="4"/>
  <c r="I1922" i="4"/>
  <c r="H1922" i="4"/>
  <c r="G1922" i="4"/>
  <c r="E1922" i="4"/>
  <c r="D1922" i="4"/>
  <c r="M1921" i="4"/>
  <c r="I1921" i="4"/>
  <c r="H1921" i="4"/>
  <c r="G1921" i="4"/>
  <c r="E1921" i="4"/>
  <c r="D1921" i="4"/>
  <c r="M1920" i="4"/>
  <c r="I1920" i="4"/>
  <c r="H1920" i="4"/>
  <c r="G1920" i="4"/>
  <c r="E1920" i="4"/>
  <c r="D1920" i="4"/>
  <c r="M1919" i="4"/>
  <c r="I1919" i="4"/>
  <c r="H1919" i="4"/>
  <c r="G1919" i="4"/>
  <c r="E1919" i="4"/>
  <c r="D1919" i="4"/>
  <c r="M1918" i="4"/>
  <c r="I1918" i="4"/>
  <c r="H1918" i="4"/>
  <c r="G1918" i="4"/>
  <c r="E1918" i="4"/>
  <c r="D1918" i="4"/>
  <c r="M1917" i="4"/>
  <c r="I1917" i="4"/>
  <c r="H1917" i="4"/>
  <c r="G1917" i="4"/>
  <c r="E1917" i="4"/>
  <c r="D1917" i="4"/>
  <c r="M1916" i="4"/>
  <c r="I1916" i="4"/>
  <c r="H1916" i="4"/>
  <c r="G1916" i="4"/>
  <c r="E1916" i="4"/>
  <c r="D1916" i="4"/>
  <c r="M1915" i="4"/>
  <c r="I1915" i="4"/>
  <c r="H1915" i="4"/>
  <c r="G1915" i="4"/>
  <c r="E1915" i="4"/>
  <c r="D1915" i="4"/>
  <c r="M1914" i="4"/>
  <c r="I1914" i="4"/>
  <c r="H1914" i="4"/>
  <c r="G1914" i="4"/>
  <c r="E1914" i="4"/>
  <c r="D1914" i="4"/>
  <c r="M1913" i="4"/>
  <c r="I1913" i="4"/>
  <c r="H1913" i="4"/>
  <c r="G1913" i="4"/>
  <c r="E1913" i="4"/>
  <c r="D1913" i="4"/>
  <c r="M1912" i="4"/>
  <c r="I1912" i="4"/>
  <c r="H1912" i="4"/>
  <c r="G1912" i="4"/>
  <c r="E1912" i="4"/>
  <c r="D1912" i="4"/>
  <c r="M1911" i="4"/>
  <c r="I1911" i="4"/>
  <c r="H1911" i="4"/>
  <c r="G1911" i="4"/>
  <c r="E1911" i="4"/>
  <c r="D1911" i="4"/>
  <c r="M1910" i="4"/>
  <c r="I1910" i="4"/>
  <c r="H1910" i="4"/>
  <c r="G1910" i="4"/>
  <c r="E1910" i="4"/>
  <c r="D1910" i="4"/>
  <c r="M1909" i="4"/>
  <c r="I1909" i="4"/>
  <c r="H1909" i="4"/>
  <c r="G1909" i="4"/>
  <c r="E1909" i="4"/>
  <c r="D1909" i="4"/>
  <c r="M1908" i="4"/>
  <c r="I1908" i="4"/>
  <c r="H1908" i="4"/>
  <c r="G1908" i="4"/>
  <c r="E1908" i="4"/>
  <c r="D1908" i="4"/>
  <c r="M1907" i="4"/>
  <c r="I1907" i="4"/>
  <c r="H1907" i="4"/>
  <c r="G1907" i="4"/>
  <c r="E1907" i="4"/>
  <c r="D1907" i="4"/>
  <c r="M1906" i="4"/>
  <c r="I1906" i="4"/>
  <c r="H1906" i="4"/>
  <c r="G1906" i="4"/>
  <c r="E1906" i="4"/>
  <c r="D1906" i="4"/>
  <c r="M1905" i="4"/>
  <c r="I1905" i="4"/>
  <c r="H1905" i="4"/>
  <c r="G1905" i="4"/>
  <c r="E1905" i="4"/>
  <c r="D1905" i="4"/>
  <c r="M1904" i="4"/>
  <c r="I1904" i="4"/>
  <c r="H1904" i="4"/>
  <c r="G1904" i="4"/>
  <c r="E1904" i="4"/>
  <c r="D1904" i="4"/>
  <c r="M1903" i="4"/>
  <c r="I1903" i="4"/>
  <c r="H1903" i="4"/>
  <c r="G1903" i="4"/>
  <c r="E1903" i="4"/>
  <c r="D1903" i="4"/>
  <c r="M1902" i="4"/>
  <c r="I1902" i="4"/>
  <c r="H1902" i="4"/>
  <c r="G1902" i="4"/>
  <c r="E1902" i="4"/>
  <c r="D1902" i="4"/>
  <c r="M1901" i="4"/>
  <c r="I1901" i="4"/>
  <c r="H1901" i="4"/>
  <c r="G1901" i="4"/>
  <c r="E1901" i="4"/>
  <c r="D1901" i="4"/>
  <c r="M1900" i="4"/>
  <c r="I1900" i="4"/>
  <c r="H1900" i="4"/>
  <c r="G1900" i="4"/>
  <c r="E1900" i="4"/>
  <c r="D1900" i="4"/>
  <c r="M1899" i="4"/>
  <c r="I1899" i="4"/>
  <c r="H1899" i="4"/>
  <c r="G1899" i="4"/>
  <c r="E1899" i="4"/>
  <c r="D1899" i="4"/>
  <c r="M1898" i="4"/>
  <c r="I1898" i="4"/>
  <c r="H1898" i="4"/>
  <c r="G1898" i="4"/>
  <c r="E1898" i="4"/>
  <c r="D1898" i="4"/>
  <c r="M1897" i="4"/>
  <c r="I1897" i="4"/>
  <c r="H1897" i="4"/>
  <c r="G1897" i="4"/>
  <c r="E1897" i="4"/>
  <c r="D1897" i="4"/>
  <c r="M1896" i="4"/>
  <c r="I1896" i="4"/>
  <c r="H1896" i="4"/>
  <c r="G1896" i="4"/>
  <c r="E1896" i="4"/>
  <c r="D1896" i="4"/>
  <c r="M1895" i="4"/>
  <c r="I1895" i="4"/>
  <c r="H1895" i="4"/>
  <c r="G1895" i="4"/>
  <c r="E1895" i="4"/>
  <c r="D1895" i="4"/>
  <c r="M1894" i="4"/>
  <c r="I1894" i="4"/>
  <c r="H1894" i="4"/>
  <c r="G1894" i="4"/>
  <c r="E1894" i="4"/>
  <c r="D1894" i="4"/>
  <c r="M1893" i="4"/>
  <c r="I1893" i="4"/>
  <c r="H1893" i="4"/>
  <c r="G1893" i="4"/>
  <c r="E1893" i="4"/>
  <c r="D1893" i="4"/>
  <c r="M1892" i="4"/>
  <c r="I1892" i="4"/>
  <c r="H1892" i="4"/>
  <c r="G1892" i="4"/>
  <c r="E1892" i="4"/>
  <c r="D1892" i="4"/>
  <c r="M1891" i="4"/>
  <c r="I1891" i="4"/>
  <c r="H1891" i="4"/>
  <c r="G1891" i="4"/>
  <c r="E1891" i="4"/>
  <c r="D1891" i="4"/>
  <c r="M1890" i="4"/>
  <c r="I1890" i="4"/>
  <c r="H1890" i="4"/>
  <c r="G1890" i="4"/>
  <c r="E1890" i="4"/>
  <c r="D1890" i="4"/>
  <c r="M1889" i="4"/>
  <c r="I1889" i="4"/>
  <c r="H1889" i="4"/>
  <c r="G1889" i="4"/>
  <c r="E1889" i="4"/>
  <c r="D1889" i="4"/>
  <c r="M1888" i="4"/>
  <c r="I1888" i="4"/>
  <c r="H1888" i="4"/>
  <c r="G1888" i="4"/>
  <c r="E1888" i="4"/>
  <c r="D1888" i="4"/>
  <c r="M1887" i="4"/>
  <c r="I1887" i="4"/>
  <c r="H1887" i="4"/>
  <c r="G1887" i="4"/>
  <c r="E1887" i="4"/>
  <c r="D1887" i="4"/>
  <c r="M1886" i="4"/>
  <c r="I1886" i="4"/>
  <c r="H1886" i="4"/>
  <c r="G1886" i="4"/>
  <c r="E1886" i="4"/>
  <c r="D1886" i="4"/>
  <c r="M1885" i="4"/>
  <c r="I1885" i="4"/>
  <c r="H1885" i="4"/>
  <c r="G1885" i="4"/>
  <c r="E1885" i="4"/>
  <c r="D1885" i="4"/>
  <c r="M1884" i="4"/>
  <c r="I1884" i="4"/>
  <c r="H1884" i="4"/>
  <c r="G1884" i="4"/>
  <c r="E1884" i="4"/>
  <c r="D1884" i="4"/>
  <c r="M1883" i="4"/>
  <c r="I1883" i="4"/>
  <c r="H1883" i="4"/>
  <c r="G1883" i="4"/>
  <c r="E1883" i="4"/>
  <c r="D1883" i="4"/>
  <c r="M1882" i="4"/>
  <c r="I1882" i="4"/>
  <c r="H1882" i="4"/>
  <c r="G1882" i="4"/>
  <c r="E1882" i="4"/>
  <c r="D1882" i="4"/>
  <c r="M1881" i="4"/>
  <c r="I1881" i="4"/>
  <c r="H1881" i="4"/>
  <c r="G1881" i="4"/>
  <c r="E1881" i="4"/>
  <c r="D1881" i="4"/>
  <c r="M1880" i="4"/>
  <c r="I1880" i="4"/>
  <c r="H1880" i="4"/>
  <c r="G1880" i="4"/>
  <c r="E1880" i="4"/>
  <c r="D1880" i="4"/>
  <c r="M1879" i="4"/>
  <c r="I1879" i="4"/>
  <c r="H1879" i="4"/>
  <c r="G1879" i="4"/>
  <c r="E1879" i="4"/>
  <c r="D1879" i="4"/>
  <c r="M1878" i="4"/>
  <c r="I1878" i="4"/>
  <c r="H1878" i="4"/>
  <c r="G1878" i="4"/>
  <c r="E1878" i="4"/>
  <c r="D1878" i="4"/>
  <c r="M1877" i="4"/>
  <c r="I1877" i="4"/>
  <c r="H1877" i="4"/>
  <c r="G1877" i="4"/>
  <c r="E1877" i="4"/>
  <c r="D1877" i="4"/>
  <c r="M1876" i="4"/>
  <c r="I1876" i="4"/>
  <c r="H1876" i="4"/>
  <c r="G1876" i="4"/>
  <c r="E1876" i="4"/>
  <c r="D1876" i="4"/>
  <c r="M1875" i="4"/>
  <c r="I1875" i="4"/>
  <c r="H1875" i="4"/>
  <c r="G1875" i="4"/>
  <c r="E1875" i="4"/>
  <c r="D1875" i="4"/>
  <c r="M1874" i="4"/>
  <c r="I1874" i="4"/>
  <c r="H1874" i="4"/>
  <c r="G1874" i="4"/>
  <c r="E1874" i="4"/>
  <c r="D1874" i="4"/>
  <c r="M1873" i="4"/>
  <c r="I1873" i="4"/>
  <c r="H1873" i="4"/>
  <c r="G1873" i="4"/>
  <c r="E1873" i="4"/>
  <c r="D1873" i="4"/>
  <c r="M1872" i="4"/>
  <c r="I1872" i="4"/>
  <c r="H1872" i="4"/>
  <c r="G1872" i="4"/>
  <c r="E1872" i="4"/>
  <c r="D1872" i="4"/>
  <c r="M1871" i="4"/>
  <c r="I1871" i="4"/>
  <c r="H1871" i="4"/>
  <c r="G1871" i="4"/>
  <c r="E1871" i="4"/>
  <c r="D1871" i="4"/>
  <c r="M1870" i="4"/>
  <c r="I1870" i="4"/>
  <c r="H1870" i="4"/>
  <c r="G1870" i="4"/>
  <c r="E1870" i="4"/>
  <c r="D1870" i="4"/>
  <c r="M1869" i="4"/>
  <c r="I1869" i="4"/>
  <c r="H1869" i="4"/>
  <c r="G1869" i="4"/>
  <c r="E1869" i="4"/>
  <c r="D1869" i="4"/>
  <c r="M1868" i="4"/>
  <c r="I1868" i="4"/>
  <c r="H1868" i="4"/>
  <c r="G1868" i="4"/>
  <c r="E1868" i="4"/>
  <c r="D1868" i="4"/>
  <c r="M1867" i="4"/>
  <c r="I1867" i="4"/>
  <c r="H1867" i="4"/>
  <c r="G1867" i="4"/>
  <c r="E1867" i="4"/>
  <c r="D1867" i="4"/>
  <c r="M1866" i="4"/>
  <c r="I1866" i="4"/>
  <c r="H1866" i="4"/>
  <c r="G1866" i="4"/>
  <c r="E1866" i="4"/>
  <c r="D1866" i="4"/>
  <c r="M1865" i="4"/>
  <c r="I1865" i="4"/>
  <c r="H1865" i="4"/>
  <c r="G1865" i="4"/>
  <c r="E1865" i="4"/>
  <c r="D1865" i="4"/>
  <c r="M1864" i="4"/>
  <c r="I1864" i="4"/>
  <c r="H1864" i="4"/>
  <c r="G1864" i="4"/>
  <c r="E1864" i="4"/>
  <c r="D1864" i="4"/>
  <c r="M1863" i="4"/>
  <c r="I1863" i="4"/>
  <c r="H1863" i="4"/>
  <c r="G1863" i="4"/>
  <c r="E1863" i="4"/>
  <c r="D1863" i="4"/>
  <c r="M1862" i="4"/>
  <c r="I1862" i="4"/>
  <c r="H1862" i="4"/>
  <c r="G1862" i="4"/>
  <c r="E1862" i="4"/>
  <c r="D1862" i="4"/>
  <c r="M1861" i="4"/>
  <c r="I1861" i="4"/>
  <c r="H1861" i="4"/>
  <c r="G1861" i="4"/>
  <c r="E1861" i="4"/>
  <c r="D1861" i="4"/>
  <c r="M1860" i="4"/>
  <c r="I1860" i="4"/>
  <c r="H1860" i="4"/>
  <c r="G1860" i="4"/>
  <c r="E1860" i="4"/>
  <c r="D1860" i="4"/>
  <c r="M1859" i="4"/>
  <c r="I1859" i="4"/>
  <c r="H1859" i="4"/>
  <c r="G1859" i="4"/>
  <c r="E1859" i="4"/>
  <c r="D1859" i="4"/>
  <c r="M1858" i="4"/>
  <c r="I1858" i="4"/>
  <c r="H1858" i="4"/>
  <c r="G1858" i="4"/>
  <c r="E1858" i="4"/>
  <c r="D1858" i="4"/>
  <c r="M1857" i="4"/>
  <c r="I1857" i="4"/>
  <c r="H1857" i="4"/>
  <c r="G1857" i="4"/>
  <c r="E1857" i="4"/>
  <c r="D1857" i="4"/>
  <c r="M1856" i="4"/>
  <c r="I1856" i="4"/>
  <c r="H1856" i="4"/>
  <c r="G1856" i="4"/>
  <c r="E1856" i="4"/>
  <c r="D1856" i="4"/>
  <c r="M1855" i="4"/>
  <c r="I1855" i="4"/>
  <c r="H1855" i="4"/>
  <c r="G1855" i="4"/>
  <c r="E1855" i="4"/>
  <c r="D1855" i="4"/>
  <c r="M1854" i="4"/>
  <c r="I1854" i="4"/>
  <c r="H1854" i="4"/>
  <c r="G1854" i="4"/>
  <c r="E1854" i="4"/>
  <c r="D1854" i="4"/>
  <c r="M1853" i="4"/>
  <c r="I1853" i="4"/>
  <c r="H1853" i="4"/>
  <c r="G1853" i="4"/>
  <c r="E1853" i="4"/>
  <c r="D1853" i="4"/>
  <c r="M1852" i="4"/>
  <c r="I1852" i="4"/>
  <c r="H1852" i="4"/>
  <c r="G1852" i="4"/>
  <c r="E1852" i="4"/>
  <c r="D1852" i="4"/>
  <c r="M1851" i="4"/>
  <c r="I1851" i="4"/>
  <c r="H1851" i="4"/>
  <c r="G1851" i="4"/>
  <c r="E1851" i="4"/>
  <c r="D1851" i="4"/>
  <c r="M1850" i="4"/>
  <c r="I1850" i="4"/>
  <c r="H1850" i="4"/>
  <c r="G1850" i="4"/>
  <c r="E1850" i="4"/>
  <c r="D1850" i="4"/>
  <c r="M1849" i="4"/>
  <c r="I1849" i="4"/>
  <c r="H1849" i="4"/>
  <c r="G1849" i="4"/>
  <c r="E1849" i="4"/>
  <c r="D1849" i="4"/>
  <c r="M1848" i="4"/>
  <c r="I1848" i="4"/>
  <c r="H1848" i="4"/>
  <c r="G1848" i="4"/>
  <c r="E1848" i="4"/>
  <c r="D1848" i="4"/>
  <c r="M1847" i="4"/>
  <c r="I1847" i="4"/>
  <c r="H1847" i="4"/>
  <c r="G1847" i="4"/>
  <c r="E1847" i="4"/>
  <c r="D1847" i="4"/>
  <c r="M1846" i="4"/>
  <c r="I1846" i="4"/>
  <c r="H1846" i="4"/>
  <c r="G1846" i="4"/>
  <c r="E1846" i="4"/>
  <c r="D1846" i="4"/>
  <c r="M1845" i="4"/>
  <c r="I1845" i="4"/>
  <c r="H1845" i="4"/>
  <c r="G1845" i="4"/>
  <c r="E1845" i="4"/>
  <c r="D1845" i="4"/>
  <c r="M1844" i="4"/>
  <c r="I1844" i="4"/>
  <c r="H1844" i="4"/>
  <c r="G1844" i="4"/>
  <c r="E1844" i="4"/>
  <c r="D1844" i="4"/>
  <c r="M1843" i="4"/>
  <c r="I1843" i="4"/>
  <c r="H1843" i="4"/>
  <c r="G1843" i="4"/>
  <c r="E1843" i="4"/>
  <c r="D1843" i="4"/>
  <c r="M1842" i="4"/>
  <c r="I1842" i="4"/>
  <c r="H1842" i="4"/>
  <c r="G1842" i="4"/>
  <c r="E1842" i="4"/>
  <c r="D1842" i="4"/>
  <c r="M1841" i="4"/>
  <c r="I1841" i="4"/>
  <c r="H1841" i="4"/>
  <c r="G1841" i="4"/>
  <c r="E1841" i="4"/>
  <c r="D1841" i="4"/>
  <c r="M1840" i="4"/>
  <c r="I1840" i="4"/>
  <c r="H1840" i="4"/>
  <c r="G1840" i="4"/>
  <c r="E1840" i="4"/>
  <c r="D1840" i="4"/>
  <c r="M1839" i="4"/>
  <c r="I1839" i="4"/>
  <c r="H1839" i="4"/>
  <c r="G1839" i="4"/>
  <c r="E1839" i="4"/>
  <c r="D1839" i="4"/>
  <c r="M1838" i="4"/>
  <c r="I1838" i="4"/>
  <c r="H1838" i="4"/>
  <c r="G1838" i="4"/>
  <c r="E1838" i="4"/>
  <c r="D1838" i="4"/>
  <c r="M1837" i="4"/>
  <c r="I1837" i="4"/>
  <c r="H1837" i="4"/>
  <c r="G1837" i="4"/>
  <c r="E1837" i="4"/>
  <c r="D1837" i="4"/>
  <c r="M1836" i="4"/>
  <c r="I1836" i="4"/>
  <c r="H1836" i="4"/>
  <c r="G1836" i="4"/>
  <c r="E1836" i="4"/>
  <c r="D1836" i="4"/>
  <c r="M1835" i="4"/>
  <c r="I1835" i="4"/>
  <c r="H1835" i="4"/>
  <c r="G1835" i="4"/>
  <c r="E1835" i="4"/>
  <c r="D1835" i="4"/>
  <c r="M1834" i="4"/>
  <c r="I1834" i="4"/>
  <c r="H1834" i="4"/>
  <c r="G1834" i="4"/>
  <c r="E1834" i="4"/>
  <c r="D1834" i="4"/>
  <c r="M1833" i="4"/>
  <c r="I1833" i="4"/>
  <c r="H1833" i="4"/>
  <c r="G1833" i="4"/>
  <c r="E1833" i="4"/>
  <c r="D1833" i="4"/>
  <c r="M1832" i="4"/>
  <c r="I1832" i="4"/>
  <c r="H1832" i="4"/>
  <c r="G1832" i="4"/>
  <c r="E1832" i="4"/>
  <c r="D1832" i="4"/>
  <c r="M1831" i="4"/>
  <c r="I1831" i="4"/>
  <c r="H1831" i="4"/>
  <c r="G1831" i="4"/>
  <c r="E1831" i="4"/>
  <c r="D1831" i="4"/>
  <c r="M1830" i="4"/>
  <c r="I1830" i="4"/>
  <c r="H1830" i="4"/>
  <c r="G1830" i="4"/>
  <c r="E1830" i="4"/>
  <c r="D1830" i="4"/>
  <c r="M1829" i="4"/>
  <c r="I1829" i="4"/>
  <c r="H1829" i="4"/>
  <c r="G1829" i="4"/>
  <c r="E1829" i="4"/>
  <c r="D1829" i="4"/>
  <c r="M1828" i="4"/>
  <c r="I1828" i="4"/>
  <c r="H1828" i="4"/>
  <c r="G1828" i="4"/>
  <c r="E1828" i="4"/>
  <c r="D1828" i="4"/>
  <c r="M1827" i="4"/>
  <c r="I1827" i="4"/>
  <c r="H1827" i="4"/>
  <c r="G1827" i="4"/>
  <c r="E1827" i="4"/>
  <c r="D1827" i="4"/>
  <c r="M1826" i="4"/>
  <c r="I1826" i="4"/>
  <c r="H1826" i="4"/>
  <c r="G1826" i="4"/>
  <c r="E1826" i="4"/>
  <c r="D1826" i="4"/>
  <c r="M1825" i="4"/>
  <c r="I1825" i="4"/>
  <c r="H1825" i="4"/>
  <c r="G1825" i="4"/>
  <c r="E1825" i="4"/>
  <c r="D1825" i="4"/>
  <c r="M1824" i="4"/>
  <c r="I1824" i="4"/>
  <c r="H1824" i="4"/>
  <c r="G1824" i="4"/>
  <c r="E1824" i="4"/>
  <c r="D1824" i="4"/>
  <c r="M1823" i="4"/>
  <c r="I1823" i="4"/>
  <c r="H1823" i="4"/>
  <c r="G1823" i="4"/>
  <c r="E1823" i="4"/>
  <c r="D1823" i="4"/>
  <c r="M1822" i="4"/>
  <c r="I1822" i="4"/>
  <c r="H1822" i="4"/>
  <c r="G1822" i="4"/>
  <c r="E1822" i="4"/>
  <c r="D1822" i="4"/>
  <c r="M1821" i="4"/>
  <c r="I1821" i="4"/>
  <c r="H1821" i="4"/>
  <c r="G1821" i="4"/>
  <c r="E1821" i="4"/>
  <c r="D1821" i="4"/>
  <c r="M1820" i="4"/>
  <c r="I1820" i="4"/>
  <c r="H1820" i="4"/>
  <c r="G1820" i="4"/>
  <c r="E1820" i="4"/>
  <c r="D1820" i="4"/>
  <c r="M1819" i="4"/>
  <c r="I1819" i="4"/>
  <c r="H1819" i="4"/>
  <c r="G1819" i="4"/>
  <c r="E1819" i="4"/>
  <c r="D1819" i="4"/>
  <c r="M1818" i="4"/>
  <c r="I1818" i="4"/>
  <c r="H1818" i="4"/>
  <c r="G1818" i="4"/>
  <c r="E1818" i="4"/>
  <c r="D1818" i="4"/>
  <c r="M1817" i="4"/>
  <c r="I1817" i="4"/>
  <c r="H1817" i="4"/>
  <c r="G1817" i="4"/>
  <c r="E1817" i="4"/>
  <c r="D1817" i="4"/>
  <c r="M1816" i="4"/>
  <c r="I1816" i="4"/>
  <c r="H1816" i="4"/>
  <c r="G1816" i="4"/>
  <c r="E1816" i="4"/>
  <c r="D1816" i="4"/>
  <c r="M1815" i="4"/>
  <c r="I1815" i="4"/>
  <c r="H1815" i="4"/>
  <c r="G1815" i="4"/>
  <c r="E1815" i="4"/>
  <c r="D1815" i="4"/>
  <c r="M1814" i="4"/>
  <c r="I1814" i="4"/>
  <c r="H1814" i="4"/>
  <c r="G1814" i="4"/>
  <c r="E1814" i="4"/>
  <c r="D1814" i="4"/>
  <c r="M1813" i="4"/>
  <c r="I1813" i="4"/>
  <c r="H1813" i="4"/>
  <c r="G1813" i="4"/>
  <c r="E1813" i="4"/>
  <c r="D1813" i="4"/>
  <c r="M1812" i="4"/>
  <c r="I1812" i="4"/>
  <c r="H1812" i="4"/>
  <c r="G1812" i="4"/>
  <c r="E1812" i="4"/>
  <c r="D1812" i="4"/>
  <c r="M1811" i="4"/>
  <c r="I1811" i="4"/>
  <c r="H1811" i="4"/>
  <c r="G1811" i="4"/>
  <c r="E1811" i="4"/>
  <c r="D1811" i="4"/>
  <c r="M1810" i="4"/>
  <c r="I1810" i="4"/>
  <c r="H1810" i="4"/>
  <c r="G1810" i="4"/>
  <c r="E1810" i="4"/>
  <c r="D1810" i="4"/>
  <c r="M1809" i="4"/>
  <c r="I1809" i="4"/>
  <c r="H1809" i="4"/>
  <c r="G1809" i="4"/>
  <c r="E1809" i="4"/>
  <c r="D1809" i="4"/>
  <c r="M1808" i="4"/>
  <c r="I1808" i="4"/>
  <c r="H1808" i="4"/>
  <c r="G1808" i="4"/>
  <c r="E1808" i="4"/>
  <c r="D1808" i="4"/>
  <c r="M1807" i="4"/>
  <c r="I1807" i="4"/>
  <c r="H1807" i="4"/>
  <c r="G1807" i="4"/>
  <c r="E1807" i="4"/>
  <c r="D1807" i="4"/>
  <c r="M1806" i="4"/>
  <c r="I1806" i="4"/>
  <c r="H1806" i="4"/>
  <c r="G1806" i="4"/>
  <c r="E1806" i="4"/>
  <c r="D1806" i="4"/>
  <c r="M1805" i="4"/>
  <c r="I1805" i="4"/>
  <c r="H1805" i="4"/>
  <c r="G1805" i="4"/>
  <c r="E1805" i="4"/>
  <c r="D1805" i="4"/>
  <c r="M1804" i="4"/>
  <c r="I1804" i="4"/>
  <c r="H1804" i="4"/>
  <c r="G1804" i="4"/>
  <c r="E1804" i="4"/>
  <c r="D1804" i="4"/>
  <c r="M1803" i="4"/>
  <c r="I1803" i="4"/>
  <c r="H1803" i="4"/>
  <c r="G1803" i="4"/>
  <c r="E1803" i="4"/>
  <c r="D1803" i="4"/>
  <c r="M1802" i="4"/>
  <c r="I1802" i="4"/>
  <c r="H1802" i="4"/>
  <c r="G1802" i="4"/>
  <c r="E1802" i="4"/>
  <c r="D1802" i="4"/>
  <c r="M1801" i="4"/>
  <c r="I1801" i="4"/>
  <c r="H1801" i="4"/>
  <c r="G1801" i="4"/>
  <c r="E1801" i="4"/>
  <c r="D1801" i="4"/>
  <c r="M1800" i="4"/>
  <c r="I1800" i="4"/>
  <c r="H1800" i="4"/>
  <c r="G1800" i="4"/>
  <c r="E1800" i="4"/>
  <c r="D1800" i="4"/>
  <c r="M1799" i="4"/>
  <c r="I1799" i="4"/>
  <c r="H1799" i="4"/>
  <c r="G1799" i="4"/>
  <c r="E1799" i="4"/>
  <c r="D1799" i="4"/>
  <c r="M1798" i="4"/>
  <c r="I1798" i="4"/>
  <c r="H1798" i="4"/>
  <c r="G1798" i="4"/>
  <c r="E1798" i="4"/>
  <c r="D1798" i="4"/>
  <c r="M1797" i="4"/>
  <c r="I1797" i="4"/>
  <c r="H1797" i="4"/>
  <c r="G1797" i="4"/>
  <c r="E1797" i="4"/>
  <c r="D1797" i="4"/>
  <c r="M1796" i="4"/>
  <c r="I1796" i="4"/>
  <c r="H1796" i="4"/>
  <c r="G1796" i="4"/>
  <c r="E1796" i="4"/>
  <c r="D1796" i="4"/>
  <c r="M1795" i="4"/>
  <c r="I1795" i="4"/>
  <c r="H1795" i="4"/>
  <c r="G1795" i="4"/>
  <c r="E1795" i="4"/>
  <c r="D1795" i="4"/>
  <c r="M1794" i="4"/>
  <c r="I1794" i="4"/>
  <c r="H1794" i="4"/>
  <c r="G1794" i="4"/>
  <c r="E1794" i="4"/>
  <c r="D1794" i="4"/>
  <c r="M1793" i="4"/>
  <c r="I1793" i="4"/>
  <c r="H1793" i="4"/>
  <c r="G1793" i="4"/>
  <c r="E1793" i="4"/>
  <c r="D1793" i="4"/>
  <c r="M1792" i="4"/>
  <c r="I1792" i="4"/>
  <c r="H1792" i="4"/>
  <c r="G1792" i="4"/>
  <c r="E1792" i="4"/>
  <c r="D1792" i="4"/>
  <c r="M1791" i="4"/>
  <c r="I1791" i="4"/>
  <c r="H1791" i="4"/>
  <c r="G1791" i="4"/>
  <c r="E1791" i="4"/>
  <c r="D1791" i="4"/>
  <c r="M1790" i="4"/>
  <c r="I1790" i="4"/>
  <c r="H1790" i="4"/>
  <c r="G1790" i="4"/>
  <c r="E1790" i="4"/>
  <c r="D1790" i="4"/>
  <c r="M1789" i="4"/>
  <c r="I1789" i="4"/>
  <c r="H1789" i="4"/>
  <c r="G1789" i="4"/>
  <c r="E1789" i="4"/>
  <c r="D1789" i="4"/>
  <c r="M1788" i="4"/>
  <c r="I1788" i="4"/>
  <c r="H1788" i="4"/>
  <c r="G1788" i="4"/>
  <c r="E1788" i="4"/>
  <c r="D1788" i="4"/>
  <c r="M1787" i="4"/>
  <c r="I1787" i="4"/>
  <c r="H1787" i="4"/>
  <c r="G1787" i="4"/>
  <c r="E1787" i="4"/>
  <c r="D1787" i="4"/>
  <c r="M1786" i="4"/>
  <c r="I1786" i="4"/>
  <c r="H1786" i="4"/>
  <c r="G1786" i="4"/>
  <c r="E1786" i="4"/>
  <c r="D1786" i="4"/>
  <c r="M1785" i="4"/>
  <c r="I1785" i="4"/>
  <c r="H1785" i="4"/>
  <c r="G1785" i="4"/>
  <c r="E1785" i="4"/>
  <c r="D1785" i="4"/>
  <c r="M1784" i="4"/>
  <c r="I1784" i="4"/>
  <c r="H1784" i="4"/>
  <c r="G1784" i="4"/>
  <c r="E1784" i="4"/>
  <c r="D1784" i="4"/>
  <c r="M1783" i="4"/>
  <c r="I1783" i="4"/>
  <c r="H1783" i="4"/>
  <c r="G1783" i="4"/>
  <c r="E1783" i="4"/>
  <c r="D1783" i="4"/>
  <c r="M1782" i="4"/>
  <c r="I1782" i="4"/>
  <c r="H1782" i="4"/>
  <c r="G1782" i="4"/>
  <c r="E1782" i="4"/>
  <c r="D1782" i="4"/>
  <c r="M1781" i="4"/>
  <c r="I1781" i="4"/>
  <c r="H1781" i="4"/>
  <c r="G1781" i="4"/>
  <c r="E1781" i="4"/>
  <c r="D1781" i="4"/>
  <c r="M1780" i="4"/>
  <c r="I1780" i="4"/>
  <c r="H1780" i="4"/>
  <c r="G1780" i="4"/>
  <c r="E1780" i="4"/>
  <c r="D1780" i="4"/>
  <c r="M1779" i="4"/>
  <c r="I1779" i="4"/>
  <c r="H1779" i="4"/>
  <c r="G1779" i="4"/>
  <c r="E1779" i="4"/>
  <c r="D1779" i="4"/>
  <c r="M1778" i="4"/>
  <c r="I1778" i="4"/>
  <c r="H1778" i="4"/>
  <c r="G1778" i="4"/>
  <c r="E1778" i="4"/>
  <c r="D1778" i="4"/>
  <c r="M1777" i="4"/>
  <c r="I1777" i="4"/>
  <c r="H1777" i="4"/>
  <c r="G1777" i="4"/>
  <c r="E1777" i="4"/>
  <c r="D1777" i="4"/>
  <c r="M1776" i="4"/>
  <c r="I1776" i="4"/>
  <c r="H1776" i="4"/>
  <c r="G1776" i="4"/>
  <c r="E1776" i="4"/>
  <c r="D1776" i="4"/>
  <c r="M1775" i="4"/>
  <c r="I1775" i="4"/>
  <c r="H1775" i="4"/>
  <c r="G1775" i="4"/>
  <c r="E1775" i="4"/>
  <c r="D1775" i="4"/>
  <c r="M1774" i="4"/>
  <c r="I1774" i="4"/>
  <c r="H1774" i="4"/>
  <c r="G1774" i="4"/>
  <c r="E1774" i="4"/>
  <c r="D1774" i="4"/>
  <c r="M1773" i="4"/>
  <c r="I1773" i="4"/>
  <c r="H1773" i="4"/>
  <c r="G1773" i="4"/>
  <c r="E1773" i="4"/>
  <c r="D1773" i="4"/>
  <c r="M1772" i="4"/>
  <c r="I1772" i="4"/>
  <c r="H1772" i="4"/>
  <c r="G1772" i="4"/>
  <c r="E1772" i="4"/>
  <c r="D1772" i="4"/>
  <c r="M1771" i="4"/>
  <c r="I1771" i="4"/>
  <c r="H1771" i="4"/>
  <c r="G1771" i="4"/>
  <c r="E1771" i="4"/>
  <c r="D1771" i="4"/>
  <c r="M1770" i="4"/>
  <c r="I1770" i="4"/>
  <c r="H1770" i="4"/>
  <c r="G1770" i="4"/>
  <c r="E1770" i="4"/>
  <c r="D1770" i="4"/>
  <c r="M1769" i="4"/>
  <c r="I1769" i="4"/>
  <c r="H1769" i="4"/>
  <c r="G1769" i="4"/>
  <c r="E1769" i="4"/>
  <c r="D1769" i="4"/>
  <c r="M1768" i="4"/>
  <c r="I1768" i="4"/>
  <c r="H1768" i="4"/>
  <c r="G1768" i="4"/>
  <c r="E1768" i="4"/>
  <c r="D1768" i="4"/>
  <c r="M1767" i="4"/>
  <c r="I1767" i="4"/>
  <c r="H1767" i="4"/>
  <c r="G1767" i="4"/>
  <c r="E1767" i="4"/>
  <c r="D1767" i="4"/>
  <c r="M1766" i="4"/>
  <c r="I1766" i="4"/>
  <c r="H1766" i="4"/>
  <c r="G1766" i="4"/>
  <c r="E1766" i="4"/>
  <c r="D1766" i="4"/>
  <c r="M1765" i="4"/>
  <c r="I1765" i="4"/>
  <c r="H1765" i="4"/>
  <c r="G1765" i="4"/>
  <c r="E1765" i="4"/>
  <c r="D1765" i="4"/>
  <c r="M1764" i="4"/>
  <c r="I1764" i="4"/>
  <c r="H1764" i="4"/>
  <c r="G1764" i="4"/>
  <c r="E1764" i="4"/>
  <c r="D1764" i="4"/>
  <c r="M1763" i="4"/>
  <c r="I1763" i="4"/>
  <c r="H1763" i="4"/>
  <c r="G1763" i="4"/>
  <c r="E1763" i="4"/>
  <c r="D1763" i="4"/>
  <c r="M1762" i="4"/>
  <c r="I1762" i="4"/>
  <c r="H1762" i="4"/>
  <c r="G1762" i="4"/>
  <c r="E1762" i="4"/>
  <c r="D1762" i="4"/>
  <c r="M1761" i="4"/>
  <c r="I1761" i="4"/>
  <c r="H1761" i="4"/>
  <c r="G1761" i="4"/>
  <c r="E1761" i="4"/>
  <c r="D1761" i="4"/>
  <c r="M1760" i="4"/>
  <c r="I1760" i="4"/>
  <c r="H1760" i="4"/>
  <c r="G1760" i="4"/>
  <c r="E1760" i="4"/>
  <c r="D1760" i="4"/>
  <c r="M1759" i="4"/>
  <c r="I1759" i="4"/>
  <c r="H1759" i="4"/>
  <c r="G1759" i="4"/>
  <c r="E1759" i="4"/>
  <c r="D1759" i="4"/>
  <c r="M1758" i="4"/>
  <c r="I1758" i="4"/>
  <c r="H1758" i="4"/>
  <c r="G1758" i="4"/>
  <c r="E1758" i="4"/>
  <c r="D1758" i="4"/>
  <c r="M1757" i="4"/>
  <c r="I1757" i="4"/>
  <c r="H1757" i="4"/>
  <c r="G1757" i="4"/>
  <c r="E1757" i="4"/>
  <c r="D1757" i="4"/>
  <c r="M1756" i="4"/>
  <c r="I1756" i="4"/>
  <c r="H1756" i="4"/>
  <c r="G1756" i="4"/>
  <c r="E1756" i="4"/>
  <c r="D1756" i="4"/>
  <c r="M1755" i="4"/>
  <c r="I1755" i="4"/>
  <c r="H1755" i="4"/>
  <c r="G1755" i="4"/>
  <c r="E1755" i="4"/>
  <c r="D1755" i="4"/>
  <c r="M1754" i="4"/>
  <c r="I1754" i="4"/>
  <c r="H1754" i="4"/>
  <c r="G1754" i="4"/>
  <c r="E1754" i="4"/>
  <c r="D1754" i="4"/>
  <c r="M1753" i="4"/>
  <c r="I1753" i="4"/>
  <c r="H1753" i="4"/>
  <c r="G1753" i="4"/>
  <c r="E1753" i="4"/>
  <c r="D1753" i="4"/>
  <c r="M1752" i="4"/>
  <c r="I1752" i="4"/>
  <c r="H1752" i="4"/>
  <c r="G1752" i="4"/>
  <c r="E1752" i="4"/>
  <c r="D1752" i="4"/>
  <c r="M1751" i="4"/>
  <c r="I1751" i="4"/>
  <c r="H1751" i="4"/>
  <c r="G1751" i="4"/>
  <c r="E1751" i="4"/>
  <c r="D1751" i="4"/>
  <c r="M1750" i="4"/>
  <c r="I1750" i="4"/>
  <c r="H1750" i="4"/>
  <c r="G1750" i="4"/>
  <c r="E1750" i="4"/>
  <c r="D1750" i="4"/>
  <c r="M1749" i="4"/>
  <c r="I1749" i="4"/>
  <c r="H1749" i="4"/>
  <c r="G1749" i="4"/>
  <c r="E1749" i="4"/>
  <c r="D1749" i="4"/>
  <c r="M1748" i="4"/>
  <c r="I1748" i="4"/>
  <c r="H1748" i="4"/>
  <c r="G1748" i="4"/>
  <c r="E1748" i="4"/>
  <c r="D1748" i="4"/>
  <c r="M1747" i="4"/>
  <c r="I1747" i="4"/>
  <c r="H1747" i="4"/>
  <c r="G1747" i="4"/>
  <c r="E1747" i="4"/>
  <c r="D1747" i="4"/>
  <c r="M1746" i="4"/>
  <c r="I1746" i="4"/>
  <c r="H1746" i="4"/>
  <c r="G1746" i="4"/>
  <c r="E1746" i="4"/>
  <c r="D1746" i="4"/>
  <c r="M1745" i="4"/>
  <c r="I1745" i="4"/>
  <c r="H1745" i="4"/>
  <c r="G1745" i="4"/>
  <c r="E1745" i="4"/>
  <c r="D1745" i="4"/>
  <c r="M1744" i="4"/>
  <c r="I1744" i="4"/>
  <c r="H1744" i="4"/>
  <c r="G1744" i="4"/>
  <c r="E1744" i="4"/>
  <c r="D1744" i="4"/>
  <c r="M1743" i="4"/>
  <c r="I1743" i="4"/>
  <c r="H1743" i="4"/>
  <c r="G1743" i="4"/>
  <c r="E1743" i="4"/>
  <c r="D1743" i="4"/>
  <c r="M1742" i="4"/>
  <c r="I1742" i="4"/>
  <c r="H1742" i="4"/>
  <c r="G1742" i="4"/>
  <c r="E1742" i="4"/>
  <c r="D1742" i="4"/>
  <c r="M1741" i="4"/>
  <c r="I1741" i="4"/>
  <c r="H1741" i="4"/>
  <c r="G1741" i="4"/>
  <c r="E1741" i="4"/>
  <c r="D1741" i="4"/>
  <c r="M1740" i="4"/>
  <c r="I1740" i="4"/>
  <c r="H1740" i="4"/>
  <c r="G1740" i="4"/>
  <c r="E1740" i="4"/>
  <c r="D1740" i="4"/>
  <c r="M1739" i="4"/>
  <c r="I1739" i="4"/>
  <c r="H1739" i="4"/>
  <c r="G1739" i="4"/>
  <c r="E1739" i="4"/>
  <c r="D1739" i="4"/>
  <c r="M1738" i="4"/>
  <c r="I1738" i="4"/>
  <c r="H1738" i="4"/>
  <c r="G1738" i="4"/>
  <c r="E1738" i="4"/>
  <c r="D1738" i="4"/>
  <c r="M1737" i="4"/>
  <c r="I1737" i="4"/>
  <c r="H1737" i="4"/>
  <c r="G1737" i="4"/>
  <c r="E1737" i="4"/>
  <c r="D1737" i="4"/>
  <c r="M1736" i="4"/>
  <c r="I1736" i="4"/>
  <c r="H1736" i="4"/>
  <c r="G1736" i="4"/>
  <c r="E1736" i="4"/>
  <c r="D1736" i="4"/>
  <c r="M1735" i="4"/>
  <c r="I1735" i="4"/>
  <c r="H1735" i="4"/>
  <c r="G1735" i="4"/>
  <c r="E1735" i="4"/>
  <c r="D1735" i="4"/>
  <c r="M1734" i="4"/>
  <c r="I1734" i="4"/>
  <c r="H1734" i="4"/>
  <c r="G1734" i="4"/>
  <c r="E1734" i="4"/>
  <c r="D1734" i="4"/>
  <c r="M1733" i="4"/>
  <c r="I1733" i="4"/>
  <c r="H1733" i="4"/>
  <c r="G1733" i="4"/>
  <c r="E1733" i="4"/>
  <c r="D1733" i="4"/>
  <c r="M1732" i="4"/>
  <c r="I1732" i="4"/>
  <c r="H1732" i="4"/>
  <c r="G1732" i="4"/>
  <c r="E1732" i="4"/>
  <c r="D1732" i="4"/>
  <c r="M1731" i="4"/>
  <c r="I1731" i="4"/>
  <c r="H1731" i="4"/>
  <c r="G1731" i="4"/>
  <c r="E1731" i="4"/>
  <c r="D1731" i="4"/>
  <c r="M1730" i="4"/>
  <c r="I1730" i="4"/>
  <c r="H1730" i="4"/>
  <c r="G1730" i="4"/>
  <c r="E1730" i="4"/>
  <c r="D1730" i="4"/>
  <c r="M1729" i="4"/>
  <c r="I1729" i="4"/>
  <c r="H1729" i="4"/>
  <c r="G1729" i="4"/>
  <c r="E1729" i="4"/>
  <c r="D1729" i="4"/>
  <c r="M1728" i="4"/>
  <c r="I1728" i="4"/>
  <c r="H1728" i="4"/>
  <c r="G1728" i="4"/>
  <c r="E1728" i="4"/>
  <c r="D1728" i="4"/>
  <c r="M1727" i="4"/>
  <c r="I1727" i="4"/>
  <c r="H1727" i="4"/>
  <c r="G1727" i="4"/>
  <c r="E1727" i="4"/>
  <c r="D1727" i="4"/>
  <c r="M1726" i="4"/>
  <c r="I1726" i="4"/>
  <c r="H1726" i="4"/>
  <c r="G1726" i="4"/>
  <c r="E1726" i="4"/>
  <c r="D1726" i="4"/>
  <c r="M1725" i="4"/>
  <c r="I1725" i="4"/>
  <c r="H1725" i="4"/>
  <c r="G1725" i="4"/>
  <c r="E1725" i="4"/>
  <c r="D1725" i="4"/>
  <c r="M1724" i="4"/>
  <c r="I1724" i="4"/>
  <c r="H1724" i="4"/>
  <c r="G1724" i="4"/>
  <c r="E1724" i="4"/>
  <c r="D1724" i="4"/>
  <c r="M1723" i="4"/>
  <c r="I1723" i="4"/>
  <c r="H1723" i="4"/>
  <c r="G1723" i="4"/>
  <c r="E1723" i="4"/>
  <c r="D1723" i="4"/>
  <c r="M1722" i="4"/>
  <c r="I1722" i="4"/>
  <c r="H1722" i="4"/>
  <c r="G1722" i="4"/>
  <c r="E1722" i="4"/>
  <c r="D1722" i="4"/>
  <c r="M1721" i="4"/>
  <c r="I1721" i="4"/>
  <c r="H1721" i="4"/>
  <c r="G1721" i="4"/>
  <c r="E1721" i="4"/>
  <c r="D1721" i="4"/>
  <c r="M1720" i="4"/>
  <c r="I1720" i="4"/>
  <c r="H1720" i="4"/>
  <c r="G1720" i="4"/>
  <c r="E1720" i="4"/>
  <c r="D1720" i="4"/>
  <c r="M1719" i="4"/>
  <c r="I1719" i="4"/>
  <c r="H1719" i="4"/>
  <c r="G1719" i="4"/>
  <c r="E1719" i="4"/>
  <c r="D1719" i="4"/>
  <c r="M1718" i="4"/>
  <c r="I1718" i="4"/>
  <c r="H1718" i="4"/>
  <c r="G1718" i="4"/>
  <c r="E1718" i="4"/>
  <c r="D1718" i="4"/>
  <c r="M1717" i="4"/>
  <c r="I1717" i="4"/>
  <c r="H1717" i="4"/>
  <c r="G1717" i="4"/>
  <c r="E1717" i="4"/>
  <c r="D1717" i="4"/>
  <c r="M1716" i="4"/>
  <c r="I1716" i="4"/>
  <c r="H1716" i="4"/>
  <c r="G1716" i="4"/>
  <c r="E1716" i="4"/>
  <c r="D1716" i="4"/>
  <c r="M1715" i="4"/>
  <c r="I1715" i="4"/>
  <c r="H1715" i="4"/>
  <c r="G1715" i="4"/>
  <c r="E1715" i="4"/>
  <c r="D1715" i="4"/>
  <c r="M1714" i="4"/>
  <c r="I1714" i="4"/>
  <c r="H1714" i="4"/>
  <c r="G1714" i="4"/>
  <c r="E1714" i="4"/>
  <c r="D1714" i="4"/>
  <c r="M1713" i="4"/>
  <c r="I1713" i="4"/>
  <c r="H1713" i="4"/>
  <c r="G1713" i="4"/>
  <c r="E1713" i="4"/>
  <c r="D1713" i="4"/>
  <c r="M1712" i="4"/>
  <c r="I1712" i="4"/>
  <c r="H1712" i="4"/>
  <c r="G1712" i="4"/>
  <c r="E1712" i="4"/>
  <c r="D1712" i="4"/>
  <c r="M1711" i="4"/>
  <c r="I1711" i="4"/>
  <c r="H1711" i="4"/>
  <c r="G1711" i="4"/>
  <c r="E1711" i="4"/>
  <c r="D1711" i="4"/>
  <c r="M1710" i="4"/>
  <c r="I1710" i="4"/>
  <c r="H1710" i="4"/>
  <c r="G1710" i="4"/>
  <c r="E1710" i="4"/>
  <c r="D1710" i="4"/>
  <c r="M1709" i="4"/>
  <c r="I1709" i="4"/>
  <c r="H1709" i="4"/>
  <c r="G1709" i="4"/>
  <c r="E1709" i="4"/>
  <c r="D1709" i="4"/>
  <c r="M1708" i="4"/>
  <c r="I1708" i="4"/>
  <c r="H1708" i="4"/>
  <c r="G1708" i="4"/>
  <c r="E1708" i="4"/>
  <c r="D1708" i="4"/>
  <c r="M1707" i="4"/>
  <c r="I1707" i="4"/>
  <c r="H1707" i="4"/>
  <c r="G1707" i="4"/>
  <c r="E1707" i="4"/>
  <c r="D1707" i="4"/>
  <c r="M1706" i="4"/>
  <c r="I1706" i="4"/>
  <c r="H1706" i="4"/>
  <c r="G1706" i="4"/>
  <c r="E1706" i="4"/>
  <c r="D1706" i="4"/>
  <c r="M1705" i="4"/>
  <c r="I1705" i="4"/>
  <c r="H1705" i="4"/>
  <c r="G1705" i="4"/>
  <c r="E1705" i="4"/>
  <c r="D1705" i="4"/>
  <c r="M1704" i="4"/>
  <c r="I1704" i="4"/>
  <c r="H1704" i="4"/>
  <c r="G1704" i="4"/>
  <c r="E1704" i="4"/>
  <c r="D1704" i="4"/>
  <c r="M1703" i="4"/>
  <c r="I1703" i="4"/>
  <c r="H1703" i="4"/>
  <c r="G1703" i="4"/>
  <c r="E1703" i="4"/>
  <c r="D1703" i="4"/>
  <c r="M1702" i="4"/>
  <c r="I1702" i="4"/>
  <c r="H1702" i="4"/>
  <c r="G1702" i="4"/>
  <c r="E1702" i="4"/>
  <c r="D1702" i="4"/>
  <c r="M1701" i="4"/>
  <c r="I1701" i="4"/>
  <c r="H1701" i="4"/>
  <c r="G1701" i="4"/>
  <c r="E1701" i="4"/>
  <c r="D1701" i="4"/>
  <c r="M1700" i="4"/>
  <c r="I1700" i="4"/>
  <c r="H1700" i="4"/>
  <c r="G1700" i="4"/>
  <c r="E1700" i="4"/>
  <c r="D1700" i="4"/>
  <c r="M1699" i="4"/>
  <c r="I1699" i="4"/>
  <c r="H1699" i="4"/>
  <c r="G1699" i="4"/>
  <c r="E1699" i="4"/>
  <c r="D1699" i="4"/>
  <c r="M1698" i="4"/>
  <c r="I1698" i="4"/>
  <c r="H1698" i="4"/>
  <c r="G1698" i="4"/>
  <c r="E1698" i="4"/>
  <c r="D1698" i="4"/>
  <c r="M1697" i="4"/>
  <c r="I1697" i="4"/>
  <c r="H1697" i="4"/>
  <c r="G1697" i="4"/>
  <c r="E1697" i="4"/>
  <c r="D1697" i="4"/>
  <c r="M1696" i="4"/>
  <c r="I1696" i="4"/>
  <c r="H1696" i="4"/>
  <c r="G1696" i="4"/>
  <c r="E1696" i="4"/>
  <c r="D1696" i="4"/>
  <c r="M1695" i="4"/>
  <c r="I1695" i="4"/>
  <c r="H1695" i="4"/>
  <c r="G1695" i="4"/>
  <c r="E1695" i="4"/>
  <c r="D1695" i="4"/>
  <c r="M1694" i="4"/>
  <c r="I1694" i="4"/>
  <c r="H1694" i="4"/>
  <c r="G1694" i="4"/>
  <c r="E1694" i="4"/>
  <c r="D1694" i="4"/>
  <c r="M1693" i="4"/>
  <c r="I1693" i="4"/>
  <c r="H1693" i="4"/>
  <c r="G1693" i="4"/>
  <c r="E1693" i="4"/>
  <c r="D1693" i="4"/>
  <c r="M1692" i="4"/>
  <c r="I1692" i="4"/>
  <c r="H1692" i="4"/>
  <c r="G1692" i="4"/>
  <c r="E1692" i="4"/>
  <c r="D1692" i="4"/>
  <c r="M1691" i="4"/>
  <c r="I1691" i="4"/>
  <c r="H1691" i="4"/>
  <c r="G1691" i="4"/>
  <c r="E1691" i="4"/>
  <c r="D1691" i="4"/>
  <c r="M1690" i="4"/>
  <c r="I1690" i="4"/>
  <c r="H1690" i="4"/>
  <c r="G1690" i="4"/>
  <c r="E1690" i="4"/>
  <c r="D1690" i="4"/>
  <c r="M1689" i="4"/>
  <c r="I1689" i="4"/>
  <c r="H1689" i="4"/>
  <c r="G1689" i="4"/>
  <c r="E1689" i="4"/>
  <c r="D1689" i="4"/>
  <c r="M1688" i="4"/>
  <c r="I1688" i="4"/>
  <c r="H1688" i="4"/>
  <c r="G1688" i="4"/>
  <c r="E1688" i="4"/>
  <c r="D1688" i="4"/>
  <c r="M1687" i="4"/>
  <c r="I1687" i="4"/>
  <c r="H1687" i="4"/>
  <c r="G1687" i="4"/>
  <c r="E1687" i="4"/>
  <c r="D1687" i="4"/>
  <c r="M1686" i="4"/>
  <c r="I1686" i="4"/>
  <c r="H1686" i="4"/>
  <c r="G1686" i="4"/>
  <c r="E1686" i="4"/>
  <c r="D1686" i="4"/>
  <c r="M1685" i="4"/>
  <c r="I1685" i="4"/>
  <c r="H1685" i="4"/>
  <c r="G1685" i="4"/>
  <c r="E1685" i="4"/>
  <c r="D1685" i="4"/>
  <c r="M1684" i="4"/>
  <c r="I1684" i="4"/>
  <c r="H1684" i="4"/>
  <c r="G1684" i="4"/>
  <c r="E1684" i="4"/>
  <c r="D1684" i="4"/>
  <c r="M1683" i="4"/>
  <c r="I1683" i="4"/>
  <c r="H1683" i="4"/>
  <c r="G1683" i="4"/>
  <c r="E1683" i="4"/>
  <c r="D1683" i="4"/>
  <c r="M1682" i="4"/>
  <c r="I1682" i="4"/>
  <c r="H1682" i="4"/>
  <c r="G1682" i="4"/>
  <c r="E1682" i="4"/>
  <c r="D1682" i="4"/>
  <c r="M1681" i="4"/>
  <c r="I1681" i="4"/>
  <c r="H1681" i="4"/>
  <c r="G1681" i="4"/>
  <c r="E1681" i="4"/>
  <c r="D1681" i="4"/>
  <c r="M1680" i="4"/>
  <c r="I1680" i="4"/>
  <c r="H1680" i="4"/>
  <c r="G1680" i="4"/>
  <c r="E1680" i="4"/>
  <c r="D1680" i="4"/>
  <c r="M1679" i="4"/>
  <c r="I1679" i="4"/>
  <c r="H1679" i="4"/>
  <c r="G1679" i="4"/>
  <c r="E1679" i="4"/>
  <c r="D1679" i="4"/>
  <c r="M1678" i="4"/>
  <c r="I1678" i="4"/>
  <c r="H1678" i="4"/>
  <c r="G1678" i="4"/>
  <c r="E1678" i="4"/>
  <c r="D1678" i="4"/>
  <c r="M1677" i="4"/>
  <c r="I1677" i="4"/>
  <c r="H1677" i="4"/>
  <c r="G1677" i="4"/>
  <c r="E1677" i="4"/>
  <c r="D1677" i="4"/>
  <c r="M1676" i="4"/>
  <c r="I1676" i="4"/>
  <c r="H1676" i="4"/>
  <c r="G1676" i="4"/>
  <c r="E1676" i="4"/>
  <c r="D1676" i="4"/>
  <c r="M1675" i="4"/>
  <c r="I1675" i="4"/>
  <c r="H1675" i="4"/>
  <c r="G1675" i="4"/>
  <c r="E1675" i="4"/>
  <c r="D1675" i="4"/>
  <c r="M1674" i="4"/>
  <c r="I1674" i="4"/>
  <c r="H1674" i="4"/>
  <c r="G1674" i="4"/>
  <c r="E1674" i="4"/>
  <c r="D1674" i="4"/>
  <c r="M1673" i="4"/>
  <c r="I1673" i="4"/>
  <c r="H1673" i="4"/>
  <c r="G1673" i="4"/>
  <c r="E1673" i="4"/>
  <c r="D1673" i="4"/>
  <c r="M1672" i="4"/>
  <c r="I1672" i="4"/>
  <c r="H1672" i="4"/>
  <c r="G1672" i="4"/>
  <c r="E1672" i="4"/>
  <c r="D1672" i="4"/>
  <c r="M1671" i="4"/>
  <c r="I1671" i="4"/>
  <c r="H1671" i="4"/>
  <c r="G1671" i="4"/>
  <c r="E1671" i="4"/>
  <c r="D1671" i="4"/>
  <c r="M1670" i="4"/>
  <c r="I1670" i="4"/>
  <c r="H1670" i="4"/>
  <c r="G1670" i="4"/>
  <c r="E1670" i="4"/>
  <c r="D1670" i="4"/>
  <c r="M1669" i="4"/>
  <c r="I1669" i="4"/>
  <c r="H1669" i="4"/>
  <c r="G1669" i="4"/>
  <c r="E1669" i="4"/>
  <c r="D1669" i="4"/>
  <c r="M1668" i="4"/>
  <c r="I1668" i="4"/>
  <c r="H1668" i="4"/>
  <c r="G1668" i="4"/>
  <c r="E1668" i="4"/>
  <c r="D1668" i="4"/>
  <c r="M1667" i="4"/>
  <c r="I1667" i="4"/>
  <c r="H1667" i="4"/>
  <c r="G1667" i="4"/>
  <c r="E1667" i="4"/>
  <c r="D1667" i="4"/>
  <c r="M1666" i="4"/>
  <c r="I1666" i="4"/>
  <c r="H1666" i="4"/>
  <c r="G1666" i="4"/>
  <c r="E1666" i="4"/>
  <c r="D1666" i="4"/>
  <c r="M1665" i="4"/>
  <c r="I1665" i="4"/>
  <c r="H1665" i="4"/>
  <c r="G1665" i="4"/>
  <c r="E1665" i="4"/>
  <c r="D1665" i="4"/>
  <c r="M1664" i="4"/>
  <c r="I1664" i="4"/>
  <c r="H1664" i="4"/>
  <c r="G1664" i="4"/>
  <c r="E1664" i="4"/>
  <c r="D1664" i="4"/>
  <c r="M1663" i="4"/>
  <c r="I1663" i="4"/>
  <c r="H1663" i="4"/>
  <c r="G1663" i="4"/>
  <c r="E1663" i="4"/>
  <c r="D1663" i="4"/>
  <c r="M1662" i="4"/>
  <c r="I1662" i="4"/>
  <c r="H1662" i="4"/>
  <c r="G1662" i="4"/>
  <c r="E1662" i="4"/>
  <c r="D1662" i="4"/>
  <c r="M1661" i="4"/>
  <c r="I1661" i="4"/>
  <c r="H1661" i="4"/>
  <c r="G1661" i="4"/>
  <c r="E1661" i="4"/>
  <c r="D1661" i="4"/>
  <c r="M1660" i="4"/>
  <c r="I1660" i="4"/>
  <c r="H1660" i="4"/>
  <c r="G1660" i="4"/>
  <c r="E1660" i="4"/>
  <c r="D1660" i="4"/>
  <c r="M1659" i="4"/>
  <c r="I1659" i="4"/>
  <c r="H1659" i="4"/>
  <c r="G1659" i="4"/>
  <c r="E1659" i="4"/>
  <c r="D1659" i="4"/>
  <c r="M1658" i="4"/>
  <c r="I1658" i="4"/>
  <c r="H1658" i="4"/>
  <c r="G1658" i="4"/>
  <c r="E1658" i="4"/>
  <c r="D1658" i="4"/>
  <c r="M1657" i="4"/>
  <c r="I1657" i="4"/>
  <c r="H1657" i="4"/>
  <c r="G1657" i="4"/>
  <c r="E1657" i="4"/>
  <c r="D1657" i="4"/>
  <c r="M1656" i="4"/>
  <c r="I1656" i="4"/>
  <c r="H1656" i="4"/>
  <c r="G1656" i="4"/>
  <c r="E1656" i="4"/>
  <c r="D1656" i="4"/>
  <c r="M1655" i="4"/>
  <c r="I1655" i="4"/>
  <c r="H1655" i="4"/>
  <c r="G1655" i="4"/>
  <c r="E1655" i="4"/>
  <c r="D1655" i="4"/>
  <c r="M1654" i="4"/>
  <c r="I1654" i="4"/>
  <c r="H1654" i="4"/>
  <c r="G1654" i="4"/>
  <c r="E1654" i="4"/>
  <c r="D1654" i="4"/>
  <c r="M1653" i="4"/>
  <c r="I1653" i="4"/>
  <c r="H1653" i="4"/>
  <c r="G1653" i="4"/>
  <c r="E1653" i="4"/>
  <c r="D1653" i="4"/>
  <c r="M1652" i="4"/>
  <c r="I1652" i="4"/>
  <c r="H1652" i="4"/>
  <c r="G1652" i="4"/>
  <c r="E1652" i="4"/>
  <c r="D1652" i="4"/>
  <c r="M1651" i="4"/>
  <c r="I1651" i="4"/>
  <c r="H1651" i="4"/>
  <c r="G1651" i="4"/>
  <c r="E1651" i="4"/>
  <c r="D1651" i="4"/>
  <c r="M1650" i="4"/>
  <c r="I1650" i="4"/>
  <c r="H1650" i="4"/>
  <c r="G1650" i="4"/>
  <c r="E1650" i="4"/>
  <c r="D1650" i="4"/>
  <c r="M1649" i="4"/>
  <c r="I1649" i="4"/>
  <c r="H1649" i="4"/>
  <c r="G1649" i="4"/>
  <c r="E1649" i="4"/>
  <c r="D1649" i="4"/>
  <c r="M1648" i="4"/>
  <c r="I1648" i="4"/>
  <c r="H1648" i="4"/>
  <c r="G1648" i="4"/>
  <c r="E1648" i="4"/>
  <c r="D1648" i="4"/>
  <c r="M1647" i="4"/>
  <c r="I1647" i="4"/>
  <c r="H1647" i="4"/>
  <c r="G1647" i="4"/>
  <c r="E1647" i="4"/>
  <c r="D1647" i="4"/>
  <c r="M1646" i="4"/>
  <c r="I1646" i="4"/>
  <c r="H1646" i="4"/>
  <c r="G1646" i="4"/>
  <c r="E1646" i="4"/>
  <c r="D1646" i="4"/>
  <c r="M1645" i="4"/>
  <c r="I1645" i="4"/>
  <c r="H1645" i="4"/>
  <c r="G1645" i="4"/>
  <c r="E1645" i="4"/>
  <c r="D1645" i="4"/>
  <c r="M1644" i="4"/>
  <c r="I1644" i="4"/>
  <c r="H1644" i="4"/>
  <c r="G1644" i="4"/>
  <c r="E1644" i="4"/>
  <c r="D1644" i="4"/>
  <c r="M1643" i="4"/>
  <c r="I1643" i="4"/>
  <c r="H1643" i="4"/>
  <c r="G1643" i="4"/>
  <c r="E1643" i="4"/>
  <c r="D1643" i="4"/>
  <c r="M1642" i="4"/>
  <c r="I1642" i="4"/>
  <c r="H1642" i="4"/>
  <c r="G1642" i="4"/>
  <c r="E1642" i="4"/>
  <c r="D1642" i="4"/>
  <c r="M1641" i="4"/>
  <c r="I1641" i="4"/>
  <c r="H1641" i="4"/>
  <c r="G1641" i="4"/>
  <c r="E1641" i="4"/>
  <c r="D1641" i="4"/>
  <c r="M1640" i="4"/>
  <c r="I1640" i="4"/>
  <c r="H1640" i="4"/>
  <c r="G1640" i="4"/>
  <c r="E1640" i="4"/>
  <c r="D1640" i="4"/>
  <c r="M1639" i="4"/>
  <c r="I1639" i="4"/>
  <c r="H1639" i="4"/>
  <c r="G1639" i="4"/>
  <c r="E1639" i="4"/>
  <c r="D1639" i="4"/>
  <c r="M1638" i="4"/>
  <c r="I1638" i="4"/>
  <c r="H1638" i="4"/>
  <c r="G1638" i="4"/>
  <c r="E1638" i="4"/>
  <c r="D1638" i="4"/>
  <c r="M1637" i="4"/>
  <c r="I1637" i="4"/>
  <c r="H1637" i="4"/>
  <c r="G1637" i="4"/>
  <c r="E1637" i="4"/>
  <c r="D1637" i="4"/>
  <c r="M1636" i="4"/>
  <c r="I1636" i="4"/>
  <c r="H1636" i="4"/>
  <c r="G1636" i="4"/>
  <c r="E1636" i="4"/>
  <c r="D1636" i="4"/>
  <c r="M1635" i="4"/>
  <c r="I1635" i="4"/>
  <c r="H1635" i="4"/>
  <c r="G1635" i="4"/>
  <c r="E1635" i="4"/>
  <c r="D1635" i="4"/>
  <c r="M1634" i="4"/>
  <c r="I1634" i="4"/>
  <c r="H1634" i="4"/>
  <c r="G1634" i="4"/>
  <c r="E1634" i="4"/>
  <c r="D1634" i="4"/>
  <c r="M1633" i="4"/>
  <c r="I1633" i="4"/>
  <c r="H1633" i="4"/>
  <c r="G1633" i="4"/>
  <c r="E1633" i="4"/>
  <c r="D1633" i="4"/>
  <c r="M1632" i="4"/>
  <c r="I1632" i="4"/>
  <c r="H1632" i="4"/>
  <c r="G1632" i="4"/>
  <c r="E1632" i="4"/>
  <c r="D1632" i="4"/>
  <c r="M1631" i="4"/>
  <c r="I1631" i="4"/>
  <c r="H1631" i="4"/>
  <c r="G1631" i="4"/>
  <c r="E1631" i="4"/>
  <c r="D1631" i="4"/>
  <c r="M1630" i="4"/>
  <c r="I1630" i="4"/>
  <c r="H1630" i="4"/>
  <c r="G1630" i="4"/>
  <c r="E1630" i="4"/>
  <c r="D1630" i="4"/>
  <c r="M1629" i="4"/>
  <c r="I1629" i="4"/>
  <c r="H1629" i="4"/>
  <c r="G1629" i="4"/>
  <c r="E1629" i="4"/>
  <c r="D1629" i="4"/>
  <c r="M1628" i="4"/>
  <c r="I1628" i="4"/>
  <c r="H1628" i="4"/>
  <c r="G1628" i="4"/>
  <c r="E1628" i="4"/>
  <c r="D1628" i="4"/>
  <c r="M1627" i="4"/>
  <c r="I1627" i="4"/>
  <c r="H1627" i="4"/>
  <c r="G1627" i="4"/>
  <c r="E1627" i="4"/>
  <c r="D1627" i="4"/>
  <c r="M1626" i="4"/>
  <c r="I1626" i="4"/>
  <c r="H1626" i="4"/>
  <c r="G1626" i="4"/>
  <c r="E1626" i="4"/>
  <c r="D1626" i="4"/>
  <c r="M1625" i="4"/>
  <c r="I1625" i="4"/>
  <c r="H1625" i="4"/>
  <c r="G1625" i="4"/>
  <c r="E1625" i="4"/>
  <c r="D1625" i="4"/>
  <c r="M1624" i="4"/>
  <c r="I1624" i="4"/>
  <c r="H1624" i="4"/>
  <c r="G1624" i="4"/>
  <c r="E1624" i="4"/>
  <c r="D1624" i="4"/>
  <c r="M1623" i="4"/>
  <c r="I1623" i="4"/>
  <c r="H1623" i="4"/>
  <c r="G1623" i="4"/>
  <c r="E1623" i="4"/>
  <c r="D1623" i="4"/>
  <c r="M1622" i="4"/>
  <c r="I1622" i="4"/>
  <c r="H1622" i="4"/>
  <c r="G1622" i="4"/>
  <c r="E1622" i="4"/>
  <c r="D1622" i="4"/>
  <c r="M1621" i="4"/>
  <c r="I1621" i="4"/>
  <c r="H1621" i="4"/>
  <c r="G1621" i="4"/>
  <c r="E1621" i="4"/>
  <c r="D1621" i="4"/>
  <c r="M1620" i="4"/>
  <c r="I1620" i="4"/>
  <c r="H1620" i="4"/>
  <c r="G1620" i="4"/>
  <c r="E1620" i="4"/>
  <c r="D1620" i="4"/>
  <c r="M1619" i="4"/>
  <c r="I1619" i="4"/>
  <c r="H1619" i="4"/>
  <c r="G1619" i="4"/>
  <c r="E1619" i="4"/>
  <c r="D1619" i="4"/>
  <c r="M1618" i="4"/>
  <c r="I1618" i="4"/>
  <c r="H1618" i="4"/>
  <c r="G1618" i="4"/>
  <c r="E1618" i="4"/>
  <c r="D1618" i="4"/>
  <c r="M1617" i="4"/>
  <c r="I1617" i="4"/>
  <c r="H1617" i="4"/>
  <c r="G1617" i="4"/>
  <c r="E1617" i="4"/>
  <c r="D1617" i="4"/>
  <c r="M1616" i="4"/>
  <c r="I1616" i="4"/>
  <c r="H1616" i="4"/>
  <c r="G1616" i="4"/>
  <c r="E1616" i="4"/>
  <c r="D1616" i="4"/>
  <c r="M1615" i="4"/>
  <c r="I1615" i="4"/>
  <c r="H1615" i="4"/>
  <c r="G1615" i="4"/>
  <c r="E1615" i="4"/>
  <c r="D1615" i="4"/>
  <c r="M1614" i="4"/>
  <c r="I1614" i="4"/>
  <c r="H1614" i="4"/>
  <c r="G1614" i="4"/>
  <c r="E1614" i="4"/>
  <c r="D1614" i="4"/>
  <c r="M1613" i="4"/>
  <c r="I1613" i="4"/>
  <c r="H1613" i="4"/>
  <c r="G1613" i="4"/>
  <c r="E1613" i="4"/>
  <c r="D1613" i="4"/>
  <c r="M1612" i="4"/>
  <c r="I1612" i="4"/>
  <c r="H1612" i="4"/>
  <c r="G1612" i="4"/>
  <c r="E1612" i="4"/>
  <c r="D1612" i="4"/>
  <c r="M1611" i="4"/>
  <c r="I1611" i="4"/>
  <c r="H1611" i="4"/>
  <c r="G1611" i="4"/>
  <c r="E1611" i="4"/>
  <c r="D1611" i="4"/>
  <c r="M1610" i="4"/>
  <c r="I1610" i="4"/>
  <c r="H1610" i="4"/>
  <c r="G1610" i="4"/>
  <c r="E1610" i="4"/>
  <c r="D1610" i="4"/>
  <c r="M1609" i="4"/>
  <c r="I1609" i="4"/>
  <c r="H1609" i="4"/>
  <c r="G1609" i="4"/>
  <c r="E1609" i="4"/>
  <c r="D1609" i="4"/>
  <c r="M1608" i="4"/>
  <c r="I1608" i="4"/>
  <c r="H1608" i="4"/>
  <c r="G1608" i="4"/>
  <c r="E1608" i="4"/>
  <c r="D1608" i="4"/>
  <c r="M1607" i="4"/>
  <c r="I1607" i="4"/>
  <c r="H1607" i="4"/>
  <c r="G1607" i="4"/>
  <c r="E1607" i="4"/>
  <c r="D1607" i="4"/>
  <c r="M1606" i="4"/>
  <c r="I1606" i="4"/>
  <c r="H1606" i="4"/>
  <c r="G1606" i="4"/>
  <c r="E1606" i="4"/>
  <c r="D1606" i="4"/>
  <c r="M1605" i="4"/>
  <c r="I1605" i="4"/>
  <c r="H1605" i="4"/>
  <c r="G1605" i="4"/>
  <c r="E1605" i="4"/>
  <c r="D1605" i="4"/>
  <c r="M1604" i="4"/>
  <c r="I1604" i="4"/>
  <c r="H1604" i="4"/>
  <c r="G1604" i="4"/>
  <c r="E1604" i="4"/>
  <c r="D1604" i="4"/>
  <c r="M1603" i="4"/>
  <c r="I1603" i="4"/>
  <c r="H1603" i="4"/>
  <c r="G1603" i="4"/>
  <c r="E1603" i="4"/>
  <c r="D1603" i="4"/>
  <c r="M1602" i="4"/>
  <c r="I1602" i="4"/>
  <c r="H1602" i="4"/>
  <c r="G1602" i="4"/>
  <c r="E1602" i="4"/>
  <c r="D1602" i="4"/>
  <c r="M1601" i="4"/>
  <c r="I1601" i="4"/>
  <c r="H1601" i="4"/>
  <c r="G1601" i="4"/>
  <c r="E1601" i="4"/>
  <c r="D1601" i="4"/>
  <c r="M1600" i="4"/>
  <c r="I1600" i="4"/>
  <c r="H1600" i="4"/>
  <c r="G1600" i="4"/>
  <c r="E1600" i="4"/>
  <c r="D1600" i="4"/>
  <c r="M1599" i="4"/>
  <c r="I1599" i="4"/>
  <c r="H1599" i="4"/>
  <c r="G1599" i="4"/>
  <c r="E1599" i="4"/>
  <c r="D1599" i="4"/>
  <c r="M1598" i="4"/>
  <c r="I1598" i="4"/>
  <c r="H1598" i="4"/>
  <c r="G1598" i="4"/>
  <c r="E1598" i="4"/>
  <c r="D1598" i="4"/>
  <c r="M1597" i="4"/>
  <c r="I1597" i="4"/>
  <c r="H1597" i="4"/>
  <c r="G1597" i="4"/>
  <c r="E1597" i="4"/>
  <c r="D1597" i="4"/>
  <c r="M1596" i="4"/>
  <c r="I1596" i="4"/>
  <c r="H1596" i="4"/>
  <c r="G1596" i="4"/>
  <c r="E1596" i="4"/>
  <c r="D1596" i="4"/>
  <c r="M1595" i="4"/>
  <c r="I1595" i="4"/>
  <c r="H1595" i="4"/>
  <c r="G1595" i="4"/>
  <c r="E1595" i="4"/>
  <c r="D1595" i="4"/>
  <c r="M1594" i="4"/>
  <c r="I1594" i="4"/>
  <c r="H1594" i="4"/>
  <c r="G1594" i="4"/>
  <c r="E1594" i="4"/>
  <c r="D1594" i="4"/>
  <c r="M1593" i="4"/>
  <c r="I1593" i="4"/>
  <c r="H1593" i="4"/>
  <c r="G1593" i="4"/>
  <c r="E1593" i="4"/>
  <c r="D1593" i="4"/>
  <c r="M1592" i="4"/>
  <c r="I1592" i="4"/>
  <c r="H1592" i="4"/>
  <c r="G1592" i="4"/>
  <c r="E1592" i="4"/>
  <c r="D1592" i="4"/>
  <c r="M1591" i="4"/>
  <c r="I1591" i="4"/>
  <c r="H1591" i="4"/>
  <c r="G1591" i="4"/>
  <c r="E1591" i="4"/>
  <c r="D1591" i="4"/>
  <c r="M1590" i="4"/>
  <c r="I1590" i="4"/>
  <c r="H1590" i="4"/>
  <c r="G1590" i="4"/>
  <c r="E1590" i="4"/>
  <c r="D1590" i="4"/>
  <c r="M1589" i="4"/>
  <c r="I1589" i="4"/>
  <c r="H1589" i="4"/>
  <c r="G1589" i="4"/>
  <c r="E1589" i="4"/>
  <c r="D1589" i="4"/>
  <c r="M1588" i="4"/>
  <c r="I1588" i="4"/>
  <c r="H1588" i="4"/>
  <c r="G1588" i="4"/>
  <c r="E1588" i="4"/>
  <c r="D1588" i="4"/>
  <c r="M1587" i="4"/>
  <c r="I1587" i="4"/>
  <c r="H1587" i="4"/>
  <c r="G1587" i="4"/>
  <c r="E1587" i="4"/>
  <c r="D1587" i="4"/>
  <c r="M1586" i="4"/>
  <c r="I1586" i="4"/>
  <c r="H1586" i="4"/>
  <c r="G1586" i="4"/>
  <c r="E1586" i="4"/>
  <c r="D1586" i="4"/>
  <c r="M1585" i="4"/>
  <c r="I1585" i="4"/>
  <c r="H1585" i="4"/>
  <c r="G1585" i="4"/>
  <c r="E1585" i="4"/>
  <c r="D1585" i="4"/>
  <c r="M1584" i="4"/>
  <c r="I1584" i="4"/>
  <c r="H1584" i="4"/>
  <c r="G1584" i="4"/>
  <c r="E1584" i="4"/>
  <c r="D1584" i="4"/>
  <c r="M1583" i="4"/>
  <c r="I1583" i="4"/>
  <c r="H1583" i="4"/>
  <c r="G1583" i="4"/>
  <c r="E1583" i="4"/>
  <c r="D1583" i="4"/>
  <c r="M1582" i="4"/>
  <c r="I1582" i="4"/>
  <c r="H1582" i="4"/>
  <c r="G1582" i="4"/>
  <c r="E1582" i="4"/>
  <c r="D1582" i="4"/>
  <c r="M1581" i="4"/>
  <c r="I1581" i="4"/>
  <c r="H1581" i="4"/>
  <c r="G1581" i="4"/>
  <c r="E1581" i="4"/>
  <c r="D1581" i="4"/>
  <c r="M1580" i="4"/>
  <c r="I1580" i="4"/>
  <c r="H1580" i="4"/>
  <c r="G1580" i="4"/>
  <c r="E1580" i="4"/>
  <c r="D1580" i="4"/>
  <c r="M1579" i="4"/>
  <c r="I1579" i="4"/>
  <c r="H1579" i="4"/>
  <c r="G1579" i="4"/>
  <c r="E1579" i="4"/>
  <c r="D1579" i="4"/>
  <c r="M1578" i="4"/>
  <c r="I1578" i="4"/>
  <c r="H1578" i="4"/>
  <c r="G1578" i="4"/>
  <c r="E1578" i="4"/>
  <c r="D1578" i="4"/>
  <c r="M1577" i="4"/>
  <c r="I1577" i="4"/>
  <c r="H1577" i="4"/>
  <c r="G1577" i="4"/>
  <c r="E1577" i="4"/>
  <c r="D1577" i="4"/>
  <c r="M1576" i="4"/>
  <c r="I1576" i="4"/>
  <c r="H1576" i="4"/>
  <c r="G1576" i="4"/>
  <c r="E1576" i="4"/>
  <c r="D1576" i="4"/>
  <c r="M1575" i="4"/>
  <c r="I1575" i="4"/>
  <c r="H1575" i="4"/>
  <c r="G1575" i="4"/>
  <c r="E1575" i="4"/>
  <c r="D1575" i="4"/>
  <c r="M1574" i="4"/>
  <c r="I1574" i="4"/>
  <c r="H1574" i="4"/>
  <c r="G1574" i="4"/>
  <c r="E1574" i="4"/>
  <c r="D1574" i="4"/>
  <c r="M1573" i="4"/>
  <c r="I1573" i="4"/>
  <c r="H1573" i="4"/>
  <c r="G1573" i="4"/>
  <c r="E1573" i="4"/>
  <c r="D1573" i="4"/>
  <c r="M1572" i="4"/>
  <c r="I1572" i="4"/>
  <c r="H1572" i="4"/>
  <c r="G1572" i="4"/>
  <c r="E1572" i="4"/>
  <c r="D1572" i="4"/>
  <c r="M1571" i="4"/>
  <c r="I1571" i="4"/>
  <c r="H1571" i="4"/>
  <c r="G1571" i="4"/>
  <c r="E1571" i="4"/>
  <c r="D1571" i="4"/>
  <c r="M1570" i="4"/>
  <c r="I1570" i="4"/>
  <c r="H1570" i="4"/>
  <c r="G1570" i="4"/>
  <c r="E1570" i="4"/>
  <c r="D1570" i="4"/>
  <c r="M1569" i="4"/>
  <c r="I1569" i="4"/>
  <c r="H1569" i="4"/>
  <c r="G1569" i="4"/>
  <c r="E1569" i="4"/>
  <c r="D1569" i="4"/>
  <c r="M1568" i="4"/>
  <c r="I1568" i="4"/>
  <c r="H1568" i="4"/>
  <c r="G1568" i="4"/>
  <c r="E1568" i="4"/>
  <c r="D1568" i="4"/>
  <c r="M1567" i="4"/>
  <c r="I1567" i="4"/>
  <c r="H1567" i="4"/>
  <c r="G1567" i="4"/>
  <c r="E1567" i="4"/>
  <c r="D1567" i="4"/>
  <c r="M1566" i="4"/>
  <c r="I1566" i="4"/>
  <c r="H1566" i="4"/>
  <c r="G1566" i="4"/>
  <c r="E1566" i="4"/>
  <c r="D1566" i="4"/>
  <c r="M1565" i="4"/>
  <c r="I1565" i="4"/>
  <c r="H1565" i="4"/>
  <c r="G1565" i="4"/>
  <c r="E1565" i="4"/>
  <c r="D1565" i="4"/>
  <c r="M1564" i="4"/>
  <c r="I1564" i="4"/>
  <c r="H1564" i="4"/>
  <c r="G1564" i="4"/>
  <c r="E1564" i="4"/>
  <c r="D1564" i="4"/>
  <c r="M1563" i="4"/>
  <c r="I1563" i="4"/>
  <c r="H1563" i="4"/>
  <c r="G1563" i="4"/>
  <c r="E1563" i="4"/>
  <c r="D1563" i="4"/>
  <c r="M1562" i="4"/>
  <c r="I1562" i="4"/>
  <c r="H1562" i="4"/>
  <c r="G1562" i="4"/>
  <c r="E1562" i="4"/>
  <c r="D1562" i="4"/>
  <c r="M1561" i="4"/>
  <c r="I1561" i="4"/>
  <c r="H1561" i="4"/>
  <c r="G1561" i="4"/>
  <c r="E1561" i="4"/>
  <c r="D1561" i="4"/>
  <c r="M1560" i="4"/>
  <c r="I1560" i="4"/>
  <c r="H1560" i="4"/>
  <c r="G1560" i="4"/>
  <c r="E1560" i="4"/>
  <c r="D1560" i="4"/>
  <c r="M1559" i="4"/>
  <c r="I1559" i="4"/>
  <c r="H1559" i="4"/>
  <c r="G1559" i="4"/>
  <c r="E1559" i="4"/>
  <c r="D1559" i="4"/>
  <c r="M1558" i="4"/>
  <c r="I1558" i="4"/>
  <c r="H1558" i="4"/>
  <c r="G1558" i="4"/>
  <c r="E1558" i="4"/>
  <c r="D1558" i="4"/>
  <c r="M1557" i="4"/>
  <c r="I1557" i="4"/>
  <c r="H1557" i="4"/>
  <c r="G1557" i="4"/>
  <c r="E1557" i="4"/>
  <c r="D1557" i="4"/>
  <c r="M1556" i="4"/>
  <c r="I1556" i="4"/>
  <c r="H1556" i="4"/>
  <c r="G1556" i="4"/>
  <c r="E1556" i="4"/>
  <c r="D1556" i="4"/>
  <c r="M1555" i="4"/>
  <c r="I1555" i="4"/>
  <c r="H1555" i="4"/>
  <c r="G1555" i="4"/>
  <c r="E1555" i="4"/>
  <c r="D1555" i="4"/>
  <c r="M1554" i="4"/>
  <c r="I1554" i="4"/>
  <c r="H1554" i="4"/>
  <c r="G1554" i="4"/>
  <c r="E1554" i="4"/>
  <c r="D1554" i="4"/>
  <c r="M1553" i="4"/>
  <c r="I1553" i="4"/>
  <c r="H1553" i="4"/>
  <c r="G1553" i="4"/>
  <c r="E1553" i="4"/>
  <c r="D1553" i="4"/>
  <c r="M1552" i="4"/>
  <c r="I1552" i="4"/>
  <c r="H1552" i="4"/>
  <c r="G1552" i="4"/>
  <c r="E1552" i="4"/>
  <c r="D1552" i="4"/>
  <c r="M1551" i="4"/>
  <c r="I1551" i="4"/>
  <c r="H1551" i="4"/>
  <c r="G1551" i="4"/>
  <c r="E1551" i="4"/>
  <c r="D1551" i="4"/>
  <c r="M1550" i="4"/>
  <c r="I1550" i="4"/>
  <c r="H1550" i="4"/>
  <c r="G1550" i="4"/>
  <c r="E1550" i="4"/>
  <c r="D1550" i="4"/>
  <c r="M1549" i="4"/>
  <c r="I1549" i="4"/>
  <c r="H1549" i="4"/>
  <c r="G1549" i="4"/>
  <c r="E1549" i="4"/>
  <c r="D1549" i="4"/>
  <c r="M1548" i="4"/>
  <c r="I1548" i="4"/>
  <c r="H1548" i="4"/>
  <c r="G1548" i="4"/>
  <c r="E1548" i="4"/>
  <c r="D1548" i="4"/>
  <c r="M1547" i="4"/>
  <c r="I1547" i="4"/>
  <c r="H1547" i="4"/>
  <c r="G1547" i="4"/>
  <c r="E1547" i="4"/>
  <c r="D1547" i="4"/>
  <c r="M1546" i="4"/>
  <c r="I1546" i="4"/>
  <c r="H1546" i="4"/>
  <c r="G1546" i="4"/>
  <c r="E1546" i="4"/>
  <c r="D1546" i="4"/>
  <c r="M1545" i="4"/>
  <c r="I1545" i="4"/>
  <c r="H1545" i="4"/>
  <c r="G1545" i="4"/>
  <c r="E1545" i="4"/>
  <c r="D1545" i="4"/>
  <c r="M1544" i="4"/>
  <c r="I1544" i="4"/>
  <c r="H1544" i="4"/>
  <c r="G1544" i="4"/>
  <c r="E1544" i="4"/>
  <c r="D1544" i="4"/>
  <c r="M1543" i="4"/>
  <c r="I1543" i="4"/>
  <c r="H1543" i="4"/>
  <c r="G1543" i="4"/>
  <c r="E1543" i="4"/>
  <c r="D1543" i="4"/>
  <c r="M1542" i="4"/>
  <c r="I1542" i="4"/>
  <c r="H1542" i="4"/>
  <c r="G1542" i="4"/>
  <c r="E1542" i="4"/>
  <c r="D1542" i="4"/>
  <c r="M1541" i="4"/>
  <c r="I1541" i="4"/>
  <c r="H1541" i="4"/>
  <c r="G1541" i="4"/>
  <c r="E1541" i="4"/>
  <c r="D1541" i="4"/>
  <c r="M1540" i="4"/>
  <c r="I1540" i="4"/>
  <c r="H1540" i="4"/>
  <c r="G1540" i="4"/>
  <c r="E1540" i="4"/>
  <c r="D1540" i="4"/>
  <c r="M1539" i="4"/>
  <c r="I1539" i="4"/>
  <c r="H1539" i="4"/>
  <c r="G1539" i="4"/>
  <c r="E1539" i="4"/>
  <c r="D1539" i="4"/>
  <c r="M1538" i="4"/>
  <c r="I1538" i="4"/>
  <c r="H1538" i="4"/>
  <c r="G1538" i="4"/>
  <c r="E1538" i="4"/>
  <c r="D1538" i="4"/>
  <c r="M1537" i="4"/>
  <c r="I1537" i="4"/>
  <c r="H1537" i="4"/>
  <c r="G1537" i="4"/>
  <c r="E1537" i="4"/>
  <c r="D1537" i="4"/>
  <c r="M1536" i="4"/>
  <c r="I1536" i="4"/>
  <c r="H1536" i="4"/>
  <c r="G1536" i="4"/>
  <c r="E1536" i="4"/>
  <c r="D1536" i="4"/>
  <c r="M1535" i="4"/>
  <c r="I1535" i="4"/>
  <c r="H1535" i="4"/>
  <c r="G1535" i="4"/>
  <c r="E1535" i="4"/>
  <c r="D1535" i="4"/>
  <c r="M1534" i="4"/>
  <c r="I1534" i="4"/>
  <c r="H1534" i="4"/>
  <c r="G1534" i="4"/>
  <c r="E1534" i="4"/>
  <c r="D1534" i="4"/>
  <c r="M1533" i="4"/>
  <c r="I1533" i="4"/>
  <c r="H1533" i="4"/>
  <c r="G1533" i="4"/>
  <c r="E1533" i="4"/>
  <c r="D1533" i="4"/>
  <c r="M1532" i="4"/>
  <c r="I1532" i="4"/>
  <c r="H1532" i="4"/>
  <c r="G1532" i="4"/>
  <c r="E1532" i="4"/>
  <c r="D1532" i="4"/>
  <c r="M1531" i="4"/>
  <c r="I1531" i="4"/>
  <c r="H1531" i="4"/>
  <c r="G1531" i="4"/>
  <c r="E1531" i="4"/>
  <c r="D1531" i="4"/>
  <c r="M1530" i="4"/>
  <c r="I1530" i="4"/>
  <c r="H1530" i="4"/>
  <c r="G1530" i="4"/>
  <c r="E1530" i="4"/>
  <c r="D1530" i="4"/>
  <c r="M1529" i="4"/>
  <c r="I1529" i="4"/>
  <c r="H1529" i="4"/>
  <c r="G1529" i="4"/>
  <c r="E1529" i="4"/>
  <c r="D1529" i="4"/>
  <c r="M1528" i="4"/>
  <c r="I1528" i="4"/>
  <c r="H1528" i="4"/>
  <c r="G1528" i="4"/>
  <c r="E1528" i="4"/>
  <c r="D1528" i="4"/>
  <c r="M1527" i="4"/>
  <c r="I1527" i="4"/>
  <c r="H1527" i="4"/>
  <c r="G1527" i="4"/>
  <c r="E1527" i="4"/>
  <c r="D1527" i="4"/>
  <c r="M1526" i="4"/>
  <c r="I1526" i="4"/>
  <c r="H1526" i="4"/>
  <c r="G1526" i="4"/>
  <c r="E1526" i="4"/>
  <c r="D1526" i="4"/>
  <c r="M1525" i="4"/>
  <c r="I1525" i="4"/>
  <c r="H1525" i="4"/>
  <c r="G1525" i="4"/>
  <c r="E1525" i="4"/>
  <c r="D1525" i="4"/>
  <c r="M1524" i="4"/>
  <c r="I1524" i="4"/>
  <c r="H1524" i="4"/>
  <c r="G1524" i="4"/>
  <c r="E1524" i="4"/>
  <c r="D1524" i="4"/>
  <c r="M1523" i="4"/>
  <c r="I1523" i="4"/>
  <c r="H1523" i="4"/>
  <c r="G1523" i="4"/>
  <c r="E1523" i="4"/>
  <c r="D1523" i="4"/>
  <c r="M1522" i="4"/>
  <c r="I1522" i="4"/>
  <c r="H1522" i="4"/>
  <c r="G1522" i="4"/>
  <c r="E1522" i="4"/>
  <c r="D1522" i="4"/>
  <c r="M1521" i="4"/>
  <c r="I1521" i="4"/>
  <c r="H1521" i="4"/>
  <c r="G1521" i="4"/>
  <c r="E1521" i="4"/>
  <c r="D1521" i="4"/>
  <c r="M1520" i="4"/>
  <c r="I1520" i="4"/>
  <c r="H1520" i="4"/>
  <c r="G1520" i="4"/>
  <c r="E1520" i="4"/>
  <c r="D1520" i="4"/>
  <c r="M1519" i="4"/>
  <c r="I1519" i="4"/>
  <c r="H1519" i="4"/>
  <c r="G1519" i="4"/>
  <c r="E1519" i="4"/>
  <c r="D1519" i="4"/>
  <c r="M1518" i="4"/>
  <c r="I1518" i="4"/>
  <c r="H1518" i="4"/>
  <c r="G1518" i="4"/>
  <c r="E1518" i="4"/>
  <c r="D1518" i="4"/>
  <c r="M1517" i="4"/>
  <c r="I1517" i="4"/>
  <c r="H1517" i="4"/>
  <c r="G1517" i="4"/>
  <c r="E1517" i="4"/>
  <c r="D1517" i="4"/>
  <c r="M1516" i="4"/>
  <c r="I1516" i="4"/>
  <c r="H1516" i="4"/>
  <c r="G1516" i="4"/>
  <c r="E1516" i="4"/>
  <c r="D1516" i="4"/>
  <c r="M1515" i="4"/>
  <c r="I1515" i="4"/>
  <c r="H1515" i="4"/>
  <c r="G1515" i="4"/>
  <c r="E1515" i="4"/>
  <c r="D1515" i="4"/>
  <c r="M1514" i="4"/>
  <c r="I1514" i="4"/>
  <c r="H1514" i="4"/>
  <c r="G1514" i="4"/>
  <c r="E1514" i="4"/>
  <c r="D1514" i="4"/>
  <c r="M1513" i="4"/>
  <c r="I1513" i="4"/>
  <c r="H1513" i="4"/>
  <c r="G1513" i="4"/>
  <c r="E1513" i="4"/>
  <c r="D1513" i="4"/>
  <c r="M1512" i="4"/>
  <c r="I1512" i="4"/>
  <c r="H1512" i="4"/>
  <c r="G1512" i="4"/>
  <c r="E1512" i="4"/>
  <c r="D1512" i="4"/>
  <c r="M1511" i="4"/>
  <c r="I1511" i="4"/>
  <c r="H1511" i="4"/>
  <c r="G1511" i="4"/>
  <c r="E1511" i="4"/>
  <c r="D1511" i="4"/>
  <c r="M1510" i="4"/>
  <c r="I1510" i="4"/>
  <c r="H1510" i="4"/>
  <c r="G1510" i="4"/>
  <c r="E1510" i="4"/>
  <c r="D1510" i="4"/>
  <c r="M1509" i="4"/>
  <c r="I1509" i="4"/>
  <c r="H1509" i="4"/>
  <c r="G1509" i="4"/>
  <c r="E1509" i="4"/>
  <c r="D1509" i="4"/>
  <c r="M1508" i="4"/>
  <c r="I1508" i="4"/>
  <c r="H1508" i="4"/>
  <c r="G1508" i="4"/>
  <c r="E1508" i="4"/>
  <c r="D1508" i="4"/>
  <c r="M1507" i="4"/>
  <c r="I1507" i="4"/>
  <c r="H1507" i="4"/>
  <c r="G1507" i="4"/>
  <c r="E1507" i="4"/>
  <c r="D1507" i="4"/>
  <c r="M1506" i="4"/>
  <c r="I1506" i="4"/>
  <c r="H1506" i="4"/>
  <c r="G1506" i="4"/>
  <c r="E1506" i="4"/>
  <c r="D1506" i="4"/>
  <c r="M1505" i="4"/>
  <c r="I1505" i="4"/>
  <c r="H1505" i="4"/>
  <c r="G1505" i="4"/>
  <c r="E1505" i="4"/>
  <c r="D1505" i="4"/>
  <c r="M1504" i="4"/>
  <c r="I1504" i="4"/>
  <c r="H1504" i="4"/>
  <c r="G1504" i="4"/>
  <c r="E1504" i="4"/>
  <c r="D1504" i="4"/>
  <c r="M1503" i="4"/>
  <c r="I1503" i="4"/>
  <c r="H1503" i="4"/>
  <c r="G1503" i="4"/>
  <c r="E1503" i="4"/>
  <c r="D1503" i="4"/>
  <c r="M1502" i="4"/>
  <c r="I1502" i="4"/>
  <c r="H1502" i="4"/>
  <c r="G1502" i="4"/>
  <c r="E1502" i="4"/>
  <c r="D1502" i="4"/>
  <c r="M1501" i="4"/>
  <c r="I1501" i="4"/>
  <c r="H1501" i="4"/>
  <c r="G1501" i="4"/>
  <c r="E1501" i="4"/>
  <c r="D1501" i="4"/>
  <c r="M1500" i="4"/>
  <c r="I1500" i="4"/>
  <c r="H1500" i="4"/>
  <c r="G1500" i="4"/>
  <c r="E1500" i="4"/>
  <c r="D1500" i="4"/>
  <c r="M1499" i="4"/>
  <c r="I1499" i="4"/>
  <c r="H1499" i="4"/>
  <c r="G1499" i="4"/>
  <c r="E1499" i="4"/>
  <c r="D1499" i="4"/>
  <c r="M1498" i="4"/>
  <c r="I1498" i="4"/>
  <c r="H1498" i="4"/>
  <c r="G1498" i="4"/>
  <c r="E1498" i="4"/>
  <c r="D1498" i="4"/>
  <c r="M1497" i="4"/>
  <c r="I1497" i="4"/>
  <c r="H1497" i="4"/>
  <c r="G1497" i="4"/>
  <c r="E1497" i="4"/>
  <c r="D1497" i="4"/>
  <c r="M1496" i="4"/>
  <c r="I1496" i="4"/>
  <c r="H1496" i="4"/>
  <c r="G1496" i="4"/>
  <c r="E1496" i="4"/>
  <c r="D1496" i="4"/>
  <c r="M1495" i="4"/>
  <c r="I1495" i="4"/>
  <c r="H1495" i="4"/>
  <c r="G1495" i="4"/>
  <c r="E1495" i="4"/>
  <c r="D1495" i="4"/>
  <c r="M1494" i="4"/>
  <c r="I1494" i="4"/>
  <c r="H1494" i="4"/>
  <c r="G1494" i="4"/>
  <c r="E1494" i="4"/>
  <c r="D1494" i="4"/>
  <c r="M1493" i="4"/>
  <c r="I1493" i="4"/>
  <c r="H1493" i="4"/>
  <c r="G1493" i="4"/>
  <c r="E1493" i="4"/>
  <c r="D1493" i="4"/>
  <c r="M1492" i="4"/>
  <c r="I1492" i="4"/>
  <c r="H1492" i="4"/>
  <c r="G1492" i="4"/>
  <c r="E1492" i="4"/>
  <c r="D1492" i="4"/>
  <c r="M1491" i="4"/>
  <c r="I1491" i="4"/>
  <c r="H1491" i="4"/>
  <c r="G1491" i="4"/>
  <c r="E1491" i="4"/>
  <c r="D1491" i="4"/>
  <c r="M1490" i="4"/>
  <c r="I1490" i="4"/>
  <c r="H1490" i="4"/>
  <c r="G1490" i="4"/>
  <c r="E1490" i="4"/>
  <c r="D1490" i="4"/>
  <c r="M1489" i="4"/>
  <c r="I1489" i="4"/>
  <c r="H1489" i="4"/>
  <c r="G1489" i="4"/>
  <c r="E1489" i="4"/>
  <c r="D1489" i="4"/>
  <c r="M1488" i="4"/>
  <c r="I1488" i="4"/>
  <c r="H1488" i="4"/>
  <c r="G1488" i="4"/>
  <c r="E1488" i="4"/>
  <c r="D1488" i="4"/>
  <c r="M1487" i="4"/>
  <c r="I1487" i="4"/>
  <c r="H1487" i="4"/>
  <c r="G1487" i="4"/>
  <c r="E1487" i="4"/>
  <c r="D1487" i="4"/>
  <c r="M1486" i="4"/>
  <c r="I1486" i="4"/>
  <c r="H1486" i="4"/>
  <c r="G1486" i="4"/>
  <c r="E1486" i="4"/>
  <c r="D1486" i="4"/>
  <c r="M1485" i="4"/>
  <c r="I1485" i="4"/>
  <c r="H1485" i="4"/>
  <c r="G1485" i="4"/>
  <c r="E1485" i="4"/>
  <c r="D1485" i="4"/>
  <c r="M1484" i="4"/>
  <c r="I1484" i="4"/>
  <c r="H1484" i="4"/>
  <c r="G1484" i="4"/>
  <c r="E1484" i="4"/>
  <c r="D1484" i="4"/>
  <c r="M1483" i="4"/>
  <c r="I1483" i="4"/>
  <c r="H1483" i="4"/>
  <c r="G1483" i="4"/>
  <c r="E1483" i="4"/>
  <c r="D1483" i="4"/>
  <c r="M1482" i="4"/>
  <c r="I1482" i="4"/>
  <c r="H1482" i="4"/>
  <c r="G1482" i="4"/>
  <c r="E1482" i="4"/>
  <c r="D1482" i="4"/>
  <c r="M1481" i="4"/>
  <c r="I1481" i="4"/>
  <c r="H1481" i="4"/>
  <c r="G1481" i="4"/>
  <c r="E1481" i="4"/>
  <c r="D1481" i="4"/>
  <c r="M1480" i="4"/>
  <c r="I1480" i="4"/>
  <c r="H1480" i="4"/>
  <c r="G1480" i="4"/>
  <c r="E1480" i="4"/>
  <c r="D1480" i="4"/>
  <c r="M1479" i="4"/>
  <c r="I1479" i="4"/>
  <c r="H1479" i="4"/>
  <c r="G1479" i="4"/>
  <c r="E1479" i="4"/>
  <c r="D1479" i="4"/>
  <c r="M1478" i="4"/>
  <c r="I1478" i="4"/>
  <c r="H1478" i="4"/>
  <c r="G1478" i="4"/>
  <c r="E1478" i="4"/>
  <c r="D1478" i="4"/>
  <c r="M1477" i="4"/>
  <c r="I1477" i="4"/>
  <c r="H1477" i="4"/>
  <c r="G1477" i="4"/>
  <c r="E1477" i="4"/>
  <c r="D1477" i="4"/>
  <c r="M1476" i="4"/>
  <c r="I1476" i="4"/>
  <c r="H1476" i="4"/>
  <c r="G1476" i="4"/>
  <c r="E1476" i="4"/>
  <c r="D1476" i="4"/>
  <c r="M1475" i="4"/>
  <c r="I1475" i="4"/>
  <c r="H1475" i="4"/>
  <c r="G1475" i="4"/>
  <c r="E1475" i="4"/>
  <c r="D1475" i="4"/>
  <c r="M1474" i="4"/>
  <c r="I1474" i="4"/>
  <c r="H1474" i="4"/>
  <c r="G1474" i="4"/>
  <c r="E1474" i="4"/>
  <c r="D1474" i="4"/>
  <c r="M1473" i="4"/>
  <c r="I1473" i="4"/>
  <c r="H1473" i="4"/>
  <c r="G1473" i="4"/>
  <c r="E1473" i="4"/>
  <c r="D1473" i="4"/>
  <c r="M1472" i="4"/>
  <c r="I1472" i="4"/>
  <c r="H1472" i="4"/>
  <c r="G1472" i="4"/>
  <c r="E1472" i="4"/>
  <c r="D1472" i="4"/>
  <c r="M1471" i="4"/>
  <c r="I1471" i="4"/>
  <c r="H1471" i="4"/>
  <c r="G1471" i="4"/>
  <c r="E1471" i="4"/>
  <c r="D1471" i="4"/>
  <c r="M1470" i="4"/>
  <c r="I1470" i="4"/>
  <c r="H1470" i="4"/>
  <c r="G1470" i="4"/>
  <c r="E1470" i="4"/>
  <c r="D1470" i="4"/>
  <c r="M1469" i="4"/>
  <c r="I1469" i="4"/>
  <c r="H1469" i="4"/>
  <c r="G1469" i="4"/>
  <c r="E1469" i="4"/>
  <c r="D1469" i="4"/>
  <c r="M1468" i="4"/>
  <c r="I1468" i="4"/>
  <c r="H1468" i="4"/>
  <c r="G1468" i="4"/>
  <c r="E1468" i="4"/>
  <c r="D1468" i="4"/>
  <c r="M1467" i="4"/>
  <c r="I1467" i="4"/>
  <c r="H1467" i="4"/>
  <c r="G1467" i="4"/>
  <c r="E1467" i="4"/>
  <c r="D1467" i="4"/>
  <c r="M1466" i="4"/>
  <c r="I1466" i="4"/>
  <c r="H1466" i="4"/>
  <c r="G1466" i="4"/>
  <c r="E1466" i="4"/>
  <c r="D1466" i="4"/>
  <c r="M1465" i="4"/>
  <c r="I1465" i="4"/>
  <c r="H1465" i="4"/>
  <c r="G1465" i="4"/>
  <c r="E1465" i="4"/>
  <c r="D1465" i="4"/>
  <c r="M1464" i="4"/>
  <c r="I1464" i="4"/>
  <c r="H1464" i="4"/>
  <c r="G1464" i="4"/>
  <c r="E1464" i="4"/>
  <c r="D1464" i="4"/>
  <c r="M1463" i="4"/>
  <c r="I1463" i="4"/>
  <c r="H1463" i="4"/>
  <c r="G1463" i="4"/>
  <c r="E1463" i="4"/>
  <c r="D1463" i="4"/>
  <c r="M1462" i="4"/>
  <c r="I1462" i="4"/>
  <c r="H1462" i="4"/>
  <c r="G1462" i="4"/>
  <c r="E1462" i="4"/>
  <c r="D1462" i="4"/>
  <c r="M1461" i="4"/>
  <c r="I1461" i="4"/>
  <c r="H1461" i="4"/>
  <c r="G1461" i="4"/>
  <c r="E1461" i="4"/>
  <c r="D1461" i="4"/>
  <c r="M1460" i="4"/>
  <c r="I1460" i="4"/>
  <c r="H1460" i="4"/>
  <c r="G1460" i="4"/>
  <c r="E1460" i="4"/>
  <c r="D1460" i="4"/>
  <c r="M1459" i="4"/>
  <c r="I1459" i="4"/>
  <c r="H1459" i="4"/>
  <c r="G1459" i="4"/>
  <c r="E1459" i="4"/>
  <c r="D1459" i="4"/>
  <c r="M1458" i="4"/>
  <c r="I1458" i="4"/>
  <c r="H1458" i="4"/>
  <c r="G1458" i="4"/>
  <c r="E1458" i="4"/>
  <c r="D1458" i="4"/>
  <c r="M1457" i="4"/>
  <c r="I1457" i="4"/>
  <c r="H1457" i="4"/>
  <c r="G1457" i="4"/>
  <c r="E1457" i="4"/>
  <c r="D1457" i="4"/>
  <c r="M1456" i="4"/>
  <c r="I1456" i="4"/>
  <c r="H1456" i="4"/>
  <c r="G1456" i="4"/>
  <c r="E1456" i="4"/>
  <c r="D1456" i="4"/>
  <c r="M1455" i="4"/>
  <c r="I1455" i="4"/>
  <c r="H1455" i="4"/>
  <c r="G1455" i="4"/>
  <c r="E1455" i="4"/>
  <c r="D1455" i="4"/>
  <c r="M1454" i="4"/>
  <c r="I1454" i="4"/>
  <c r="H1454" i="4"/>
  <c r="G1454" i="4"/>
  <c r="E1454" i="4"/>
  <c r="D1454" i="4"/>
  <c r="M1453" i="4"/>
  <c r="I1453" i="4"/>
  <c r="H1453" i="4"/>
  <c r="G1453" i="4"/>
  <c r="E1453" i="4"/>
  <c r="D1453" i="4"/>
  <c r="M1452" i="4"/>
  <c r="I1452" i="4"/>
  <c r="H1452" i="4"/>
  <c r="G1452" i="4"/>
  <c r="E1452" i="4"/>
  <c r="D1452" i="4"/>
  <c r="M1451" i="4"/>
  <c r="I1451" i="4"/>
  <c r="H1451" i="4"/>
  <c r="G1451" i="4"/>
  <c r="E1451" i="4"/>
  <c r="D1451" i="4"/>
  <c r="M1450" i="4"/>
  <c r="I1450" i="4"/>
  <c r="H1450" i="4"/>
  <c r="G1450" i="4"/>
  <c r="E1450" i="4"/>
  <c r="D1450" i="4"/>
  <c r="M1449" i="4"/>
  <c r="I1449" i="4"/>
  <c r="H1449" i="4"/>
  <c r="G1449" i="4"/>
  <c r="E1449" i="4"/>
  <c r="D1449" i="4"/>
  <c r="M1448" i="4"/>
  <c r="I1448" i="4"/>
  <c r="H1448" i="4"/>
  <c r="G1448" i="4"/>
  <c r="E1448" i="4"/>
  <c r="D1448" i="4"/>
  <c r="M1447" i="4"/>
  <c r="I1447" i="4"/>
  <c r="H1447" i="4"/>
  <c r="G1447" i="4"/>
  <c r="E1447" i="4"/>
  <c r="D1447" i="4"/>
  <c r="M1446" i="4"/>
  <c r="I1446" i="4"/>
  <c r="H1446" i="4"/>
  <c r="G1446" i="4"/>
  <c r="E1446" i="4"/>
  <c r="D1446" i="4"/>
  <c r="M1445" i="4"/>
  <c r="I1445" i="4"/>
  <c r="H1445" i="4"/>
  <c r="G1445" i="4"/>
  <c r="E1445" i="4"/>
  <c r="D1445" i="4"/>
  <c r="M1444" i="4"/>
  <c r="I1444" i="4"/>
  <c r="H1444" i="4"/>
  <c r="G1444" i="4"/>
  <c r="E1444" i="4"/>
  <c r="D1444" i="4"/>
  <c r="M1443" i="4"/>
  <c r="I1443" i="4"/>
  <c r="H1443" i="4"/>
  <c r="G1443" i="4"/>
  <c r="E1443" i="4"/>
  <c r="D1443" i="4"/>
  <c r="M1442" i="4"/>
  <c r="I1442" i="4"/>
  <c r="H1442" i="4"/>
  <c r="G1442" i="4"/>
  <c r="E1442" i="4"/>
  <c r="D1442" i="4"/>
  <c r="M1441" i="4"/>
  <c r="I1441" i="4"/>
  <c r="H1441" i="4"/>
  <c r="G1441" i="4"/>
  <c r="E1441" i="4"/>
  <c r="D1441" i="4"/>
  <c r="M1440" i="4"/>
  <c r="I1440" i="4"/>
  <c r="H1440" i="4"/>
  <c r="G1440" i="4"/>
  <c r="E1440" i="4"/>
  <c r="D1440" i="4"/>
  <c r="M1439" i="4"/>
  <c r="I1439" i="4"/>
  <c r="H1439" i="4"/>
  <c r="G1439" i="4"/>
  <c r="E1439" i="4"/>
  <c r="D1439" i="4"/>
  <c r="M1438" i="4"/>
  <c r="I1438" i="4"/>
  <c r="H1438" i="4"/>
  <c r="G1438" i="4"/>
  <c r="E1438" i="4"/>
  <c r="D1438" i="4"/>
  <c r="M1437" i="4"/>
  <c r="I1437" i="4"/>
  <c r="H1437" i="4"/>
  <c r="G1437" i="4"/>
  <c r="E1437" i="4"/>
  <c r="D1437" i="4"/>
  <c r="M1436" i="4"/>
  <c r="I1436" i="4"/>
  <c r="H1436" i="4"/>
  <c r="G1436" i="4"/>
  <c r="E1436" i="4"/>
  <c r="D1436" i="4"/>
  <c r="M1435" i="4"/>
  <c r="I1435" i="4"/>
  <c r="H1435" i="4"/>
  <c r="G1435" i="4"/>
  <c r="E1435" i="4"/>
  <c r="D1435" i="4"/>
  <c r="M1434" i="4"/>
  <c r="I1434" i="4"/>
  <c r="H1434" i="4"/>
  <c r="G1434" i="4"/>
  <c r="E1434" i="4"/>
  <c r="D1434" i="4"/>
  <c r="M1433" i="4"/>
  <c r="I1433" i="4"/>
  <c r="H1433" i="4"/>
  <c r="G1433" i="4"/>
  <c r="E1433" i="4"/>
  <c r="D1433" i="4"/>
  <c r="M1432" i="4"/>
  <c r="I1432" i="4"/>
  <c r="H1432" i="4"/>
  <c r="G1432" i="4"/>
  <c r="E1432" i="4"/>
  <c r="D1432" i="4"/>
  <c r="M1431" i="4"/>
  <c r="I1431" i="4"/>
  <c r="H1431" i="4"/>
  <c r="G1431" i="4"/>
  <c r="E1431" i="4"/>
  <c r="D1431" i="4"/>
  <c r="M1430" i="4"/>
  <c r="I1430" i="4"/>
  <c r="H1430" i="4"/>
  <c r="G1430" i="4"/>
  <c r="E1430" i="4"/>
  <c r="D1430" i="4"/>
  <c r="M1429" i="4"/>
  <c r="I1429" i="4"/>
  <c r="H1429" i="4"/>
  <c r="G1429" i="4"/>
  <c r="E1429" i="4"/>
  <c r="D1429" i="4"/>
  <c r="M1428" i="4"/>
  <c r="I1428" i="4"/>
  <c r="H1428" i="4"/>
  <c r="G1428" i="4"/>
  <c r="E1428" i="4"/>
  <c r="D1428" i="4"/>
  <c r="M1427" i="4"/>
  <c r="I1427" i="4"/>
  <c r="H1427" i="4"/>
  <c r="G1427" i="4"/>
  <c r="E1427" i="4"/>
  <c r="D1427" i="4"/>
  <c r="M1426" i="4"/>
  <c r="I1426" i="4"/>
  <c r="H1426" i="4"/>
  <c r="G1426" i="4"/>
  <c r="E1426" i="4"/>
  <c r="D1426" i="4"/>
  <c r="M1425" i="4"/>
  <c r="I1425" i="4"/>
  <c r="H1425" i="4"/>
  <c r="G1425" i="4"/>
  <c r="E1425" i="4"/>
  <c r="D1425" i="4"/>
  <c r="M1424" i="4"/>
  <c r="I1424" i="4"/>
  <c r="H1424" i="4"/>
  <c r="G1424" i="4"/>
  <c r="E1424" i="4"/>
  <c r="D1424" i="4"/>
  <c r="M1423" i="4"/>
  <c r="I1423" i="4"/>
  <c r="H1423" i="4"/>
  <c r="G1423" i="4"/>
  <c r="E1423" i="4"/>
  <c r="D1423" i="4"/>
  <c r="M1422" i="4"/>
  <c r="I1422" i="4"/>
  <c r="H1422" i="4"/>
  <c r="G1422" i="4"/>
  <c r="E1422" i="4"/>
  <c r="D1422" i="4"/>
  <c r="M1421" i="4"/>
  <c r="I1421" i="4"/>
  <c r="H1421" i="4"/>
  <c r="G1421" i="4"/>
  <c r="E1421" i="4"/>
  <c r="D1421" i="4"/>
  <c r="M1420" i="4"/>
  <c r="I1420" i="4"/>
  <c r="H1420" i="4"/>
  <c r="G1420" i="4"/>
  <c r="E1420" i="4"/>
  <c r="D1420" i="4"/>
  <c r="M1419" i="4"/>
  <c r="I1419" i="4"/>
  <c r="H1419" i="4"/>
  <c r="G1419" i="4"/>
  <c r="E1419" i="4"/>
  <c r="D1419" i="4"/>
  <c r="M1418" i="4"/>
  <c r="I1418" i="4"/>
  <c r="H1418" i="4"/>
  <c r="G1418" i="4"/>
  <c r="E1418" i="4"/>
  <c r="D1418" i="4"/>
  <c r="M1417" i="4"/>
  <c r="I1417" i="4"/>
  <c r="H1417" i="4"/>
  <c r="G1417" i="4"/>
  <c r="E1417" i="4"/>
  <c r="D1417" i="4"/>
  <c r="M1416" i="4"/>
  <c r="I1416" i="4"/>
  <c r="H1416" i="4"/>
  <c r="G1416" i="4"/>
  <c r="E1416" i="4"/>
  <c r="D1416" i="4"/>
  <c r="M1415" i="4"/>
  <c r="I1415" i="4"/>
  <c r="H1415" i="4"/>
  <c r="G1415" i="4"/>
  <c r="E1415" i="4"/>
  <c r="D1415" i="4"/>
  <c r="M1414" i="4"/>
  <c r="I1414" i="4"/>
  <c r="H1414" i="4"/>
  <c r="G1414" i="4"/>
  <c r="E1414" i="4"/>
  <c r="D1414" i="4"/>
  <c r="M1413" i="4"/>
  <c r="I1413" i="4"/>
  <c r="H1413" i="4"/>
  <c r="G1413" i="4"/>
  <c r="E1413" i="4"/>
  <c r="D1413" i="4"/>
  <c r="M1412" i="4"/>
  <c r="I1412" i="4"/>
  <c r="H1412" i="4"/>
  <c r="G1412" i="4"/>
  <c r="E1412" i="4"/>
  <c r="D1412" i="4"/>
  <c r="M1411" i="4"/>
  <c r="I1411" i="4"/>
  <c r="H1411" i="4"/>
  <c r="G1411" i="4"/>
  <c r="E1411" i="4"/>
  <c r="D1411" i="4"/>
  <c r="M1410" i="4"/>
  <c r="I1410" i="4"/>
  <c r="H1410" i="4"/>
  <c r="G1410" i="4"/>
  <c r="E1410" i="4"/>
  <c r="D1410" i="4"/>
  <c r="M1409" i="4"/>
  <c r="I1409" i="4"/>
  <c r="H1409" i="4"/>
  <c r="G1409" i="4"/>
  <c r="E1409" i="4"/>
  <c r="D1409" i="4"/>
  <c r="M1408" i="4"/>
  <c r="I1408" i="4"/>
  <c r="H1408" i="4"/>
  <c r="G1408" i="4"/>
  <c r="E1408" i="4"/>
  <c r="D1408" i="4"/>
  <c r="M1407" i="4"/>
  <c r="I1407" i="4"/>
  <c r="H1407" i="4"/>
  <c r="G1407" i="4"/>
  <c r="E1407" i="4"/>
  <c r="D1407" i="4"/>
  <c r="M1406" i="4"/>
  <c r="I1406" i="4"/>
  <c r="H1406" i="4"/>
  <c r="G1406" i="4"/>
  <c r="E1406" i="4"/>
  <c r="D1406" i="4"/>
  <c r="M1405" i="4"/>
  <c r="I1405" i="4"/>
  <c r="H1405" i="4"/>
  <c r="G1405" i="4"/>
  <c r="E1405" i="4"/>
  <c r="D1405" i="4"/>
  <c r="M1404" i="4"/>
  <c r="I1404" i="4"/>
  <c r="H1404" i="4"/>
  <c r="G1404" i="4"/>
  <c r="E1404" i="4"/>
  <c r="D1404" i="4"/>
  <c r="M1403" i="4"/>
  <c r="I1403" i="4"/>
  <c r="H1403" i="4"/>
  <c r="G1403" i="4"/>
  <c r="E1403" i="4"/>
  <c r="D1403" i="4"/>
  <c r="M1402" i="4"/>
  <c r="I1402" i="4"/>
  <c r="H1402" i="4"/>
  <c r="G1402" i="4"/>
  <c r="E1402" i="4"/>
  <c r="D1402" i="4"/>
  <c r="M1401" i="4"/>
  <c r="I1401" i="4"/>
  <c r="H1401" i="4"/>
  <c r="G1401" i="4"/>
  <c r="E1401" i="4"/>
  <c r="D1401" i="4"/>
  <c r="M1400" i="4"/>
  <c r="I1400" i="4"/>
  <c r="H1400" i="4"/>
  <c r="G1400" i="4"/>
  <c r="E1400" i="4"/>
  <c r="D1400" i="4"/>
  <c r="M1399" i="4"/>
  <c r="I1399" i="4"/>
  <c r="H1399" i="4"/>
  <c r="G1399" i="4"/>
  <c r="E1399" i="4"/>
  <c r="D1399" i="4"/>
  <c r="M1398" i="4"/>
  <c r="I1398" i="4"/>
  <c r="H1398" i="4"/>
  <c r="G1398" i="4"/>
  <c r="E1398" i="4"/>
  <c r="D1398" i="4"/>
  <c r="M1397" i="4"/>
  <c r="I1397" i="4"/>
  <c r="H1397" i="4"/>
  <c r="G1397" i="4"/>
  <c r="E1397" i="4"/>
  <c r="D1397" i="4"/>
  <c r="M1396" i="4"/>
  <c r="I1396" i="4"/>
  <c r="H1396" i="4"/>
  <c r="G1396" i="4"/>
  <c r="E1396" i="4"/>
  <c r="D1396" i="4"/>
  <c r="M1395" i="4"/>
  <c r="I1395" i="4"/>
  <c r="H1395" i="4"/>
  <c r="G1395" i="4"/>
  <c r="E1395" i="4"/>
  <c r="D1395" i="4"/>
  <c r="M1394" i="4"/>
  <c r="I1394" i="4"/>
  <c r="H1394" i="4"/>
  <c r="G1394" i="4"/>
  <c r="E1394" i="4"/>
  <c r="D1394" i="4"/>
  <c r="M1393" i="4"/>
  <c r="I1393" i="4"/>
  <c r="H1393" i="4"/>
  <c r="G1393" i="4"/>
  <c r="E1393" i="4"/>
  <c r="D1393" i="4"/>
  <c r="M1392" i="4"/>
  <c r="I1392" i="4"/>
  <c r="H1392" i="4"/>
  <c r="G1392" i="4"/>
  <c r="E1392" i="4"/>
  <c r="D1392" i="4"/>
  <c r="M1391" i="4"/>
  <c r="I1391" i="4"/>
  <c r="H1391" i="4"/>
  <c r="G1391" i="4"/>
  <c r="E1391" i="4"/>
  <c r="D1391" i="4"/>
  <c r="M1390" i="4"/>
  <c r="I1390" i="4"/>
  <c r="H1390" i="4"/>
  <c r="G1390" i="4"/>
  <c r="E1390" i="4"/>
  <c r="D1390" i="4"/>
  <c r="M1389" i="4"/>
  <c r="I1389" i="4"/>
  <c r="H1389" i="4"/>
  <c r="G1389" i="4"/>
  <c r="E1389" i="4"/>
  <c r="D1389" i="4"/>
  <c r="M1388" i="4"/>
  <c r="I1388" i="4"/>
  <c r="H1388" i="4"/>
  <c r="G1388" i="4"/>
  <c r="E1388" i="4"/>
  <c r="D1388" i="4"/>
  <c r="M1387" i="4"/>
  <c r="I1387" i="4"/>
  <c r="H1387" i="4"/>
  <c r="G1387" i="4"/>
  <c r="E1387" i="4"/>
  <c r="D1387" i="4"/>
  <c r="M1386" i="4"/>
  <c r="I1386" i="4"/>
  <c r="H1386" i="4"/>
  <c r="G1386" i="4"/>
  <c r="E1386" i="4"/>
  <c r="D1386" i="4"/>
  <c r="M1385" i="4"/>
  <c r="I1385" i="4"/>
  <c r="H1385" i="4"/>
  <c r="G1385" i="4"/>
  <c r="E1385" i="4"/>
  <c r="D1385" i="4"/>
  <c r="M1384" i="4"/>
  <c r="I1384" i="4"/>
  <c r="H1384" i="4"/>
  <c r="G1384" i="4"/>
  <c r="E1384" i="4"/>
  <c r="D1384" i="4"/>
  <c r="M1383" i="4"/>
  <c r="I1383" i="4"/>
  <c r="H1383" i="4"/>
  <c r="G1383" i="4"/>
  <c r="E1383" i="4"/>
  <c r="D1383" i="4"/>
  <c r="M1382" i="4"/>
  <c r="I1382" i="4"/>
  <c r="H1382" i="4"/>
  <c r="G1382" i="4"/>
  <c r="E1382" i="4"/>
  <c r="D1382" i="4"/>
  <c r="M1381" i="4"/>
  <c r="I1381" i="4"/>
  <c r="H1381" i="4"/>
  <c r="G1381" i="4"/>
  <c r="E1381" i="4"/>
  <c r="D1381" i="4"/>
  <c r="M1380" i="4"/>
  <c r="I1380" i="4"/>
  <c r="H1380" i="4"/>
  <c r="G1380" i="4"/>
  <c r="E1380" i="4"/>
  <c r="D1380" i="4"/>
  <c r="M1379" i="4"/>
  <c r="I1379" i="4"/>
  <c r="H1379" i="4"/>
  <c r="G1379" i="4"/>
  <c r="E1379" i="4"/>
  <c r="D1379" i="4"/>
  <c r="M1378" i="4"/>
  <c r="I1378" i="4"/>
  <c r="H1378" i="4"/>
  <c r="G1378" i="4"/>
  <c r="E1378" i="4"/>
  <c r="D1378" i="4"/>
  <c r="M1377" i="4"/>
  <c r="I1377" i="4"/>
  <c r="H1377" i="4"/>
  <c r="G1377" i="4"/>
  <c r="E1377" i="4"/>
  <c r="D1377" i="4"/>
  <c r="M1376" i="4"/>
  <c r="I1376" i="4"/>
  <c r="H1376" i="4"/>
  <c r="G1376" i="4"/>
  <c r="E1376" i="4"/>
  <c r="D1376" i="4"/>
  <c r="M1375" i="4"/>
  <c r="I1375" i="4"/>
  <c r="H1375" i="4"/>
  <c r="G1375" i="4"/>
  <c r="E1375" i="4"/>
  <c r="D1375" i="4"/>
  <c r="M1374" i="4"/>
  <c r="I1374" i="4"/>
  <c r="H1374" i="4"/>
  <c r="G1374" i="4"/>
  <c r="E1374" i="4"/>
  <c r="D1374" i="4"/>
  <c r="M1373" i="4"/>
  <c r="I1373" i="4"/>
  <c r="H1373" i="4"/>
  <c r="G1373" i="4"/>
  <c r="E1373" i="4"/>
  <c r="D1373" i="4"/>
  <c r="M1372" i="4"/>
  <c r="I1372" i="4"/>
  <c r="H1372" i="4"/>
  <c r="G1372" i="4"/>
  <c r="E1372" i="4"/>
  <c r="D1372" i="4"/>
  <c r="M1371" i="4"/>
  <c r="I1371" i="4"/>
  <c r="H1371" i="4"/>
  <c r="G1371" i="4"/>
  <c r="E1371" i="4"/>
  <c r="D1371" i="4"/>
  <c r="M1370" i="4"/>
  <c r="I1370" i="4"/>
  <c r="H1370" i="4"/>
  <c r="G1370" i="4"/>
  <c r="E1370" i="4"/>
  <c r="D1370" i="4"/>
  <c r="M1369" i="4"/>
  <c r="I1369" i="4"/>
  <c r="H1369" i="4"/>
  <c r="G1369" i="4"/>
  <c r="E1369" i="4"/>
  <c r="D1369" i="4"/>
  <c r="M1368" i="4"/>
  <c r="I1368" i="4"/>
  <c r="H1368" i="4"/>
  <c r="G1368" i="4"/>
  <c r="E1368" i="4"/>
  <c r="D1368" i="4"/>
  <c r="M1367" i="4"/>
  <c r="I1367" i="4"/>
  <c r="H1367" i="4"/>
  <c r="G1367" i="4"/>
  <c r="E1367" i="4"/>
  <c r="D1367" i="4"/>
  <c r="M1366" i="4"/>
  <c r="I1366" i="4"/>
  <c r="H1366" i="4"/>
  <c r="G1366" i="4"/>
  <c r="E1366" i="4"/>
  <c r="D1366" i="4"/>
  <c r="M1365" i="4"/>
  <c r="I1365" i="4"/>
  <c r="H1365" i="4"/>
  <c r="G1365" i="4"/>
  <c r="E1365" i="4"/>
  <c r="D1365" i="4"/>
  <c r="M1364" i="4"/>
  <c r="I1364" i="4"/>
  <c r="H1364" i="4"/>
  <c r="G1364" i="4"/>
  <c r="E1364" i="4"/>
  <c r="D1364" i="4"/>
  <c r="M1363" i="4"/>
  <c r="I1363" i="4"/>
  <c r="H1363" i="4"/>
  <c r="G1363" i="4"/>
  <c r="E1363" i="4"/>
  <c r="D1363" i="4"/>
  <c r="M1362" i="4"/>
  <c r="I1362" i="4"/>
  <c r="H1362" i="4"/>
  <c r="G1362" i="4"/>
  <c r="E1362" i="4"/>
  <c r="D1362" i="4"/>
  <c r="M1361" i="4"/>
  <c r="I1361" i="4"/>
  <c r="H1361" i="4"/>
  <c r="G1361" i="4"/>
  <c r="E1361" i="4"/>
  <c r="D1361" i="4"/>
  <c r="M1360" i="4"/>
  <c r="I1360" i="4"/>
  <c r="H1360" i="4"/>
  <c r="G1360" i="4"/>
  <c r="E1360" i="4"/>
  <c r="D1360" i="4"/>
  <c r="M1359" i="4"/>
  <c r="I1359" i="4"/>
  <c r="H1359" i="4"/>
  <c r="G1359" i="4"/>
  <c r="E1359" i="4"/>
  <c r="D1359" i="4"/>
  <c r="M1358" i="4"/>
  <c r="I1358" i="4"/>
  <c r="H1358" i="4"/>
  <c r="G1358" i="4"/>
  <c r="E1358" i="4"/>
  <c r="D1358" i="4"/>
  <c r="M1357" i="4"/>
  <c r="I1357" i="4"/>
  <c r="H1357" i="4"/>
  <c r="G1357" i="4"/>
  <c r="E1357" i="4"/>
  <c r="D1357" i="4"/>
  <c r="M1356" i="4"/>
  <c r="I1356" i="4"/>
  <c r="H1356" i="4"/>
  <c r="G1356" i="4"/>
  <c r="E1356" i="4"/>
  <c r="D1356" i="4"/>
  <c r="M1355" i="4"/>
  <c r="I1355" i="4"/>
  <c r="H1355" i="4"/>
  <c r="G1355" i="4"/>
  <c r="E1355" i="4"/>
  <c r="D1355" i="4"/>
  <c r="M1354" i="4"/>
  <c r="I1354" i="4"/>
  <c r="H1354" i="4"/>
  <c r="G1354" i="4"/>
  <c r="E1354" i="4"/>
  <c r="D1354" i="4"/>
  <c r="M1353" i="4"/>
  <c r="I1353" i="4"/>
  <c r="H1353" i="4"/>
  <c r="G1353" i="4"/>
  <c r="E1353" i="4"/>
  <c r="D1353" i="4"/>
  <c r="M1352" i="4"/>
  <c r="I1352" i="4"/>
  <c r="H1352" i="4"/>
  <c r="G1352" i="4"/>
  <c r="E1352" i="4"/>
  <c r="D1352" i="4"/>
  <c r="M1351" i="4"/>
  <c r="I1351" i="4"/>
  <c r="H1351" i="4"/>
  <c r="G1351" i="4"/>
  <c r="E1351" i="4"/>
  <c r="D1351" i="4"/>
  <c r="M1350" i="4"/>
  <c r="I1350" i="4"/>
  <c r="H1350" i="4"/>
  <c r="G1350" i="4"/>
  <c r="E1350" i="4"/>
  <c r="D1350" i="4"/>
  <c r="M1349" i="4"/>
  <c r="I1349" i="4"/>
  <c r="H1349" i="4"/>
  <c r="G1349" i="4"/>
  <c r="E1349" i="4"/>
  <c r="D1349" i="4"/>
  <c r="M1348" i="4"/>
  <c r="I1348" i="4"/>
  <c r="H1348" i="4"/>
  <c r="G1348" i="4"/>
  <c r="E1348" i="4"/>
  <c r="D1348" i="4"/>
  <c r="M1347" i="4"/>
  <c r="I1347" i="4"/>
  <c r="H1347" i="4"/>
  <c r="G1347" i="4"/>
  <c r="E1347" i="4"/>
  <c r="D1347" i="4"/>
  <c r="M1346" i="4"/>
  <c r="I1346" i="4"/>
  <c r="H1346" i="4"/>
  <c r="G1346" i="4"/>
  <c r="E1346" i="4"/>
  <c r="D1346" i="4"/>
  <c r="M1345" i="4"/>
  <c r="I1345" i="4"/>
  <c r="H1345" i="4"/>
  <c r="G1345" i="4"/>
  <c r="E1345" i="4"/>
  <c r="D1345" i="4"/>
  <c r="M1344" i="4"/>
  <c r="I1344" i="4"/>
  <c r="H1344" i="4"/>
  <c r="G1344" i="4"/>
  <c r="E1344" i="4"/>
  <c r="D1344" i="4"/>
  <c r="M1343" i="4"/>
  <c r="I1343" i="4"/>
  <c r="H1343" i="4"/>
  <c r="G1343" i="4"/>
  <c r="E1343" i="4"/>
  <c r="D1343" i="4"/>
  <c r="M1342" i="4"/>
  <c r="I1342" i="4"/>
  <c r="H1342" i="4"/>
  <c r="G1342" i="4"/>
  <c r="E1342" i="4"/>
  <c r="D1342" i="4"/>
  <c r="M1341" i="4"/>
  <c r="I1341" i="4"/>
  <c r="H1341" i="4"/>
  <c r="G1341" i="4"/>
  <c r="E1341" i="4"/>
  <c r="D1341" i="4"/>
  <c r="M1340" i="4"/>
  <c r="I1340" i="4"/>
  <c r="H1340" i="4"/>
  <c r="G1340" i="4"/>
  <c r="E1340" i="4"/>
  <c r="D1340" i="4"/>
  <c r="M1339" i="4"/>
  <c r="I1339" i="4"/>
  <c r="H1339" i="4"/>
  <c r="G1339" i="4"/>
  <c r="E1339" i="4"/>
  <c r="D1339" i="4"/>
  <c r="M1338" i="4"/>
  <c r="I1338" i="4"/>
  <c r="H1338" i="4"/>
  <c r="G1338" i="4"/>
  <c r="E1338" i="4"/>
  <c r="D1338" i="4"/>
  <c r="M1337" i="4"/>
  <c r="I1337" i="4"/>
  <c r="H1337" i="4"/>
  <c r="G1337" i="4"/>
  <c r="E1337" i="4"/>
  <c r="D1337" i="4"/>
  <c r="M1336" i="4"/>
  <c r="I1336" i="4"/>
  <c r="H1336" i="4"/>
  <c r="G1336" i="4"/>
  <c r="E1336" i="4"/>
  <c r="D1336" i="4"/>
  <c r="M1335" i="4"/>
  <c r="I1335" i="4"/>
  <c r="H1335" i="4"/>
  <c r="G1335" i="4"/>
  <c r="E1335" i="4"/>
  <c r="D1335" i="4"/>
  <c r="M1334" i="4"/>
  <c r="I1334" i="4"/>
  <c r="H1334" i="4"/>
  <c r="G1334" i="4"/>
  <c r="E1334" i="4"/>
  <c r="D1334" i="4"/>
  <c r="M1333" i="4"/>
  <c r="I1333" i="4"/>
  <c r="H1333" i="4"/>
  <c r="G1333" i="4"/>
  <c r="E1333" i="4"/>
  <c r="D1333" i="4"/>
  <c r="M1332" i="4"/>
  <c r="I1332" i="4"/>
  <c r="H1332" i="4"/>
  <c r="G1332" i="4"/>
  <c r="E1332" i="4"/>
  <c r="D1332" i="4"/>
  <c r="M1331" i="4"/>
  <c r="I1331" i="4"/>
  <c r="H1331" i="4"/>
  <c r="G1331" i="4"/>
  <c r="E1331" i="4"/>
  <c r="D1331" i="4"/>
  <c r="M1330" i="4"/>
  <c r="I1330" i="4"/>
  <c r="H1330" i="4"/>
  <c r="G1330" i="4"/>
  <c r="E1330" i="4"/>
  <c r="D1330" i="4"/>
  <c r="M1329" i="4"/>
  <c r="I1329" i="4"/>
  <c r="H1329" i="4"/>
  <c r="G1329" i="4"/>
  <c r="E1329" i="4"/>
  <c r="D1329" i="4"/>
  <c r="M1328" i="4"/>
  <c r="I1328" i="4"/>
  <c r="H1328" i="4"/>
  <c r="G1328" i="4"/>
  <c r="E1328" i="4"/>
  <c r="D1328" i="4"/>
  <c r="M1327" i="4"/>
  <c r="I1327" i="4"/>
  <c r="H1327" i="4"/>
  <c r="G1327" i="4"/>
  <c r="E1327" i="4"/>
  <c r="D1327" i="4"/>
  <c r="M1326" i="4"/>
  <c r="I1326" i="4"/>
  <c r="H1326" i="4"/>
  <c r="G1326" i="4"/>
  <c r="E1326" i="4"/>
  <c r="D1326" i="4"/>
  <c r="M1325" i="4"/>
  <c r="I1325" i="4"/>
  <c r="H1325" i="4"/>
  <c r="G1325" i="4"/>
  <c r="E1325" i="4"/>
  <c r="D1325" i="4"/>
  <c r="M1324" i="4"/>
  <c r="I1324" i="4"/>
  <c r="H1324" i="4"/>
  <c r="G1324" i="4"/>
  <c r="E1324" i="4"/>
  <c r="D1324" i="4"/>
  <c r="M1323" i="4"/>
  <c r="I1323" i="4"/>
  <c r="H1323" i="4"/>
  <c r="G1323" i="4"/>
  <c r="E1323" i="4"/>
  <c r="D1323" i="4"/>
  <c r="M1322" i="4"/>
  <c r="I1322" i="4"/>
  <c r="H1322" i="4"/>
  <c r="G1322" i="4"/>
  <c r="E1322" i="4"/>
  <c r="D1322" i="4"/>
  <c r="M1321" i="4"/>
  <c r="I1321" i="4"/>
  <c r="H1321" i="4"/>
  <c r="G1321" i="4"/>
  <c r="E1321" i="4"/>
  <c r="D1321" i="4"/>
  <c r="M1320" i="4"/>
  <c r="I1320" i="4"/>
  <c r="H1320" i="4"/>
  <c r="G1320" i="4"/>
  <c r="E1320" i="4"/>
  <c r="D1320" i="4"/>
  <c r="M1319" i="4"/>
  <c r="I1319" i="4"/>
  <c r="H1319" i="4"/>
  <c r="G1319" i="4"/>
  <c r="E1319" i="4"/>
  <c r="D1319" i="4"/>
  <c r="M1318" i="4"/>
  <c r="I1318" i="4"/>
  <c r="H1318" i="4"/>
  <c r="G1318" i="4"/>
  <c r="E1318" i="4"/>
  <c r="D1318" i="4"/>
  <c r="M1317" i="4"/>
  <c r="I1317" i="4"/>
  <c r="H1317" i="4"/>
  <c r="G1317" i="4"/>
  <c r="E1317" i="4"/>
  <c r="D1317" i="4"/>
  <c r="M1316" i="4"/>
  <c r="I1316" i="4"/>
  <c r="H1316" i="4"/>
  <c r="G1316" i="4"/>
  <c r="E1316" i="4"/>
  <c r="D1316" i="4"/>
  <c r="M1315" i="4"/>
  <c r="I1315" i="4"/>
  <c r="H1315" i="4"/>
  <c r="G1315" i="4"/>
  <c r="E1315" i="4"/>
  <c r="D1315" i="4"/>
  <c r="M1314" i="4"/>
  <c r="I1314" i="4"/>
  <c r="H1314" i="4"/>
  <c r="G1314" i="4"/>
  <c r="E1314" i="4"/>
  <c r="D1314" i="4"/>
  <c r="M1313" i="4"/>
  <c r="I1313" i="4"/>
  <c r="H1313" i="4"/>
  <c r="G1313" i="4"/>
  <c r="E1313" i="4"/>
  <c r="D1313" i="4"/>
  <c r="M1312" i="4"/>
  <c r="I1312" i="4"/>
  <c r="H1312" i="4"/>
  <c r="G1312" i="4"/>
  <c r="E1312" i="4"/>
  <c r="D1312" i="4"/>
  <c r="M1311" i="4"/>
  <c r="I1311" i="4"/>
  <c r="H1311" i="4"/>
  <c r="G1311" i="4"/>
  <c r="E1311" i="4"/>
  <c r="D1311" i="4"/>
  <c r="M1310" i="4"/>
  <c r="I1310" i="4"/>
  <c r="H1310" i="4"/>
  <c r="G1310" i="4"/>
  <c r="E1310" i="4"/>
  <c r="D1310" i="4"/>
  <c r="M1309" i="4"/>
  <c r="I1309" i="4"/>
  <c r="H1309" i="4"/>
  <c r="G1309" i="4"/>
  <c r="E1309" i="4"/>
  <c r="D1309" i="4"/>
  <c r="M1308" i="4"/>
  <c r="I1308" i="4"/>
  <c r="H1308" i="4"/>
  <c r="G1308" i="4"/>
  <c r="E1308" i="4"/>
  <c r="D1308" i="4"/>
  <c r="M1307" i="4"/>
  <c r="I1307" i="4"/>
  <c r="H1307" i="4"/>
  <c r="G1307" i="4"/>
  <c r="E1307" i="4"/>
  <c r="D1307" i="4"/>
  <c r="M1306" i="4"/>
  <c r="I1306" i="4"/>
  <c r="H1306" i="4"/>
  <c r="G1306" i="4"/>
  <c r="E1306" i="4"/>
  <c r="D1306" i="4"/>
  <c r="M1305" i="4"/>
  <c r="I1305" i="4"/>
  <c r="H1305" i="4"/>
  <c r="G1305" i="4"/>
  <c r="E1305" i="4"/>
  <c r="D1305" i="4"/>
  <c r="M1304" i="4"/>
  <c r="I1304" i="4"/>
  <c r="H1304" i="4"/>
  <c r="G1304" i="4"/>
  <c r="E1304" i="4"/>
  <c r="D1304" i="4"/>
  <c r="M1303" i="4"/>
  <c r="I1303" i="4"/>
  <c r="H1303" i="4"/>
  <c r="G1303" i="4"/>
  <c r="E1303" i="4"/>
  <c r="D1303" i="4"/>
  <c r="M1302" i="4"/>
  <c r="I1302" i="4"/>
  <c r="H1302" i="4"/>
  <c r="G1302" i="4"/>
  <c r="E1302" i="4"/>
  <c r="D1302" i="4"/>
  <c r="M1301" i="4"/>
  <c r="I1301" i="4"/>
  <c r="H1301" i="4"/>
  <c r="G1301" i="4"/>
  <c r="E1301" i="4"/>
  <c r="D1301" i="4"/>
  <c r="M1300" i="4"/>
  <c r="I1300" i="4"/>
  <c r="H1300" i="4"/>
  <c r="G1300" i="4"/>
  <c r="E1300" i="4"/>
  <c r="D1300" i="4"/>
  <c r="M1299" i="4"/>
  <c r="I1299" i="4"/>
  <c r="H1299" i="4"/>
  <c r="G1299" i="4"/>
  <c r="E1299" i="4"/>
  <c r="D1299" i="4"/>
  <c r="M1298" i="4"/>
  <c r="I1298" i="4"/>
  <c r="H1298" i="4"/>
  <c r="G1298" i="4"/>
  <c r="E1298" i="4"/>
  <c r="D1298" i="4"/>
  <c r="M1297" i="4"/>
  <c r="I1297" i="4"/>
  <c r="H1297" i="4"/>
  <c r="G1297" i="4"/>
  <c r="E1297" i="4"/>
  <c r="D1297" i="4"/>
  <c r="M1296" i="4"/>
  <c r="I1296" i="4"/>
  <c r="H1296" i="4"/>
  <c r="G1296" i="4"/>
  <c r="E1296" i="4"/>
  <c r="D1296" i="4"/>
  <c r="M1295" i="4"/>
  <c r="I1295" i="4"/>
  <c r="H1295" i="4"/>
  <c r="G1295" i="4"/>
  <c r="E1295" i="4"/>
  <c r="D1295" i="4"/>
  <c r="M1294" i="4"/>
  <c r="I1294" i="4"/>
  <c r="H1294" i="4"/>
  <c r="G1294" i="4"/>
  <c r="E1294" i="4"/>
  <c r="D1294" i="4"/>
  <c r="M1293" i="4"/>
  <c r="I1293" i="4"/>
  <c r="H1293" i="4"/>
  <c r="G1293" i="4"/>
  <c r="E1293" i="4"/>
  <c r="D1293" i="4"/>
  <c r="M1292" i="4"/>
  <c r="I1292" i="4"/>
  <c r="H1292" i="4"/>
  <c r="G1292" i="4"/>
  <c r="E1292" i="4"/>
  <c r="D1292" i="4"/>
  <c r="M1291" i="4"/>
  <c r="I1291" i="4"/>
  <c r="H1291" i="4"/>
  <c r="G1291" i="4"/>
  <c r="E1291" i="4"/>
  <c r="D1291" i="4"/>
  <c r="M1290" i="4"/>
  <c r="I1290" i="4"/>
  <c r="H1290" i="4"/>
  <c r="G1290" i="4"/>
  <c r="E1290" i="4"/>
  <c r="D1290" i="4"/>
  <c r="M1289" i="4"/>
  <c r="I1289" i="4"/>
  <c r="H1289" i="4"/>
  <c r="G1289" i="4"/>
  <c r="E1289" i="4"/>
  <c r="D1289" i="4"/>
  <c r="M1288" i="4"/>
  <c r="I1288" i="4"/>
  <c r="H1288" i="4"/>
  <c r="G1288" i="4"/>
  <c r="E1288" i="4"/>
  <c r="D1288" i="4"/>
  <c r="M1287" i="4"/>
  <c r="I1287" i="4"/>
  <c r="H1287" i="4"/>
  <c r="G1287" i="4"/>
  <c r="E1287" i="4"/>
  <c r="D1287" i="4"/>
  <c r="M1286" i="4"/>
  <c r="I1286" i="4"/>
  <c r="H1286" i="4"/>
  <c r="G1286" i="4"/>
  <c r="E1286" i="4"/>
  <c r="D1286" i="4"/>
  <c r="M1285" i="4"/>
  <c r="I1285" i="4"/>
  <c r="H1285" i="4"/>
  <c r="G1285" i="4"/>
  <c r="E1285" i="4"/>
  <c r="D1285" i="4"/>
  <c r="M1284" i="4"/>
  <c r="I1284" i="4"/>
  <c r="H1284" i="4"/>
  <c r="G1284" i="4"/>
  <c r="E1284" i="4"/>
  <c r="D1284" i="4"/>
  <c r="M1283" i="4"/>
  <c r="I1283" i="4"/>
  <c r="H1283" i="4"/>
  <c r="G1283" i="4"/>
  <c r="E1283" i="4"/>
  <c r="D1283" i="4"/>
  <c r="M1282" i="4"/>
  <c r="I1282" i="4"/>
  <c r="H1282" i="4"/>
  <c r="G1282" i="4"/>
  <c r="E1282" i="4"/>
  <c r="D1282" i="4"/>
  <c r="M1281" i="4"/>
  <c r="I1281" i="4"/>
  <c r="H1281" i="4"/>
  <c r="G1281" i="4"/>
  <c r="E1281" i="4"/>
  <c r="D1281" i="4"/>
  <c r="M1280" i="4"/>
  <c r="I1280" i="4"/>
  <c r="H1280" i="4"/>
  <c r="G1280" i="4"/>
  <c r="E1280" i="4"/>
  <c r="D1280" i="4"/>
  <c r="M1279" i="4"/>
  <c r="I1279" i="4"/>
  <c r="H1279" i="4"/>
  <c r="G1279" i="4"/>
  <c r="E1279" i="4"/>
  <c r="D1279" i="4"/>
  <c r="M1278" i="4"/>
  <c r="I1278" i="4"/>
  <c r="H1278" i="4"/>
  <c r="G1278" i="4"/>
  <c r="E1278" i="4"/>
  <c r="D1278" i="4"/>
  <c r="M1277" i="4"/>
  <c r="I1277" i="4"/>
  <c r="H1277" i="4"/>
  <c r="G1277" i="4"/>
  <c r="E1277" i="4"/>
  <c r="D1277" i="4"/>
  <c r="M1276" i="4"/>
  <c r="I1276" i="4"/>
  <c r="H1276" i="4"/>
  <c r="G1276" i="4"/>
  <c r="E1276" i="4"/>
  <c r="D1276" i="4"/>
  <c r="M1275" i="4"/>
  <c r="I1275" i="4"/>
  <c r="H1275" i="4"/>
  <c r="G1275" i="4"/>
  <c r="E1275" i="4"/>
  <c r="D1275" i="4"/>
  <c r="M1274" i="4"/>
  <c r="I1274" i="4"/>
  <c r="H1274" i="4"/>
  <c r="G1274" i="4"/>
  <c r="E1274" i="4"/>
  <c r="D1274" i="4"/>
  <c r="M1273" i="4"/>
  <c r="I1273" i="4"/>
  <c r="H1273" i="4"/>
  <c r="G1273" i="4"/>
  <c r="E1273" i="4"/>
  <c r="D1273" i="4"/>
  <c r="M1272" i="4"/>
  <c r="I1272" i="4"/>
  <c r="H1272" i="4"/>
  <c r="G1272" i="4"/>
  <c r="E1272" i="4"/>
  <c r="D1272" i="4"/>
  <c r="M1271" i="4"/>
  <c r="I1271" i="4"/>
  <c r="H1271" i="4"/>
  <c r="G1271" i="4"/>
  <c r="E1271" i="4"/>
  <c r="D1271" i="4"/>
  <c r="M1270" i="4"/>
  <c r="I1270" i="4"/>
  <c r="H1270" i="4"/>
  <c r="G1270" i="4"/>
  <c r="E1270" i="4"/>
  <c r="D1270" i="4"/>
  <c r="M1269" i="4"/>
  <c r="I1269" i="4"/>
  <c r="H1269" i="4"/>
  <c r="G1269" i="4"/>
  <c r="E1269" i="4"/>
  <c r="D1269" i="4"/>
  <c r="M1268" i="4"/>
  <c r="I1268" i="4"/>
  <c r="H1268" i="4"/>
  <c r="G1268" i="4"/>
  <c r="E1268" i="4"/>
  <c r="D1268" i="4"/>
  <c r="M1267" i="4"/>
  <c r="I1267" i="4"/>
  <c r="H1267" i="4"/>
  <c r="G1267" i="4"/>
  <c r="E1267" i="4"/>
  <c r="D1267" i="4"/>
  <c r="M1266" i="4"/>
  <c r="I1266" i="4"/>
  <c r="H1266" i="4"/>
  <c r="G1266" i="4"/>
  <c r="E1266" i="4"/>
  <c r="D1266" i="4"/>
  <c r="M1265" i="4"/>
  <c r="I1265" i="4"/>
  <c r="H1265" i="4"/>
  <c r="G1265" i="4"/>
  <c r="E1265" i="4"/>
  <c r="D1265" i="4"/>
  <c r="M1264" i="4"/>
  <c r="I1264" i="4"/>
  <c r="H1264" i="4"/>
  <c r="G1264" i="4"/>
  <c r="E1264" i="4"/>
  <c r="D1264" i="4"/>
  <c r="M1263" i="4"/>
  <c r="I1263" i="4"/>
  <c r="H1263" i="4"/>
  <c r="G1263" i="4"/>
  <c r="E1263" i="4"/>
  <c r="D1263" i="4"/>
  <c r="M1262" i="4"/>
  <c r="I1262" i="4"/>
  <c r="H1262" i="4"/>
  <c r="G1262" i="4"/>
  <c r="E1262" i="4"/>
  <c r="D1262" i="4"/>
  <c r="M1261" i="4"/>
  <c r="I1261" i="4"/>
  <c r="H1261" i="4"/>
  <c r="G1261" i="4"/>
  <c r="E1261" i="4"/>
  <c r="D1261" i="4"/>
  <c r="M1260" i="4"/>
  <c r="I1260" i="4"/>
  <c r="H1260" i="4"/>
  <c r="G1260" i="4"/>
  <c r="E1260" i="4"/>
  <c r="D1260" i="4"/>
  <c r="M1259" i="4"/>
  <c r="I1259" i="4"/>
  <c r="H1259" i="4"/>
  <c r="G1259" i="4"/>
  <c r="E1259" i="4"/>
  <c r="D1259" i="4"/>
  <c r="M1258" i="4"/>
  <c r="I1258" i="4"/>
  <c r="H1258" i="4"/>
  <c r="G1258" i="4"/>
  <c r="E1258" i="4"/>
  <c r="D1258" i="4"/>
  <c r="M1257" i="4"/>
  <c r="I1257" i="4"/>
  <c r="H1257" i="4"/>
  <c r="G1257" i="4"/>
  <c r="E1257" i="4"/>
  <c r="D1257" i="4"/>
  <c r="M1256" i="4"/>
  <c r="I1256" i="4"/>
  <c r="H1256" i="4"/>
  <c r="G1256" i="4"/>
  <c r="E1256" i="4"/>
  <c r="D1256" i="4"/>
  <c r="M1255" i="4"/>
  <c r="I1255" i="4"/>
  <c r="H1255" i="4"/>
  <c r="G1255" i="4"/>
  <c r="E1255" i="4"/>
  <c r="D1255" i="4"/>
  <c r="M1254" i="4"/>
  <c r="I1254" i="4"/>
  <c r="H1254" i="4"/>
  <c r="G1254" i="4"/>
  <c r="E1254" i="4"/>
  <c r="D1254" i="4"/>
  <c r="M1253" i="4"/>
  <c r="I1253" i="4"/>
  <c r="H1253" i="4"/>
  <c r="G1253" i="4"/>
  <c r="E1253" i="4"/>
  <c r="D1253" i="4"/>
  <c r="M1252" i="4"/>
  <c r="I1252" i="4"/>
  <c r="H1252" i="4"/>
  <c r="G1252" i="4"/>
  <c r="E1252" i="4"/>
  <c r="D1252" i="4"/>
  <c r="M1251" i="4"/>
  <c r="I1251" i="4"/>
  <c r="H1251" i="4"/>
  <c r="G1251" i="4"/>
  <c r="E1251" i="4"/>
  <c r="D1251" i="4"/>
  <c r="M1250" i="4"/>
  <c r="I1250" i="4"/>
  <c r="H1250" i="4"/>
  <c r="G1250" i="4"/>
  <c r="E1250" i="4"/>
  <c r="D1250" i="4"/>
  <c r="M1249" i="4"/>
  <c r="I1249" i="4"/>
  <c r="H1249" i="4"/>
  <c r="G1249" i="4"/>
  <c r="E1249" i="4"/>
  <c r="D1249" i="4"/>
  <c r="M1248" i="4"/>
  <c r="I1248" i="4"/>
  <c r="H1248" i="4"/>
  <c r="G1248" i="4"/>
  <c r="E1248" i="4"/>
  <c r="D1248" i="4"/>
  <c r="M1247" i="4"/>
  <c r="I1247" i="4"/>
  <c r="H1247" i="4"/>
  <c r="G1247" i="4"/>
  <c r="E1247" i="4"/>
  <c r="D1247" i="4"/>
  <c r="M1246" i="4"/>
  <c r="I1246" i="4"/>
  <c r="H1246" i="4"/>
  <c r="G1246" i="4"/>
  <c r="E1246" i="4"/>
  <c r="D1246" i="4"/>
  <c r="M1245" i="4"/>
  <c r="I1245" i="4"/>
  <c r="H1245" i="4"/>
  <c r="G1245" i="4"/>
  <c r="E1245" i="4"/>
  <c r="D1245" i="4"/>
  <c r="M1244" i="4"/>
  <c r="I1244" i="4"/>
  <c r="H1244" i="4"/>
  <c r="G1244" i="4"/>
  <c r="E1244" i="4"/>
  <c r="D1244" i="4"/>
  <c r="M1243" i="4"/>
  <c r="I1243" i="4"/>
  <c r="H1243" i="4"/>
  <c r="G1243" i="4"/>
  <c r="E1243" i="4"/>
  <c r="D1243" i="4"/>
  <c r="M1242" i="4"/>
  <c r="I1242" i="4"/>
  <c r="H1242" i="4"/>
  <c r="G1242" i="4"/>
  <c r="E1242" i="4"/>
  <c r="D1242" i="4"/>
  <c r="M1241" i="4"/>
  <c r="I1241" i="4"/>
  <c r="H1241" i="4"/>
  <c r="G1241" i="4"/>
  <c r="E1241" i="4"/>
  <c r="D1241" i="4"/>
  <c r="M1240" i="4"/>
  <c r="I1240" i="4"/>
  <c r="H1240" i="4"/>
  <c r="G1240" i="4"/>
  <c r="E1240" i="4"/>
  <c r="D1240" i="4"/>
  <c r="M1239" i="4"/>
  <c r="I1239" i="4"/>
  <c r="H1239" i="4"/>
  <c r="G1239" i="4"/>
  <c r="E1239" i="4"/>
  <c r="D1239" i="4"/>
  <c r="M1238" i="4"/>
  <c r="I1238" i="4"/>
  <c r="H1238" i="4"/>
  <c r="G1238" i="4"/>
  <c r="E1238" i="4"/>
  <c r="D1238" i="4"/>
  <c r="M1237" i="4"/>
  <c r="I1237" i="4"/>
  <c r="H1237" i="4"/>
  <c r="G1237" i="4"/>
  <c r="E1237" i="4"/>
  <c r="D1237" i="4"/>
  <c r="M1236" i="4"/>
  <c r="I1236" i="4"/>
  <c r="H1236" i="4"/>
  <c r="G1236" i="4"/>
  <c r="E1236" i="4"/>
  <c r="D1236" i="4"/>
  <c r="M1235" i="4"/>
  <c r="I1235" i="4"/>
  <c r="H1235" i="4"/>
  <c r="G1235" i="4"/>
  <c r="E1235" i="4"/>
  <c r="D1235" i="4"/>
  <c r="M1234" i="4"/>
  <c r="I1234" i="4"/>
  <c r="H1234" i="4"/>
  <c r="G1234" i="4"/>
  <c r="E1234" i="4"/>
  <c r="D1234" i="4"/>
  <c r="M1233" i="4"/>
  <c r="I1233" i="4"/>
  <c r="H1233" i="4"/>
  <c r="G1233" i="4"/>
  <c r="E1233" i="4"/>
  <c r="D1233" i="4"/>
  <c r="M1232" i="4"/>
  <c r="I1232" i="4"/>
  <c r="H1232" i="4"/>
  <c r="G1232" i="4"/>
  <c r="E1232" i="4"/>
  <c r="D1232" i="4"/>
  <c r="M1231" i="4"/>
  <c r="I1231" i="4"/>
  <c r="H1231" i="4"/>
  <c r="G1231" i="4"/>
  <c r="E1231" i="4"/>
  <c r="D1231" i="4"/>
  <c r="M1230" i="4"/>
  <c r="I1230" i="4"/>
  <c r="H1230" i="4"/>
  <c r="G1230" i="4"/>
  <c r="E1230" i="4"/>
  <c r="D1230" i="4"/>
  <c r="M1229" i="4"/>
  <c r="I1229" i="4"/>
  <c r="H1229" i="4"/>
  <c r="G1229" i="4"/>
  <c r="E1229" i="4"/>
  <c r="D1229" i="4"/>
  <c r="M1228" i="4"/>
  <c r="I1228" i="4"/>
  <c r="H1228" i="4"/>
  <c r="G1228" i="4"/>
  <c r="E1228" i="4"/>
  <c r="D1228" i="4"/>
  <c r="M1227" i="4"/>
  <c r="I1227" i="4"/>
  <c r="H1227" i="4"/>
  <c r="G1227" i="4"/>
  <c r="E1227" i="4"/>
  <c r="D1227" i="4"/>
  <c r="M1226" i="4"/>
  <c r="I1226" i="4"/>
  <c r="H1226" i="4"/>
  <c r="G1226" i="4"/>
  <c r="E1226" i="4"/>
  <c r="D1226" i="4"/>
  <c r="M1225" i="4"/>
  <c r="I1225" i="4"/>
  <c r="H1225" i="4"/>
  <c r="G1225" i="4"/>
  <c r="E1225" i="4"/>
  <c r="D1225" i="4"/>
  <c r="M1224" i="4"/>
  <c r="I1224" i="4"/>
  <c r="H1224" i="4"/>
  <c r="G1224" i="4"/>
  <c r="E1224" i="4"/>
  <c r="D1224" i="4"/>
  <c r="M1223" i="4"/>
  <c r="I1223" i="4"/>
  <c r="H1223" i="4"/>
  <c r="G1223" i="4"/>
  <c r="E1223" i="4"/>
  <c r="D1223" i="4"/>
  <c r="M1222" i="4"/>
  <c r="I1222" i="4"/>
  <c r="H1222" i="4"/>
  <c r="G1222" i="4"/>
  <c r="E1222" i="4"/>
  <c r="D1222" i="4"/>
  <c r="M1221" i="4"/>
  <c r="I1221" i="4"/>
  <c r="H1221" i="4"/>
  <c r="G1221" i="4"/>
  <c r="E1221" i="4"/>
  <c r="D1221" i="4"/>
  <c r="M1220" i="4"/>
  <c r="I1220" i="4"/>
  <c r="H1220" i="4"/>
  <c r="G1220" i="4"/>
  <c r="E1220" i="4"/>
  <c r="D1220" i="4"/>
  <c r="M1219" i="4"/>
  <c r="I1219" i="4"/>
  <c r="H1219" i="4"/>
  <c r="G1219" i="4"/>
  <c r="E1219" i="4"/>
  <c r="D1219" i="4"/>
  <c r="M1218" i="4"/>
  <c r="I1218" i="4"/>
  <c r="H1218" i="4"/>
  <c r="G1218" i="4"/>
  <c r="E1218" i="4"/>
  <c r="D1218" i="4"/>
  <c r="M1217" i="4"/>
  <c r="I1217" i="4"/>
  <c r="H1217" i="4"/>
  <c r="G1217" i="4"/>
  <c r="E1217" i="4"/>
  <c r="D1217" i="4"/>
  <c r="M1216" i="4"/>
  <c r="I1216" i="4"/>
  <c r="H1216" i="4"/>
  <c r="G1216" i="4"/>
  <c r="E1216" i="4"/>
  <c r="D1216" i="4"/>
  <c r="M1215" i="4"/>
  <c r="I1215" i="4"/>
  <c r="H1215" i="4"/>
  <c r="G1215" i="4"/>
  <c r="E1215" i="4"/>
  <c r="D1215" i="4"/>
  <c r="M1214" i="4"/>
  <c r="I1214" i="4"/>
  <c r="H1214" i="4"/>
  <c r="G1214" i="4"/>
  <c r="E1214" i="4"/>
  <c r="D1214" i="4"/>
  <c r="M1213" i="4"/>
  <c r="I1213" i="4"/>
  <c r="H1213" i="4"/>
  <c r="G1213" i="4"/>
  <c r="E1213" i="4"/>
  <c r="D1213" i="4"/>
  <c r="M1212" i="4"/>
  <c r="I1212" i="4"/>
  <c r="H1212" i="4"/>
  <c r="G1212" i="4"/>
  <c r="E1212" i="4"/>
  <c r="D1212" i="4"/>
  <c r="M1211" i="4"/>
  <c r="I1211" i="4"/>
  <c r="H1211" i="4"/>
  <c r="G1211" i="4"/>
  <c r="E1211" i="4"/>
  <c r="D1211" i="4"/>
  <c r="M1210" i="4"/>
  <c r="I1210" i="4"/>
  <c r="H1210" i="4"/>
  <c r="G1210" i="4"/>
  <c r="E1210" i="4"/>
  <c r="D1210" i="4"/>
  <c r="M1209" i="4"/>
  <c r="I1209" i="4"/>
  <c r="H1209" i="4"/>
  <c r="G1209" i="4"/>
  <c r="E1209" i="4"/>
  <c r="D1209" i="4"/>
  <c r="M1208" i="4"/>
  <c r="I1208" i="4"/>
  <c r="H1208" i="4"/>
  <c r="G1208" i="4"/>
  <c r="E1208" i="4"/>
  <c r="D1208" i="4"/>
  <c r="M1207" i="4"/>
  <c r="I1207" i="4"/>
  <c r="H1207" i="4"/>
  <c r="G1207" i="4"/>
  <c r="E1207" i="4"/>
  <c r="D1207" i="4"/>
  <c r="M1206" i="4"/>
  <c r="I1206" i="4"/>
  <c r="H1206" i="4"/>
  <c r="G1206" i="4"/>
  <c r="E1206" i="4"/>
  <c r="D1206" i="4"/>
  <c r="M1205" i="4"/>
  <c r="I1205" i="4"/>
  <c r="H1205" i="4"/>
  <c r="G1205" i="4"/>
  <c r="E1205" i="4"/>
  <c r="D1205" i="4"/>
  <c r="M1204" i="4"/>
  <c r="I1204" i="4"/>
  <c r="H1204" i="4"/>
  <c r="G1204" i="4"/>
  <c r="E1204" i="4"/>
  <c r="D1204" i="4"/>
  <c r="M1203" i="4"/>
  <c r="I1203" i="4"/>
  <c r="H1203" i="4"/>
  <c r="G1203" i="4"/>
  <c r="E1203" i="4"/>
  <c r="D1203" i="4"/>
  <c r="M1202" i="4"/>
  <c r="I1202" i="4"/>
  <c r="H1202" i="4"/>
  <c r="G1202" i="4"/>
  <c r="E1202" i="4"/>
  <c r="D1202" i="4"/>
  <c r="M1201" i="4"/>
  <c r="I1201" i="4"/>
  <c r="H1201" i="4"/>
  <c r="G1201" i="4"/>
  <c r="E1201" i="4"/>
  <c r="D1201" i="4"/>
  <c r="M1200" i="4"/>
  <c r="I1200" i="4"/>
  <c r="H1200" i="4"/>
  <c r="G1200" i="4"/>
  <c r="E1200" i="4"/>
  <c r="D1200" i="4"/>
  <c r="M1199" i="4"/>
  <c r="I1199" i="4"/>
  <c r="H1199" i="4"/>
  <c r="G1199" i="4"/>
  <c r="E1199" i="4"/>
  <c r="D1199" i="4"/>
  <c r="M1198" i="4"/>
  <c r="I1198" i="4"/>
  <c r="H1198" i="4"/>
  <c r="G1198" i="4"/>
  <c r="E1198" i="4"/>
  <c r="D1198" i="4"/>
  <c r="M1197" i="4"/>
  <c r="I1197" i="4"/>
  <c r="H1197" i="4"/>
  <c r="G1197" i="4"/>
  <c r="E1197" i="4"/>
  <c r="D1197" i="4"/>
  <c r="M1196" i="4"/>
  <c r="I1196" i="4"/>
  <c r="H1196" i="4"/>
  <c r="G1196" i="4"/>
  <c r="E1196" i="4"/>
  <c r="D1196" i="4"/>
  <c r="M1195" i="4"/>
  <c r="I1195" i="4"/>
  <c r="H1195" i="4"/>
  <c r="G1195" i="4"/>
  <c r="E1195" i="4"/>
  <c r="D1195" i="4"/>
  <c r="M1194" i="4"/>
  <c r="I1194" i="4"/>
  <c r="H1194" i="4"/>
  <c r="G1194" i="4"/>
  <c r="E1194" i="4"/>
  <c r="D1194" i="4"/>
  <c r="M1193" i="4"/>
  <c r="I1193" i="4"/>
  <c r="H1193" i="4"/>
  <c r="G1193" i="4"/>
  <c r="E1193" i="4"/>
  <c r="D1193" i="4"/>
  <c r="M1192" i="4"/>
  <c r="I1192" i="4"/>
  <c r="H1192" i="4"/>
  <c r="G1192" i="4"/>
  <c r="E1192" i="4"/>
  <c r="D1192" i="4"/>
  <c r="M1191" i="4"/>
  <c r="I1191" i="4"/>
  <c r="H1191" i="4"/>
  <c r="G1191" i="4"/>
  <c r="E1191" i="4"/>
  <c r="D1191" i="4"/>
  <c r="M1190" i="4"/>
  <c r="I1190" i="4"/>
  <c r="H1190" i="4"/>
  <c r="G1190" i="4"/>
  <c r="E1190" i="4"/>
  <c r="D1190" i="4"/>
  <c r="M1189" i="4"/>
  <c r="I1189" i="4"/>
  <c r="H1189" i="4"/>
  <c r="G1189" i="4"/>
  <c r="E1189" i="4"/>
  <c r="D1189" i="4"/>
  <c r="M1188" i="4"/>
  <c r="I1188" i="4"/>
  <c r="H1188" i="4"/>
  <c r="G1188" i="4"/>
  <c r="E1188" i="4"/>
  <c r="D1188" i="4"/>
  <c r="M1187" i="4"/>
  <c r="I1187" i="4"/>
  <c r="H1187" i="4"/>
  <c r="G1187" i="4"/>
  <c r="E1187" i="4"/>
  <c r="D1187" i="4"/>
  <c r="M1186" i="4"/>
  <c r="I1186" i="4"/>
  <c r="H1186" i="4"/>
  <c r="G1186" i="4"/>
  <c r="E1186" i="4"/>
  <c r="D1186" i="4"/>
  <c r="M1185" i="4"/>
  <c r="I1185" i="4"/>
  <c r="H1185" i="4"/>
  <c r="G1185" i="4"/>
  <c r="E1185" i="4"/>
  <c r="D1185" i="4"/>
  <c r="M1184" i="4"/>
  <c r="I1184" i="4"/>
  <c r="H1184" i="4"/>
  <c r="G1184" i="4"/>
  <c r="E1184" i="4"/>
  <c r="D1184" i="4"/>
  <c r="M1183" i="4"/>
  <c r="I1183" i="4"/>
  <c r="H1183" i="4"/>
  <c r="G1183" i="4"/>
  <c r="E1183" i="4"/>
  <c r="D1183" i="4"/>
  <c r="M1182" i="4"/>
  <c r="I1182" i="4"/>
  <c r="H1182" i="4"/>
  <c r="G1182" i="4"/>
  <c r="E1182" i="4"/>
  <c r="D1182" i="4"/>
  <c r="M1181" i="4"/>
  <c r="I1181" i="4"/>
  <c r="H1181" i="4"/>
  <c r="G1181" i="4"/>
  <c r="E1181" i="4"/>
  <c r="D1181" i="4"/>
  <c r="M1180" i="4"/>
  <c r="I1180" i="4"/>
  <c r="H1180" i="4"/>
  <c r="G1180" i="4"/>
  <c r="E1180" i="4"/>
  <c r="D1180" i="4"/>
  <c r="M1179" i="4"/>
  <c r="I1179" i="4"/>
  <c r="H1179" i="4"/>
  <c r="G1179" i="4"/>
  <c r="E1179" i="4"/>
  <c r="D1179" i="4"/>
  <c r="M1178" i="4"/>
  <c r="I1178" i="4"/>
  <c r="H1178" i="4"/>
  <c r="G1178" i="4"/>
  <c r="E1178" i="4"/>
  <c r="D1178" i="4"/>
  <c r="M1177" i="4"/>
  <c r="I1177" i="4"/>
  <c r="H1177" i="4"/>
  <c r="G1177" i="4"/>
  <c r="E1177" i="4"/>
  <c r="D1177" i="4"/>
  <c r="M1176" i="4"/>
  <c r="I1176" i="4"/>
  <c r="H1176" i="4"/>
  <c r="G1176" i="4"/>
  <c r="E1176" i="4"/>
  <c r="D1176" i="4"/>
  <c r="M1175" i="4"/>
  <c r="I1175" i="4"/>
  <c r="H1175" i="4"/>
  <c r="G1175" i="4"/>
  <c r="E1175" i="4"/>
  <c r="D1175" i="4"/>
  <c r="M1174" i="4"/>
  <c r="I1174" i="4"/>
  <c r="H1174" i="4"/>
  <c r="G1174" i="4"/>
  <c r="E1174" i="4"/>
  <c r="D1174" i="4"/>
  <c r="M1173" i="4"/>
  <c r="I1173" i="4"/>
  <c r="H1173" i="4"/>
  <c r="G1173" i="4"/>
  <c r="E1173" i="4"/>
  <c r="D1173" i="4"/>
  <c r="M1172" i="4"/>
  <c r="I1172" i="4"/>
  <c r="H1172" i="4"/>
  <c r="G1172" i="4"/>
  <c r="E1172" i="4"/>
  <c r="D1172" i="4"/>
  <c r="M1171" i="4"/>
  <c r="I1171" i="4"/>
  <c r="H1171" i="4"/>
  <c r="G1171" i="4"/>
  <c r="E1171" i="4"/>
  <c r="D1171" i="4"/>
  <c r="M1170" i="4"/>
  <c r="I1170" i="4"/>
  <c r="H1170" i="4"/>
  <c r="G1170" i="4"/>
  <c r="E1170" i="4"/>
  <c r="D1170" i="4"/>
  <c r="M1169" i="4"/>
  <c r="I1169" i="4"/>
  <c r="H1169" i="4"/>
  <c r="G1169" i="4"/>
  <c r="E1169" i="4"/>
  <c r="D1169" i="4"/>
  <c r="M1168" i="4"/>
  <c r="I1168" i="4"/>
  <c r="H1168" i="4"/>
  <c r="G1168" i="4"/>
  <c r="E1168" i="4"/>
  <c r="D1168" i="4"/>
  <c r="M1167" i="4"/>
  <c r="I1167" i="4"/>
  <c r="H1167" i="4"/>
  <c r="G1167" i="4"/>
  <c r="E1167" i="4"/>
  <c r="D1167" i="4"/>
  <c r="M1166" i="4"/>
  <c r="I1166" i="4"/>
  <c r="H1166" i="4"/>
  <c r="G1166" i="4"/>
  <c r="E1166" i="4"/>
  <c r="D1166" i="4"/>
  <c r="M1165" i="4"/>
  <c r="I1165" i="4"/>
  <c r="H1165" i="4"/>
  <c r="G1165" i="4"/>
  <c r="E1165" i="4"/>
  <c r="D1165" i="4"/>
  <c r="M1164" i="4"/>
  <c r="I1164" i="4"/>
  <c r="H1164" i="4"/>
  <c r="G1164" i="4"/>
  <c r="E1164" i="4"/>
  <c r="D1164" i="4"/>
  <c r="M1163" i="4"/>
  <c r="I1163" i="4"/>
  <c r="H1163" i="4"/>
  <c r="G1163" i="4"/>
  <c r="E1163" i="4"/>
  <c r="D1163" i="4"/>
  <c r="M1162" i="4"/>
  <c r="I1162" i="4"/>
  <c r="H1162" i="4"/>
  <c r="G1162" i="4"/>
  <c r="E1162" i="4"/>
  <c r="D1162" i="4"/>
  <c r="M1161" i="4"/>
  <c r="I1161" i="4"/>
  <c r="H1161" i="4"/>
  <c r="G1161" i="4"/>
  <c r="E1161" i="4"/>
  <c r="D1161" i="4"/>
  <c r="M1160" i="4"/>
  <c r="I1160" i="4"/>
  <c r="H1160" i="4"/>
  <c r="G1160" i="4"/>
  <c r="E1160" i="4"/>
  <c r="D1160" i="4"/>
  <c r="M1159" i="4"/>
  <c r="I1159" i="4"/>
  <c r="H1159" i="4"/>
  <c r="G1159" i="4"/>
  <c r="E1159" i="4"/>
  <c r="D1159" i="4"/>
  <c r="M1158" i="4"/>
  <c r="I1158" i="4"/>
  <c r="H1158" i="4"/>
  <c r="G1158" i="4"/>
  <c r="E1158" i="4"/>
  <c r="D1158" i="4"/>
  <c r="M1157" i="4"/>
  <c r="I1157" i="4"/>
  <c r="H1157" i="4"/>
  <c r="G1157" i="4"/>
  <c r="E1157" i="4"/>
  <c r="D1157" i="4"/>
  <c r="M1156" i="4"/>
  <c r="I1156" i="4"/>
  <c r="H1156" i="4"/>
  <c r="G1156" i="4"/>
  <c r="E1156" i="4"/>
  <c r="D1156" i="4"/>
  <c r="M1155" i="4"/>
  <c r="I1155" i="4"/>
  <c r="H1155" i="4"/>
  <c r="G1155" i="4"/>
  <c r="E1155" i="4"/>
  <c r="D1155" i="4"/>
  <c r="M1154" i="4"/>
  <c r="I1154" i="4"/>
  <c r="H1154" i="4"/>
  <c r="G1154" i="4"/>
  <c r="E1154" i="4"/>
  <c r="D1154" i="4"/>
  <c r="M1153" i="4"/>
  <c r="I1153" i="4"/>
  <c r="H1153" i="4"/>
  <c r="G1153" i="4"/>
  <c r="E1153" i="4"/>
  <c r="D1153" i="4"/>
  <c r="M1152" i="4"/>
  <c r="I1152" i="4"/>
  <c r="H1152" i="4"/>
  <c r="G1152" i="4"/>
  <c r="E1152" i="4"/>
  <c r="D1152" i="4"/>
  <c r="M1151" i="4"/>
  <c r="I1151" i="4"/>
  <c r="H1151" i="4"/>
  <c r="G1151" i="4"/>
  <c r="E1151" i="4"/>
  <c r="D1151" i="4"/>
  <c r="M1150" i="4"/>
  <c r="I1150" i="4"/>
  <c r="H1150" i="4"/>
  <c r="G1150" i="4"/>
  <c r="E1150" i="4"/>
  <c r="D1150" i="4"/>
  <c r="M1149" i="4"/>
  <c r="I1149" i="4"/>
  <c r="H1149" i="4"/>
  <c r="G1149" i="4"/>
  <c r="E1149" i="4"/>
  <c r="D1149" i="4"/>
  <c r="M1148" i="4"/>
  <c r="I1148" i="4"/>
  <c r="H1148" i="4"/>
  <c r="G1148" i="4"/>
  <c r="E1148" i="4"/>
  <c r="D1148" i="4"/>
  <c r="M1147" i="4"/>
  <c r="I1147" i="4"/>
  <c r="H1147" i="4"/>
  <c r="G1147" i="4"/>
  <c r="E1147" i="4"/>
  <c r="D1147" i="4"/>
  <c r="M1146" i="4"/>
  <c r="I1146" i="4"/>
  <c r="H1146" i="4"/>
  <c r="G1146" i="4"/>
  <c r="E1146" i="4"/>
  <c r="D1146" i="4"/>
  <c r="M1145" i="4"/>
  <c r="I1145" i="4"/>
  <c r="H1145" i="4"/>
  <c r="G1145" i="4"/>
  <c r="E1145" i="4"/>
  <c r="D1145" i="4"/>
  <c r="M1144" i="4"/>
  <c r="I1144" i="4"/>
  <c r="H1144" i="4"/>
  <c r="G1144" i="4"/>
  <c r="E1144" i="4"/>
  <c r="D1144" i="4"/>
  <c r="M1143" i="4"/>
  <c r="I1143" i="4"/>
  <c r="H1143" i="4"/>
  <c r="G1143" i="4"/>
  <c r="E1143" i="4"/>
  <c r="D1143" i="4"/>
  <c r="M1142" i="4"/>
  <c r="I1142" i="4"/>
  <c r="H1142" i="4"/>
  <c r="G1142" i="4"/>
  <c r="E1142" i="4"/>
  <c r="D1142" i="4"/>
  <c r="M1141" i="4"/>
  <c r="I1141" i="4"/>
  <c r="H1141" i="4"/>
  <c r="G1141" i="4"/>
  <c r="E1141" i="4"/>
  <c r="D1141" i="4"/>
  <c r="M1140" i="4"/>
  <c r="I1140" i="4"/>
  <c r="H1140" i="4"/>
  <c r="G1140" i="4"/>
  <c r="E1140" i="4"/>
  <c r="D1140" i="4"/>
  <c r="M1139" i="4"/>
  <c r="I1139" i="4"/>
  <c r="H1139" i="4"/>
  <c r="G1139" i="4"/>
  <c r="E1139" i="4"/>
  <c r="D1139" i="4"/>
  <c r="M1138" i="4"/>
  <c r="I1138" i="4"/>
  <c r="H1138" i="4"/>
  <c r="G1138" i="4"/>
  <c r="E1138" i="4"/>
  <c r="D1138" i="4"/>
  <c r="M1137" i="4"/>
  <c r="I1137" i="4"/>
  <c r="H1137" i="4"/>
  <c r="G1137" i="4"/>
  <c r="E1137" i="4"/>
  <c r="D1137" i="4"/>
  <c r="M1136" i="4"/>
  <c r="I1136" i="4"/>
  <c r="H1136" i="4"/>
  <c r="G1136" i="4"/>
  <c r="E1136" i="4"/>
  <c r="D1136" i="4"/>
  <c r="M1135" i="4"/>
  <c r="I1135" i="4"/>
  <c r="H1135" i="4"/>
  <c r="G1135" i="4"/>
  <c r="E1135" i="4"/>
  <c r="D1135" i="4"/>
  <c r="M1134" i="4"/>
  <c r="I1134" i="4"/>
  <c r="H1134" i="4"/>
  <c r="G1134" i="4"/>
  <c r="E1134" i="4"/>
  <c r="D1134" i="4"/>
  <c r="M1133" i="4"/>
  <c r="I1133" i="4"/>
  <c r="H1133" i="4"/>
  <c r="G1133" i="4"/>
  <c r="E1133" i="4"/>
  <c r="D1133" i="4"/>
  <c r="M1132" i="4"/>
  <c r="I1132" i="4"/>
  <c r="H1132" i="4"/>
  <c r="G1132" i="4"/>
  <c r="E1132" i="4"/>
  <c r="D1132" i="4"/>
  <c r="M1131" i="4"/>
  <c r="I1131" i="4"/>
  <c r="H1131" i="4"/>
  <c r="G1131" i="4"/>
  <c r="E1131" i="4"/>
  <c r="D1131" i="4"/>
  <c r="M1130" i="4"/>
  <c r="I1130" i="4"/>
  <c r="H1130" i="4"/>
  <c r="G1130" i="4"/>
  <c r="E1130" i="4"/>
  <c r="D1130" i="4"/>
  <c r="M1129" i="4"/>
  <c r="I1129" i="4"/>
  <c r="H1129" i="4"/>
  <c r="G1129" i="4"/>
  <c r="E1129" i="4"/>
  <c r="D1129" i="4"/>
  <c r="M1128" i="4"/>
  <c r="I1128" i="4"/>
  <c r="H1128" i="4"/>
  <c r="G1128" i="4"/>
  <c r="E1128" i="4"/>
  <c r="D1128" i="4"/>
  <c r="M1127" i="4"/>
  <c r="I1127" i="4"/>
  <c r="H1127" i="4"/>
  <c r="G1127" i="4"/>
  <c r="E1127" i="4"/>
  <c r="D1127" i="4"/>
  <c r="M1126" i="4"/>
  <c r="I1126" i="4"/>
  <c r="H1126" i="4"/>
  <c r="G1126" i="4"/>
  <c r="E1126" i="4"/>
  <c r="D1126" i="4"/>
  <c r="M1125" i="4"/>
  <c r="I1125" i="4"/>
  <c r="H1125" i="4"/>
  <c r="G1125" i="4"/>
  <c r="E1125" i="4"/>
  <c r="D1125" i="4"/>
  <c r="M1124" i="4"/>
  <c r="I1124" i="4"/>
  <c r="H1124" i="4"/>
  <c r="G1124" i="4"/>
  <c r="E1124" i="4"/>
  <c r="D1124" i="4"/>
  <c r="M1123" i="4"/>
  <c r="I1123" i="4"/>
  <c r="H1123" i="4"/>
  <c r="G1123" i="4"/>
  <c r="E1123" i="4"/>
  <c r="D1123" i="4"/>
  <c r="M1122" i="4"/>
  <c r="I1122" i="4"/>
  <c r="H1122" i="4"/>
  <c r="G1122" i="4"/>
  <c r="E1122" i="4"/>
  <c r="D1122" i="4"/>
  <c r="M1121" i="4"/>
  <c r="I1121" i="4"/>
  <c r="H1121" i="4"/>
  <c r="G1121" i="4"/>
  <c r="E1121" i="4"/>
  <c r="D1121" i="4"/>
  <c r="M1120" i="4"/>
  <c r="I1120" i="4"/>
  <c r="H1120" i="4"/>
  <c r="G1120" i="4"/>
  <c r="E1120" i="4"/>
  <c r="D1120" i="4"/>
  <c r="M1119" i="4"/>
  <c r="I1119" i="4"/>
  <c r="H1119" i="4"/>
  <c r="G1119" i="4"/>
  <c r="E1119" i="4"/>
  <c r="D1119" i="4"/>
  <c r="M1118" i="4"/>
  <c r="I1118" i="4"/>
  <c r="H1118" i="4"/>
  <c r="G1118" i="4"/>
  <c r="E1118" i="4"/>
  <c r="D1118" i="4"/>
  <c r="M1117" i="4"/>
  <c r="I1117" i="4"/>
  <c r="H1117" i="4"/>
  <c r="G1117" i="4"/>
  <c r="E1117" i="4"/>
  <c r="D1117" i="4"/>
  <c r="M1116" i="4"/>
  <c r="I1116" i="4"/>
  <c r="H1116" i="4"/>
  <c r="G1116" i="4"/>
  <c r="E1116" i="4"/>
  <c r="D1116" i="4"/>
  <c r="M1115" i="4"/>
  <c r="I1115" i="4"/>
  <c r="H1115" i="4"/>
  <c r="G1115" i="4"/>
  <c r="E1115" i="4"/>
  <c r="D1115" i="4"/>
  <c r="M1114" i="4"/>
  <c r="I1114" i="4"/>
  <c r="H1114" i="4"/>
  <c r="G1114" i="4"/>
  <c r="E1114" i="4"/>
  <c r="D1114" i="4"/>
  <c r="M1113" i="4"/>
  <c r="I1113" i="4"/>
  <c r="H1113" i="4"/>
  <c r="G1113" i="4"/>
  <c r="E1113" i="4"/>
  <c r="D1113" i="4"/>
  <c r="M1112" i="4"/>
  <c r="I1112" i="4"/>
  <c r="H1112" i="4"/>
  <c r="G1112" i="4"/>
  <c r="E1112" i="4"/>
  <c r="D1112" i="4"/>
  <c r="M1111" i="4"/>
  <c r="I1111" i="4"/>
  <c r="H1111" i="4"/>
  <c r="G1111" i="4"/>
  <c r="E1111" i="4"/>
  <c r="D1111" i="4"/>
  <c r="M1110" i="4"/>
  <c r="I1110" i="4"/>
  <c r="H1110" i="4"/>
  <c r="G1110" i="4"/>
  <c r="E1110" i="4"/>
  <c r="D1110" i="4"/>
  <c r="M1109" i="4"/>
  <c r="I1109" i="4"/>
  <c r="H1109" i="4"/>
  <c r="G1109" i="4"/>
  <c r="E1109" i="4"/>
  <c r="D1109" i="4"/>
  <c r="M1108" i="4"/>
  <c r="I1108" i="4"/>
  <c r="H1108" i="4"/>
  <c r="G1108" i="4"/>
  <c r="E1108" i="4"/>
  <c r="D1108" i="4"/>
  <c r="M1107" i="4"/>
  <c r="I1107" i="4"/>
  <c r="H1107" i="4"/>
  <c r="G1107" i="4"/>
  <c r="E1107" i="4"/>
  <c r="D1107" i="4"/>
  <c r="M1106" i="4"/>
  <c r="I1106" i="4"/>
  <c r="H1106" i="4"/>
  <c r="G1106" i="4"/>
  <c r="E1106" i="4"/>
  <c r="D1106" i="4"/>
  <c r="M1105" i="4"/>
  <c r="I1105" i="4"/>
  <c r="H1105" i="4"/>
  <c r="G1105" i="4"/>
  <c r="E1105" i="4"/>
  <c r="D1105" i="4"/>
  <c r="M1104" i="4"/>
  <c r="I1104" i="4"/>
  <c r="H1104" i="4"/>
  <c r="G1104" i="4"/>
  <c r="E1104" i="4"/>
  <c r="D1104" i="4"/>
  <c r="M1103" i="4"/>
  <c r="I1103" i="4"/>
  <c r="H1103" i="4"/>
  <c r="G1103" i="4"/>
  <c r="E1103" i="4"/>
  <c r="D1103" i="4"/>
  <c r="M1102" i="4"/>
  <c r="I1102" i="4"/>
  <c r="H1102" i="4"/>
  <c r="G1102" i="4"/>
  <c r="E1102" i="4"/>
  <c r="D1102" i="4"/>
  <c r="M1101" i="4"/>
  <c r="I1101" i="4"/>
  <c r="H1101" i="4"/>
  <c r="G1101" i="4"/>
  <c r="E1101" i="4"/>
  <c r="D1101" i="4"/>
  <c r="M1100" i="4"/>
  <c r="I1100" i="4"/>
  <c r="H1100" i="4"/>
  <c r="G1100" i="4"/>
  <c r="E1100" i="4"/>
  <c r="D1100" i="4"/>
  <c r="M1099" i="4"/>
  <c r="I1099" i="4"/>
  <c r="H1099" i="4"/>
  <c r="G1099" i="4"/>
  <c r="E1099" i="4"/>
  <c r="D1099" i="4"/>
  <c r="M1098" i="4"/>
  <c r="I1098" i="4"/>
  <c r="H1098" i="4"/>
  <c r="G1098" i="4"/>
  <c r="E1098" i="4"/>
  <c r="D1098" i="4"/>
  <c r="M1097" i="4"/>
  <c r="I1097" i="4"/>
  <c r="H1097" i="4"/>
  <c r="G1097" i="4"/>
  <c r="E1097" i="4"/>
  <c r="D1097" i="4"/>
  <c r="M1096" i="4"/>
  <c r="I1096" i="4"/>
  <c r="H1096" i="4"/>
  <c r="G1096" i="4"/>
  <c r="E1096" i="4"/>
  <c r="D1096" i="4"/>
  <c r="M1095" i="4"/>
  <c r="I1095" i="4"/>
  <c r="H1095" i="4"/>
  <c r="G1095" i="4"/>
  <c r="E1095" i="4"/>
  <c r="D1095" i="4"/>
  <c r="M1094" i="4"/>
  <c r="I1094" i="4"/>
  <c r="H1094" i="4"/>
  <c r="G1094" i="4"/>
  <c r="E1094" i="4"/>
  <c r="D1094" i="4"/>
  <c r="M1093" i="4"/>
  <c r="I1093" i="4"/>
  <c r="H1093" i="4"/>
  <c r="G1093" i="4"/>
  <c r="E1093" i="4"/>
  <c r="D1093" i="4"/>
  <c r="M1092" i="4"/>
  <c r="I1092" i="4"/>
  <c r="H1092" i="4"/>
  <c r="G1092" i="4"/>
  <c r="E1092" i="4"/>
  <c r="D1092" i="4"/>
  <c r="M1091" i="4"/>
  <c r="I1091" i="4"/>
  <c r="H1091" i="4"/>
  <c r="G1091" i="4"/>
  <c r="E1091" i="4"/>
  <c r="D1091" i="4"/>
  <c r="M1090" i="4"/>
  <c r="I1090" i="4"/>
  <c r="H1090" i="4"/>
  <c r="G1090" i="4"/>
  <c r="E1090" i="4"/>
  <c r="D1090" i="4"/>
  <c r="M1089" i="4"/>
  <c r="I1089" i="4"/>
  <c r="H1089" i="4"/>
  <c r="G1089" i="4"/>
  <c r="E1089" i="4"/>
  <c r="D1089" i="4"/>
  <c r="M1088" i="4"/>
  <c r="I1088" i="4"/>
  <c r="H1088" i="4"/>
  <c r="G1088" i="4"/>
  <c r="E1088" i="4"/>
  <c r="D1088" i="4"/>
  <c r="M1087" i="4"/>
  <c r="I1087" i="4"/>
  <c r="H1087" i="4"/>
  <c r="G1087" i="4"/>
  <c r="E1087" i="4"/>
  <c r="D1087" i="4"/>
  <c r="M1086" i="4"/>
  <c r="I1086" i="4"/>
  <c r="H1086" i="4"/>
  <c r="G1086" i="4"/>
  <c r="E1086" i="4"/>
  <c r="D1086" i="4"/>
  <c r="M1085" i="4"/>
  <c r="I1085" i="4"/>
  <c r="H1085" i="4"/>
  <c r="G1085" i="4"/>
  <c r="E1085" i="4"/>
  <c r="D1085" i="4"/>
  <c r="M1084" i="4"/>
  <c r="I1084" i="4"/>
  <c r="H1084" i="4"/>
  <c r="G1084" i="4"/>
  <c r="E1084" i="4"/>
  <c r="D1084" i="4"/>
  <c r="M1083" i="4"/>
  <c r="I1083" i="4"/>
  <c r="H1083" i="4"/>
  <c r="G1083" i="4"/>
  <c r="E1083" i="4"/>
  <c r="D1083" i="4"/>
  <c r="M1082" i="4"/>
  <c r="I1082" i="4"/>
  <c r="H1082" i="4"/>
  <c r="G1082" i="4"/>
  <c r="E1082" i="4"/>
  <c r="D1082" i="4"/>
  <c r="M1081" i="4"/>
  <c r="I1081" i="4"/>
  <c r="H1081" i="4"/>
  <c r="G1081" i="4"/>
  <c r="E1081" i="4"/>
  <c r="D1081" i="4"/>
  <c r="M1080" i="4"/>
  <c r="I1080" i="4"/>
  <c r="H1080" i="4"/>
  <c r="G1080" i="4"/>
  <c r="E1080" i="4"/>
  <c r="D1080" i="4"/>
  <c r="M1079" i="4"/>
  <c r="I1079" i="4"/>
  <c r="H1079" i="4"/>
  <c r="G1079" i="4"/>
  <c r="E1079" i="4"/>
  <c r="D1079" i="4"/>
  <c r="M1078" i="4"/>
  <c r="I1078" i="4"/>
  <c r="H1078" i="4"/>
  <c r="G1078" i="4"/>
  <c r="E1078" i="4"/>
  <c r="D1078" i="4"/>
  <c r="M1077" i="4"/>
  <c r="I1077" i="4"/>
  <c r="H1077" i="4"/>
  <c r="G1077" i="4"/>
  <c r="E1077" i="4"/>
  <c r="D1077" i="4"/>
  <c r="M1076" i="4"/>
  <c r="I1076" i="4"/>
  <c r="H1076" i="4"/>
  <c r="G1076" i="4"/>
  <c r="E1076" i="4"/>
  <c r="D1076" i="4"/>
  <c r="M1075" i="4"/>
  <c r="I1075" i="4"/>
  <c r="H1075" i="4"/>
  <c r="G1075" i="4"/>
  <c r="E1075" i="4"/>
  <c r="D1075" i="4"/>
  <c r="M1074" i="4"/>
  <c r="I1074" i="4"/>
  <c r="H1074" i="4"/>
  <c r="G1074" i="4"/>
  <c r="E1074" i="4"/>
  <c r="D1074" i="4"/>
  <c r="M1073" i="4"/>
  <c r="I1073" i="4"/>
  <c r="H1073" i="4"/>
  <c r="G1073" i="4"/>
  <c r="E1073" i="4"/>
  <c r="D1073" i="4"/>
  <c r="M1072" i="4"/>
  <c r="I1072" i="4"/>
  <c r="H1072" i="4"/>
  <c r="G1072" i="4"/>
  <c r="E1072" i="4"/>
  <c r="D1072" i="4"/>
  <c r="M1071" i="4"/>
  <c r="I1071" i="4"/>
  <c r="H1071" i="4"/>
  <c r="G1071" i="4"/>
  <c r="E1071" i="4"/>
  <c r="D1071" i="4"/>
  <c r="M1070" i="4"/>
  <c r="I1070" i="4"/>
  <c r="H1070" i="4"/>
  <c r="G1070" i="4"/>
  <c r="E1070" i="4"/>
  <c r="D1070" i="4"/>
  <c r="M1069" i="4"/>
  <c r="I1069" i="4"/>
  <c r="H1069" i="4"/>
  <c r="G1069" i="4"/>
  <c r="E1069" i="4"/>
  <c r="D1069" i="4"/>
  <c r="M1068" i="4"/>
  <c r="I1068" i="4"/>
  <c r="H1068" i="4"/>
  <c r="G1068" i="4"/>
  <c r="E1068" i="4"/>
  <c r="D1068" i="4"/>
  <c r="M1067" i="4"/>
  <c r="I1067" i="4"/>
  <c r="H1067" i="4"/>
  <c r="G1067" i="4"/>
  <c r="E1067" i="4"/>
  <c r="D1067" i="4"/>
  <c r="M1066" i="4"/>
  <c r="I1066" i="4"/>
  <c r="H1066" i="4"/>
  <c r="G1066" i="4"/>
  <c r="E1066" i="4"/>
  <c r="D1066" i="4"/>
  <c r="M1065" i="4"/>
  <c r="I1065" i="4"/>
  <c r="H1065" i="4"/>
  <c r="G1065" i="4"/>
  <c r="E1065" i="4"/>
  <c r="D1065" i="4"/>
  <c r="M1064" i="4"/>
  <c r="I1064" i="4"/>
  <c r="H1064" i="4"/>
  <c r="G1064" i="4"/>
  <c r="E1064" i="4"/>
  <c r="D1064" i="4"/>
  <c r="M1063" i="4"/>
  <c r="I1063" i="4"/>
  <c r="H1063" i="4"/>
  <c r="G1063" i="4"/>
  <c r="E1063" i="4"/>
  <c r="D1063" i="4"/>
  <c r="M1062" i="4"/>
  <c r="I1062" i="4"/>
  <c r="H1062" i="4"/>
  <c r="G1062" i="4"/>
  <c r="E1062" i="4"/>
  <c r="D1062" i="4"/>
  <c r="M1061" i="4"/>
  <c r="I1061" i="4"/>
  <c r="H1061" i="4"/>
  <c r="G1061" i="4"/>
  <c r="E1061" i="4"/>
  <c r="D1061" i="4"/>
  <c r="M1060" i="4"/>
  <c r="I1060" i="4"/>
  <c r="H1060" i="4"/>
  <c r="G1060" i="4"/>
  <c r="E1060" i="4"/>
  <c r="D1060" i="4"/>
  <c r="M1059" i="4"/>
  <c r="I1059" i="4"/>
  <c r="H1059" i="4"/>
  <c r="G1059" i="4"/>
  <c r="E1059" i="4"/>
  <c r="D1059" i="4"/>
  <c r="M1058" i="4"/>
  <c r="I1058" i="4"/>
  <c r="H1058" i="4"/>
  <c r="G1058" i="4"/>
  <c r="E1058" i="4"/>
  <c r="D1058" i="4"/>
  <c r="M1057" i="4"/>
  <c r="I1057" i="4"/>
  <c r="H1057" i="4"/>
  <c r="G1057" i="4"/>
  <c r="E1057" i="4"/>
  <c r="D1057" i="4"/>
  <c r="M1056" i="4"/>
  <c r="I1056" i="4"/>
  <c r="H1056" i="4"/>
  <c r="G1056" i="4"/>
  <c r="E1056" i="4"/>
  <c r="D1056" i="4"/>
  <c r="M1055" i="4"/>
  <c r="I1055" i="4"/>
  <c r="H1055" i="4"/>
  <c r="G1055" i="4"/>
  <c r="E1055" i="4"/>
  <c r="D1055" i="4"/>
  <c r="M1054" i="4"/>
  <c r="I1054" i="4"/>
  <c r="H1054" i="4"/>
  <c r="G1054" i="4"/>
  <c r="E1054" i="4"/>
  <c r="D1054" i="4"/>
  <c r="M1053" i="4"/>
  <c r="I1053" i="4"/>
  <c r="H1053" i="4"/>
  <c r="G1053" i="4"/>
  <c r="E1053" i="4"/>
  <c r="D1053" i="4"/>
  <c r="M1052" i="4"/>
  <c r="I1052" i="4"/>
  <c r="H1052" i="4"/>
  <c r="G1052" i="4"/>
  <c r="E1052" i="4"/>
  <c r="D1052" i="4"/>
  <c r="M1051" i="4"/>
  <c r="I1051" i="4"/>
  <c r="H1051" i="4"/>
  <c r="G1051" i="4"/>
  <c r="E1051" i="4"/>
  <c r="D1051" i="4"/>
  <c r="M1050" i="4"/>
  <c r="I1050" i="4"/>
  <c r="H1050" i="4"/>
  <c r="G1050" i="4"/>
  <c r="E1050" i="4"/>
  <c r="D1050" i="4"/>
  <c r="M1049" i="4"/>
  <c r="I1049" i="4"/>
  <c r="H1049" i="4"/>
  <c r="G1049" i="4"/>
  <c r="E1049" i="4"/>
  <c r="D1049" i="4"/>
  <c r="M1048" i="4"/>
  <c r="I1048" i="4"/>
  <c r="H1048" i="4"/>
  <c r="G1048" i="4"/>
  <c r="E1048" i="4"/>
  <c r="D1048" i="4"/>
  <c r="M1047" i="4"/>
  <c r="I1047" i="4"/>
  <c r="H1047" i="4"/>
  <c r="G1047" i="4"/>
  <c r="E1047" i="4"/>
  <c r="D1047" i="4"/>
  <c r="M1046" i="4"/>
  <c r="I1046" i="4"/>
  <c r="H1046" i="4"/>
  <c r="G1046" i="4"/>
  <c r="E1046" i="4"/>
  <c r="D1046" i="4"/>
  <c r="M1045" i="4"/>
  <c r="I1045" i="4"/>
  <c r="H1045" i="4"/>
  <c r="G1045" i="4"/>
  <c r="E1045" i="4"/>
  <c r="D1045" i="4"/>
  <c r="M1044" i="4"/>
  <c r="I1044" i="4"/>
  <c r="H1044" i="4"/>
  <c r="G1044" i="4"/>
  <c r="E1044" i="4"/>
  <c r="D1044" i="4"/>
  <c r="M1043" i="4"/>
  <c r="I1043" i="4"/>
  <c r="H1043" i="4"/>
  <c r="G1043" i="4"/>
  <c r="E1043" i="4"/>
  <c r="D1043" i="4"/>
  <c r="M1042" i="4"/>
  <c r="I1042" i="4"/>
  <c r="H1042" i="4"/>
  <c r="G1042" i="4"/>
  <c r="E1042" i="4"/>
  <c r="D1042" i="4"/>
  <c r="M1041" i="4"/>
  <c r="I1041" i="4"/>
  <c r="H1041" i="4"/>
  <c r="G1041" i="4"/>
  <c r="E1041" i="4"/>
  <c r="D1041" i="4"/>
  <c r="M1040" i="4"/>
  <c r="I1040" i="4"/>
  <c r="H1040" i="4"/>
  <c r="G1040" i="4"/>
  <c r="E1040" i="4"/>
  <c r="D1040" i="4"/>
  <c r="M1039" i="4"/>
  <c r="I1039" i="4"/>
  <c r="H1039" i="4"/>
  <c r="G1039" i="4"/>
  <c r="E1039" i="4"/>
  <c r="D1039" i="4"/>
  <c r="M1038" i="4"/>
  <c r="I1038" i="4"/>
  <c r="H1038" i="4"/>
  <c r="G1038" i="4"/>
  <c r="E1038" i="4"/>
  <c r="D1038" i="4"/>
  <c r="M1037" i="4"/>
  <c r="I1037" i="4"/>
  <c r="H1037" i="4"/>
  <c r="G1037" i="4"/>
  <c r="E1037" i="4"/>
  <c r="D1037" i="4"/>
  <c r="M1036" i="4"/>
  <c r="I1036" i="4"/>
  <c r="H1036" i="4"/>
  <c r="G1036" i="4"/>
  <c r="E1036" i="4"/>
  <c r="D1036" i="4"/>
  <c r="M1035" i="4"/>
  <c r="I1035" i="4"/>
  <c r="H1035" i="4"/>
  <c r="G1035" i="4"/>
  <c r="E1035" i="4"/>
  <c r="D1035" i="4"/>
  <c r="M1034" i="4"/>
  <c r="I1034" i="4"/>
  <c r="H1034" i="4"/>
  <c r="G1034" i="4"/>
  <c r="E1034" i="4"/>
  <c r="D1034" i="4"/>
  <c r="M1033" i="4"/>
  <c r="I1033" i="4"/>
  <c r="H1033" i="4"/>
  <c r="G1033" i="4"/>
  <c r="E1033" i="4"/>
  <c r="D1033" i="4"/>
  <c r="M1032" i="4"/>
  <c r="I1032" i="4"/>
  <c r="H1032" i="4"/>
  <c r="G1032" i="4"/>
  <c r="E1032" i="4"/>
  <c r="D1032" i="4"/>
  <c r="M1031" i="4"/>
  <c r="I1031" i="4"/>
  <c r="H1031" i="4"/>
  <c r="G1031" i="4"/>
  <c r="E1031" i="4"/>
  <c r="D1031" i="4"/>
  <c r="M1030" i="4"/>
  <c r="I1030" i="4"/>
  <c r="H1030" i="4"/>
  <c r="G1030" i="4"/>
  <c r="E1030" i="4"/>
  <c r="D1030" i="4"/>
  <c r="M1029" i="4"/>
  <c r="I1029" i="4"/>
  <c r="H1029" i="4"/>
  <c r="G1029" i="4"/>
  <c r="E1029" i="4"/>
  <c r="D1029" i="4"/>
  <c r="M1028" i="4"/>
  <c r="I1028" i="4"/>
  <c r="H1028" i="4"/>
  <c r="G1028" i="4"/>
  <c r="E1028" i="4"/>
  <c r="D1028" i="4"/>
  <c r="M1027" i="4"/>
  <c r="I1027" i="4"/>
  <c r="H1027" i="4"/>
  <c r="G1027" i="4"/>
  <c r="E1027" i="4"/>
  <c r="D1027" i="4"/>
  <c r="M1026" i="4"/>
  <c r="I1026" i="4"/>
  <c r="H1026" i="4"/>
  <c r="G1026" i="4"/>
  <c r="E1026" i="4"/>
  <c r="D1026" i="4"/>
  <c r="M1025" i="4"/>
  <c r="I1025" i="4"/>
  <c r="H1025" i="4"/>
  <c r="G1025" i="4"/>
  <c r="E1025" i="4"/>
  <c r="D1025" i="4"/>
  <c r="M1024" i="4"/>
  <c r="I1024" i="4"/>
  <c r="H1024" i="4"/>
  <c r="G1024" i="4"/>
  <c r="E1024" i="4"/>
  <c r="D1024" i="4"/>
  <c r="M1023" i="4"/>
  <c r="I1023" i="4"/>
  <c r="H1023" i="4"/>
  <c r="G1023" i="4"/>
  <c r="E1023" i="4"/>
  <c r="D1023" i="4"/>
  <c r="M1022" i="4"/>
  <c r="I1022" i="4"/>
  <c r="H1022" i="4"/>
  <c r="G1022" i="4"/>
  <c r="E1022" i="4"/>
  <c r="D1022" i="4"/>
  <c r="M1021" i="4"/>
  <c r="I1021" i="4"/>
  <c r="H1021" i="4"/>
  <c r="G1021" i="4"/>
  <c r="E1021" i="4"/>
  <c r="D1021" i="4"/>
  <c r="M1020" i="4"/>
  <c r="I1020" i="4"/>
  <c r="H1020" i="4"/>
  <c r="G1020" i="4"/>
  <c r="E1020" i="4"/>
  <c r="D1020" i="4"/>
  <c r="M1019" i="4"/>
  <c r="I1019" i="4"/>
  <c r="H1019" i="4"/>
  <c r="G1019" i="4"/>
  <c r="E1019" i="4"/>
  <c r="D1019" i="4"/>
  <c r="M1018" i="4"/>
  <c r="I1018" i="4"/>
  <c r="H1018" i="4"/>
  <c r="G1018" i="4"/>
  <c r="E1018" i="4"/>
  <c r="D1018" i="4"/>
  <c r="M1017" i="4"/>
  <c r="I1017" i="4"/>
  <c r="H1017" i="4"/>
  <c r="G1017" i="4"/>
  <c r="E1017" i="4"/>
  <c r="D1017" i="4"/>
  <c r="M1016" i="4"/>
  <c r="I1016" i="4"/>
  <c r="H1016" i="4"/>
  <c r="G1016" i="4"/>
  <c r="E1016" i="4"/>
  <c r="D1016" i="4"/>
  <c r="M1015" i="4"/>
  <c r="I1015" i="4"/>
  <c r="H1015" i="4"/>
  <c r="G1015" i="4"/>
  <c r="E1015" i="4"/>
  <c r="D1015" i="4"/>
  <c r="M1014" i="4"/>
  <c r="I1014" i="4"/>
  <c r="H1014" i="4"/>
  <c r="G1014" i="4"/>
  <c r="E1014" i="4"/>
  <c r="D1014" i="4"/>
  <c r="M1013" i="4"/>
  <c r="I1013" i="4"/>
  <c r="H1013" i="4"/>
  <c r="G1013" i="4"/>
  <c r="E1013" i="4"/>
  <c r="D1013" i="4"/>
  <c r="M1012" i="4"/>
  <c r="I1012" i="4"/>
  <c r="H1012" i="4"/>
  <c r="G1012" i="4"/>
  <c r="E1012" i="4"/>
  <c r="D1012" i="4"/>
  <c r="M1011" i="4"/>
  <c r="I1011" i="4"/>
  <c r="H1011" i="4"/>
  <c r="G1011" i="4"/>
  <c r="E1011" i="4"/>
  <c r="D1011" i="4"/>
  <c r="M1010" i="4"/>
  <c r="I1010" i="4"/>
  <c r="H1010" i="4"/>
  <c r="G1010" i="4"/>
  <c r="E1010" i="4"/>
  <c r="D1010" i="4"/>
  <c r="M1009" i="4"/>
  <c r="I1009" i="4"/>
  <c r="H1009" i="4"/>
  <c r="G1009" i="4"/>
  <c r="E1009" i="4"/>
  <c r="D1009" i="4"/>
  <c r="M1008" i="4"/>
  <c r="I1008" i="4"/>
  <c r="H1008" i="4"/>
  <c r="G1008" i="4"/>
  <c r="E1008" i="4"/>
  <c r="D1008" i="4"/>
  <c r="M1007" i="4"/>
  <c r="I1007" i="4"/>
  <c r="H1007" i="4"/>
  <c r="G1007" i="4"/>
  <c r="E1007" i="4"/>
  <c r="D1007" i="4"/>
  <c r="M1006" i="4"/>
  <c r="I1006" i="4"/>
  <c r="H1006" i="4"/>
  <c r="G1006" i="4"/>
  <c r="E1006" i="4"/>
  <c r="D1006" i="4"/>
  <c r="M1005" i="4"/>
  <c r="I1005" i="4"/>
  <c r="H1005" i="4"/>
  <c r="G1005" i="4"/>
  <c r="E1005" i="4"/>
  <c r="D1005" i="4"/>
  <c r="M1004" i="4"/>
  <c r="I1004" i="4"/>
  <c r="H1004" i="4"/>
  <c r="G1004" i="4"/>
  <c r="E1004" i="4"/>
  <c r="D1004" i="4"/>
  <c r="M1003" i="4"/>
  <c r="I1003" i="4"/>
  <c r="H1003" i="4"/>
  <c r="G1003" i="4"/>
  <c r="E1003" i="4"/>
  <c r="D1003" i="4"/>
  <c r="M1002" i="4"/>
  <c r="I1002" i="4"/>
  <c r="H1002" i="4"/>
  <c r="G1002" i="4"/>
  <c r="E1002" i="4"/>
  <c r="D1002" i="4"/>
  <c r="M1001" i="4"/>
  <c r="I1001" i="4"/>
  <c r="H1001" i="4"/>
  <c r="G1001" i="4"/>
  <c r="E1001" i="4"/>
  <c r="D1001" i="4"/>
  <c r="M1000" i="4"/>
  <c r="I1000" i="4"/>
  <c r="H1000" i="4"/>
  <c r="G1000" i="4"/>
  <c r="E1000" i="4"/>
  <c r="D1000" i="4"/>
  <c r="M999" i="4"/>
  <c r="I999" i="4"/>
  <c r="H999" i="4"/>
  <c r="G999" i="4"/>
  <c r="E999" i="4"/>
  <c r="D999" i="4"/>
  <c r="M998" i="4"/>
  <c r="I998" i="4"/>
  <c r="H998" i="4"/>
  <c r="G998" i="4"/>
  <c r="E998" i="4"/>
  <c r="D998" i="4"/>
  <c r="M997" i="4"/>
  <c r="I997" i="4"/>
  <c r="H997" i="4"/>
  <c r="G997" i="4"/>
  <c r="E997" i="4"/>
  <c r="D997" i="4"/>
  <c r="M996" i="4"/>
  <c r="I996" i="4"/>
  <c r="H996" i="4"/>
  <c r="G996" i="4"/>
  <c r="E996" i="4"/>
  <c r="D996" i="4"/>
  <c r="M995" i="4"/>
  <c r="I995" i="4"/>
  <c r="H995" i="4"/>
  <c r="G995" i="4"/>
  <c r="E995" i="4"/>
  <c r="D995" i="4"/>
  <c r="M994" i="4"/>
  <c r="I994" i="4"/>
  <c r="H994" i="4"/>
  <c r="G994" i="4"/>
  <c r="E994" i="4"/>
  <c r="D994" i="4"/>
  <c r="M993" i="4"/>
  <c r="I993" i="4"/>
  <c r="H993" i="4"/>
  <c r="G993" i="4"/>
  <c r="E993" i="4"/>
  <c r="D993" i="4"/>
  <c r="M992" i="4"/>
  <c r="I992" i="4"/>
  <c r="H992" i="4"/>
  <c r="G992" i="4"/>
  <c r="E992" i="4"/>
  <c r="D992" i="4"/>
  <c r="M991" i="4"/>
  <c r="I991" i="4"/>
  <c r="H991" i="4"/>
  <c r="G991" i="4"/>
  <c r="E991" i="4"/>
  <c r="D991" i="4"/>
  <c r="M990" i="4"/>
  <c r="I990" i="4"/>
  <c r="H990" i="4"/>
  <c r="G990" i="4"/>
  <c r="E990" i="4"/>
  <c r="D990" i="4"/>
  <c r="M989" i="4"/>
  <c r="I989" i="4"/>
  <c r="H989" i="4"/>
  <c r="G989" i="4"/>
  <c r="E989" i="4"/>
  <c r="D989" i="4"/>
  <c r="M988" i="4"/>
  <c r="I988" i="4"/>
  <c r="H988" i="4"/>
  <c r="G988" i="4"/>
  <c r="E988" i="4"/>
  <c r="D988" i="4"/>
  <c r="M987" i="4"/>
  <c r="I987" i="4"/>
  <c r="H987" i="4"/>
  <c r="G987" i="4"/>
  <c r="E987" i="4"/>
  <c r="D987" i="4"/>
  <c r="M986" i="4"/>
  <c r="I986" i="4"/>
  <c r="H986" i="4"/>
  <c r="G986" i="4"/>
  <c r="E986" i="4"/>
  <c r="D986" i="4"/>
  <c r="M985" i="4"/>
  <c r="I985" i="4"/>
  <c r="H985" i="4"/>
  <c r="G985" i="4"/>
  <c r="E985" i="4"/>
  <c r="D985" i="4"/>
  <c r="M984" i="4"/>
  <c r="I984" i="4"/>
  <c r="H984" i="4"/>
  <c r="G984" i="4"/>
  <c r="E984" i="4"/>
  <c r="D984" i="4"/>
  <c r="M983" i="4"/>
  <c r="I983" i="4"/>
  <c r="H983" i="4"/>
  <c r="G983" i="4"/>
  <c r="E983" i="4"/>
  <c r="D983" i="4"/>
  <c r="M982" i="4"/>
  <c r="I982" i="4"/>
  <c r="H982" i="4"/>
  <c r="G982" i="4"/>
  <c r="E982" i="4"/>
  <c r="D982" i="4"/>
  <c r="M981" i="4"/>
  <c r="I981" i="4"/>
  <c r="H981" i="4"/>
  <c r="G981" i="4"/>
  <c r="E981" i="4"/>
  <c r="D981" i="4"/>
  <c r="M980" i="4"/>
  <c r="I980" i="4"/>
  <c r="H980" i="4"/>
  <c r="G980" i="4"/>
  <c r="E980" i="4"/>
  <c r="D980" i="4"/>
  <c r="M979" i="4"/>
  <c r="I979" i="4"/>
  <c r="H979" i="4"/>
  <c r="G979" i="4"/>
  <c r="E979" i="4"/>
  <c r="D979" i="4"/>
  <c r="M978" i="4"/>
  <c r="I978" i="4"/>
  <c r="H978" i="4"/>
  <c r="G978" i="4"/>
  <c r="E978" i="4"/>
  <c r="D978" i="4"/>
  <c r="M977" i="4"/>
  <c r="I977" i="4"/>
  <c r="H977" i="4"/>
  <c r="G977" i="4"/>
  <c r="E977" i="4"/>
  <c r="D977" i="4"/>
  <c r="M976" i="4"/>
  <c r="I976" i="4"/>
  <c r="H976" i="4"/>
  <c r="G976" i="4"/>
  <c r="E976" i="4"/>
  <c r="D976" i="4"/>
  <c r="M975" i="4"/>
  <c r="I975" i="4"/>
  <c r="H975" i="4"/>
  <c r="G975" i="4"/>
  <c r="E975" i="4"/>
  <c r="D975" i="4"/>
  <c r="M974" i="4"/>
  <c r="I974" i="4"/>
  <c r="H974" i="4"/>
  <c r="G974" i="4"/>
  <c r="E974" i="4"/>
  <c r="D974" i="4"/>
  <c r="M973" i="4"/>
  <c r="I973" i="4"/>
  <c r="H973" i="4"/>
  <c r="G973" i="4"/>
  <c r="E973" i="4"/>
  <c r="D973" i="4"/>
  <c r="M972" i="4"/>
  <c r="I972" i="4"/>
  <c r="H972" i="4"/>
  <c r="G972" i="4"/>
  <c r="E972" i="4"/>
  <c r="D972" i="4"/>
  <c r="M971" i="4"/>
  <c r="I971" i="4"/>
  <c r="H971" i="4"/>
  <c r="G971" i="4"/>
  <c r="E971" i="4"/>
  <c r="D971" i="4"/>
  <c r="M970" i="4"/>
  <c r="I970" i="4"/>
  <c r="H970" i="4"/>
  <c r="G970" i="4"/>
  <c r="E970" i="4"/>
  <c r="D970" i="4"/>
  <c r="M969" i="4"/>
  <c r="I969" i="4"/>
  <c r="H969" i="4"/>
  <c r="G969" i="4"/>
  <c r="E969" i="4"/>
  <c r="D969" i="4"/>
  <c r="M968" i="4"/>
  <c r="I968" i="4"/>
  <c r="H968" i="4"/>
  <c r="G968" i="4"/>
  <c r="E968" i="4"/>
  <c r="D968" i="4"/>
  <c r="M967" i="4"/>
  <c r="I967" i="4"/>
  <c r="H967" i="4"/>
  <c r="G967" i="4"/>
  <c r="E967" i="4"/>
  <c r="D967" i="4"/>
  <c r="M966" i="4"/>
  <c r="I966" i="4"/>
  <c r="H966" i="4"/>
  <c r="G966" i="4"/>
  <c r="E966" i="4"/>
  <c r="D966" i="4"/>
  <c r="M965" i="4"/>
  <c r="I965" i="4"/>
  <c r="H965" i="4"/>
  <c r="G965" i="4"/>
  <c r="E965" i="4"/>
  <c r="D965" i="4"/>
  <c r="M964" i="4"/>
  <c r="I964" i="4"/>
  <c r="H964" i="4"/>
  <c r="G964" i="4"/>
  <c r="E964" i="4"/>
  <c r="D964" i="4"/>
  <c r="M963" i="4"/>
  <c r="I963" i="4"/>
  <c r="H963" i="4"/>
  <c r="G963" i="4"/>
  <c r="E963" i="4"/>
  <c r="D963" i="4"/>
  <c r="M962" i="4"/>
  <c r="I962" i="4"/>
  <c r="H962" i="4"/>
  <c r="G962" i="4"/>
  <c r="E962" i="4"/>
  <c r="D962" i="4"/>
  <c r="M961" i="4"/>
  <c r="I961" i="4"/>
  <c r="H961" i="4"/>
  <c r="G961" i="4"/>
  <c r="E961" i="4"/>
  <c r="D961" i="4"/>
  <c r="M960" i="4"/>
  <c r="I960" i="4"/>
  <c r="H960" i="4"/>
  <c r="G960" i="4"/>
  <c r="E960" i="4"/>
  <c r="D960" i="4"/>
  <c r="M959" i="4"/>
  <c r="I959" i="4"/>
  <c r="H959" i="4"/>
  <c r="G959" i="4"/>
  <c r="E959" i="4"/>
  <c r="D959" i="4"/>
  <c r="M958" i="4"/>
  <c r="I958" i="4"/>
  <c r="H958" i="4"/>
  <c r="G958" i="4"/>
  <c r="E958" i="4"/>
  <c r="D958" i="4"/>
  <c r="M957" i="4"/>
  <c r="I957" i="4"/>
  <c r="H957" i="4"/>
  <c r="G957" i="4"/>
  <c r="E957" i="4"/>
  <c r="D957" i="4"/>
  <c r="M956" i="4"/>
  <c r="I956" i="4"/>
  <c r="H956" i="4"/>
  <c r="G956" i="4"/>
  <c r="E956" i="4"/>
  <c r="D956" i="4"/>
  <c r="M955" i="4"/>
  <c r="I955" i="4"/>
  <c r="H955" i="4"/>
  <c r="G955" i="4"/>
  <c r="E955" i="4"/>
  <c r="D955" i="4"/>
  <c r="M954" i="4"/>
  <c r="I954" i="4"/>
  <c r="H954" i="4"/>
  <c r="G954" i="4"/>
  <c r="E954" i="4"/>
  <c r="D954" i="4"/>
  <c r="M953" i="4"/>
  <c r="I953" i="4"/>
  <c r="H953" i="4"/>
  <c r="G953" i="4"/>
  <c r="E953" i="4"/>
  <c r="D953" i="4"/>
  <c r="M952" i="4"/>
  <c r="I952" i="4"/>
  <c r="H952" i="4"/>
  <c r="G952" i="4"/>
  <c r="E952" i="4"/>
  <c r="D952" i="4"/>
  <c r="M951" i="4"/>
  <c r="I951" i="4"/>
  <c r="H951" i="4"/>
  <c r="G951" i="4"/>
  <c r="E951" i="4"/>
  <c r="D951" i="4"/>
  <c r="M950" i="4"/>
  <c r="I950" i="4"/>
  <c r="H950" i="4"/>
  <c r="G950" i="4"/>
  <c r="E950" i="4"/>
  <c r="D950" i="4"/>
  <c r="M949" i="4"/>
  <c r="I949" i="4"/>
  <c r="H949" i="4"/>
  <c r="G949" i="4"/>
  <c r="E949" i="4"/>
  <c r="D949" i="4"/>
  <c r="M948" i="4"/>
  <c r="I948" i="4"/>
  <c r="H948" i="4"/>
  <c r="G948" i="4"/>
  <c r="E948" i="4"/>
  <c r="D948" i="4"/>
  <c r="M947" i="4"/>
  <c r="I947" i="4"/>
  <c r="H947" i="4"/>
  <c r="G947" i="4"/>
  <c r="E947" i="4"/>
  <c r="D947" i="4"/>
  <c r="M946" i="4"/>
  <c r="I946" i="4"/>
  <c r="H946" i="4"/>
  <c r="G946" i="4"/>
  <c r="E946" i="4"/>
  <c r="D946" i="4"/>
  <c r="M945" i="4"/>
  <c r="I945" i="4"/>
  <c r="H945" i="4"/>
  <c r="G945" i="4"/>
  <c r="E945" i="4"/>
  <c r="D945" i="4"/>
  <c r="M944" i="4"/>
  <c r="I944" i="4"/>
  <c r="H944" i="4"/>
  <c r="G944" i="4"/>
  <c r="E944" i="4"/>
  <c r="D944" i="4"/>
  <c r="M943" i="4"/>
  <c r="I943" i="4"/>
  <c r="H943" i="4"/>
  <c r="G943" i="4"/>
  <c r="E943" i="4"/>
  <c r="D943" i="4"/>
  <c r="M942" i="4"/>
  <c r="I942" i="4"/>
  <c r="H942" i="4"/>
  <c r="G942" i="4"/>
  <c r="E942" i="4"/>
  <c r="D942" i="4"/>
  <c r="M941" i="4"/>
  <c r="I941" i="4"/>
  <c r="H941" i="4"/>
  <c r="G941" i="4"/>
  <c r="E941" i="4"/>
  <c r="D941" i="4"/>
  <c r="M940" i="4"/>
  <c r="I940" i="4"/>
  <c r="H940" i="4"/>
  <c r="G940" i="4"/>
  <c r="E940" i="4"/>
  <c r="D940" i="4"/>
  <c r="M939" i="4"/>
  <c r="I939" i="4"/>
  <c r="H939" i="4"/>
  <c r="G939" i="4"/>
  <c r="E939" i="4"/>
  <c r="D939" i="4"/>
  <c r="M938" i="4"/>
  <c r="I938" i="4"/>
  <c r="H938" i="4"/>
  <c r="G938" i="4"/>
  <c r="E938" i="4"/>
  <c r="D938" i="4"/>
  <c r="M937" i="4"/>
  <c r="I937" i="4"/>
  <c r="H937" i="4"/>
  <c r="G937" i="4"/>
  <c r="E937" i="4"/>
  <c r="D937" i="4"/>
  <c r="M936" i="4"/>
  <c r="I936" i="4"/>
  <c r="H936" i="4"/>
  <c r="G936" i="4"/>
  <c r="E936" i="4"/>
  <c r="D936" i="4"/>
  <c r="M935" i="4"/>
  <c r="I935" i="4"/>
  <c r="H935" i="4"/>
  <c r="G935" i="4"/>
  <c r="E935" i="4"/>
  <c r="D935" i="4"/>
  <c r="M934" i="4"/>
  <c r="I934" i="4"/>
  <c r="H934" i="4"/>
  <c r="G934" i="4"/>
  <c r="E934" i="4"/>
  <c r="D934" i="4"/>
  <c r="M933" i="4"/>
  <c r="I933" i="4"/>
  <c r="H933" i="4"/>
  <c r="G933" i="4"/>
  <c r="E933" i="4"/>
  <c r="D933" i="4"/>
  <c r="M932" i="4"/>
  <c r="I932" i="4"/>
  <c r="H932" i="4"/>
  <c r="G932" i="4"/>
  <c r="E932" i="4"/>
  <c r="D932" i="4"/>
  <c r="M931" i="4"/>
  <c r="I931" i="4"/>
  <c r="H931" i="4"/>
  <c r="G931" i="4"/>
  <c r="E931" i="4"/>
  <c r="D931" i="4"/>
  <c r="M930" i="4"/>
  <c r="I930" i="4"/>
  <c r="H930" i="4"/>
  <c r="G930" i="4"/>
  <c r="E930" i="4"/>
  <c r="D930" i="4"/>
  <c r="M929" i="4"/>
  <c r="I929" i="4"/>
  <c r="H929" i="4"/>
  <c r="G929" i="4"/>
  <c r="E929" i="4"/>
  <c r="D929" i="4"/>
  <c r="M928" i="4"/>
  <c r="I928" i="4"/>
  <c r="H928" i="4"/>
  <c r="G928" i="4"/>
  <c r="E928" i="4"/>
  <c r="D928" i="4"/>
  <c r="M927" i="4"/>
  <c r="I927" i="4"/>
  <c r="H927" i="4"/>
  <c r="G927" i="4"/>
  <c r="E927" i="4"/>
  <c r="D927" i="4"/>
  <c r="M926" i="4"/>
  <c r="I926" i="4"/>
  <c r="H926" i="4"/>
  <c r="G926" i="4"/>
  <c r="E926" i="4"/>
  <c r="D926" i="4"/>
  <c r="M925" i="4"/>
  <c r="I925" i="4"/>
  <c r="H925" i="4"/>
  <c r="G925" i="4"/>
  <c r="E925" i="4"/>
  <c r="D925" i="4"/>
  <c r="M924" i="4"/>
  <c r="I924" i="4"/>
  <c r="H924" i="4"/>
  <c r="G924" i="4"/>
  <c r="E924" i="4"/>
  <c r="D924" i="4"/>
  <c r="M923" i="4"/>
  <c r="I923" i="4"/>
  <c r="H923" i="4"/>
  <c r="G923" i="4"/>
  <c r="E923" i="4"/>
  <c r="D923" i="4"/>
  <c r="M922" i="4"/>
  <c r="I922" i="4"/>
  <c r="H922" i="4"/>
  <c r="G922" i="4"/>
  <c r="E922" i="4"/>
  <c r="D922" i="4"/>
  <c r="M921" i="4"/>
  <c r="I921" i="4"/>
  <c r="H921" i="4"/>
  <c r="G921" i="4"/>
  <c r="E921" i="4"/>
  <c r="D921" i="4"/>
  <c r="M920" i="4"/>
  <c r="I920" i="4"/>
  <c r="H920" i="4"/>
  <c r="G920" i="4"/>
  <c r="E920" i="4"/>
  <c r="D920" i="4"/>
  <c r="M919" i="4"/>
  <c r="I919" i="4"/>
  <c r="H919" i="4"/>
  <c r="G919" i="4"/>
  <c r="E919" i="4"/>
  <c r="D919" i="4"/>
  <c r="M918" i="4"/>
  <c r="I918" i="4"/>
  <c r="H918" i="4"/>
  <c r="G918" i="4"/>
  <c r="E918" i="4"/>
  <c r="D918" i="4"/>
  <c r="M917" i="4"/>
  <c r="I917" i="4"/>
  <c r="H917" i="4"/>
  <c r="G917" i="4"/>
  <c r="E917" i="4"/>
  <c r="D917" i="4"/>
  <c r="M916" i="4"/>
  <c r="I916" i="4"/>
  <c r="H916" i="4"/>
  <c r="G916" i="4"/>
  <c r="E916" i="4"/>
  <c r="D916" i="4"/>
  <c r="M915" i="4"/>
  <c r="I915" i="4"/>
  <c r="H915" i="4"/>
  <c r="G915" i="4"/>
  <c r="E915" i="4"/>
  <c r="D915" i="4"/>
  <c r="M914" i="4"/>
  <c r="I914" i="4"/>
  <c r="H914" i="4"/>
  <c r="G914" i="4"/>
  <c r="E914" i="4"/>
  <c r="D914" i="4"/>
  <c r="M913" i="4"/>
  <c r="I913" i="4"/>
  <c r="H913" i="4"/>
  <c r="G913" i="4"/>
  <c r="E913" i="4"/>
  <c r="D913" i="4"/>
  <c r="M912" i="4"/>
  <c r="I912" i="4"/>
  <c r="H912" i="4"/>
  <c r="G912" i="4"/>
  <c r="E912" i="4"/>
  <c r="D912" i="4"/>
  <c r="M911" i="4"/>
  <c r="I911" i="4"/>
  <c r="H911" i="4"/>
  <c r="G911" i="4"/>
  <c r="E911" i="4"/>
  <c r="D911" i="4"/>
  <c r="M910" i="4"/>
  <c r="I910" i="4"/>
  <c r="H910" i="4"/>
  <c r="G910" i="4"/>
  <c r="E910" i="4"/>
  <c r="D910" i="4"/>
  <c r="M909" i="4"/>
  <c r="I909" i="4"/>
  <c r="H909" i="4"/>
  <c r="G909" i="4"/>
  <c r="E909" i="4"/>
  <c r="D909" i="4"/>
  <c r="M908" i="4"/>
  <c r="I908" i="4"/>
  <c r="H908" i="4"/>
  <c r="G908" i="4"/>
  <c r="E908" i="4"/>
  <c r="D908" i="4"/>
  <c r="M907" i="4"/>
  <c r="I907" i="4"/>
  <c r="H907" i="4"/>
  <c r="G907" i="4"/>
  <c r="E907" i="4"/>
  <c r="D907" i="4"/>
  <c r="M906" i="4"/>
  <c r="I906" i="4"/>
  <c r="H906" i="4"/>
  <c r="G906" i="4"/>
  <c r="E906" i="4"/>
  <c r="D906" i="4"/>
  <c r="M905" i="4"/>
  <c r="I905" i="4"/>
  <c r="H905" i="4"/>
  <c r="G905" i="4"/>
  <c r="E905" i="4"/>
  <c r="D905" i="4"/>
  <c r="M904" i="4"/>
  <c r="I904" i="4"/>
  <c r="H904" i="4"/>
  <c r="G904" i="4"/>
  <c r="E904" i="4"/>
  <c r="D904" i="4"/>
  <c r="M903" i="4"/>
  <c r="I903" i="4"/>
  <c r="H903" i="4"/>
  <c r="G903" i="4"/>
  <c r="E903" i="4"/>
  <c r="D903" i="4"/>
  <c r="M902" i="4"/>
  <c r="I902" i="4"/>
  <c r="H902" i="4"/>
  <c r="G902" i="4"/>
  <c r="E902" i="4"/>
  <c r="D902" i="4"/>
  <c r="M901" i="4"/>
  <c r="I901" i="4"/>
  <c r="H901" i="4"/>
  <c r="G901" i="4"/>
  <c r="E901" i="4"/>
  <c r="D901" i="4"/>
  <c r="M900" i="4"/>
  <c r="I900" i="4"/>
  <c r="H900" i="4"/>
  <c r="G900" i="4"/>
  <c r="E900" i="4"/>
  <c r="D900" i="4"/>
  <c r="M899" i="4"/>
  <c r="I899" i="4"/>
  <c r="H899" i="4"/>
  <c r="G899" i="4"/>
  <c r="E899" i="4"/>
  <c r="D899" i="4"/>
  <c r="M898" i="4"/>
  <c r="I898" i="4"/>
  <c r="H898" i="4"/>
  <c r="G898" i="4"/>
  <c r="E898" i="4"/>
  <c r="D898" i="4"/>
  <c r="M897" i="4"/>
  <c r="I897" i="4"/>
  <c r="H897" i="4"/>
  <c r="G897" i="4"/>
  <c r="E897" i="4"/>
  <c r="D897" i="4"/>
  <c r="M896" i="4"/>
  <c r="I896" i="4"/>
  <c r="H896" i="4"/>
  <c r="G896" i="4"/>
  <c r="E896" i="4"/>
  <c r="D896" i="4"/>
  <c r="M895" i="4"/>
  <c r="I895" i="4"/>
  <c r="H895" i="4"/>
  <c r="G895" i="4"/>
  <c r="E895" i="4"/>
  <c r="D895" i="4"/>
  <c r="M894" i="4"/>
  <c r="I894" i="4"/>
  <c r="H894" i="4"/>
  <c r="G894" i="4"/>
  <c r="E894" i="4"/>
  <c r="D894" i="4"/>
  <c r="M893" i="4"/>
  <c r="I893" i="4"/>
  <c r="H893" i="4"/>
  <c r="G893" i="4"/>
  <c r="E893" i="4"/>
  <c r="D893" i="4"/>
  <c r="M892" i="4"/>
  <c r="I892" i="4"/>
  <c r="H892" i="4"/>
  <c r="G892" i="4"/>
  <c r="E892" i="4"/>
  <c r="D892" i="4"/>
  <c r="M891" i="4"/>
  <c r="I891" i="4"/>
  <c r="H891" i="4"/>
  <c r="G891" i="4"/>
  <c r="E891" i="4"/>
  <c r="D891" i="4"/>
  <c r="M890" i="4"/>
  <c r="I890" i="4"/>
  <c r="H890" i="4"/>
  <c r="G890" i="4"/>
  <c r="E890" i="4"/>
  <c r="D890" i="4"/>
  <c r="M889" i="4"/>
  <c r="I889" i="4"/>
  <c r="H889" i="4"/>
  <c r="G889" i="4"/>
  <c r="E889" i="4"/>
  <c r="D889" i="4"/>
  <c r="M888" i="4"/>
  <c r="I888" i="4"/>
  <c r="H888" i="4"/>
  <c r="G888" i="4"/>
  <c r="E888" i="4"/>
  <c r="D888" i="4"/>
  <c r="M887" i="4"/>
  <c r="I887" i="4"/>
  <c r="H887" i="4"/>
  <c r="G887" i="4"/>
  <c r="E887" i="4"/>
  <c r="D887" i="4"/>
  <c r="M886" i="4"/>
  <c r="I886" i="4"/>
  <c r="H886" i="4"/>
  <c r="G886" i="4"/>
  <c r="E886" i="4"/>
  <c r="D886" i="4"/>
  <c r="M885" i="4"/>
  <c r="I885" i="4"/>
  <c r="H885" i="4"/>
  <c r="G885" i="4"/>
  <c r="E885" i="4"/>
  <c r="D885" i="4"/>
  <c r="M884" i="4"/>
  <c r="I884" i="4"/>
  <c r="H884" i="4"/>
  <c r="G884" i="4"/>
  <c r="E884" i="4"/>
  <c r="D884" i="4"/>
  <c r="M883" i="4"/>
  <c r="I883" i="4"/>
  <c r="H883" i="4"/>
  <c r="G883" i="4"/>
  <c r="E883" i="4"/>
  <c r="D883" i="4"/>
  <c r="M882" i="4"/>
  <c r="I882" i="4"/>
  <c r="H882" i="4"/>
  <c r="G882" i="4"/>
  <c r="E882" i="4"/>
  <c r="D882" i="4"/>
  <c r="M881" i="4"/>
  <c r="I881" i="4"/>
  <c r="H881" i="4"/>
  <c r="G881" i="4"/>
  <c r="E881" i="4"/>
  <c r="D881" i="4"/>
  <c r="M880" i="4"/>
  <c r="I880" i="4"/>
  <c r="H880" i="4"/>
  <c r="G880" i="4"/>
  <c r="E880" i="4"/>
  <c r="D880" i="4"/>
  <c r="M879" i="4"/>
  <c r="I879" i="4"/>
  <c r="H879" i="4"/>
  <c r="G879" i="4"/>
  <c r="E879" i="4"/>
  <c r="D879" i="4"/>
  <c r="M878" i="4"/>
  <c r="I878" i="4"/>
  <c r="H878" i="4"/>
  <c r="G878" i="4"/>
  <c r="E878" i="4"/>
  <c r="D878" i="4"/>
  <c r="M877" i="4"/>
  <c r="I877" i="4"/>
  <c r="H877" i="4"/>
  <c r="G877" i="4"/>
  <c r="E877" i="4"/>
  <c r="D877" i="4"/>
  <c r="M876" i="4"/>
  <c r="I876" i="4"/>
  <c r="H876" i="4"/>
  <c r="G876" i="4"/>
  <c r="E876" i="4"/>
  <c r="D876" i="4"/>
  <c r="M875" i="4"/>
  <c r="I875" i="4"/>
  <c r="H875" i="4"/>
  <c r="G875" i="4"/>
  <c r="E875" i="4"/>
  <c r="D875" i="4"/>
  <c r="M874" i="4"/>
  <c r="I874" i="4"/>
  <c r="H874" i="4"/>
  <c r="G874" i="4"/>
  <c r="E874" i="4"/>
  <c r="D874" i="4"/>
  <c r="M873" i="4"/>
  <c r="I873" i="4"/>
  <c r="H873" i="4"/>
  <c r="G873" i="4"/>
  <c r="E873" i="4"/>
  <c r="D873" i="4"/>
  <c r="M872" i="4"/>
  <c r="I872" i="4"/>
  <c r="H872" i="4"/>
  <c r="G872" i="4"/>
  <c r="E872" i="4"/>
  <c r="D872" i="4"/>
  <c r="M871" i="4"/>
  <c r="I871" i="4"/>
  <c r="H871" i="4"/>
  <c r="G871" i="4"/>
  <c r="E871" i="4"/>
  <c r="D871" i="4"/>
  <c r="M870" i="4"/>
  <c r="I870" i="4"/>
  <c r="H870" i="4"/>
  <c r="G870" i="4"/>
  <c r="E870" i="4"/>
  <c r="D870" i="4"/>
  <c r="M869" i="4"/>
  <c r="I869" i="4"/>
  <c r="H869" i="4"/>
  <c r="G869" i="4"/>
  <c r="E869" i="4"/>
  <c r="D869" i="4"/>
  <c r="M868" i="4"/>
  <c r="I868" i="4"/>
  <c r="H868" i="4"/>
  <c r="G868" i="4"/>
  <c r="E868" i="4"/>
  <c r="D868" i="4"/>
  <c r="M867" i="4"/>
  <c r="I867" i="4"/>
  <c r="H867" i="4"/>
  <c r="G867" i="4"/>
  <c r="E867" i="4"/>
  <c r="D867" i="4"/>
  <c r="M866" i="4"/>
  <c r="I866" i="4"/>
  <c r="H866" i="4"/>
  <c r="G866" i="4"/>
  <c r="E866" i="4"/>
  <c r="D866" i="4"/>
  <c r="M865" i="4"/>
  <c r="I865" i="4"/>
  <c r="H865" i="4"/>
  <c r="G865" i="4"/>
  <c r="E865" i="4"/>
  <c r="D865" i="4"/>
  <c r="M864" i="4"/>
  <c r="I864" i="4"/>
  <c r="H864" i="4"/>
  <c r="G864" i="4"/>
  <c r="E864" i="4"/>
  <c r="D864" i="4"/>
  <c r="M863" i="4"/>
  <c r="I863" i="4"/>
  <c r="H863" i="4"/>
  <c r="G863" i="4"/>
  <c r="E863" i="4"/>
  <c r="D863" i="4"/>
  <c r="M862" i="4"/>
  <c r="I862" i="4"/>
  <c r="H862" i="4"/>
  <c r="G862" i="4"/>
  <c r="E862" i="4"/>
  <c r="D862" i="4"/>
  <c r="M861" i="4"/>
  <c r="I861" i="4"/>
  <c r="H861" i="4"/>
  <c r="G861" i="4"/>
  <c r="E861" i="4"/>
  <c r="D861" i="4"/>
  <c r="M860" i="4"/>
  <c r="I860" i="4"/>
  <c r="H860" i="4"/>
  <c r="G860" i="4"/>
  <c r="E860" i="4"/>
  <c r="D860" i="4"/>
  <c r="M859" i="4"/>
  <c r="I859" i="4"/>
  <c r="H859" i="4"/>
  <c r="G859" i="4"/>
  <c r="E859" i="4"/>
  <c r="D859" i="4"/>
  <c r="M858" i="4"/>
  <c r="I858" i="4"/>
  <c r="H858" i="4"/>
  <c r="G858" i="4"/>
  <c r="E858" i="4"/>
  <c r="D858" i="4"/>
  <c r="M857" i="4"/>
  <c r="I857" i="4"/>
  <c r="H857" i="4"/>
  <c r="G857" i="4"/>
  <c r="E857" i="4"/>
  <c r="D857" i="4"/>
  <c r="M856" i="4"/>
  <c r="I856" i="4"/>
  <c r="H856" i="4"/>
  <c r="G856" i="4"/>
  <c r="E856" i="4"/>
  <c r="D856" i="4"/>
  <c r="M855" i="4"/>
  <c r="I855" i="4"/>
  <c r="H855" i="4"/>
  <c r="G855" i="4"/>
  <c r="E855" i="4"/>
  <c r="D855" i="4"/>
  <c r="M854" i="4"/>
  <c r="I854" i="4"/>
  <c r="H854" i="4"/>
  <c r="G854" i="4"/>
  <c r="E854" i="4"/>
  <c r="D854" i="4"/>
  <c r="M853" i="4"/>
  <c r="I853" i="4"/>
  <c r="H853" i="4"/>
  <c r="G853" i="4"/>
  <c r="E853" i="4"/>
  <c r="D853" i="4"/>
  <c r="M852" i="4"/>
  <c r="I852" i="4"/>
  <c r="H852" i="4"/>
  <c r="G852" i="4"/>
  <c r="E852" i="4"/>
  <c r="D852" i="4"/>
  <c r="M851" i="4"/>
  <c r="I851" i="4"/>
  <c r="H851" i="4"/>
  <c r="G851" i="4"/>
  <c r="E851" i="4"/>
  <c r="D851" i="4"/>
  <c r="M850" i="4"/>
  <c r="I850" i="4"/>
  <c r="H850" i="4"/>
  <c r="G850" i="4"/>
  <c r="E850" i="4"/>
  <c r="D850" i="4"/>
  <c r="M849" i="4"/>
  <c r="I849" i="4"/>
  <c r="H849" i="4"/>
  <c r="G849" i="4"/>
  <c r="E849" i="4"/>
  <c r="D849" i="4"/>
  <c r="M848" i="4"/>
  <c r="I848" i="4"/>
  <c r="H848" i="4"/>
  <c r="G848" i="4"/>
  <c r="E848" i="4"/>
  <c r="D848" i="4"/>
  <c r="M847" i="4"/>
  <c r="I847" i="4"/>
  <c r="H847" i="4"/>
  <c r="G847" i="4"/>
  <c r="E847" i="4"/>
  <c r="D847" i="4"/>
  <c r="M846" i="4"/>
  <c r="I846" i="4"/>
  <c r="H846" i="4"/>
  <c r="G846" i="4"/>
  <c r="E846" i="4"/>
  <c r="D846" i="4"/>
  <c r="M845" i="4"/>
  <c r="I845" i="4"/>
  <c r="H845" i="4"/>
  <c r="G845" i="4"/>
  <c r="E845" i="4"/>
  <c r="D845" i="4"/>
  <c r="M844" i="4"/>
  <c r="I844" i="4"/>
  <c r="H844" i="4"/>
  <c r="G844" i="4"/>
  <c r="E844" i="4"/>
  <c r="D844" i="4"/>
  <c r="M843" i="4"/>
  <c r="I843" i="4"/>
  <c r="H843" i="4"/>
  <c r="G843" i="4"/>
  <c r="E843" i="4"/>
  <c r="D843" i="4"/>
  <c r="M842" i="4"/>
  <c r="I842" i="4"/>
  <c r="H842" i="4"/>
  <c r="G842" i="4"/>
  <c r="E842" i="4"/>
  <c r="D842" i="4"/>
  <c r="M841" i="4"/>
  <c r="I841" i="4"/>
  <c r="H841" i="4"/>
  <c r="G841" i="4"/>
  <c r="E841" i="4"/>
  <c r="D841" i="4"/>
  <c r="M840" i="4"/>
  <c r="I840" i="4"/>
  <c r="H840" i="4"/>
  <c r="G840" i="4"/>
  <c r="E840" i="4"/>
  <c r="D840" i="4"/>
  <c r="M839" i="4"/>
  <c r="I839" i="4"/>
  <c r="H839" i="4"/>
  <c r="G839" i="4"/>
  <c r="E839" i="4"/>
  <c r="D839" i="4"/>
  <c r="M838" i="4"/>
  <c r="I838" i="4"/>
  <c r="H838" i="4"/>
  <c r="G838" i="4"/>
  <c r="E838" i="4"/>
  <c r="D838" i="4"/>
  <c r="M837" i="4"/>
  <c r="I837" i="4"/>
  <c r="H837" i="4"/>
  <c r="G837" i="4"/>
  <c r="E837" i="4"/>
  <c r="D837" i="4"/>
  <c r="M836" i="4"/>
  <c r="I836" i="4"/>
  <c r="H836" i="4"/>
  <c r="G836" i="4"/>
  <c r="E836" i="4"/>
  <c r="D836" i="4"/>
  <c r="M835" i="4"/>
  <c r="I835" i="4"/>
  <c r="H835" i="4"/>
  <c r="G835" i="4"/>
  <c r="E835" i="4"/>
  <c r="D835" i="4"/>
  <c r="M834" i="4"/>
  <c r="I834" i="4"/>
  <c r="H834" i="4"/>
  <c r="G834" i="4"/>
  <c r="E834" i="4"/>
  <c r="D834" i="4"/>
  <c r="M833" i="4"/>
  <c r="I833" i="4"/>
  <c r="H833" i="4"/>
  <c r="G833" i="4"/>
  <c r="E833" i="4"/>
  <c r="D833" i="4"/>
  <c r="M832" i="4"/>
  <c r="I832" i="4"/>
  <c r="H832" i="4"/>
  <c r="G832" i="4"/>
  <c r="E832" i="4"/>
  <c r="D832" i="4"/>
  <c r="M831" i="4"/>
  <c r="I831" i="4"/>
  <c r="H831" i="4"/>
  <c r="G831" i="4"/>
  <c r="E831" i="4"/>
  <c r="D831" i="4"/>
  <c r="M830" i="4"/>
  <c r="I830" i="4"/>
  <c r="H830" i="4"/>
  <c r="G830" i="4"/>
  <c r="E830" i="4"/>
  <c r="D830" i="4"/>
  <c r="M829" i="4"/>
  <c r="I829" i="4"/>
  <c r="H829" i="4"/>
  <c r="G829" i="4"/>
  <c r="E829" i="4"/>
  <c r="D829" i="4"/>
  <c r="M828" i="4"/>
  <c r="I828" i="4"/>
  <c r="H828" i="4"/>
  <c r="G828" i="4"/>
  <c r="E828" i="4"/>
  <c r="D828" i="4"/>
  <c r="M827" i="4"/>
  <c r="I827" i="4"/>
  <c r="H827" i="4"/>
  <c r="G827" i="4"/>
  <c r="E827" i="4"/>
  <c r="D827" i="4"/>
  <c r="M826" i="4"/>
  <c r="I826" i="4"/>
  <c r="H826" i="4"/>
  <c r="G826" i="4"/>
  <c r="E826" i="4"/>
  <c r="D826" i="4"/>
  <c r="M825" i="4"/>
  <c r="I825" i="4"/>
  <c r="H825" i="4"/>
  <c r="G825" i="4"/>
  <c r="E825" i="4"/>
  <c r="D825" i="4"/>
  <c r="M824" i="4"/>
  <c r="I824" i="4"/>
  <c r="H824" i="4"/>
  <c r="G824" i="4"/>
  <c r="E824" i="4"/>
  <c r="D824" i="4"/>
  <c r="M823" i="4"/>
  <c r="I823" i="4"/>
  <c r="H823" i="4"/>
  <c r="G823" i="4"/>
  <c r="E823" i="4"/>
  <c r="D823" i="4"/>
  <c r="M822" i="4"/>
  <c r="I822" i="4"/>
  <c r="H822" i="4"/>
  <c r="G822" i="4"/>
  <c r="E822" i="4"/>
  <c r="D822" i="4"/>
  <c r="M821" i="4"/>
  <c r="I821" i="4"/>
  <c r="H821" i="4"/>
  <c r="G821" i="4"/>
  <c r="E821" i="4"/>
  <c r="D821" i="4"/>
  <c r="M820" i="4"/>
  <c r="I820" i="4"/>
  <c r="H820" i="4"/>
  <c r="G820" i="4"/>
  <c r="E820" i="4"/>
  <c r="D820" i="4"/>
  <c r="M819" i="4"/>
  <c r="I819" i="4"/>
  <c r="H819" i="4"/>
  <c r="G819" i="4"/>
  <c r="E819" i="4"/>
  <c r="D819" i="4"/>
  <c r="M818" i="4"/>
  <c r="I818" i="4"/>
  <c r="H818" i="4"/>
  <c r="G818" i="4"/>
  <c r="E818" i="4"/>
  <c r="D818" i="4"/>
  <c r="M817" i="4"/>
  <c r="I817" i="4"/>
  <c r="H817" i="4"/>
  <c r="G817" i="4"/>
  <c r="E817" i="4"/>
  <c r="D817" i="4"/>
  <c r="M816" i="4"/>
  <c r="I816" i="4"/>
  <c r="H816" i="4"/>
  <c r="G816" i="4"/>
  <c r="E816" i="4"/>
  <c r="D816" i="4"/>
  <c r="M815" i="4"/>
  <c r="I815" i="4"/>
  <c r="H815" i="4"/>
  <c r="G815" i="4"/>
  <c r="E815" i="4"/>
  <c r="D815" i="4"/>
  <c r="M814" i="4"/>
  <c r="I814" i="4"/>
  <c r="H814" i="4"/>
  <c r="G814" i="4"/>
  <c r="E814" i="4"/>
  <c r="D814" i="4"/>
  <c r="M813" i="4"/>
  <c r="I813" i="4"/>
  <c r="H813" i="4"/>
  <c r="G813" i="4"/>
  <c r="E813" i="4"/>
  <c r="D813" i="4"/>
  <c r="M812" i="4"/>
  <c r="I812" i="4"/>
  <c r="H812" i="4"/>
  <c r="G812" i="4"/>
  <c r="E812" i="4"/>
  <c r="D812" i="4"/>
  <c r="M811" i="4"/>
  <c r="I811" i="4"/>
  <c r="H811" i="4"/>
  <c r="G811" i="4"/>
  <c r="E811" i="4"/>
  <c r="D811" i="4"/>
  <c r="M810" i="4"/>
  <c r="I810" i="4"/>
  <c r="H810" i="4"/>
  <c r="G810" i="4"/>
  <c r="E810" i="4"/>
  <c r="D810" i="4"/>
  <c r="M809" i="4"/>
  <c r="I809" i="4"/>
  <c r="H809" i="4"/>
  <c r="G809" i="4"/>
  <c r="E809" i="4"/>
  <c r="D809" i="4"/>
  <c r="M808" i="4"/>
  <c r="I808" i="4"/>
  <c r="H808" i="4"/>
  <c r="G808" i="4"/>
  <c r="E808" i="4"/>
  <c r="D808" i="4"/>
  <c r="M807" i="4"/>
  <c r="I807" i="4"/>
  <c r="H807" i="4"/>
  <c r="G807" i="4"/>
  <c r="E807" i="4"/>
  <c r="D807" i="4"/>
  <c r="M806" i="4"/>
  <c r="I806" i="4"/>
  <c r="H806" i="4"/>
  <c r="G806" i="4"/>
  <c r="E806" i="4"/>
  <c r="D806" i="4"/>
  <c r="M805" i="4"/>
  <c r="I805" i="4"/>
  <c r="H805" i="4"/>
  <c r="G805" i="4"/>
  <c r="E805" i="4"/>
  <c r="D805" i="4"/>
  <c r="M804" i="4"/>
  <c r="I804" i="4"/>
  <c r="H804" i="4"/>
  <c r="G804" i="4"/>
  <c r="E804" i="4"/>
  <c r="D804" i="4"/>
  <c r="M803" i="4"/>
  <c r="I803" i="4"/>
  <c r="H803" i="4"/>
  <c r="G803" i="4"/>
  <c r="E803" i="4"/>
  <c r="D803" i="4"/>
  <c r="M802" i="4"/>
  <c r="I802" i="4"/>
  <c r="H802" i="4"/>
  <c r="G802" i="4"/>
  <c r="E802" i="4"/>
  <c r="D802" i="4"/>
  <c r="M801" i="4"/>
  <c r="I801" i="4"/>
  <c r="H801" i="4"/>
  <c r="G801" i="4"/>
  <c r="E801" i="4"/>
  <c r="D801" i="4"/>
  <c r="M800" i="4"/>
  <c r="I800" i="4"/>
  <c r="H800" i="4"/>
  <c r="G800" i="4"/>
  <c r="E800" i="4"/>
  <c r="D800" i="4"/>
  <c r="M799" i="4"/>
  <c r="I799" i="4"/>
  <c r="H799" i="4"/>
  <c r="G799" i="4"/>
  <c r="E799" i="4"/>
  <c r="D799" i="4"/>
  <c r="M798" i="4"/>
  <c r="I798" i="4"/>
  <c r="H798" i="4"/>
  <c r="G798" i="4"/>
  <c r="E798" i="4"/>
  <c r="D798" i="4"/>
  <c r="M797" i="4"/>
  <c r="I797" i="4"/>
  <c r="H797" i="4"/>
  <c r="G797" i="4"/>
  <c r="E797" i="4"/>
  <c r="D797" i="4"/>
  <c r="M796" i="4"/>
  <c r="I796" i="4"/>
  <c r="H796" i="4"/>
  <c r="G796" i="4"/>
  <c r="E796" i="4"/>
  <c r="D796" i="4"/>
  <c r="M795" i="4"/>
  <c r="I795" i="4"/>
  <c r="H795" i="4"/>
  <c r="G795" i="4"/>
  <c r="E795" i="4"/>
  <c r="D795" i="4"/>
  <c r="M794" i="4"/>
  <c r="I794" i="4"/>
  <c r="H794" i="4"/>
  <c r="G794" i="4"/>
  <c r="E794" i="4"/>
  <c r="D794" i="4"/>
  <c r="M793" i="4"/>
  <c r="I793" i="4"/>
  <c r="H793" i="4"/>
  <c r="G793" i="4"/>
  <c r="E793" i="4"/>
  <c r="D793" i="4"/>
  <c r="M792" i="4"/>
  <c r="I792" i="4"/>
  <c r="H792" i="4"/>
  <c r="G792" i="4"/>
  <c r="E792" i="4"/>
  <c r="D792" i="4"/>
  <c r="M791" i="4"/>
  <c r="I791" i="4"/>
  <c r="H791" i="4"/>
  <c r="G791" i="4"/>
  <c r="E791" i="4"/>
  <c r="D791" i="4"/>
  <c r="M790" i="4"/>
  <c r="I790" i="4"/>
  <c r="H790" i="4"/>
  <c r="G790" i="4"/>
  <c r="E790" i="4"/>
  <c r="D790" i="4"/>
  <c r="M789" i="4"/>
  <c r="I789" i="4"/>
  <c r="H789" i="4"/>
  <c r="G789" i="4"/>
  <c r="E789" i="4"/>
  <c r="D789" i="4"/>
  <c r="M788" i="4"/>
  <c r="I788" i="4"/>
  <c r="H788" i="4"/>
  <c r="G788" i="4"/>
  <c r="E788" i="4"/>
  <c r="D788" i="4"/>
  <c r="M787" i="4"/>
  <c r="I787" i="4"/>
  <c r="H787" i="4"/>
  <c r="G787" i="4"/>
  <c r="E787" i="4"/>
  <c r="D787" i="4"/>
  <c r="M786" i="4"/>
  <c r="I786" i="4"/>
  <c r="H786" i="4"/>
  <c r="G786" i="4"/>
  <c r="E786" i="4"/>
  <c r="D786" i="4"/>
  <c r="M785" i="4"/>
  <c r="I785" i="4"/>
  <c r="H785" i="4"/>
  <c r="G785" i="4"/>
  <c r="E785" i="4"/>
  <c r="D785" i="4"/>
  <c r="M784" i="4"/>
  <c r="I784" i="4"/>
  <c r="H784" i="4"/>
  <c r="G784" i="4"/>
  <c r="E784" i="4"/>
  <c r="D784" i="4"/>
  <c r="M783" i="4"/>
  <c r="I783" i="4"/>
  <c r="H783" i="4"/>
  <c r="G783" i="4"/>
  <c r="E783" i="4"/>
  <c r="D783" i="4"/>
  <c r="M782" i="4"/>
  <c r="I782" i="4"/>
  <c r="H782" i="4"/>
  <c r="G782" i="4"/>
  <c r="E782" i="4"/>
  <c r="D782" i="4"/>
  <c r="M781" i="4"/>
  <c r="I781" i="4"/>
  <c r="H781" i="4"/>
  <c r="G781" i="4"/>
  <c r="E781" i="4"/>
  <c r="D781" i="4"/>
  <c r="M780" i="4"/>
  <c r="I780" i="4"/>
  <c r="H780" i="4"/>
  <c r="G780" i="4"/>
  <c r="E780" i="4"/>
  <c r="D780" i="4"/>
  <c r="M779" i="4"/>
  <c r="I779" i="4"/>
  <c r="H779" i="4"/>
  <c r="G779" i="4"/>
  <c r="E779" i="4"/>
  <c r="D779" i="4"/>
  <c r="M778" i="4"/>
  <c r="I778" i="4"/>
  <c r="H778" i="4"/>
  <c r="G778" i="4"/>
  <c r="E778" i="4"/>
  <c r="D778" i="4"/>
  <c r="M777" i="4"/>
  <c r="I777" i="4"/>
  <c r="H777" i="4"/>
  <c r="G777" i="4"/>
  <c r="E777" i="4"/>
  <c r="D777" i="4"/>
  <c r="M776" i="4"/>
  <c r="I776" i="4"/>
  <c r="H776" i="4"/>
  <c r="G776" i="4"/>
  <c r="E776" i="4"/>
  <c r="D776" i="4"/>
  <c r="M775" i="4"/>
  <c r="I775" i="4"/>
  <c r="H775" i="4"/>
  <c r="G775" i="4"/>
  <c r="E775" i="4"/>
  <c r="D775" i="4"/>
  <c r="M774" i="4"/>
  <c r="I774" i="4"/>
  <c r="H774" i="4"/>
  <c r="G774" i="4"/>
  <c r="E774" i="4"/>
  <c r="D774" i="4"/>
  <c r="M773" i="4"/>
  <c r="I773" i="4"/>
  <c r="H773" i="4"/>
  <c r="G773" i="4"/>
  <c r="E773" i="4"/>
  <c r="D773" i="4"/>
  <c r="M772" i="4"/>
  <c r="I772" i="4"/>
  <c r="H772" i="4"/>
  <c r="G772" i="4"/>
  <c r="E772" i="4"/>
  <c r="D772" i="4"/>
  <c r="M771" i="4"/>
  <c r="I771" i="4"/>
  <c r="H771" i="4"/>
  <c r="G771" i="4"/>
  <c r="E771" i="4"/>
  <c r="D771" i="4"/>
  <c r="M770" i="4"/>
  <c r="I770" i="4"/>
  <c r="H770" i="4"/>
  <c r="G770" i="4"/>
  <c r="E770" i="4"/>
  <c r="D770" i="4"/>
  <c r="M769" i="4"/>
  <c r="I769" i="4"/>
  <c r="H769" i="4"/>
  <c r="G769" i="4"/>
  <c r="E769" i="4"/>
  <c r="D769" i="4"/>
  <c r="M768" i="4"/>
  <c r="I768" i="4"/>
  <c r="H768" i="4"/>
  <c r="G768" i="4"/>
  <c r="E768" i="4"/>
  <c r="D768" i="4"/>
  <c r="M767" i="4"/>
  <c r="I767" i="4"/>
  <c r="H767" i="4"/>
  <c r="G767" i="4"/>
  <c r="E767" i="4"/>
  <c r="D767" i="4"/>
  <c r="M766" i="4"/>
  <c r="I766" i="4"/>
  <c r="H766" i="4"/>
  <c r="G766" i="4"/>
  <c r="E766" i="4"/>
  <c r="D766" i="4"/>
  <c r="M765" i="4"/>
  <c r="I765" i="4"/>
  <c r="H765" i="4"/>
  <c r="G765" i="4"/>
  <c r="E765" i="4"/>
  <c r="D765" i="4"/>
  <c r="M764" i="4"/>
  <c r="I764" i="4"/>
  <c r="H764" i="4"/>
  <c r="G764" i="4"/>
  <c r="E764" i="4"/>
  <c r="D764" i="4"/>
  <c r="M763" i="4"/>
  <c r="I763" i="4"/>
  <c r="H763" i="4"/>
  <c r="G763" i="4"/>
  <c r="E763" i="4"/>
  <c r="D763" i="4"/>
  <c r="M762" i="4"/>
  <c r="I762" i="4"/>
  <c r="H762" i="4"/>
  <c r="G762" i="4"/>
  <c r="E762" i="4"/>
  <c r="D762" i="4"/>
  <c r="M761" i="4"/>
  <c r="I761" i="4"/>
  <c r="H761" i="4"/>
  <c r="G761" i="4"/>
  <c r="E761" i="4"/>
  <c r="D761" i="4"/>
  <c r="M760" i="4"/>
  <c r="I760" i="4"/>
  <c r="H760" i="4"/>
  <c r="G760" i="4"/>
  <c r="E760" i="4"/>
  <c r="D760" i="4"/>
  <c r="M759" i="4"/>
  <c r="I759" i="4"/>
  <c r="H759" i="4"/>
  <c r="G759" i="4"/>
  <c r="E759" i="4"/>
  <c r="D759" i="4"/>
  <c r="M758" i="4"/>
  <c r="I758" i="4"/>
  <c r="H758" i="4"/>
  <c r="G758" i="4"/>
  <c r="E758" i="4"/>
  <c r="D758" i="4"/>
  <c r="M757" i="4"/>
  <c r="I757" i="4"/>
  <c r="H757" i="4"/>
  <c r="G757" i="4"/>
  <c r="E757" i="4"/>
  <c r="D757" i="4"/>
  <c r="M756" i="4"/>
  <c r="I756" i="4"/>
  <c r="H756" i="4"/>
  <c r="G756" i="4"/>
  <c r="E756" i="4"/>
  <c r="D756" i="4"/>
  <c r="M755" i="4"/>
  <c r="I755" i="4"/>
  <c r="H755" i="4"/>
  <c r="G755" i="4"/>
  <c r="E755" i="4"/>
  <c r="D755" i="4"/>
  <c r="M754" i="4"/>
  <c r="I754" i="4"/>
  <c r="H754" i="4"/>
  <c r="G754" i="4"/>
  <c r="E754" i="4"/>
  <c r="D754" i="4"/>
  <c r="M753" i="4"/>
  <c r="I753" i="4"/>
  <c r="H753" i="4"/>
  <c r="G753" i="4"/>
  <c r="E753" i="4"/>
  <c r="D753" i="4"/>
  <c r="M752" i="4"/>
  <c r="I752" i="4"/>
  <c r="H752" i="4"/>
  <c r="G752" i="4"/>
  <c r="E752" i="4"/>
  <c r="D752" i="4"/>
  <c r="M751" i="4"/>
  <c r="I751" i="4"/>
  <c r="H751" i="4"/>
  <c r="G751" i="4"/>
  <c r="E751" i="4"/>
  <c r="D751" i="4"/>
  <c r="M750" i="4"/>
  <c r="I750" i="4"/>
  <c r="H750" i="4"/>
  <c r="G750" i="4"/>
  <c r="E750" i="4"/>
  <c r="D750" i="4"/>
  <c r="M749" i="4"/>
  <c r="I749" i="4"/>
  <c r="H749" i="4"/>
  <c r="G749" i="4"/>
  <c r="E749" i="4"/>
  <c r="D749" i="4"/>
  <c r="M748" i="4"/>
  <c r="I748" i="4"/>
  <c r="H748" i="4"/>
  <c r="G748" i="4"/>
  <c r="E748" i="4"/>
  <c r="D748" i="4"/>
  <c r="M747" i="4"/>
  <c r="I747" i="4"/>
  <c r="H747" i="4"/>
  <c r="G747" i="4"/>
  <c r="E747" i="4"/>
  <c r="D747" i="4"/>
  <c r="M746" i="4"/>
  <c r="I746" i="4"/>
  <c r="H746" i="4"/>
  <c r="G746" i="4"/>
  <c r="E746" i="4"/>
  <c r="D746" i="4"/>
  <c r="M745" i="4"/>
  <c r="I745" i="4"/>
  <c r="H745" i="4"/>
  <c r="G745" i="4"/>
  <c r="E745" i="4"/>
  <c r="D745" i="4"/>
  <c r="M744" i="4"/>
  <c r="I744" i="4"/>
  <c r="H744" i="4"/>
  <c r="G744" i="4"/>
  <c r="E744" i="4"/>
  <c r="D744" i="4"/>
  <c r="M743" i="4"/>
  <c r="I743" i="4"/>
  <c r="H743" i="4"/>
  <c r="G743" i="4"/>
  <c r="E743" i="4"/>
  <c r="D743" i="4"/>
  <c r="M742" i="4"/>
  <c r="I742" i="4"/>
  <c r="H742" i="4"/>
  <c r="G742" i="4"/>
  <c r="E742" i="4"/>
  <c r="D742" i="4"/>
  <c r="M741" i="4"/>
  <c r="I741" i="4"/>
  <c r="H741" i="4"/>
  <c r="G741" i="4"/>
  <c r="E741" i="4"/>
  <c r="D741" i="4"/>
  <c r="M740" i="4"/>
  <c r="I740" i="4"/>
  <c r="H740" i="4"/>
  <c r="G740" i="4"/>
  <c r="E740" i="4"/>
  <c r="D740" i="4"/>
  <c r="M739" i="4"/>
  <c r="I739" i="4"/>
  <c r="H739" i="4"/>
  <c r="G739" i="4"/>
  <c r="E739" i="4"/>
  <c r="D739" i="4"/>
  <c r="M738" i="4"/>
  <c r="I738" i="4"/>
  <c r="H738" i="4"/>
  <c r="G738" i="4"/>
  <c r="E738" i="4"/>
  <c r="D738" i="4"/>
  <c r="M737" i="4"/>
  <c r="I737" i="4"/>
  <c r="H737" i="4"/>
  <c r="G737" i="4"/>
  <c r="E737" i="4"/>
  <c r="D737" i="4"/>
  <c r="M736" i="4"/>
  <c r="I736" i="4"/>
  <c r="H736" i="4"/>
  <c r="G736" i="4"/>
  <c r="E736" i="4"/>
  <c r="D736" i="4"/>
  <c r="M735" i="4"/>
  <c r="I735" i="4"/>
  <c r="H735" i="4"/>
  <c r="G735" i="4"/>
  <c r="E735" i="4"/>
  <c r="D735" i="4"/>
  <c r="M734" i="4"/>
  <c r="I734" i="4"/>
  <c r="H734" i="4"/>
  <c r="G734" i="4"/>
  <c r="E734" i="4"/>
  <c r="D734" i="4"/>
  <c r="M733" i="4"/>
  <c r="I733" i="4"/>
  <c r="H733" i="4"/>
  <c r="G733" i="4"/>
  <c r="E733" i="4"/>
  <c r="D733" i="4"/>
  <c r="M732" i="4"/>
  <c r="I732" i="4"/>
  <c r="H732" i="4"/>
  <c r="G732" i="4"/>
  <c r="E732" i="4"/>
  <c r="D732" i="4"/>
  <c r="M731" i="4"/>
  <c r="I731" i="4"/>
  <c r="H731" i="4"/>
  <c r="G731" i="4"/>
  <c r="E731" i="4"/>
  <c r="D731" i="4"/>
  <c r="M730" i="4"/>
  <c r="I730" i="4"/>
  <c r="H730" i="4"/>
  <c r="G730" i="4"/>
  <c r="E730" i="4"/>
  <c r="D730" i="4"/>
  <c r="M729" i="4"/>
  <c r="I729" i="4"/>
  <c r="H729" i="4"/>
  <c r="G729" i="4"/>
  <c r="E729" i="4"/>
  <c r="D729" i="4"/>
  <c r="M728" i="4"/>
  <c r="I728" i="4"/>
  <c r="H728" i="4"/>
  <c r="G728" i="4"/>
  <c r="E728" i="4"/>
  <c r="D728" i="4"/>
  <c r="M727" i="4"/>
  <c r="I727" i="4"/>
  <c r="H727" i="4"/>
  <c r="G727" i="4"/>
  <c r="E727" i="4"/>
  <c r="D727" i="4"/>
  <c r="M726" i="4"/>
  <c r="I726" i="4"/>
  <c r="H726" i="4"/>
  <c r="G726" i="4"/>
  <c r="E726" i="4"/>
  <c r="D726" i="4"/>
  <c r="M725" i="4"/>
  <c r="I725" i="4"/>
  <c r="H725" i="4"/>
  <c r="G725" i="4"/>
  <c r="E725" i="4"/>
  <c r="D725" i="4"/>
  <c r="M724" i="4"/>
  <c r="I724" i="4"/>
  <c r="H724" i="4"/>
  <c r="G724" i="4"/>
  <c r="E724" i="4"/>
  <c r="D724" i="4"/>
  <c r="M723" i="4"/>
  <c r="I723" i="4"/>
  <c r="H723" i="4"/>
  <c r="G723" i="4"/>
  <c r="E723" i="4"/>
  <c r="D723" i="4"/>
  <c r="M722" i="4"/>
  <c r="I722" i="4"/>
  <c r="H722" i="4"/>
  <c r="G722" i="4"/>
  <c r="E722" i="4"/>
  <c r="D722" i="4"/>
  <c r="M721" i="4"/>
  <c r="I721" i="4"/>
  <c r="H721" i="4"/>
  <c r="G721" i="4"/>
  <c r="E721" i="4"/>
  <c r="D721" i="4"/>
  <c r="M720" i="4"/>
  <c r="I720" i="4"/>
  <c r="H720" i="4"/>
  <c r="G720" i="4"/>
  <c r="E720" i="4"/>
  <c r="D720" i="4"/>
  <c r="M719" i="4"/>
  <c r="I719" i="4"/>
  <c r="H719" i="4"/>
  <c r="G719" i="4"/>
  <c r="E719" i="4"/>
  <c r="D719" i="4"/>
  <c r="M718" i="4"/>
  <c r="I718" i="4"/>
  <c r="H718" i="4"/>
  <c r="G718" i="4"/>
  <c r="E718" i="4"/>
  <c r="D718" i="4"/>
  <c r="M717" i="4"/>
  <c r="I717" i="4"/>
  <c r="H717" i="4"/>
  <c r="G717" i="4"/>
  <c r="E717" i="4"/>
  <c r="D717" i="4"/>
  <c r="M716" i="4"/>
  <c r="I716" i="4"/>
  <c r="H716" i="4"/>
  <c r="G716" i="4"/>
  <c r="E716" i="4"/>
  <c r="D716" i="4"/>
  <c r="M715" i="4"/>
  <c r="I715" i="4"/>
  <c r="H715" i="4"/>
  <c r="G715" i="4"/>
  <c r="E715" i="4"/>
  <c r="D715" i="4"/>
  <c r="M714" i="4"/>
  <c r="I714" i="4"/>
  <c r="H714" i="4"/>
  <c r="G714" i="4"/>
  <c r="E714" i="4"/>
  <c r="D714" i="4"/>
  <c r="M713" i="4"/>
  <c r="I713" i="4"/>
  <c r="H713" i="4"/>
  <c r="G713" i="4"/>
  <c r="E713" i="4"/>
  <c r="D713" i="4"/>
  <c r="M712" i="4"/>
  <c r="I712" i="4"/>
  <c r="H712" i="4"/>
  <c r="G712" i="4"/>
  <c r="E712" i="4"/>
  <c r="D712" i="4"/>
  <c r="M711" i="4"/>
  <c r="I711" i="4"/>
  <c r="H711" i="4"/>
  <c r="G711" i="4"/>
  <c r="E711" i="4"/>
  <c r="D711" i="4"/>
  <c r="M710" i="4"/>
  <c r="I710" i="4"/>
  <c r="H710" i="4"/>
  <c r="G710" i="4"/>
  <c r="E710" i="4"/>
  <c r="D710" i="4"/>
  <c r="M709" i="4"/>
  <c r="I709" i="4"/>
  <c r="H709" i="4"/>
  <c r="G709" i="4"/>
  <c r="E709" i="4"/>
  <c r="D709" i="4"/>
  <c r="M708" i="4"/>
  <c r="I708" i="4"/>
  <c r="H708" i="4"/>
  <c r="G708" i="4"/>
  <c r="E708" i="4"/>
  <c r="D708" i="4"/>
  <c r="M707" i="4"/>
  <c r="I707" i="4"/>
  <c r="H707" i="4"/>
  <c r="G707" i="4"/>
  <c r="E707" i="4"/>
  <c r="D707" i="4"/>
  <c r="M706" i="4"/>
  <c r="I706" i="4"/>
  <c r="H706" i="4"/>
  <c r="G706" i="4"/>
  <c r="E706" i="4"/>
  <c r="D706" i="4"/>
  <c r="M705" i="4"/>
  <c r="I705" i="4"/>
  <c r="H705" i="4"/>
  <c r="G705" i="4"/>
  <c r="E705" i="4"/>
  <c r="D705" i="4"/>
  <c r="M704" i="4"/>
  <c r="I704" i="4"/>
  <c r="H704" i="4"/>
  <c r="G704" i="4"/>
  <c r="E704" i="4"/>
  <c r="D704" i="4"/>
  <c r="M703" i="4"/>
  <c r="I703" i="4"/>
  <c r="H703" i="4"/>
  <c r="G703" i="4"/>
  <c r="E703" i="4"/>
  <c r="D703" i="4"/>
  <c r="M702" i="4"/>
  <c r="I702" i="4"/>
  <c r="H702" i="4"/>
  <c r="G702" i="4"/>
  <c r="E702" i="4"/>
  <c r="D702" i="4"/>
  <c r="M701" i="4"/>
  <c r="I701" i="4"/>
  <c r="H701" i="4"/>
  <c r="G701" i="4"/>
  <c r="E701" i="4"/>
  <c r="D701" i="4"/>
  <c r="M700" i="4"/>
  <c r="I700" i="4"/>
  <c r="H700" i="4"/>
  <c r="G700" i="4"/>
  <c r="E700" i="4"/>
  <c r="D700" i="4"/>
  <c r="M699" i="4"/>
  <c r="I699" i="4"/>
  <c r="H699" i="4"/>
  <c r="G699" i="4"/>
  <c r="E699" i="4"/>
  <c r="D699" i="4"/>
  <c r="M698" i="4"/>
  <c r="I698" i="4"/>
  <c r="H698" i="4"/>
  <c r="G698" i="4"/>
  <c r="E698" i="4"/>
  <c r="D698" i="4"/>
  <c r="M697" i="4"/>
  <c r="I697" i="4"/>
  <c r="H697" i="4"/>
  <c r="G697" i="4"/>
  <c r="E697" i="4"/>
  <c r="D697" i="4"/>
  <c r="M696" i="4"/>
  <c r="I696" i="4"/>
  <c r="H696" i="4"/>
  <c r="G696" i="4"/>
  <c r="E696" i="4"/>
  <c r="D696" i="4"/>
  <c r="M695" i="4"/>
  <c r="I695" i="4"/>
  <c r="H695" i="4"/>
  <c r="G695" i="4"/>
  <c r="E695" i="4"/>
  <c r="D695" i="4"/>
  <c r="M694" i="4"/>
  <c r="I694" i="4"/>
  <c r="H694" i="4"/>
  <c r="G694" i="4"/>
  <c r="E694" i="4"/>
  <c r="D694" i="4"/>
  <c r="M693" i="4"/>
  <c r="I693" i="4"/>
  <c r="H693" i="4"/>
  <c r="G693" i="4"/>
  <c r="E693" i="4"/>
  <c r="D693" i="4"/>
  <c r="M692" i="4"/>
  <c r="I692" i="4"/>
  <c r="H692" i="4"/>
  <c r="G692" i="4"/>
  <c r="E692" i="4"/>
  <c r="D692" i="4"/>
  <c r="M691" i="4"/>
  <c r="I691" i="4"/>
  <c r="H691" i="4"/>
  <c r="G691" i="4"/>
  <c r="E691" i="4"/>
  <c r="D691" i="4"/>
  <c r="M690" i="4"/>
  <c r="I690" i="4"/>
  <c r="H690" i="4"/>
  <c r="G690" i="4"/>
  <c r="E690" i="4"/>
  <c r="D690" i="4"/>
  <c r="M689" i="4"/>
  <c r="I689" i="4"/>
  <c r="H689" i="4"/>
  <c r="G689" i="4"/>
  <c r="E689" i="4"/>
  <c r="D689" i="4"/>
  <c r="M688" i="4"/>
  <c r="I688" i="4"/>
  <c r="H688" i="4"/>
  <c r="G688" i="4"/>
  <c r="E688" i="4"/>
  <c r="D688" i="4"/>
  <c r="M687" i="4"/>
  <c r="I687" i="4"/>
  <c r="H687" i="4"/>
  <c r="G687" i="4"/>
  <c r="E687" i="4"/>
  <c r="D687" i="4"/>
  <c r="M686" i="4"/>
  <c r="I686" i="4"/>
  <c r="H686" i="4"/>
  <c r="G686" i="4"/>
  <c r="E686" i="4"/>
  <c r="D686" i="4"/>
  <c r="M685" i="4"/>
  <c r="I685" i="4"/>
  <c r="H685" i="4"/>
  <c r="G685" i="4"/>
  <c r="E685" i="4"/>
  <c r="D685" i="4"/>
  <c r="M684" i="4"/>
  <c r="I684" i="4"/>
  <c r="H684" i="4"/>
  <c r="G684" i="4"/>
  <c r="E684" i="4"/>
  <c r="D684" i="4"/>
  <c r="M683" i="4"/>
  <c r="I683" i="4"/>
  <c r="H683" i="4"/>
  <c r="G683" i="4"/>
  <c r="E683" i="4"/>
  <c r="D683" i="4"/>
  <c r="M682" i="4"/>
  <c r="I682" i="4"/>
  <c r="H682" i="4"/>
  <c r="G682" i="4"/>
  <c r="E682" i="4"/>
  <c r="D682" i="4"/>
  <c r="M681" i="4"/>
  <c r="I681" i="4"/>
  <c r="H681" i="4"/>
  <c r="G681" i="4"/>
  <c r="E681" i="4"/>
  <c r="D681" i="4"/>
  <c r="M680" i="4"/>
  <c r="I680" i="4"/>
  <c r="H680" i="4"/>
  <c r="G680" i="4"/>
  <c r="E680" i="4"/>
  <c r="D680" i="4"/>
  <c r="M679" i="4"/>
  <c r="I679" i="4"/>
  <c r="H679" i="4"/>
  <c r="G679" i="4"/>
  <c r="E679" i="4"/>
  <c r="D679" i="4"/>
  <c r="M678" i="4"/>
  <c r="I678" i="4"/>
  <c r="H678" i="4"/>
  <c r="G678" i="4"/>
  <c r="E678" i="4"/>
  <c r="D678" i="4"/>
  <c r="M677" i="4"/>
  <c r="I677" i="4"/>
  <c r="H677" i="4"/>
  <c r="G677" i="4"/>
  <c r="E677" i="4"/>
  <c r="D677" i="4"/>
  <c r="M676" i="4"/>
  <c r="I676" i="4"/>
  <c r="H676" i="4"/>
  <c r="G676" i="4"/>
  <c r="E676" i="4"/>
  <c r="D676" i="4"/>
  <c r="M675" i="4"/>
  <c r="I675" i="4"/>
  <c r="H675" i="4"/>
  <c r="G675" i="4"/>
  <c r="E675" i="4"/>
  <c r="D675" i="4"/>
  <c r="M674" i="4"/>
  <c r="I674" i="4"/>
  <c r="H674" i="4"/>
  <c r="G674" i="4"/>
  <c r="E674" i="4"/>
  <c r="D674" i="4"/>
  <c r="M673" i="4"/>
  <c r="I673" i="4"/>
  <c r="H673" i="4"/>
  <c r="G673" i="4"/>
  <c r="E673" i="4"/>
  <c r="D673" i="4"/>
  <c r="M672" i="4"/>
  <c r="I672" i="4"/>
  <c r="H672" i="4"/>
  <c r="G672" i="4"/>
  <c r="E672" i="4"/>
  <c r="D672" i="4"/>
  <c r="M671" i="4"/>
  <c r="I671" i="4"/>
  <c r="H671" i="4"/>
  <c r="G671" i="4"/>
  <c r="E671" i="4"/>
  <c r="D671" i="4"/>
  <c r="M670" i="4"/>
  <c r="I670" i="4"/>
  <c r="H670" i="4"/>
  <c r="G670" i="4"/>
  <c r="E670" i="4"/>
  <c r="D670" i="4"/>
  <c r="M669" i="4"/>
  <c r="I669" i="4"/>
  <c r="H669" i="4"/>
  <c r="G669" i="4"/>
  <c r="E669" i="4"/>
  <c r="D669" i="4"/>
  <c r="M668" i="4"/>
  <c r="I668" i="4"/>
  <c r="H668" i="4"/>
  <c r="G668" i="4"/>
  <c r="E668" i="4"/>
  <c r="D668" i="4"/>
  <c r="M667" i="4"/>
  <c r="I667" i="4"/>
  <c r="H667" i="4"/>
  <c r="G667" i="4"/>
  <c r="E667" i="4"/>
  <c r="D667" i="4"/>
  <c r="M666" i="4"/>
  <c r="I666" i="4"/>
  <c r="H666" i="4"/>
  <c r="G666" i="4"/>
  <c r="E666" i="4"/>
  <c r="D666" i="4"/>
  <c r="M665" i="4"/>
  <c r="I665" i="4"/>
  <c r="H665" i="4"/>
  <c r="G665" i="4"/>
  <c r="E665" i="4"/>
  <c r="D665" i="4"/>
  <c r="M664" i="4"/>
  <c r="I664" i="4"/>
  <c r="H664" i="4"/>
  <c r="G664" i="4"/>
  <c r="E664" i="4"/>
  <c r="D664" i="4"/>
  <c r="M663" i="4"/>
  <c r="I663" i="4"/>
  <c r="H663" i="4"/>
  <c r="G663" i="4"/>
  <c r="E663" i="4"/>
  <c r="D663" i="4"/>
  <c r="M662" i="4"/>
  <c r="I662" i="4"/>
  <c r="H662" i="4"/>
  <c r="G662" i="4"/>
  <c r="E662" i="4"/>
  <c r="D662" i="4"/>
  <c r="M661" i="4"/>
  <c r="I661" i="4"/>
  <c r="H661" i="4"/>
  <c r="G661" i="4"/>
  <c r="E661" i="4"/>
  <c r="D661" i="4"/>
  <c r="M660" i="4"/>
  <c r="I660" i="4"/>
  <c r="H660" i="4"/>
  <c r="G660" i="4"/>
  <c r="E660" i="4"/>
  <c r="D660" i="4"/>
  <c r="M659" i="4"/>
  <c r="I659" i="4"/>
  <c r="H659" i="4"/>
  <c r="G659" i="4"/>
  <c r="E659" i="4"/>
  <c r="D659" i="4"/>
  <c r="M658" i="4"/>
  <c r="I658" i="4"/>
  <c r="H658" i="4"/>
  <c r="G658" i="4"/>
  <c r="E658" i="4"/>
  <c r="D658" i="4"/>
  <c r="M657" i="4"/>
  <c r="I657" i="4"/>
  <c r="H657" i="4"/>
  <c r="G657" i="4"/>
  <c r="E657" i="4"/>
  <c r="D657" i="4"/>
  <c r="M656" i="4"/>
  <c r="I656" i="4"/>
  <c r="H656" i="4"/>
  <c r="G656" i="4"/>
  <c r="E656" i="4"/>
  <c r="D656" i="4"/>
  <c r="M655" i="4"/>
  <c r="I655" i="4"/>
  <c r="H655" i="4"/>
  <c r="G655" i="4"/>
  <c r="E655" i="4"/>
  <c r="D655" i="4"/>
  <c r="M654" i="4"/>
  <c r="I654" i="4"/>
  <c r="H654" i="4"/>
  <c r="G654" i="4"/>
  <c r="E654" i="4"/>
  <c r="D654" i="4"/>
  <c r="M653" i="4"/>
  <c r="I653" i="4"/>
  <c r="H653" i="4"/>
  <c r="G653" i="4"/>
  <c r="E653" i="4"/>
  <c r="D653" i="4"/>
  <c r="M652" i="4"/>
  <c r="I652" i="4"/>
  <c r="H652" i="4"/>
  <c r="G652" i="4"/>
  <c r="E652" i="4"/>
  <c r="D652" i="4"/>
  <c r="M651" i="4"/>
  <c r="I651" i="4"/>
  <c r="H651" i="4"/>
  <c r="G651" i="4"/>
  <c r="E651" i="4"/>
  <c r="D651" i="4"/>
  <c r="M650" i="4"/>
  <c r="I650" i="4"/>
  <c r="H650" i="4"/>
  <c r="G650" i="4"/>
  <c r="E650" i="4"/>
  <c r="D650" i="4"/>
  <c r="M649" i="4"/>
  <c r="I649" i="4"/>
  <c r="H649" i="4"/>
  <c r="G649" i="4"/>
  <c r="E649" i="4"/>
  <c r="D649" i="4"/>
  <c r="M648" i="4"/>
  <c r="I648" i="4"/>
  <c r="H648" i="4"/>
  <c r="G648" i="4"/>
  <c r="E648" i="4"/>
  <c r="D648" i="4"/>
  <c r="M647" i="4"/>
  <c r="I647" i="4"/>
  <c r="H647" i="4"/>
  <c r="G647" i="4"/>
  <c r="E647" i="4"/>
  <c r="D647" i="4"/>
  <c r="M646" i="4"/>
  <c r="I646" i="4"/>
  <c r="H646" i="4"/>
  <c r="G646" i="4"/>
  <c r="E646" i="4"/>
  <c r="D646" i="4"/>
  <c r="M645" i="4"/>
  <c r="I645" i="4"/>
  <c r="H645" i="4"/>
  <c r="G645" i="4"/>
  <c r="E645" i="4"/>
  <c r="D645" i="4"/>
  <c r="M644" i="4"/>
  <c r="I644" i="4"/>
  <c r="H644" i="4"/>
  <c r="G644" i="4"/>
  <c r="E644" i="4"/>
  <c r="D644" i="4"/>
  <c r="M643" i="4"/>
  <c r="I643" i="4"/>
  <c r="H643" i="4"/>
  <c r="G643" i="4"/>
  <c r="E643" i="4"/>
  <c r="D643" i="4"/>
  <c r="M642" i="4"/>
  <c r="I642" i="4"/>
  <c r="H642" i="4"/>
  <c r="G642" i="4"/>
  <c r="E642" i="4"/>
  <c r="D642" i="4"/>
  <c r="M641" i="4"/>
  <c r="I641" i="4"/>
  <c r="H641" i="4"/>
  <c r="G641" i="4"/>
  <c r="E641" i="4"/>
  <c r="D641" i="4"/>
  <c r="M640" i="4"/>
  <c r="I640" i="4"/>
  <c r="H640" i="4"/>
  <c r="G640" i="4"/>
  <c r="E640" i="4"/>
  <c r="D640" i="4"/>
  <c r="M639" i="4"/>
  <c r="I639" i="4"/>
  <c r="H639" i="4"/>
  <c r="G639" i="4"/>
  <c r="E639" i="4"/>
  <c r="D639" i="4"/>
  <c r="M638" i="4"/>
  <c r="I638" i="4"/>
  <c r="H638" i="4"/>
  <c r="G638" i="4"/>
  <c r="E638" i="4"/>
  <c r="D638" i="4"/>
  <c r="M637" i="4"/>
  <c r="I637" i="4"/>
  <c r="H637" i="4"/>
  <c r="G637" i="4"/>
  <c r="E637" i="4"/>
  <c r="D637" i="4"/>
  <c r="M636" i="4"/>
  <c r="I636" i="4"/>
  <c r="H636" i="4"/>
  <c r="G636" i="4"/>
  <c r="E636" i="4"/>
  <c r="D636" i="4"/>
  <c r="M635" i="4"/>
  <c r="I635" i="4"/>
  <c r="H635" i="4"/>
  <c r="G635" i="4"/>
  <c r="E635" i="4"/>
  <c r="D635" i="4"/>
  <c r="M634" i="4"/>
  <c r="I634" i="4"/>
  <c r="H634" i="4"/>
  <c r="G634" i="4"/>
  <c r="E634" i="4"/>
  <c r="D634" i="4"/>
  <c r="M633" i="4"/>
  <c r="I633" i="4"/>
  <c r="H633" i="4"/>
  <c r="G633" i="4"/>
  <c r="E633" i="4"/>
  <c r="D633" i="4"/>
  <c r="M632" i="4"/>
  <c r="I632" i="4"/>
  <c r="H632" i="4"/>
  <c r="G632" i="4"/>
  <c r="E632" i="4"/>
  <c r="D632" i="4"/>
  <c r="M631" i="4"/>
  <c r="I631" i="4"/>
  <c r="H631" i="4"/>
  <c r="G631" i="4"/>
  <c r="E631" i="4"/>
  <c r="D631" i="4"/>
  <c r="M630" i="4"/>
  <c r="I630" i="4"/>
  <c r="H630" i="4"/>
  <c r="G630" i="4"/>
  <c r="E630" i="4"/>
  <c r="D630" i="4"/>
  <c r="M629" i="4"/>
  <c r="I629" i="4"/>
  <c r="H629" i="4"/>
  <c r="G629" i="4"/>
  <c r="E629" i="4"/>
  <c r="D629" i="4"/>
  <c r="M628" i="4"/>
  <c r="I628" i="4"/>
  <c r="H628" i="4"/>
  <c r="G628" i="4"/>
  <c r="E628" i="4"/>
  <c r="D628" i="4"/>
  <c r="M627" i="4"/>
  <c r="I627" i="4"/>
  <c r="H627" i="4"/>
  <c r="G627" i="4"/>
  <c r="E627" i="4"/>
  <c r="D627" i="4"/>
  <c r="M626" i="4"/>
  <c r="I626" i="4"/>
  <c r="H626" i="4"/>
  <c r="G626" i="4"/>
  <c r="E626" i="4"/>
  <c r="D626" i="4"/>
  <c r="M625" i="4"/>
  <c r="I625" i="4"/>
  <c r="H625" i="4"/>
  <c r="G625" i="4"/>
  <c r="E625" i="4"/>
  <c r="D625" i="4"/>
  <c r="M624" i="4"/>
  <c r="I624" i="4"/>
  <c r="H624" i="4"/>
  <c r="G624" i="4"/>
  <c r="E624" i="4"/>
  <c r="D624" i="4"/>
  <c r="M623" i="4"/>
  <c r="I623" i="4"/>
  <c r="H623" i="4"/>
  <c r="G623" i="4"/>
  <c r="E623" i="4"/>
  <c r="D623" i="4"/>
  <c r="M622" i="4"/>
  <c r="I622" i="4"/>
  <c r="H622" i="4"/>
  <c r="G622" i="4"/>
  <c r="E622" i="4"/>
  <c r="D622" i="4"/>
  <c r="M621" i="4"/>
  <c r="I621" i="4"/>
  <c r="H621" i="4"/>
  <c r="G621" i="4"/>
  <c r="E621" i="4"/>
  <c r="D621" i="4"/>
  <c r="M620" i="4"/>
  <c r="I620" i="4"/>
  <c r="H620" i="4"/>
  <c r="G620" i="4"/>
  <c r="E620" i="4"/>
  <c r="D620" i="4"/>
  <c r="M619" i="4"/>
  <c r="I619" i="4"/>
  <c r="H619" i="4"/>
  <c r="G619" i="4"/>
  <c r="E619" i="4"/>
  <c r="D619" i="4"/>
  <c r="M618" i="4"/>
  <c r="I618" i="4"/>
  <c r="H618" i="4"/>
  <c r="G618" i="4"/>
  <c r="E618" i="4"/>
  <c r="D618" i="4"/>
  <c r="M617" i="4"/>
  <c r="I617" i="4"/>
  <c r="H617" i="4"/>
  <c r="G617" i="4"/>
  <c r="E617" i="4"/>
  <c r="D617" i="4"/>
  <c r="M616" i="4"/>
  <c r="I616" i="4"/>
  <c r="H616" i="4"/>
  <c r="G616" i="4"/>
  <c r="E616" i="4"/>
  <c r="D616" i="4"/>
  <c r="M615" i="4"/>
  <c r="I615" i="4"/>
  <c r="H615" i="4"/>
  <c r="G615" i="4"/>
  <c r="E615" i="4"/>
  <c r="D615" i="4"/>
  <c r="M614" i="4"/>
  <c r="I614" i="4"/>
  <c r="H614" i="4"/>
  <c r="G614" i="4"/>
  <c r="E614" i="4"/>
  <c r="D614" i="4"/>
  <c r="M613" i="4"/>
  <c r="I613" i="4"/>
  <c r="H613" i="4"/>
  <c r="G613" i="4"/>
  <c r="E613" i="4"/>
  <c r="D613" i="4"/>
  <c r="M612" i="4"/>
  <c r="I612" i="4"/>
  <c r="H612" i="4"/>
  <c r="G612" i="4"/>
  <c r="E612" i="4"/>
  <c r="D612" i="4"/>
  <c r="M611" i="4"/>
  <c r="I611" i="4"/>
  <c r="H611" i="4"/>
  <c r="G611" i="4"/>
  <c r="E611" i="4"/>
  <c r="D611" i="4"/>
  <c r="M610" i="4"/>
  <c r="I610" i="4"/>
  <c r="H610" i="4"/>
  <c r="G610" i="4"/>
  <c r="E610" i="4"/>
  <c r="D610" i="4"/>
  <c r="M609" i="4"/>
  <c r="I609" i="4"/>
  <c r="H609" i="4"/>
  <c r="G609" i="4"/>
  <c r="E609" i="4"/>
  <c r="D609" i="4"/>
  <c r="M608" i="4"/>
  <c r="I608" i="4"/>
  <c r="H608" i="4"/>
  <c r="G608" i="4"/>
  <c r="E608" i="4"/>
  <c r="D608" i="4"/>
  <c r="M607" i="4"/>
  <c r="I607" i="4"/>
  <c r="H607" i="4"/>
  <c r="G607" i="4"/>
  <c r="E607" i="4"/>
  <c r="D607" i="4"/>
  <c r="M606" i="4"/>
  <c r="I606" i="4"/>
  <c r="H606" i="4"/>
  <c r="G606" i="4"/>
  <c r="E606" i="4"/>
  <c r="D606" i="4"/>
  <c r="M605" i="4"/>
  <c r="I605" i="4"/>
  <c r="H605" i="4"/>
  <c r="G605" i="4"/>
  <c r="E605" i="4"/>
  <c r="D605" i="4"/>
  <c r="M604" i="4"/>
  <c r="I604" i="4"/>
  <c r="H604" i="4"/>
  <c r="G604" i="4"/>
  <c r="E604" i="4"/>
  <c r="D604" i="4"/>
  <c r="M603" i="4"/>
  <c r="I603" i="4"/>
  <c r="H603" i="4"/>
  <c r="G603" i="4"/>
  <c r="E603" i="4"/>
  <c r="D603" i="4"/>
  <c r="M602" i="4"/>
  <c r="I602" i="4"/>
  <c r="H602" i="4"/>
  <c r="G602" i="4"/>
  <c r="E602" i="4"/>
  <c r="D602" i="4"/>
  <c r="M601" i="4"/>
  <c r="I601" i="4"/>
  <c r="H601" i="4"/>
  <c r="G601" i="4"/>
  <c r="E601" i="4"/>
  <c r="D601" i="4"/>
  <c r="M600" i="4"/>
  <c r="I600" i="4"/>
  <c r="H600" i="4"/>
  <c r="G600" i="4"/>
  <c r="E600" i="4"/>
  <c r="D600" i="4"/>
  <c r="M599" i="4"/>
  <c r="I599" i="4"/>
  <c r="H599" i="4"/>
  <c r="G599" i="4"/>
  <c r="E599" i="4"/>
  <c r="D599" i="4"/>
  <c r="M598" i="4"/>
  <c r="I598" i="4"/>
  <c r="H598" i="4"/>
  <c r="G598" i="4"/>
  <c r="E598" i="4"/>
  <c r="D598" i="4"/>
  <c r="M597" i="4"/>
  <c r="I597" i="4"/>
  <c r="H597" i="4"/>
  <c r="G597" i="4"/>
  <c r="E597" i="4"/>
  <c r="D597" i="4"/>
  <c r="M596" i="4"/>
  <c r="I596" i="4"/>
  <c r="H596" i="4"/>
  <c r="G596" i="4"/>
  <c r="E596" i="4"/>
  <c r="D596" i="4"/>
  <c r="M595" i="4"/>
  <c r="I595" i="4"/>
  <c r="H595" i="4"/>
  <c r="G595" i="4"/>
  <c r="E595" i="4"/>
  <c r="D595" i="4"/>
  <c r="M594" i="4"/>
  <c r="I594" i="4"/>
  <c r="H594" i="4"/>
  <c r="G594" i="4"/>
  <c r="E594" i="4"/>
  <c r="D594" i="4"/>
  <c r="M593" i="4"/>
  <c r="I593" i="4"/>
  <c r="H593" i="4"/>
  <c r="G593" i="4"/>
  <c r="E593" i="4"/>
  <c r="D593" i="4"/>
  <c r="M592" i="4"/>
  <c r="I592" i="4"/>
  <c r="H592" i="4"/>
  <c r="G592" i="4"/>
  <c r="E592" i="4"/>
  <c r="D592" i="4"/>
  <c r="M591" i="4"/>
  <c r="I591" i="4"/>
  <c r="H591" i="4"/>
  <c r="G591" i="4"/>
  <c r="E591" i="4"/>
  <c r="D591" i="4"/>
  <c r="M590" i="4"/>
  <c r="I590" i="4"/>
  <c r="H590" i="4"/>
  <c r="G590" i="4"/>
  <c r="E590" i="4"/>
  <c r="D590" i="4"/>
  <c r="M589" i="4"/>
  <c r="I589" i="4"/>
  <c r="H589" i="4"/>
  <c r="G589" i="4"/>
  <c r="E589" i="4"/>
  <c r="D589" i="4"/>
  <c r="M588" i="4"/>
  <c r="I588" i="4"/>
  <c r="H588" i="4"/>
  <c r="G588" i="4"/>
  <c r="E588" i="4"/>
  <c r="D588" i="4"/>
  <c r="M587" i="4"/>
  <c r="I587" i="4"/>
  <c r="H587" i="4"/>
  <c r="G587" i="4"/>
  <c r="E587" i="4"/>
  <c r="D587" i="4"/>
  <c r="M586" i="4"/>
  <c r="I586" i="4"/>
  <c r="H586" i="4"/>
  <c r="G586" i="4"/>
  <c r="E586" i="4"/>
  <c r="D586" i="4"/>
  <c r="M585" i="4"/>
  <c r="I585" i="4"/>
  <c r="H585" i="4"/>
  <c r="G585" i="4"/>
  <c r="E585" i="4"/>
  <c r="D585" i="4"/>
  <c r="M584" i="4"/>
  <c r="I584" i="4"/>
  <c r="H584" i="4"/>
  <c r="G584" i="4"/>
  <c r="E584" i="4"/>
  <c r="D584" i="4"/>
  <c r="M583" i="4"/>
  <c r="I583" i="4"/>
  <c r="H583" i="4"/>
  <c r="G583" i="4"/>
  <c r="E583" i="4"/>
  <c r="D583" i="4"/>
  <c r="M582" i="4"/>
  <c r="I582" i="4"/>
  <c r="H582" i="4"/>
  <c r="G582" i="4"/>
  <c r="E582" i="4"/>
  <c r="D582" i="4"/>
  <c r="M581" i="4"/>
  <c r="I581" i="4"/>
  <c r="H581" i="4"/>
  <c r="G581" i="4"/>
  <c r="E581" i="4"/>
  <c r="D581" i="4"/>
  <c r="M580" i="4"/>
  <c r="I580" i="4"/>
  <c r="H580" i="4"/>
  <c r="G580" i="4"/>
  <c r="E580" i="4"/>
  <c r="D580" i="4"/>
  <c r="M579" i="4"/>
  <c r="I579" i="4"/>
  <c r="H579" i="4"/>
  <c r="G579" i="4"/>
  <c r="E579" i="4"/>
  <c r="D579" i="4"/>
  <c r="M578" i="4"/>
  <c r="I578" i="4"/>
  <c r="H578" i="4"/>
  <c r="G578" i="4"/>
  <c r="E578" i="4"/>
  <c r="D578" i="4"/>
  <c r="M577" i="4"/>
  <c r="I577" i="4"/>
  <c r="H577" i="4"/>
  <c r="G577" i="4"/>
  <c r="E577" i="4"/>
  <c r="D577" i="4"/>
  <c r="M576" i="4"/>
  <c r="I576" i="4"/>
  <c r="H576" i="4"/>
  <c r="G576" i="4"/>
  <c r="E576" i="4"/>
  <c r="D576" i="4"/>
  <c r="M575" i="4"/>
  <c r="I575" i="4"/>
  <c r="H575" i="4"/>
  <c r="G575" i="4"/>
  <c r="E575" i="4"/>
  <c r="D575" i="4"/>
  <c r="M574" i="4"/>
  <c r="I574" i="4"/>
  <c r="H574" i="4"/>
  <c r="G574" i="4"/>
  <c r="E574" i="4"/>
  <c r="D574" i="4"/>
  <c r="M573" i="4"/>
  <c r="I573" i="4"/>
  <c r="H573" i="4"/>
  <c r="G573" i="4"/>
  <c r="E573" i="4"/>
  <c r="D573" i="4"/>
  <c r="M572" i="4"/>
  <c r="I572" i="4"/>
  <c r="H572" i="4"/>
  <c r="G572" i="4"/>
  <c r="E572" i="4"/>
  <c r="D572" i="4"/>
  <c r="M571" i="4"/>
  <c r="I571" i="4"/>
  <c r="H571" i="4"/>
  <c r="G571" i="4"/>
  <c r="E571" i="4"/>
  <c r="D571" i="4"/>
  <c r="M570" i="4"/>
  <c r="I570" i="4"/>
  <c r="H570" i="4"/>
  <c r="G570" i="4"/>
  <c r="E570" i="4"/>
  <c r="D570" i="4"/>
  <c r="M569" i="4"/>
  <c r="I569" i="4"/>
  <c r="H569" i="4"/>
  <c r="G569" i="4"/>
  <c r="E569" i="4"/>
  <c r="D569" i="4"/>
  <c r="M568" i="4"/>
  <c r="I568" i="4"/>
  <c r="H568" i="4"/>
  <c r="G568" i="4"/>
  <c r="E568" i="4"/>
  <c r="D568" i="4"/>
  <c r="M567" i="4"/>
  <c r="I567" i="4"/>
  <c r="H567" i="4"/>
  <c r="G567" i="4"/>
  <c r="E567" i="4"/>
  <c r="D567" i="4"/>
  <c r="M566" i="4"/>
  <c r="I566" i="4"/>
  <c r="H566" i="4"/>
  <c r="G566" i="4"/>
  <c r="E566" i="4"/>
  <c r="D566" i="4"/>
  <c r="M565" i="4"/>
  <c r="I565" i="4"/>
  <c r="H565" i="4"/>
  <c r="G565" i="4"/>
  <c r="E565" i="4"/>
  <c r="D565" i="4"/>
  <c r="M564" i="4"/>
  <c r="I564" i="4"/>
  <c r="H564" i="4"/>
  <c r="G564" i="4"/>
  <c r="E564" i="4"/>
  <c r="D564" i="4"/>
  <c r="M563" i="4"/>
  <c r="I563" i="4"/>
  <c r="H563" i="4"/>
  <c r="G563" i="4"/>
  <c r="E563" i="4"/>
  <c r="D563" i="4"/>
  <c r="M562" i="4"/>
  <c r="I562" i="4"/>
  <c r="H562" i="4"/>
  <c r="G562" i="4"/>
  <c r="E562" i="4"/>
  <c r="D562" i="4"/>
  <c r="M561" i="4"/>
  <c r="I561" i="4"/>
  <c r="H561" i="4"/>
  <c r="G561" i="4"/>
  <c r="E561" i="4"/>
  <c r="D561" i="4"/>
  <c r="M560" i="4"/>
  <c r="I560" i="4"/>
  <c r="H560" i="4"/>
  <c r="G560" i="4"/>
  <c r="E560" i="4"/>
  <c r="D560" i="4"/>
  <c r="M559" i="4"/>
  <c r="I559" i="4"/>
  <c r="H559" i="4"/>
  <c r="G559" i="4"/>
  <c r="E559" i="4"/>
  <c r="D559" i="4"/>
  <c r="M558" i="4"/>
  <c r="I558" i="4"/>
  <c r="H558" i="4"/>
  <c r="G558" i="4"/>
  <c r="E558" i="4"/>
  <c r="D558" i="4"/>
  <c r="M557" i="4"/>
  <c r="I557" i="4"/>
  <c r="H557" i="4"/>
  <c r="G557" i="4"/>
  <c r="E557" i="4"/>
  <c r="D557" i="4"/>
  <c r="M556" i="4"/>
  <c r="I556" i="4"/>
  <c r="H556" i="4"/>
  <c r="G556" i="4"/>
  <c r="E556" i="4"/>
  <c r="D556" i="4"/>
  <c r="M555" i="4"/>
  <c r="I555" i="4"/>
  <c r="H555" i="4"/>
  <c r="G555" i="4"/>
  <c r="E555" i="4"/>
  <c r="D555" i="4"/>
  <c r="M554" i="4"/>
  <c r="I554" i="4"/>
  <c r="H554" i="4"/>
  <c r="G554" i="4"/>
  <c r="E554" i="4"/>
  <c r="D554" i="4"/>
  <c r="M553" i="4"/>
  <c r="I553" i="4"/>
  <c r="H553" i="4"/>
  <c r="G553" i="4"/>
  <c r="E553" i="4"/>
  <c r="D553" i="4"/>
  <c r="M552" i="4"/>
  <c r="I552" i="4"/>
  <c r="H552" i="4"/>
  <c r="G552" i="4"/>
  <c r="E552" i="4"/>
  <c r="D552" i="4"/>
  <c r="M551" i="4"/>
  <c r="I551" i="4"/>
  <c r="H551" i="4"/>
  <c r="G551" i="4"/>
  <c r="E551" i="4"/>
  <c r="D551" i="4"/>
  <c r="M550" i="4"/>
  <c r="I550" i="4"/>
  <c r="H550" i="4"/>
  <c r="G550" i="4"/>
  <c r="E550" i="4"/>
  <c r="D550" i="4"/>
  <c r="M549" i="4"/>
  <c r="I549" i="4"/>
  <c r="H549" i="4"/>
  <c r="G549" i="4"/>
  <c r="E549" i="4"/>
  <c r="D549" i="4"/>
  <c r="M548" i="4"/>
  <c r="I548" i="4"/>
  <c r="H548" i="4"/>
  <c r="G548" i="4"/>
  <c r="E548" i="4"/>
  <c r="D548" i="4"/>
  <c r="M547" i="4"/>
  <c r="I547" i="4"/>
  <c r="H547" i="4"/>
  <c r="G547" i="4"/>
  <c r="E547" i="4"/>
  <c r="D547" i="4"/>
  <c r="M546" i="4"/>
  <c r="I546" i="4"/>
  <c r="H546" i="4"/>
  <c r="G546" i="4"/>
  <c r="E546" i="4"/>
  <c r="D546" i="4"/>
  <c r="M545" i="4"/>
  <c r="I545" i="4"/>
  <c r="H545" i="4"/>
  <c r="G545" i="4"/>
  <c r="E545" i="4"/>
  <c r="D545" i="4"/>
  <c r="M544" i="4"/>
  <c r="I544" i="4"/>
  <c r="H544" i="4"/>
  <c r="G544" i="4"/>
  <c r="E544" i="4"/>
  <c r="D544" i="4"/>
  <c r="M543" i="4"/>
  <c r="I543" i="4"/>
  <c r="H543" i="4"/>
  <c r="G543" i="4"/>
  <c r="E543" i="4"/>
  <c r="D543" i="4"/>
  <c r="M542" i="4"/>
  <c r="I542" i="4"/>
  <c r="H542" i="4"/>
  <c r="G542" i="4"/>
  <c r="E542" i="4"/>
  <c r="D542" i="4"/>
  <c r="M541" i="4"/>
  <c r="I541" i="4"/>
  <c r="H541" i="4"/>
  <c r="G541" i="4"/>
  <c r="E541" i="4"/>
  <c r="D541" i="4"/>
  <c r="M540" i="4"/>
  <c r="I540" i="4"/>
  <c r="H540" i="4"/>
  <c r="G540" i="4"/>
  <c r="E540" i="4"/>
  <c r="D540" i="4"/>
  <c r="M539" i="4"/>
  <c r="I539" i="4"/>
  <c r="H539" i="4"/>
  <c r="G539" i="4"/>
  <c r="E539" i="4"/>
  <c r="D539" i="4"/>
  <c r="M538" i="4"/>
  <c r="I538" i="4"/>
  <c r="H538" i="4"/>
  <c r="G538" i="4"/>
  <c r="E538" i="4"/>
  <c r="D538" i="4"/>
  <c r="M537" i="4"/>
  <c r="I537" i="4"/>
  <c r="H537" i="4"/>
  <c r="G537" i="4"/>
  <c r="E537" i="4"/>
  <c r="D537" i="4"/>
  <c r="M536" i="4"/>
  <c r="I536" i="4"/>
  <c r="H536" i="4"/>
  <c r="G536" i="4"/>
  <c r="E536" i="4"/>
  <c r="D536" i="4"/>
  <c r="M535" i="4"/>
  <c r="I535" i="4"/>
  <c r="H535" i="4"/>
  <c r="G535" i="4"/>
  <c r="E535" i="4"/>
  <c r="D535" i="4"/>
  <c r="M534" i="4"/>
  <c r="I534" i="4"/>
  <c r="H534" i="4"/>
  <c r="G534" i="4"/>
  <c r="E534" i="4"/>
  <c r="D534" i="4"/>
  <c r="M533" i="4"/>
  <c r="I533" i="4"/>
  <c r="H533" i="4"/>
  <c r="G533" i="4"/>
  <c r="E533" i="4"/>
  <c r="D533" i="4"/>
  <c r="M532" i="4"/>
  <c r="I532" i="4"/>
  <c r="H532" i="4"/>
  <c r="G532" i="4"/>
  <c r="E532" i="4"/>
  <c r="D532" i="4"/>
  <c r="M531" i="4"/>
  <c r="I531" i="4"/>
  <c r="H531" i="4"/>
  <c r="G531" i="4"/>
  <c r="E531" i="4"/>
  <c r="D531" i="4"/>
  <c r="M530" i="4"/>
  <c r="I530" i="4"/>
  <c r="H530" i="4"/>
  <c r="G530" i="4"/>
  <c r="E530" i="4"/>
  <c r="D530" i="4"/>
  <c r="M529" i="4"/>
  <c r="I529" i="4"/>
  <c r="H529" i="4"/>
  <c r="G529" i="4"/>
  <c r="E529" i="4"/>
  <c r="D529" i="4"/>
  <c r="M528" i="4"/>
  <c r="I528" i="4"/>
  <c r="H528" i="4"/>
  <c r="G528" i="4"/>
  <c r="E528" i="4"/>
  <c r="D528" i="4"/>
  <c r="M527" i="4"/>
  <c r="I527" i="4"/>
  <c r="H527" i="4"/>
  <c r="G527" i="4"/>
  <c r="E527" i="4"/>
  <c r="D527" i="4"/>
  <c r="M526" i="4"/>
  <c r="I526" i="4"/>
  <c r="H526" i="4"/>
  <c r="G526" i="4"/>
  <c r="E526" i="4"/>
  <c r="D526" i="4"/>
  <c r="M525" i="4"/>
  <c r="I525" i="4"/>
  <c r="H525" i="4"/>
  <c r="G525" i="4"/>
  <c r="E525" i="4"/>
  <c r="D525" i="4"/>
  <c r="M524" i="4"/>
  <c r="I524" i="4"/>
  <c r="H524" i="4"/>
  <c r="G524" i="4"/>
  <c r="E524" i="4"/>
  <c r="D524" i="4"/>
  <c r="M523" i="4"/>
  <c r="I523" i="4"/>
  <c r="H523" i="4"/>
  <c r="G523" i="4"/>
  <c r="E523" i="4"/>
  <c r="D523" i="4"/>
  <c r="M522" i="4"/>
  <c r="I522" i="4"/>
  <c r="H522" i="4"/>
  <c r="G522" i="4"/>
  <c r="E522" i="4"/>
  <c r="D522" i="4"/>
  <c r="M521" i="4"/>
  <c r="I521" i="4"/>
  <c r="H521" i="4"/>
  <c r="G521" i="4"/>
  <c r="E521" i="4"/>
  <c r="D521" i="4"/>
  <c r="M520" i="4"/>
  <c r="I520" i="4"/>
  <c r="H520" i="4"/>
  <c r="G520" i="4"/>
  <c r="E520" i="4"/>
  <c r="D520" i="4"/>
  <c r="M519" i="4"/>
  <c r="I519" i="4"/>
  <c r="H519" i="4"/>
  <c r="G519" i="4"/>
  <c r="E519" i="4"/>
  <c r="D519" i="4"/>
  <c r="M518" i="4"/>
  <c r="I518" i="4"/>
  <c r="H518" i="4"/>
  <c r="G518" i="4"/>
  <c r="E518" i="4"/>
  <c r="D518" i="4"/>
  <c r="M517" i="4"/>
  <c r="I517" i="4"/>
  <c r="H517" i="4"/>
  <c r="G517" i="4"/>
  <c r="E517" i="4"/>
  <c r="D517" i="4"/>
  <c r="M516" i="4"/>
  <c r="I516" i="4"/>
  <c r="H516" i="4"/>
  <c r="G516" i="4"/>
  <c r="E516" i="4"/>
  <c r="D516" i="4"/>
  <c r="M515" i="4"/>
  <c r="I515" i="4"/>
  <c r="H515" i="4"/>
  <c r="G515" i="4"/>
  <c r="E515" i="4"/>
  <c r="D515" i="4"/>
  <c r="M514" i="4"/>
  <c r="I514" i="4"/>
  <c r="H514" i="4"/>
  <c r="G514" i="4"/>
  <c r="E514" i="4"/>
  <c r="D514" i="4"/>
  <c r="M513" i="4"/>
  <c r="I513" i="4"/>
  <c r="H513" i="4"/>
  <c r="G513" i="4"/>
  <c r="E513" i="4"/>
  <c r="D513" i="4"/>
  <c r="M512" i="4"/>
  <c r="I512" i="4"/>
  <c r="H512" i="4"/>
  <c r="G512" i="4"/>
  <c r="E512" i="4"/>
  <c r="D512" i="4"/>
  <c r="M511" i="4"/>
  <c r="I511" i="4"/>
  <c r="H511" i="4"/>
  <c r="G511" i="4"/>
  <c r="E511" i="4"/>
  <c r="D511" i="4"/>
  <c r="M510" i="4"/>
  <c r="I510" i="4"/>
  <c r="H510" i="4"/>
  <c r="G510" i="4"/>
  <c r="E510" i="4"/>
  <c r="D510" i="4"/>
  <c r="M509" i="4"/>
  <c r="I509" i="4"/>
  <c r="H509" i="4"/>
  <c r="G509" i="4"/>
  <c r="E509" i="4"/>
  <c r="D509" i="4"/>
  <c r="M508" i="4"/>
  <c r="I508" i="4"/>
  <c r="H508" i="4"/>
  <c r="G508" i="4"/>
  <c r="E508" i="4"/>
  <c r="D508" i="4"/>
  <c r="M507" i="4"/>
  <c r="I507" i="4"/>
  <c r="H507" i="4"/>
  <c r="G507" i="4"/>
  <c r="E507" i="4"/>
  <c r="D507" i="4"/>
  <c r="M506" i="4"/>
  <c r="I506" i="4"/>
  <c r="H506" i="4"/>
  <c r="G506" i="4"/>
  <c r="E506" i="4"/>
  <c r="D506" i="4"/>
  <c r="M505" i="4"/>
  <c r="I505" i="4"/>
  <c r="H505" i="4"/>
  <c r="G505" i="4"/>
  <c r="E505" i="4"/>
  <c r="D505" i="4"/>
  <c r="M504" i="4"/>
  <c r="I504" i="4"/>
  <c r="H504" i="4"/>
  <c r="G504" i="4"/>
  <c r="E504" i="4"/>
  <c r="D504" i="4"/>
  <c r="M503" i="4"/>
  <c r="I503" i="4"/>
  <c r="H503" i="4"/>
  <c r="G503" i="4"/>
  <c r="E503" i="4"/>
  <c r="D503" i="4"/>
  <c r="M502" i="4"/>
  <c r="I502" i="4"/>
  <c r="H502" i="4"/>
  <c r="G502" i="4"/>
  <c r="E502" i="4"/>
  <c r="D502" i="4"/>
  <c r="M501" i="4"/>
  <c r="I501" i="4"/>
  <c r="H501" i="4"/>
  <c r="G501" i="4"/>
  <c r="E501" i="4"/>
  <c r="D501" i="4"/>
  <c r="M500" i="4"/>
  <c r="I500" i="4"/>
  <c r="H500" i="4"/>
  <c r="G500" i="4"/>
  <c r="E500" i="4"/>
  <c r="D500" i="4"/>
  <c r="M499" i="4"/>
  <c r="I499" i="4"/>
  <c r="H499" i="4"/>
  <c r="G499" i="4"/>
  <c r="E499" i="4"/>
  <c r="D499" i="4"/>
  <c r="M498" i="4"/>
  <c r="I498" i="4"/>
  <c r="H498" i="4"/>
  <c r="G498" i="4"/>
  <c r="E498" i="4"/>
  <c r="D498" i="4"/>
  <c r="M497" i="4"/>
  <c r="I497" i="4"/>
  <c r="H497" i="4"/>
  <c r="G497" i="4"/>
  <c r="E497" i="4"/>
  <c r="D497" i="4"/>
  <c r="M496" i="4"/>
  <c r="I496" i="4"/>
  <c r="H496" i="4"/>
  <c r="G496" i="4"/>
  <c r="E496" i="4"/>
  <c r="D496" i="4"/>
  <c r="M495" i="4"/>
  <c r="I495" i="4"/>
  <c r="H495" i="4"/>
  <c r="G495" i="4"/>
  <c r="E495" i="4"/>
  <c r="D495" i="4"/>
  <c r="M494" i="4"/>
  <c r="I494" i="4"/>
  <c r="H494" i="4"/>
  <c r="G494" i="4"/>
  <c r="E494" i="4"/>
  <c r="D494" i="4"/>
  <c r="M493" i="4"/>
  <c r="I493" i="4"/>
  <c r="H493" i="4"/>
  <c r="G493" i="4"/>
  <c r="E493" i="4"/>
  <c r="D493" i="4"/>
  <c r="M492" i="4"/>
  <c r="I492" i="4"/>
  <c r="H492" i="4"/>
  <c r="G492" i="4"/>
  <c r="E492" i="4"/>
  <c r="D492" i="4"/>
  <c r="M491" i="4"/>
  <c r="I491" i="4"/>
  <c r="H491" i="4"/>
  <c r="G491" i="4"/>
  <c r="E491" i="4"/>
  <c r="D491" i="4"/>
  <c r="M490" i="4"/>
  <c r="I490" i="4"/>
  <c r="H490" i="4"/>
  <c r="G490" i="4"/>
  <c r="E490" i="4"/>
  <c r="D490" i="4"/>
  <c r="M489" i="4"/>
  <c r="I489" i="4"/>
  <c r="H489" i="4"/>
  <c r="G489" i="4"/>
  <c r="E489" i="4"/>
  <c r="D489" i="4"/>
  <c r="M488" i="4"/>
  <c r="I488" i="4"/>
  <c r="H488" i="4"/>
  <c r="G488" i="4"/>
  <c r="E488" i="4"/>
  <c r="D488" i="4"/>
  <c r="M487" i="4"/>
  <c r="I487" i="4"/>
  <c r="H487" i="4"/>
  <c r="G487" i="4"/>
  <c r="E487" i="4"/>
  <c r="D487" i="4"/>
  <c r="M486" i="4"/>
  <c r="I486" i="4"/>
  <c r="H486" i="4"/>
  <c r="G486" i="4"/>
  <c r="E486" i="4"/>
  <c r="D486" i="4"/>
  <c r="M485" i="4"/>
  <c r="I485" i="4"/>
  <c r="H485" i="4"/>
  <c r="G485" i="4"/>
  <c r="E485" i="4"/>
  <c r="D485" i="4"/>
  <c r="M484" i="4"/>
  <c r="I484" i="4"/>
  <c r="H484" i="4"/>
  <c r="G484" i="4"/>
  <c r="E484" i="4"/>
  <c r="D484" i="4"/>
  <c r="M483" i="4"/>
  <c r="I483" i="4"/>
  <c r="H483" i="4"/>
  <c r="G483" i="4"/>
  <c r="E483" i="4"/>
  <c r="D483" i="4"/>
  <c r="M482" i="4"/>
  <c r="I482" i="4"/>
  <c r="H482" i="4"/>
  <c r="G482" i="4"/>
  <c r="E482" i="4"/>
  <c r="D482" i="4"/>
  <c r="M481" i="4"/>
  <c r="I481" i="4"/>
  <c r="H481" i="4"/>
  <c r="G481" i="4"/>
  <c r="E481" i="4"/>
  <c r="D481" i="4"/>
  <c r="M480" i="4"/>
  <c r="I480" i="4"/>
  <c r="H480" i="4"/>
  <c r="G480" i="4"/>
  <c r="E480" i="4"/>
  <c r="D480" i="4"/>
  <c r="M479" i="4"/>
  <c r="I479" i="4"/>
  <c r="H479" i="4"/>
  <c r="G479" i="4"/>
  <c r="E479" i="4"/>
  <c r="D479" i="4"/>
  <c r="M478" i="4"/>
  <c r="I478" i="4"/>
  <c r="H478" i="4"/>
  <c r="G478" i="4"/>
  <c r="E478" i="4"/>
  <c r="D478" i="4"/>
  <c r="M477" i="4"/>
  <c r="I477" i="4"/>
  <c r="H477" i="4"/>
  <c r="G477" i="4"/>
  <c r="E477" i="4"/>
  <c r="D477" i="4"/>
  <c r="M476" i="4"/>
  <c r="I476" i="4"/>
  <c r="H476" i="4"/>
  <c r="G476" i="4"/>
  <c r="E476" i="4"/>
  <c r="D476" i="4"/>
  <c r="M475" i="4"/>
  <c r="I475" i="4"/>
  <c r="H475" i="4"/>
  <c r="G475" i="4"/>
  <c r="E475" i="4"/>
  <c r="D475" i="4"/>
  <c r="M474" i="4"/>
  <c r="I474" i="4"/>
  <c r="H474" i="4"/>
  <c r="G474" i="4"/>
  <c r="E474" i="4"/>
  <c r="D474" i="4"/>
  <c r="M473" i="4"/>
  <c r="I473" i="4"/>
  <c r="H473" i="4"/>
  <c r="G473" i="4"/>
  <c r="E473" i="4"/>
  <c r="D473" i="4"/>
  <c r="M472" i="4"/>
  <c r="I472" i="4"/>
  <c r="H472" i="4"/>
  <c r="G472" i="4"/>
  <c r="E472" i="4"/>
  <c r="D472" i="4"/>
  <c r="M471" i="4"/>
  <c r="I471" i="4"/>
  <c r="H471" i="4"/>
  <c r="G471" i="4"/>
  <c r="E471" i="4"/>
  <c r="D471" i="4"/>
  <c r="M470" i="4"/>
  <c r="I470" i="4"/>
  <c r="H470" i="4"/>
  <c r="G470" i="4"/>
  <c r="E470" i="4"/>
  <c r="D470" i="4"/>
  <c r="M469" i="4"/>
  <c r="I469" i="4"/>
  <c r="H469" i="4"/>
  <c r="G469" i="4"/>
  <c r="E469" i="4"/>
  <c r="D469" i="4"/>
  <c r="M468" i="4"/>
  <c r="I468" i="4"/>
  <c r="H468" i="4"/>
  <c r="G468" i="4"/>
  <c r="E468" i="4"/>
  <c r="D468" i="4"/>
  <c r="M467" i="4"/>
  <c r="I467" i="4"/>
  <c r="H467" i="4"/>
  <c r="G467" i="4"/>
  <c r="E467" i="4"/>
  <c r="D467" i="4"/>
  <c r="M466" i="4"/>
  <c r="I466" i="4"/>
  <c r="H466" i="4"/>
  <c r="G466" i="4"/>
  <c r="E466" i="4"/>
  <c r="D466" i="4"/>
  <c r="M465" i="4"/>
  <c r="I465" i="4"/>
  <c r="H465" i="4"/>
  <c r="G465" i="4"/>
  <c r="E465" i="4"/>
  <c r="D465" i="4"/>
  <c r="M464" i="4"/>
  <c r="I464" i="4"/>
  <c r="H464" i="4"/>
  <c r="G464" i="4"/>
  <c r="E464" i="4"/>
  <c r="D464" i="4"/>
  <c r="M463" i="4"/>
  <c r="I463" i="4"/>
  <c r="H463" i="4"/>
  <c r="G463" i="4"/>
  <c r="E463" i="4"/>
  <c r="D463" i="4"/>
  <c r="M462" i="4"/>
  <c r="I462" i="4"/>
  <c r="H462" i="4"/>
  <c r="G462" i="4"/>
  <c r="E462" i="4"/>
  <c r="D462" i="4"/>
  <c r="M461" i="4"/>
  <c r="I461" i="4"/>
  <c r="H461" i="4"/>
  <c r="G461" i="4"/>
  <c r="E461" i="4"/>
  <c r="D461" i="4"/>
  <c r="M460" i="4"/>
  <c r="I460" i="4"/>
  <c r="H460" i="4"/>
  <c r="G460" i="4"/>
  <c r="E460" i="4"/>
  <c r="D460" i="4"/>
  <c r="M459" i="4"/>
  <c r="I459" i="4"/>
  <c r="H459" i="4"/>
  <c r="G459" i="4"/>
  <c r="E459" i="4"/>
  <c r="D459" i="4"/>
  <c r="M458" i="4"/>
  <c r="I458" i="4"/>
  <c r="H458" i="4"/>
  <c r="G458" i="4"/>
  <c r="E458" i="4"/>
  <c r="D458" i="4"/>
  <c r="M457" i="4"/>
  <c r="I457" i="4"/>
  <c r="H457" i="4"/>
  <c r="G457" i="4"/>
  <c r="E457" i="4"/>
  <c r="D457" i="4"/>
  <c r="M456" i="4"/>
  <c r="I456" i="4"/>
  <c r="H456" i="4"/>
  <c r="G456" i="4"/>
  <c r="E456" i="4"/>
  <c r="D456" i="4"/>
  <c r="M455" i="4"/>
  <c r="I455" i="4"/>
  <c r="H455" i="4"/>
  <c r="G455" i="4"/>
  <c r="E455" i="4"/>
  <c r="D455" i="4"/>
  <c r="M454" i="4"/>
  <c r="I454" i="4"/>
  <c r="H454" i="4"/>
  <c r="G454" i="4"/>
  <c r="E454" i="4"/>
  <c r="D454" i="4"/>
  <c r="M453" i="4"/>
  <c r="I453" i="4"/>
  <c r="H453" i="4"/>
  <c r="G453" i="4"/>
  <c r="E453" i="4"/>
  <c r="D453" i="4"/>
  <c r="M452" i="4"/>
  <c r="I452" i="4"/>
  <c r="H452" i="4"/>
  <c r="G452" i="4"/>
  <c r="E452" i="4"/>
  <c r="D452" i="4"/>
  <c r="M451" i="4"/>
  <c r="I451" i="4"/>
  <c r="H451" i="4"/>
  <c r="G451" i="4"/>
  <c r="E451" i="4"/>
  <c r="D451" i="4"/>
  <c r="M450" i="4"/>
  <c r="I450" i="4"/>
  <c r="H450" i="4"/>
  <c r="G450" i="4"/>
  <c r="E450" i="4"/>
  <c r="D450" i="4"/>
  <c r="M449" i="4"/>
  <c r="I449" i="4"/>
  <c r="H449" i="4"/>
  <c r="G449" i="4"/>
  <c r="E449" i="4"/>
  <c r="D449" i="4"/>
  <c r="M448" i="4"/>
  <c r="I448" i="4"/>
  <c r="H448" i="4"/>
  <c r="G448" i="4"/>
  <c r="E448" i="4"/>
  <c r="D448" i="4"/>
  <c r="M447" i="4"/>
  <c r="I447" i="4"/>
  <c r="H447" i="4"/>
  <c r="G447" i="4"/>
  <c r="E447" i="4"/>
  <c r="D447" i="4"/>
  <c r="M446" i="4"/>
  <c r="I446" i="4"/>
  <c r="H446" i="4"/>
  <c r="G446" i="4"/>
  <c r="E446" i="4"/>
  <c r="D446" i="4"/>
  <c r="M445" i="4"/>
  <c r="I445" i="4"/>
  <c r="H445" i="4"/>
  <c r="G445" i="4"/>
  <c r="E445" i="4"/>
  <c r="D445" i="4"/>
  <c r="M444" i="4"/>
  <c r="I444" i="4"/>
  <c r="H444" i="4"/>
  <c r="G444" i="4"/>
  <c r="E444" i="4"/>
  <c r="D444" i="4"/>
  <c r="M443" i="4"/>
  <c r="I443" i="4"/>
  <c r="H443" i="4"/>
  <c r="G443" i="4"/>
  <c r="E443" i="4"/>
  <c r="D443" i="4"/>
  <c r="M442" i="4"/>
  <c r="I442" i="4"/>
  <c r="H442" i="4"/>
  <c r="G442" i="4"/>
  <c r="E442" i="4"/>
  <c r="D442" i="4"/>
  <c r="M441" i="4"/>
  <c r="I441" i="4"/>
  <c r="H441" i="4"/>
  <c r="G441" i="4"/>
  <c r="E441" i="4"/>
  <c r="D441" i="4"/>
  <c r="M440" i="4"/>
  <c r="I440" i="4"/>
  <c r="H440" i="4"/>
  <c r="G440" i="4"/>
  <c r="E440" i="4"/>
  <c r="D440" i="4"/>
  <c r="M439" i="4"/>
  <c r="I439" i="4"/>
  <c r="H439" i="4"/>
  <c r="G439" i="4"/>
  <c r="E439" i="4"/>
  <c r="D439" i="4"/>
  <c r="M438" i="4"/>
  <c r="I438" i="4"/>
  <c r="H438" i="4"/>
  <c r="G438" i="4"/>
  <c r="E438" i="4"/>
  <c r="D438" i="4"/>
  <c r="M437" i="4"/>
  <c r="I437" i="4"/>
  <c r="H437" i="4"/>
  <c r="G437" i="4"/>
  <c r="E437" i="4"/>
  <c r="D437" i="4"/>
  <c r="M436" i="4"/>
  <c r="I436" i="4"/>
  <c r="H436" i="4"/>
  <c r="G436" i="4"/>
  <c r="E436" i="4"/>
  <c r="D436" i="4"/>
  <c r="M435" i="4"/>
  <c r="I435" i="4"/>
  <c r="H435" i="4"/>
  <c r="G435" i="4"/>
  <c r="E435" i="4"/>
  <c r="D435" i="4"/>
  <c r="M434" i="4"/>
  <c r="I434" i="4"/>
  <c r="H434" i="4"/>
  <c r="G434" i="4"/>
  <c r="E434" i="4"/>
  <c r="D434" i="4"/>
  <c r="M433" i="4"/>
  <c r="I433" i="4"/>
  <c r="H433" i="4"/>
  <c r="G433" i="4"/>
  <c r="E433" i="4"/>
  <c r="D433" i="4"/>
  <c r="M432" i="4"/>
  <c r="I432" i="4"/>
  <c r="H432" i="4"/>
  <c r="G432" i="4"/>
  <c r="E432" i="4"/>
  <c r="D432" i="4"/>
  <c r="M431" i="4"/>
  <c r="I431" i="4"/>
  <c r="H431" i="4"/>
  <c r="G431" i="4"/>
  <c r="E431" i="4"/>
  <c r="D431" i="4"/>
  <c r="M430" i="4"/>
  <c r="I430" i="4"/>
  <c r="H430" i="4"/>
  <c r="G430" i="4"/>
  <c r="E430" i="4"/>
  <c r="D430" i="4"/>
  <c r="M429" i="4"/>
  <c r="I429" i="4"/>
  <c r="H429" i="4"/>
  <c r="G429" i="4"/>
  <c r="E429" i="4"/>
  <c r="D429" i="4"/>
  <c r="M428" i="4"/>
  <c r="I428" i="4"/>
  <c r="H428" i="4"/>
  <c r="G428" i="4"/>
  <c r="E428" i="4"/>
  <c r="D428" i="4"/>
  <c r="M427" i="4"/>
  <c r="I427" i="4"/>
  <c r="H427" i="4"/>
  <c r="G427" i="4"/>
  <c r="E427" i="4"/>
  <c r="D427" i="4"/>
  <c r="M426" i="4"/>
  <c r="I426" i="4"/>
  <c r="H426" i="4"/>
  <c r="G426" i="4"/>
  <c r="E426" i="4"/>
  <c r="D426" i="4"/>
  <c r="M425" i="4"/>
  <c r="I425" i="4"/>
  <c r="H425" i="4"/>
  <c r="G425" i="4"/>
  <c r="E425" i="4"/>
  <c r="D425" i="4"/>
  <c r="M424" i="4"/>
  <c r="I424" i="4"/>
  <c r="H424" i="4"/>
  <c r="G424" i="4"/>
  <c r="E424" i="4"/>
  <c r="D424" i="4"/>
  <c r="M423" i="4"/>
  <c r="I423" i="4"/>
  <c r="H423" i="4"/>
  <c r="G423" i="4"/>
  <c r="E423" i="4"/>
  <c r="D423" i="4"/>
  <c r="M422" i="4"/>
  <c r="I422" i="4"/>
  <c r="H422" i="4"/>
  <c r="G422" i="4"/>
  <c r="E422" i="4"/>
  <c r="D422" i="4"/>
  <c r="M421" i="4"/>
  <c r="I421" i="4"/>
  <c r="H421" i="4"/>
  <c r="G421" i="4"/>
  <c r="E421" i="4"/>
  <c r="D421" i="4"/>
  <c r="M420" i="4"/>
  <c r="I420" i="4"/>
  <c r="H420" i="4"/>
  <c r="G420" i="4"/>
  <c r="E420" i="4"/>
  <c r="D420" i="4"/>
  <c r="M419" i="4"/>
  <c r="I419" i="4"/>
  <c r="H419" i="4"/>
  <c r="G419" i="4"/>
  <c r="E419" i="4"/>
  <c r="D419" i="4"/>
  <c r="M418" i="4"/>
  <c r="I418" i="4"/>
  <c r="H418" i="4"/>
  <c r="G418" i="4"/>
  <c r="E418" i="4"/>
  <c r="D418" i="4"/>
  <c r="M417" i="4"/>
  <c r="I417" i="4"/>
  <c r="H417" i="4"/>
  <c r="G417" i="4"/>
  <c r="E417" i="4"/>
  <c r="D417" i="4"/>
  <c r="M416" i="4"/>
  <c r="I416" i="4"/>
  <c r="H416" i="4"/>
  <c r="G416" i="4"/>
  <c r="E416" i="4"/>
  <c r="D416" i="4"/>
  <c r="M415" i="4"/>
  <c r="I415" i="4"/>
  <c r="H415" i="4"/>
  <c r="G415" i="4"/>
  <c r="E415" i="4"/>
  <c r="D415" i="4"/>
  <c r="M414" i="4"/>
  <c r="I414" i="4"/>
  <c r="H414" i="4"/>
  <c r="G414" i="4"/>
  <c r="E414" i="4"/>
  <c r="D414" i="4"/>
  <c r="M413" i="4"/>
  <c r="I413" i="4"/>
  <c r="H413" i="4"/>
  <c r="G413" i="4"/>
  <c r="E413" i="4"/>
  <c r="D413" i="4"/>
  <c r="M412" i="4"/>
  <c r="I412" i="4"/>
  <c r="H412" i="4"/>
  <c r="G412" i="4"/>
  <c r="E412" i="4"/>
  <c r="D412" i="4"/>
  <c r="M411" i="4"/>
  <c r="I411" i="4"/>
  <c r="H411" i="4"/>
  <c r="G411" i="4"/>
  <c r="E411" i="4"/>
  <c r="D411" i="4"/>
  <c r="M410" i="4"/>
  <c r="I410" i="4"/>
  <c r="H410" i="4"/>
  <c r="G410" i="4"/>
  <c r="E410" i="4"/>
  <c r="D410" i="4"/>
  <c r="M409" i="4"/>
  <c r="I409" i="4"/>
  <c r="H409" i="4"/>
  <c r="G409" i="4"/>
  <c r="E409" i="4"/>
  <c r="D409" i="4"/>
  <c r="M408" i="4"/>
  <c r="I408" i="4"/>
  <c r="H408" i="4"/>
  <c r="G408" i="4"/>
  <c r="E408" i="4"/>
  <c r="D408" i="4"/>
  <c r="M407" i="4"/>
  <c r="I407" i="4"/>
  <c r="H407" i="4"/>
  <c r="G407" i="4"/>
  <c r="E407" i="4"/>
  <c r="D407" i="4"/>
  <c r="M406" i="4"/>
  <c r="I406" i="4"/>
  <c r="H406" i="4"/>
  <c r="G406" i="4"/>
  <c r="E406" i="4"/>
  <c r="D406" i="4"/>
  <c r="M405" i="4"/>
  <c r="I405" i="4"/>
  <c r="H405" i="4"/>
  <c r="G405" i="4"/>
  <c r="E405" i="4"/>
  <c r="D405" i="4"/>
  <c r="M404" i="4"/>
  <c r="I404" i="4"/>
  <c r="H404" i="4"/>
  <c r="G404" i="4"/>
  <c r="E404" i="4"/>
  <c r="D404" i="4"/>
  <c r="M403" i="4"/>
  <c r="I403" i="4"/>
  <c r="H403" i="4"/>
  <c r="G403" i="4"/>
  <c r="E403" i="4"/>
  <c r="D403" i="4"/>
  <c r="M402" i="4"/>
  <c r="I402" i="4"/>
  <c r="H402" i="4"/>
  <c r="G402" i="4"/>
  <c r="E402" i="4"/>
  <c r="D402" i="4"/>
  <c r="M401" i="4"/>
  <c r="I401" i="4"/>
  <c r="H401" i="4"/>
  <c r="G401" i="4"/>
  <c r="E401" i="4"/>
  <c r="D401" i="4"/>
  <c r="M400" i="4"/>
  <c r="I400" i="4"/>
  <c r="H400" i="4"/>
  <c r="G400" i="4"/>
  <c r="E400" i="4"/>
  <c r="D400" i="4"/>
  <c r="M399" i="4"/>
  <c r="I399" i="4"/>
  <c r="H399" i="4"/>
  <c r="G399" i="4"/>
  <c r="E399" i="4"/>
  <c r="D399" i="4"/>
  <c r="M398" i="4"/>
  <c r="I398" i="4"/>
  <c r="H398" i="4"/>
  <c r="G398" i="4"/>
  <c r="E398" i="4"/>
  <c r="D398" i="4"/>
  <c r="M397" i="4"/>
  <c r="I397" i="4"/>
  <c r="H397" i="4"/>
  <c r="G397" i="4"/>
  <c r="E397" i="4"/>
  <c r="D397" i="4"/>
  <c r="M396" i="4"/>
  <c r="I396" i="4"/>
  <c r="H396" i="4"/>
  <c r="G396" i="4"/>
  <c r="E396" i="4"/>
  <c r="D396" i="4"/>
  <c r="M395" i="4"/>
  <c r="I395" i="4"/>
  <c r="H395" i="4"/>
  <c r="G395" i="4"/>
  <c r="E395" i="4"/>
  <c r="D395" i="4"/>
  <c r="M394" i="4"/>
  <c r="I394" i="4"/>
  <c r="H394" i="4"/>
  <c r="G394" i="4"/>
  <c r="E394" i="4"/>
  <c r="D394" i="4"/>
  <c r="M393" i="4"/>
  <c r="I393" i="4"/>
  <c r="H393" i="4"/>
  <c r="G393" i="4"/>
  <c r="E393" i="4"/>
  <c r="D393" i="4"/>
  <c r="M392" i="4"/>
  <c r="I392" i="4"/>
  <c r="H392" i="4"/>
  <c r="G392" i="4"/>
  <c r="E392" i="4"/>
  <c r="D392" i="4"/>
  <c r="M391" i="4"/>
  <c r="I391" i="4"/>
  <c r="H391" i="4"/>
  <c r="G391" i="4"/>
  <c r="E391" i="4"/>
  <c r="D391" i="4"/>
  <c r="M390" i="4"/>
  <c r="I390" i="4"/>
  <c r="H390" i="4"/>
  <c r="G390" i="4"/>
  <c r="E390" i="4"/>
  <c r="D390" i="4"/>
  <c r="M389" i="4"/>
  <c r="I389" i="4"/>
  <c r="H389" i="4"/>
  <c r="G389" i="4"/>
  <c r="E389" i="4"/>
  <c r="D389" i="4"/>
  <c r="M388" i="4"/>
  <c r="I388" i="4"/>
  <c r="H388" i="4"/>
  <c r="G388" i="4"/>
  <c r="E388" i="4"/>
  <c r="D388" i="4"/>
  <c r="M387" i="4"/>
  <c r="I387" i="4"/>
  <c r="H387" i="4"/>
  <c r="G387" i="4"/>
  <c r="E387" i="4"/>
  <c r="D387" i="4"/>
  <c r="M386" i="4"/>
  <c r="I386" i="4"/>
  <c r="H386" i="4"/>
  <c r="G386" i="4"/>
  <c r="E386" i="4"/>
  <c r="D386" i="4"/>
  <c r="M385" i="4"/>
  <c r="I385" i="4"/>
  <c r="H385" i="4"/>
  <c r="G385" i="4"/>
  <c r="E385" i="4"/>
  <c r="D385" i="4"/>
  <c r="M384" i="4"/>
  <c r="I384" i="4"/>
  <c r="H384" i="4"/>
  <c r="G384" i="4"/>
  <c r="E384" i="4"/>
  <c r="D384" i="4"/>
  <c r="M383" i="4"/>
  <c r="I383" i="4"/>
  <c r="H383" i="4"/>
  <c r="G383" i="4"/>
  <c r="E383" i="4"/>
  <c r="D383" i="4"/>
  <c r="M382" i="4"/>
  <c r="I382" i="4"/>
  <c r="H382" i="4"/>
  <c r="G382" i="4"/>
  <c r="E382" i="4"/>
  <c r="D382" i="4"/>
  <c r="M381" i="4"/>
  <c r="I381" i="4"/>
  <c r="H381" i="4"/>
  <c r="G381" i="4"/>
  <c r="E381" i="4"/>
  <c r="D381" i="4"/>
  <c r="M380" i="4"/>
  <c r="I380" i="4"/>
  <c r="H380" i="4"/>
  <c r="G380" i="4"/>
  <c r="E380" i="4"/>
  <c r="D380" i="4"/>
  <c r="M379" i="4"/>
  <c r="I379" i="4"/>
  <c r="H379" i="4"/>
  <c r="G379" i="4"/>
  <c r="E379" i="4"/>
  <c r="D379" i="4"/>
  <c r="M378" i="4"/>
  <c r="I378" i="4"/>
  <c r="H378" i="4"/>
  <c r="G378" i="4"/>
  <c r="E378" i="4"/>
  <c r="D378" i="4"/>
  <c r="M377" i="4"/>
  <c r="I377" i="4"/>
  <c r="H377" i="4"/>
  <c r="G377" i="4"/>
  <c r="E377" i="4"/>
  <c r="D377" i="4"/>
  <c r="M376" i="4"/>
  <c r="I376" i="4"/>
  <c r="H376" i="4"/>
  <c r="G376" i="4"/>
  <c r="E376" i="4"/>
  <c r="D376" i="4"/>
  <c r="M375" i="4"/>
  <c r="I375" i="4"/>
  <c r="H375" i="4"/>
  <c r="G375" i="4"/>
  <c r="E375" i="4"/>
  <c r="D375" i="4"/>
  <c r="M374" i="4"/>
  <c r="I374" i="4"/>
  <c r="H374" i="4"/>
  <c r="G374" i="4"/>
  <c r="E374" i="4"/>
  <c r="D374" i="4"/>
  <c r="M373" i="4"/>
  <c r="I373" i="4"/>
  <c r="H373" i="4"/>
  <c r="G373" i="4"/>
  <c r="E373" i="4"/>
  <c r="D373" i="4"/>
  <c r="M372" i="4"/>
  <c r="I372" i="4"/>
  <c r="H372" i="4"/>
  <c r="G372" i="4"/>
  <c r="E372" i="4"/>
  <c r="D372" i="4"/>
  <c r="M371" i="4"/>
  <c r="I371" i="4"/>
  <c r="H371" i="4"/>
  <c r="G371" i="4"/>
  <c r="E371" i="4"/>
  <c r="D371" i="4"/>
  <c r="M370" i="4"/>
  <c r="I370" i="4"/>
  <c r="H370" i="4"/>
  <c r="G370" i="4"/>
  <c r="E370" i="4"/>
  <c r="D370" i="4"/>
  <c r="M369" i="4"/>
  <c r="I369" i="4"/>
  <c r="H369" i="4"/>
  <c r="G369" i="4"/>
  <c r="E369" i="4"/>
  <c r="D369" i="4"/>
  <c r="M368" i="4"/>
  <c r="I368" i="4"/>
  <c r="H368" i="4"/>
  <c r="G368" i="4"/>
  <c r="E368" i="4"/>
  <c r="D368" i="4"/>
  <c r="M367" i="4"/>
  <c r="I367" i="4"/>
  <c r="H367" i="4"/>
  <c r="G367" i="4"/>
  <c r="E367" i="4"/>
  <c r="D367" i="4"/>
  <c r="M366" i="4"/>
  <c r="I366" i="4"/>
  <c r="H366" i="4"/>
  <c r="G366" i="4"/>
  <c r="E366" i="4"/>
  <c r="D366" i="4"/>
  <c r="M365" i="4"/>
  <c r="I365" i="4"/>
  <c r="H365" i="4"/>
  <c r="G365" i="4"/>
  <c r="E365" i="4"/>
  <c r="D365" i="4"/>
  <c r="M364" i="4"/>
  <c r="I364" i="4"/>
  <c r="H364" i="4"/>
  <c r="G364" i="4"/>
  <c r="E364" i="4"/>
  <c r="D364" i="4"/>
  <c r="M363" i="4"/>
  <c r="I363" i="4"/>
  <c r="H363" i="4"/>
  <c r="G363" i="4"/>
  <c r="E363" i="4"/>
  <c r="D363" i="4"/>
  <c r="M362" i="4"/>
  <c r="I362" i="4"/>
  <c r="H362" i="4"/>
  <c r="G362" i="4"/>
  <c r="E362" i="4"/>
  <c r="D362" i="4"/>
  <c r="M361" i="4"/>
  <c r="I361" i="4"/>
  <c r="H361" i="4"/>
  <c r="G361" i="4"/>
  <c r="E361" i="4"/>
  <c r="D361" i="4"/>
  <c r="M360" i="4"/>
  <c r="I360" i="4"/>
  <c r="H360" i="4"/>
  <c r="G360" i="4"/>
  <c r="E360" i="4"/>
  <c r="D360" i="4"/>
  <c r="M359" i="4"/>
  <c r="I359" i="4"/>
  <c r="H359" i="4"/>
  <c r="G359" i="4"/>
  <c r="E359" i="4"/>
  <c r="D359" i="4"/>
  <c r="M358" i="4"/>
  <c r="I358" i="4"/>
  <c r="H358" i="4"/>
  <c r="G358" i="4"/>
  <c r="E358" i="4"/>
  <c r="D358" i="4"/>
  <c r="M357" i="4"/>
  <c r="I357" i="4"/>
  <c r="H357" i="4"/>
  <c r="G357" i="4"/>
  <c r="E357" i="4"/>
  <c r="D357" i="4"/>
  <c r="M356" i="4"/>
  <c r="I356" i="4"/>
  <c r="H356" i="4"/>
  <c r="G356" i="4"/>
  <c r="E356" i="4"/>
  <c r="D356" i="4"/>
  <c r="M355" i="4"/>
  <c r="I355" i="4"/>
  <c r="H355" i="4"/>
  <c r="G355" i="4"/>
  <c r="E355" i="4"/>
  <c r="D355" i="4"/>
  <c r="M354" i="4"/>
  <c r="I354" i="4"/>
  <c r="H354" i="4"/>
  <c r="G354" i="4"/>
  <c r="E354" i="4"/>
  <c r="D354" i="4"/>
  <c r="M353" i="4"/>
  <c r="I353" i="4"/>
  <c r="H353" i="4"/>
  <c r="G353" i="4"/>
  <c r="E353" i="4"/>
  <c r="D353" i="4"/>
  <c r="M352" i="4"/>
  <c r="I352" i="4"/>
  <c r="H352" i="4"/>
  <c r="G352" i="4"/>
  <c r="E352" i="4"/>
  <c r="D352" i="4"/>
  <c r="M351" i="4"/>
  <c r="I351" i="4"/>
  <c r="H351" i="4"/>
  <c r="G351" i="4"/>
  <c r="E351" i="4"/>
  <c r="D351" i="4"/>
  <c r="M350" i="4"/>
  <c r="I350" i="4"/>
  <c r="H350" i="4"/>
  <c r="G350" i="4"/>
  <c r="E350" i="4"/>
  <c r="D350" i="4"/>
  <c r="M349" i="4"/>
  <c r="I349" i="4"/>
  <c r="H349" i="4"/>
  <c r="G349" i="4"/>
  <c r="E349" i="4"/>
  <c r="D349" i="4"/>
  <c r="M348" i="4"/>
  <c r="I348" i="4"/>
  <c r="H348" i="4"/>
  <c r="G348" i="4"/>
  <c r="E348" i="4"/>
  <c r="D348" i="4"/>
  <c r="M347" i="4"/>
  <c r="I347" i="4"/>
  <c r="H347" i="4"/>
  <c r="G347" i="4"/>
  <c r="E347" i="4"/>
  <c r="D347" i="4"/>
  <c r="M346" i="4"/>
  <c r="I346" i="4"/>
  <c r="H346" i="4"/>
  <c r="G346" i="4"/>
  <c r="E346" i="4"/>
  <c r="D346" i="4"/>
  <c r="M345" i="4"/>
  <c r="I345" i="4"/>
  <c r="H345" i="4"/>
  <c r="G345" i="4"/>
  <c r="E345" i="4"/>
  <c r="D345" i="4"/>
  <c r="M344" i="4"/>
  <c r="I344" i="4"/>
  <c r="H344" i="4"/>
  <c r="G344" i="4"/>
  <c r="E344" i="4"/>
  <c r="D344" i="4"/>
  <c r="M343" i="4"/>
  <c r="I343" i="4"/>
  <c r="H343" i="4"/>
  <c r="G343" i="4"/>
  <c r="E343" i="4"/>
  <c r="D343" i="4"/>
  <c r="M342" i="4"/>
  <c r="I342" i="4"/>
  <c r="H342" i="4"/>
  <c r="G342" i="4"/>
  <c r="E342" i="4"/>
  <c r="D342" i="4"/>
  <c r="M341" i="4"/>
  <c r="I341" i="4"/>
  <c r="H341" i="4"/>
  <c r="G341" i="4"/>
  <c r="E341" i="4"/>
  <c r="D341" i="4"/>
  <c r="M340" i="4"/>
  <c r="I340" i="4"/>
  <c r="H340" i="4"/>
  <c r="G340" i="4"/>
  <c r="E340" i="4"/>
  <c r="D340" i="4"/>
  <c r="M339" i="4"/>
  <c r="I339" i="4"/>
  <c r="H339" i="4"/>
  <c r="G339" i="4"/>
  <c r="E339" i="4"/>
  <c r="D339" i="4"/>
  <c r="M338" i="4"/>
  <c r="I338" i="4"/>
  <c r="H338" i="4"/>
  <c r="G338" i="4"/>
  <c r="E338" i="4"/>
  <c r="D338" i="4"/>
  <c r="M337" i="4"/>
  <c r="I337" i="4"/>
  <c r="H337" i="4"/>
  <c r="G337" i="4"/>
  <c r="E337" i="4"/>
  <c r="D337" i="4"/>
  <c r="M336" i="4"/>
  <c r="I336" i="4"/>
  <c r="H336" i="4"/>
  <c r="G336" i="4"/>
  <c r="E336" i="4"/>
  <c r="D336" i="4"/>
  <c r="M335" i="4"/>
  <c r="I335" i="4"/>
  <c r="H335" i="4"/>
  <c r="G335" i="4"/>
  <c r="E335" i="4"/>
  <c r="D335" i="4"/>
  <c r="M334" i="4"/>
  <c r="I334" i="4"/>
  <c r="H334" i="4"/>
  <c r="G334" i="4"/>
  <c r="E334" i="4"/>
  <c r="D334" i="4"/>
  <c r="M333" i="4"/>
  <c r="I333" i="4"/>
  <c r="H333" i="4"/>
  <c r="G333" i="4"/>
  <c r="E333" i="4"/>
  <c r="D333" i="4"/>
  <c r="M332" i="4"/>
  <c r="I332" i="4"/>
  <c r="H332" i="4"/>
  <c r="G332" i="4"/>
  <c r="E332" i="4"/>
  <c r="D332" i="4"/>
  <c r="M331" i="4"/>
  <c r="I331" i="4"/>
  <c r="H331" i="4"/>
  <c r="G331" i="4"/>
  <c r="E331" i="4"/>
  <c r="D331" i="4"/>
  <c r="M330" i="4"/>
  <c r="I330" i="4"/>
  <c r="H330" i="4"/>
  <c r="G330" i="4"/>
  <c r="E330" i="4"/>
  <c r="D330" i="4"/>
  <c r="M329" i="4"/>
  <c r="I329" i="4"/>
  <c r="H329" i="4"/>
  <c r="G329" i="4"/>
  <c r="E329" i="4"/>
  <c r="D329" i="4"/>
  <c r="M328" i="4"/>
  <c r="I328" i="4"/>
  <c r="H328" i="4"/>
  <c r="G328" i="4"/>
  <c r="E328" i="4"/>
  <c r="D328" i="4"/>
  <c r="M327" i="4"/>
  <c r="I327" i="4"/>
  <c r="H327" i="4"/>
  <c r="G327" i="4"/>
  <c r="E327" i="4"/>
  <c r="D327" i="4"/>
  <c r="M326" i="4"/>
  <c r="I326" i="4"/>
  <c r="H326" i="4"/>
  <c r="G326" i="4"/>
  <c r="E326" i="4"/>
  <c r="D326" i="4"/>
  <c r="M325" i="4"/>
  <c r="I325" i="4"/>
  <c r="H325" i="4"/>
  <c r="G325" i="4"/>
  <c r="E325" i="4"/>
  <c r="D325" i="4"/>
  <c r="M324" i="4"/>
  <c r="I324" i="4"/>
  <c r="H324" i="4"/>
  <c r="G324" i="4"/>
  <c r="E324" i="4"/>
  <c r="D324" i="4"/>
  <c r="M323" i="4"/>
  <c r="I323" i="4"/>
  <c r="H323" i="4"/>
  <c r="G323" i="4"/>
  <c r="E323" i="4"/>
  <c r="D323" i="4"/>
  <c r="M322" i="4"/>
  <c r="I322" i="4"/>
  <c r="H322" i="4"/>
  <c r="G322" i="4"/>
  <c r="E322" i="4"/>
  <c r="D322" i="4"/>
  <c r="M321" i="4"/>
  <c r="I321" i="4"/>
  <c r="H321" i="4"/>
  <c r="G321" i="4"/>
  <c r="E321" i="4"/>
  <c r="D321" i="4"/>
  <c r="M320" i="4"/>
  <c r="I320" i="4"/>
  <c r="H320" i="4"/>
  <c r="G320" i="4"/>
  <c r="E320" i="4"/>
  <c r="D320" i="4"/>
  <c r="M319" i="4"/>
  <c r="I319" i="4"/>
  <c r="H319" i="4"/>
  <c r="G319" i="4"/>
  <c r="E319" i="4"/>
  <c r="D319" i="4"/>
  <c r="M318" i="4"/>
  <c r="I318" i="4"/>
  <c r="H318" i="4"/>
  <c r="G318" i="4"/>
  <c r="E318" i="4"/>
  <c r="D318" i="4"/>
  <c r="M317" i="4"/>
  <c r="I317" i="4"/>
  <c r="H317" i="4"/>
  <c r="G317" i="4"/>
  <c r="E317" i="4"/>
  <c r="D317" i="4"/>
  <c r="M316" i="4"/>
  <c r="I316" i="4"/>
  <c r="H316" i="4"/>
  <c r="G316" i="4"/>
  <c r="E316" i="4"/>
  <c r="D316" i="4"/>
  <c r="M315" i="4"/>
  <c r="I315" i="4"/>
  <c r="H315" i="4"/>
  <c r="G315" i="4"/>
  <c r="E315" i="4"/>
  <c r="D315" i="4"/>
  <c r="M314" i="4"/>
  <c r="I314" i="4"/>
  <c r="H314" i="4"/>
  <c r="G314" i="4"/>
  <c r="E314" i="4"/>
  <c r="D314" i="4"/>
  <c r="M313" i="4"/>
  <c r="I313" i="4"/>
  <c r="H313" i="4"/>
  <c r="G313" i="4"/>
  <c r="E313" i="4"/>
  <c r="D313" i="4"/>
  <c r="M312" i="4"/>
  <c r="I312" i="4"/>
  <c r="H312" i="4"/>
  <c r="G312" i="4"/>
  <c r="E312" i="4"/>
  <c r="D312" i="4"/>
  <c r="M311" i="4"/>
  <c r="I311" i="4"/>
  <c r="H311" i="4"/>
  <c r="G311" i="4"/>
  <c r="E311" i="4"/>
  <c r="D311" i="4"/>
  <c r="M310" i="4"/>
  <c r="I310" i="4"/>
  <c r="H310" i="4"/>
  <c r="G310" i="4"/>
  <c r="E310" i="4"/>
  <c r="D310" i="4"/>
  <c r="M309" i="4"/>
  <c r="I309" i="4"/>
  <c r="H309" i="4"/>
  <c r="G309" i="4"/>
  <c r="E309" i="4"/>
  <c r="D309" i="4"/>
  <c r="M308" i="4"/>
  <c r="I308" i="4"/>
  <c r="H308" i="4"/>
  <c r="G308" i="4"/>
  <c r="E308" i="4"/>
  <c r="D308" i="4"/>
  <c r="M307" i="4"/>
  <c r="I307" i="4"/>
  <c r="H307" i="4"/>
  <c r="G307" i="4"/>
  <c r="E307" i="4"/>
  <c r="D307" i="4"/>
  <c r="M306" i="4"/>
  <c r="I306" i="4"/>
  <c r="H306" i="4"/>
  <c r="G306" i="4"/>
  <c r="E306" i="4"/>
  <c r="D306" i="4"/>
  <c r="M305" i="4"/>
  <c r="I305" i="4"/>
  <c r="H305" i="4"/>
  <c r="G305" i="4"/>
  <c r="E305" i="4"/>
  <c r="D305" i="4"/>
  <c r="M304" i="4"/>
  <c r="I304" i="4"/>
  <c r="H304" i="4"/>
  <c r="G304" i="4"/>
  <c r="E304" i="4"/>
  <c r="D304" i="4"/>
  <c r="M303" i="4"/>
  <c r="I303" i="4"/>
  <c r="H303" i="4"/>
  <c r="G303" i="4"/>
  <c r="E303" i="4"/>
  <c r="D303" i="4"/>
  <c r="M302" i="4"/>
  <c r="I302" i="4"/>
  <c r="H302" i="4"/>
  <c r="G302" i="4"/>
  <c r="E302" i="4"/>
  <c r="D302" i="4"/>
  <c r="M301" i="4"/>
  <c r="I301" i="4"/>
  <c r="H301" i="4"/>
  <c r="G301" i="4"/>
  <c r="E301" i="4"/>
  <c r="D301" i="4"/>
  <c r="M300" i="4"/>
  <c r="I300" i="4"/>
  <c r="H300" i="4"/>
  <c r="G300" i="4"/>
  <c r="E300" i="4"/>
  <c r="D300" i="4"/>
  <c r="M299" i="4"/>
  <c r="I299" i="4"/>
  <c r="H299" i="4"/>
  <c r="G299" i="4"/>
  <c r="E299" i="4"/>
  <c r="D299" i="4"/>
  <c r="M298" i="4"/>
  <c r="I298" i="4"/>
  <c r="H298" i="4"/>
  <c r="G298" i="4"/>
  <c r="E298" i="4"/>
  <c r="D298" i="4"/>
  <c r="M297" i="4"/>
  <c r="I297" i="4"/>
  <c r="H297" i="4"/>
  <c r="G297" i="4"/>
  <c r="E297" i="4"/>
  <c r="D297" i="4"/>
  <c r="M296" i="4"/>
  <c r="I296" i="4"/>
  <c r="H296" i="4"/>
  <c r="G296" i="4"/>
  <c r="E296" i="4"/>
  <c r="D296" i="4"/>
  <c r="M295" i="4"/>
  <c r="I295" i="4"/>
  <c r="H295" i="4"/>
  <c r="G295" i="4"/>
  <c r="E295" i="4"/>
  <c r="D295" i="4"/>
  <c r="M294" i="4"/>
  <c r="I294" i="4"/>
  <c r="H294" i="4"/>
  <c r="G294" i="4"/>
  <c r="E294" i="4"/>
  <c r="D294" i="4"/>
  <c r="M293" i="4"/>
  <c r="I293" i="4"/>
  <c r="H293" i="4"/>
  <c r="G293" i="4"/>
  <c r="E293" i="4"/>
  <c r="D293" i="4"/>
  <c r="M292" i="4"/>
  <c r="I292" i="4"/>
  <c r="H292" i="4"/>
  <c r="G292" i="4"/>
  <c r="E292" i="4"/>
  <c r="D292" i="4"/>
  <c r="M291" i="4"/>
  <c r="I291" i="4"/>
  <c r="H291" i="4"/>
  <c r="G291" i="4"/>
  <c r="E291" i="4"/>
  <c r="D291" i="4"/>
  <c r="M290" i="4"/>
  <c r="I290" i="4"/>
  <c r="H290" i="4"/>
  <c r="G290" i="4"/>
  <c r="E290" i="4"/>
  <c r="D290" i="4"/>
  <c r="M289" i="4"/>
  <c r="I289" i="4"/>
  <c r="H289" i="4"/>
  <c r="G289" i="4"/>
  <c r="E289" i="4"/>
  <c r="D289" i="4"/>
  <c r="M288" i="4"/>
  <c r="I288" i="4"/>
  <c r="H288" i="4"/>
  <c r="G288" i="4"/>
  <c r="E288" i="4"/>
  <c r="D288" i="4"/>
  <c r="M287" i="4"/>
  <c r="I287" i="4"/>
  <c r="H287" i="4"/>
  <c r="G287" i="4"/>
  <c r="E287" i="4"/>
  <c r="D287" i="4"/>
  <c r="M286" i="4"/>
  <c r="I286" i="4"/>
  <c r="H286" i="4"/>
  <c r="G286" i="4"/>
  <c r="E286" i="4"/>
  <c r="D286" i="4"/>
  <c r="M285" i="4"/>
  <c r="I285" i="4"/>
  <c r="H285" i="4"/>
  <c r="G285" i="4"/>
  <c r="E285" i="4"/>
  <c r="D285" i="4"/>
  <c r="M284" i="4"/>
  <c r="I284" i="4"/>
  <c r="H284" i="4"/>
  <c r="G284" i="4"/>
  <c r="E284" i="4"/>
  <c r="D284" i="4"/>
  <c r="M283" i="4"/>
  <c r="I283" i="4"/>
  <c r="H283" i="4"/>
  <c r="G283" i="4"/>
  <c r="E283" i="4"/>
  <c r="D283" i="4"/>
  <c r="M282" i="4"/>
  <c r="I282" i="4"/>
  <c r="H282" i="4"/>
  <c r="G282" i="4"/>
  <c r="E282" i="4"/>
  <c r="D282" i="4"/>
  <c r="M281" i="4"/>
  <c r="I281" i="4"/>
  <c r="H281" i="4"/>
  <c r="G281" i="4"/>
  <c r="E281" i="4"/>
  <c r="D281" i="4"/>
  <c r="M280" i="4"/>
  <c r="I280" i="4"/>
  <c r="H280" i="4"/>
  <c r="G280" i="4"/>
  <c r="E280" i="4"/>
  <c r="D280" i="4"/>
  <c r="M279" i="4"/>
  <c r="I279" i="4"/>
  <c r="H279" i="4"/>
  <c r="G279" i="4"/>
  <c r="E279" i="4"/>
  <c r="D279" i="4"/>
  <c r="M278" i="4"/>
  <c r="I278" i="4"/>
  <c r="H278" i="4"/>
  <c r="G278" i="4"/>
  <c r="E278" i="4"/>
  <c r="D278" i="4"/>
  <c r="M277" i="4"/>
  <c r="I277" i="4"/>
  <c r="H277" i="4"/>
  <c r="G277" i="4"/>
  <c r="E277" i="4"/>
  <c r="D277" i="4"/>
  <c r="M276" i="4"/>
  <c r="I276" i="4"/>
  <c r="H276" i="4"/>
  <c r="G276" i="4"/>
  <c r="E276" i="4"/>
  <c r="D276" i="4"/>
  <c r="M275" i="4"/>
  <c r="I275" i="4"/>
  <c r="H275" i="4"/>
  <c r="G275" i="4"/>
  <c r="E275" i="4"/>
  <c r="D275" i="4"/>
  <c r="M274" i="4"/>
  <c r="I274" i="4"/>
  <c r="H274" i="4"/>
  <c r="G274" i="4"/>
  <c r="E274" i="4"/>
  <c r="D274" i="4"/>
  <c r="M273" i="4"/>
  <c r="I273" i="4"/>
  <c r="H273" i="4"/>
  <c r="G273" i="4"/>
  <c r="E273" i="4"/>
  <c r="D273" i="4"/>
  <c r="M272" i="4"/>
  <c r="I272" i="4"/>
  <c r="H272" i="4"/>
  <c r="G272" i="4"/>
  <c r="E272" i="4"/>
  <c r="D272" i="4"/>
  <c r="M271" i="4"/>
  <c r="I271" i="4"/>
  <c r="H271" i="4"/>
  <c r="G271" i="4"/>
  <c r="E271" i="4"/>
  <c r="D271" i="4"/>
  <c r="M270" i="4"/>
  <c r="I270" i="4"/>
  <c r="H270" i="4"/>
  <c r="G270" i="4"/>
  <c r="E270" i="4"/>
  <c r="D270" i="4"/>
  <c r="M269" i="4"/>
  <c r="I269" i="4"/>
  <c r="H269" i="4"/>
  <c r="G269" i="4"/>
  <c r="E269" i="4"/>
  <c r="D269" i="4"/>
  <c r="M268" i="4"/>
  <c r="I268" i="4"/>
  <c r="H268" i="4"/>
  <c r="G268" i="4"/>
  <c r="E268" i="4"/>
  <c r="D268" i="4"/>
  <c r="M267" i="4"/>
  <c r="I267" i="4"/>
  <c r="H267" i="4"/>
  <c r="G267" i="4"/>
  <c r="E267" i="4"/>
  <c r="D267" i="4"/>
  <c r="M266" i="4"/>
  <c r="I266" i="4"/>
  <c r="H266" i="4"/>
  <c r="G266" i="4"/>
  <c r="E266" i="4"/>
  <c r="D266" i="4"/>
  <c r="M265" i="4"/>
  <c r="I265" i="4"/>
  <c r="H265" i="4"/>
  <c r="G265" i="4"/>
  <c r="E265" i="4"/>
  <c r="D265" i="4"/>
  <c r="M264" i="4"/>
  <c r="I264" i="4"/>
  <c r="H264" i="4"/>
  <c r="G264" i="4"/>
  <c r="E264" i="4"/>
  <c r="D264" i="4"/>
  <c r="M263" i="4"/>
  <c r="I263" i="4"/>
  <c r="H263" i="4"/>
  <c r="G263" i="4"/>
  <c r="E263" i="4"/>
  <c r="D263" i="4"/>
  <c r="M262" i="4"/>
  <c r="I262" i="4"/>
  <c r="H262" i="4"/>
  <c r="G262" i="4"/>
  <c r="E262" i="4"/>
  <c r="D262" i="4"/>
  <c r="M261" i="4"/>
  <c r="I261" i="4"/>
  <c r="H261" i="4"/>
  <c r="G261" i="4"/>
  <c r="E261" i="4"/>
  <c r="D261" i="4"/>
  <c r="M260" i="4"/>
  <c r="I260" i="4"/>
  <c r="H260" i="4"/>
  <c r="G260" i="4"/>
  <c r="E260" i="4"/>
  <c r="D260" i="4"/>
  <c r="M259" i="4"/>
  <c r="I259" i="4"/>
  <c r="H259" i="4"/>
  <c r="G259" i="4"/>
  <c r="E259" i="4"/>
  <c r="D259" i="4"/>
  <c r="M258" i="4"/>
  <c r="I258" i="4"/>
  <c r="H258" i="4"/>
  <c r="G258" i="4"/>
  <c r="E258" i="4"/>
  <c r="D258" i="4"/>
  <c r="M257" i="4"/>
  <c r="I257" i="4"/>
  <c r="H257" i="4"/>
  <c r="G257" i="4"/>
  <c r="E257" i="4"/>
  <c r="D257" i="4"/>
  <c r="M256" i="4"/>
  <c r="I256" i="4"/>
  <c r="H256" i="4"/>
  <c r="G256" i="4"/>
  <c r="E256" i="4"/>
  <c r="D256" i="4"/>
  <c r="M255" i="4"/>
  <c r="I255" i="4"/>
  <c r="H255" i="4"/>
  <c r="G255" i="4"/>
  <c r="E255" i="4"/>
  <c r="D255" i="4"/>
  <c r="M254" i="4"/>
  <c r="I254" i="4"/>
  <c r="H254" i="4"/>
  <c r="G254" i="4"/>
  <c r="E254" i="4"/>
  <c r="D254" i="4"/>
  <c r="M253" i="4"/>
  <c r="I253" i="4"/>
  <c r="H253" i="4"/>
  <c r="G253" i="4"/>
  <c r="E253" i="4"/>
  <c r="D253" i="4"/>
  <c r="M252" i="4"/>
  <c r="I252" i="4"/>
  <c r="H252" i="4"/>
  <c r="G252" i="4"/>
  <c r="E252" i="4"/>
  <c r="D252" i="4"/>
  <c r="M251" i="4"/>
  <c r="I251" i="4"/>
  <c r="H251" i="4"/>
  <c r="G251" i="4"/>
  <c r="E251" i="4"/>
  <c r="D251" i="4"/>
  <c r="M250" i="4"/>
  <c r="I250" i="4"/>
  <c r="H250" i="4"/>
  <c r="G250" i="4"/>
  <c r="E250" i="4"/>
  <c r="D250" i="4"/>
  <c r="M249" i="4"/>
  <c r="I249" i="4"/>
  <c r="H249" i="4"/>
  <c r="G249" i="4"/>
  <c r="E249" i="4"/>
  <c r="D249" i="4"/>
  <c r="M248" i="4"/>
  <c r="I248" i="4"/>
  <c r="H248" i="4"/>
  <c r="G248" i="4"/>
  <c r="E248" i="4"/>
  <c r="D248" i="4"/>
  <c r="M247" i="4"/>
  <c r="I247" i="4"/>
  <c r="H247" i="4"/>
  <c r="G247" i="4"/>
  <c r="E247" i="4"/>
  <c r="D247" i="4"/>
  <c r="M246" i="4"/>
  <c r="I246" i="4"/>
  <c r="H246" i="4"/>
  <c r="G246" i="4"/>
  <c r="E246" i="4"/>
  <c r="D246" i="4"/>
  <c r="M245" i="4"/>
  <c r="I245" i="4"/>
  <c r="H245" i="4"/>
  <c r="G245" i="4"/>
  <c r="E245" i="4"/>
  <c r="D245" i="4"/>
  <c r="M244" i="4"/>
  <c r="I244" i="4"/>
  <c r="H244" i="4"/>
  <c r="G244" i="4"/>
  <c r="E244" i="4"/>
  <c r="D244" i="4"/>
  <c r="M243" i="4"/>
  <c r="I243" i="4"/>
  <c r="H243" i="4"/>
  <c r="G243" i="4"/>
  <c r="E243" i="4"/>
  <c r="D243" i="4"/>
  <c r="M242" i="4"/>
  <c r="I242" i="4"/>
  <c r="H242" i="4"/>
  <c r="G242" i="4"/>
  <c r="E242" i="4"/>
  <c r="D242" i="4"/>
  <c r="M241" i="4"/>
  <c r="I241" i="4"/>
  <c r="H241" i="4"/>
  <c r="G241" i="4"/>
  <c r="E241" i="4"/>
  <c r="D241" i="4"/>
  <c r="M240" i="4"/>
  <c r="I240" i="4"/>
  <c r="H240" i="4"/>
  <c r="G240" i="4"/>
  <c r="E240" i="4"/>
  <c r="D240" i="4"/>
  <c r="M239" i="4"/>
  <c r="I239" i="4"/>
  <c r="H239" i="4"/>
  <c r="G239" i="4"/>
  <c r="E239" i="4"/>
  <c r="D239" i="4"/>
  <c r="M238" i="4"/>
  <c r="I238" i="4"/>
  <c r="H238" i="4"/>
  <c r="G238" i="4"/>
  <c r="E238" i="4"/>
  <c r="D238" i="4"/>
  <c r="M237" i="4"/>
  <c r="I237" i="4"/>
  <c r="H237" i="4"/>
  <c r="G237" i="4"/>
  <c r="E237" i="4"/>
  <c r="D237" i="4"/>
  <c r="M236" i="4"/>
  <c r="I236" i="4"/>
  <c r="H236" i="4"/>
  <c r="G236" i="4"/>
  <c r="E236" i="4"/>
  <c r="D236" i="4"/>
  <c r="M235" i="4"/>
  <c r="I235" i="4"/>
  <c r="H235" i="4"/>
  <c r="G235" i="4"/>
  <c r="E235" i="4"/>
  <c r="D235" i="4"/>
  <c r="M234" i="4"/>
  <c r="I234" i="4"/>
  <c r="H234" i="4"/>
  <c r="G234" i="4"/>
  <c r="E234" i="4"/>
  <c r="D234" i="4"/>
  <c r="M233" i="4"/>
  <c r="I233" i="4"/>
  <c r="H233" i="4"/>
  <c r="G233" i="4"/>
  <c r="E233" i="4"/>
  <c r="D233" i="4"/>
  <c r="M232" i="4"/>
  <c r="I232" i="4"/>
  <c r="H232" i="4"/>
  <c r="G232" i="4"/>
  <c r="E232" i="4"/>
  <c r="D232" i="4"/>
  <c r="M231" i="4"/>
  <c r="I231" i="4"/>
  <c r="H231" i="4"/>
  <c r="G231" i="4"/>
  <c r="E231" i="4"/>
  <c r="D231" i="4"/>
  <c r="M230" i="4"/>
  <c r="I230" i="4"/>
  <c r="H230" i="4"/>
  <c r="G230" i="4"/>
  <c r="E230" i="4"/>
  <c r="D230" i="4"/>
  <c r="M229" i="4"/>
  <c r="I229" i="4"/>
  <c r="H229" i="4"/>
  <c r="G229" i="4"/>
  <c r="E229" i="4"/>
  <c r="D229" i="4"/>
  <c r="M228" i="4"/>
  <c r="I228" i="4"/>
  <c r="H228" i="4"/>
  <c r="G228" i="4"/>
  <c r="E228" i="4"/>
  <c r="D228" i="4"/>
  <c r="M227" i="4"/>
  <c r="I227" i="4"/>
  <c r="H227" i="4"/>
  <c r="G227" i="4"/>
  <c r="E227" i="4"/>
  <c r="D227" i="4"/>
  <c r="M226" i="4"/>
  <c r="I226" i="4"/>
  <c r="H226" i="4"/>
  <c r="G226" i="4"/>
  <c r="E226" i="4"/>
  <c r="D226" i="4"/>
  <c r="M225" i="4"/>
  <c r="I225" i="4"/>
  <c r="H225" i="4"/>
  <c r="G225" i="4"/>
  <c r="E225" i="4"/>
  <c r="D225" i="4"/>
  <c r="M224" i="4"/>
  <c r="I224" i="4"/>
  <c r="H224" i="4"/>
  <c r="G224" i="4"/>
  <c r="E224" i="4"/>
  <c r="D224" i="4"/>
  <c r="M223" i="4"/>
  <c r="I223" i="4"/>
  <c r="H223" i="4"/>
  <c r="G223" i="4"/>
  <c r="E223" i="4"/>
  <c r="D223" i="4"/>
  <c r="M222" i="4"/>
  <c r="I222" i="4"/>
  <c r="H222" i="4"/>
  <c r="G222" i="4"/>
  <c r="E222" i="4"/>
  <c r="D222" i="4"/>
  <c r="M221" i="4"/>
  <c r="I221" i="4"/>
  <c r="H221" i="4"/>
  <c r="G221" i="4"/>
  <c r="E221" i="4"/>
  <c r="D221" i="4"/>
  <c r="M220" i="4"/>
  <c r="I220" i="4"/>
  <c r="H220" i="4"/>
  <c r="G220" i="4"/>
  <c r="E220" i="4"/>
  <c r="D220" i="4"/>
  <c r="M219" i="4"/>
  <c r="I219" i="4"/>
  <c r="H219" i="4"/>
  <c r="G219" i="4"/>
  <c r="E219" i="4"/>
  <c r="D219" i="4"/>
  <c r="M218" i="4"/>
  <c r="I218" i="4"/>
  <c r="H218" i="4"/>
  <c r="G218" i="4"/>
  <c r="E218" i="4"/>
  <c r="D218" i="4"/>
  <c r="M217" i="4"/>
  <c r="I217" i="4"/>
  <c r="H217" i="4"/>
  <c r="G217" i="4"/>
  <c r="E217" i="4"/>
  <c r="D217" i="4"/>
  <c r="M216" i="4"/>
  <c r="I216" i="4"/>
  <c r="H216" i="4"/>
  <c r="G216" i="4"/>
  <c r="E216" i="4"/>
  <c r="D216" i="4"/>
  <c r="M215" i="4"/>
  <c r="I215" i="4"/>
  <c r="H215" i="4"/>
  <c r="G215" i="4"/>
  <c r="E215" i="4"/>
  <c r="D215" i="4"/>
  <c r="M214" i="4"/>
  <c r="I214" i="4"/>
  <c r="H214" i="4"/>
  <c r="G214" i="4"/>
  <c r="E214" i="4"/>
  <c r="D214" i="4"/>
  <c r="M213" i="4"/>
  <c r="I213" i="4"/>
  <c r="H213" i="4"/>
  <c r="G213" i="4"/>
  <c r="E213" i="4"/>
  <c r="D213" i="4"/>
  <c r="M212" i="4"/>
  <c r="I212" i="4"/>
  <c r="H212" i="4"/>
  <c r="G212" i="4"/>
  <c r="E212" i="4"/>
  <c r="D212" i="4"/>
  <c r="M211" i="4"/>
  <c r="I211" i="4"/>
  <c r="H211" i="4"/>
  <c r="G211" i="4"/>
  <c r="E211" i="4"/>
  <c r="D211" i="4"/>
  <c r="M210" i="4"/>
  <c r="I210" i="4"/>
  <c r="H210" i="4"/>
  <c r="G210" i="4"/>
  <c r="E210" i="4"/>
  <c r="D210" i="4"/>
  <c r="M209" i="4"/>
  <c r="I209" i="4"/>
  <c r="H209" i="4"/>
  <c r="G209" i="4"/>
  <c r="E209" i="4"/>
  <c r="D209" i="4"/>
  <c r="M208" i="4"/>
  <c r="I208" i="4"/>
  <c r="H208" i="4"/>
  <c r="G208" i="4"/>
  <c r="E208" i="4"/>
  <c r="D208" i="4"/>
  <c r="M207" i="4"/>
  <c r="I207" i="4"/>
  <c r="H207" i="4"/>
  <c r="G207" i="4"/>
  <c r="E207" i="4"/>
  <c r="D207" i="4"/>
  <c r="M206" i="4"/>
  <c r="I206" i="4"/>
  <c r="H206" i="4"/>
  <c r="G206" i="4"/>
  <c r="E206" i="4"/>
  <c r="D206" i="4"/>
  <c r="M205" i="4"/>
  <c r="I205" i="4"/>
  <c r="H205" i="4"/>
  <c r="G205" i="4"/>
  <c r="E205" i="4"/>
  <c r="D205" i="4"/>
  <c r="M204" i="4"/>
  <c r="I204" i="4"/>
  <c r="H204" i="4"/>
  <c r="G204" i="4"/>
  <c r="E204" i="4"/>
  <c r="D204" i="4"/>
  <c r="M203" i="4"/>
  <c r="I203" i="4"/>
  <c r="H203" i="4"/>
  <c r="G203" i="4"/>
  <c r="E203" i="4"/>
  <c r="D203" i="4"/>
  <c r="M202" i="4"/>
  <c r="I202" i="4"/>
  <c r="H202" i="4"/>
  <c r="G202" i="4"/>
  <c r="E202" i="4"/>
  <c r="D202" i="4"/>
  <c r="M201" i="4"/>
  <c r="I201" i="4"/>
  <c r="H201" i="4"/>
  <c r="G201" i="4"/>
  <c r="E201" i="4"/>
  <c r="D201" i="4"/>
  <c r="M200" i="4"/>
  <c r="I200" i="4"/>
  <c r="H200" i="4"/>
  <c r="G200" i="4"/>
  <c r="E200" i="4"/>
  <c r="D200" i="4"/>
  <c r="M199" i="4"/>
  <c r="I199" i="4"/>
  <c r="H199" i="4"/>
  <c r="G199" i="4"/>
  <c r="E199" i="4"/>
  <c r="D199" i="4"/>
  <c r="M198" i="4"/>
  <c r="I198" i="4"/>
  <c r="H198" i="4"/>
  <c r="G198" i="4"/>
  <c r="E198" i="4"/>
  <c r="D198" i="4"/>
  <c r="M197" i="4"/>
  <c r="I197" i="4"/>
  <c r="H197" i="4"/>
  <c r="G197" i="4"/>
  <c r="E197" i="4"/>
  <c r="D197" i="4"/>
  <c r="M196" i="4"/>
  <c r="I196" i="4"/>
  <c r="H196" i="4"/>
  <c r="G196" i="4"/>
  <c r="E196" i="4"/>
  <c r="D196" i="4"/>
  <c r="M195" i="4"/>
  <c r="I195" i="4"/>
  <c r="H195" i="4"/>
  <c r="G195" i="4"/>
  <c r="E195" i="4"/>
  <c r="D195" i="4"/>
  <c r="M194" i="4"/>
  <c r="I194" i="4"/>
  <c r="H194" i="4"/>
  <c r="G194" i="4"/>
  <c r="E194" i="4"/>
  <c r="D194" i="4"/>
  <c r="M193" i="4"/>
  <c r="I193" i="4"/>
  <c r="H193" i="4"/>
  <c r="G193" i="4"/>
  <c r="E193" i="4"/>
  <c r="D193" i="4"/>
  <c r="M192" i="4"/>
  <c r="I192" i="4"/>
  <c r="H192" i="4"/>
  <c r="G192" i="4"/>
  <c r="E192" i="4"/>
  <c r="D192" i="4"/>
  <c r="M191" i="4"/>
  <c r="I191" i="4"/>
  <c r="H191" i="4"/>
  <c r="G191" i="4"/>
  <c r="E191" i="4"/>
  <c r="D191" i="4"/>
  <c r="M190" i="4"/>
  <c r="I190" i="4"/>
  <c r="H190" i="4"/>
  <c r="G190" i="4"/>
  <c r="E190" i="4"/>
  <c r="D190" i="4"/>
  <c r="M189" i="4"/>
  <c r="I189" i="4"/>
  <c r="H189" i="4"/>
  <c r="G189" i="4"/>
  <c r="E189" i="4"/>
  <c r="D189" i="4"/>
  <c r="M188" i="4"/>
  <c r="I188" i="4"/>
  <c r="H188" i="4"/>
  <c r="G188" i="4"/>
  <c r="E188" i="4"/>
  <c r="D188" i="4"/>
  <c r="M187" i="4"/>
  <c r="I187" i="4"/>
  <c r="H187" i="4"/>
  <c r="G187" i="4"/>
  <c r="E187" i="4"/>
  <c r="D187" i="4"/>
  <c r="M186" i="4"/>
  <c r="I186" i="4"/>
  <c r="H186" i="4"/>
  <c r="G186" i="4"/>
  <c r="E186" i="4"/>
  <c r="D186" i="4"/>
  <c r="M185" i="4"/>
  <c r="I185" i="4"/>
  <c r="H185" i="4"/>
  <c r="G185" i="4"/>
  <c r="E185" i="4"/>
  <c r="D185" i="4"/>
  <c r="M184" i="4"/>
  <c r="I184" i="4"/>
  <c r="H184" i="4"/>
  <c r="G184" i="4"/>
  <c r="E184" i="4"/>
  <c r="D184" i="4"/>
  <c r="M183" i="4"/>
  <c r="I183" i="4"/>
  <c r="H183" i="4"/>
  <c r="G183" i="4"/>
  <c r="E183" i="4"/>
  <c r="D183" i="4"/>
  <c r="M182" i="4"/>
  <c r="I182" i="4"/>
  <c r="H182" i="4"/>
  <c r="G182" i="4"/>
  <c r="E182" i="4"/>
  <c r="D182" i="4"/>
  <c r="M181" i="4"/>
  <c r="I181" i="4"/>
  <c r="H181" i="4"/>
  <c r="G181" i="4"/>
  <c r="E181" i="4"/>
  <c r="D181" i="4"/>
  <c r="M180" i="4"/>
  <c r="I180" i="4"/>
  <c r="H180" i="4"/>
  <c r="G180" i="4"/>
  <c r="E180" i="4"/>
  <c r="D180" i="4"/>
  <c r="M179" i="4"/>
  <c r="I179" i="4"/>
  <c r="H179" i="4"/>
  <c r="G179" i="4"/>
  <c r="E179" i="4"/>
  <c r="D179" i="4"/>
  <c r="M178" i="4"/>
  <c r="I178" i="4"/>
  <c r="H178" i="4"/>
  <c r="G178" i="4"/>
  <c r="E178" i="4"/>
  <c r="D178" i="4"/>
  <c r="M177" i="4"/>
  <c r="I177" i="4"/>
  <c r="H177" i="4"/>
  <c r="G177" i="4"/>
  <c r="E177" i="4"/>
  <c r="D177" i="4"/>
  <c r="M176" i="4"/>
  <c r="I176" i="4"/>
  <c r="H176" i="4"/>
  <c r="G176" i="4"/>
  <c r="E176" i="4"/>
  <c r="D176" i="4"/>
  <c r="M175" i="4"/>
  <c r="I175" i="4"/>
  <c r="H175" i="4"/>
  <c r="G175" i="4"/>
  <c r="E175" i="4"/>
  <c r="D175" i="4"/>
  <c r="M174" i="4"/>
  <c r="I174" i="4"/>
  <c r="H174" i="4"/>
  <c r="G174" i="4"/>
  <c r="E174" i="4"/>
  <c r="D174" i="4"/>
  <c r="M173" i="4"/>
  <c r="I173" i="4"/>
  <c r="H173" i="4"/>
  <c r="G173" i="4"/>
  <c r="E173" i="4"/>
  <c r="D173" i="4"/>
  <c r="M172" i="4"/>
  <c r="I172" i="4"/>
  <c r="H172" i="4"/>
  <c r="G172" i="4"/>
  <c r="E172" i="4"/>
  <c r="D172" i="4"/>
  <c r="M171" i="4"/>
  <c r="I171" i="4"/>
  <c r="H171" i="4"/>
  <c r="G171" i="4"/>
  <c r="E171" i="4"/>
  <c r="D171" i="4"/>
  <c r="M170" i="4"/>
  <c r="I170" i="4"/>
  <c r="H170" i="4"/>
  <c r="G170" i="4"/>
  <c r="E170" i="4"/>
  <c r="D170" i="4"/>
  <c r="M169" i="4"/>
  <c r="I169" i="4"/>
  <c r="H169" i="4"/>
  <c r="G169" i="4"/>
  <c r="E169" i="4"/>
  <c r="D169" i="4"/>
  <c r="M168" i="4"/>
  <c r="I168" i="4"/>
  <c r="H168" i="4"/>
  <c r="G168" i="4"/>
  <c r="E168" i="4"/>
  <c r="D168" i="4"/>
  <c r="M167" i="4"/>
  <c r="I167" i="4"/>
  <c r="H167" i="4"/>
  <c r="G167" i="4"/>
  <c r="E167" i="4"/>
  <c r="D167" i="4"/>
  <c r="M166" i="4"/>
  <c r="I166" i="4"/>
  <c r="H166" i="4"/>
  <c r="G166" i="4"/>
  <c r="E166" i="4"/>
  <c r="D166" i="4"/>
  <c r="M165" i="4"/>
  <c r="I165" i="4"/>
  <c r="H165" i="4"/>
  <c r="G165" i="4"/>
  <c r="E165" i="4"/>
  <c r="D165" i="4"/>
  <c r="M164" i="4"/>
  <c r="I164" i="4"/>
  <c r="H164" i="4"/>
  <c r="G164" i="4"/>
  <c r="E164" i="4"/>
  <c r="D164" i="4"/>
  <c r="M163" i="4"/>
  <c r="I163" i="4"/>
  <c r="H163" i="4"/>
  <c r="G163" i="4"/>
  <c r="E163" i="4"/>
  <c r="D163" i="4"/>
  <c r="M162" i="4"/>
  <c r="I162" i="4"/>
  <c r="H162" i="4"/>
  <c r="G162" i="4"/>
  <c r="E162" i="4"/>
  <c r="D162" i="4"/>
  <c r="M161" i="4"/>
  <c r="I161" i="4"/>
  <c r="H161" i="4"/>
  <c r="G161" i="4"/>
  <c r="E161" i="4"/>
  <c r="D161" i="4"/>
  <c r="M160" i="4"/>
  <c r="I160" i="4"/>
  <c r="H160" i="4"/>
  <c r="G160" i="4"/>
  <c r="E160" i="4"/>
  <c r="D160" i="4"/>
  <c r="M159" i="4"/>
  <c r="I159" i="4"/>
  <c r="H159" i="4"/>
  <c r="G159" i="4"/>
  <c r="E159" i="4"/>
  <c r="D159" i="4"/>
  <c r="M158" i="4"/>
  <c r="I158" i="4"/>
  <c r="H158" i="4"/>
  <c r="G158" i="4"/>
  <c r="E158" i="4"/>
  <c r="D158" i="4"/>
  <c r="M157" i="4"/>
  <c r="I157" i="4"/>
  <c r="H157" i="4"/>
  <c r="G157" i="4"/>
  <c r="E157" i="4"/>
  <c r="D157" i="4"/>
  <c r="M156" i="4"/>
  <c r="I156" i="4"/>
  <c r="H156" i="4"/>
  <c r="G156" i="4"/>
  <c r="E156" i="4"/>
  <c r="D156" i="4"/>
  <c r="M155" i="4"/>
  <c r="I155" i="4"/>
  <c r="H155" i="4"/>
  <c r="G155" i="4"/>
  <c r="E155" i="4"/>
  <c r="D155" i="4"/>
  <c r="M154" i="4"/>
  <c r="I154" i="4"/>
  <c r="H154" i="4"/>
  <c r="G154" i="4"/>
  <c r="E154" i="4"/>
  <c r="D154" i="4"/>
  <c r="M153" i="4"/>
  <c r="I153" i="4"/>
  <c r="H153" i="4"/>
  <c r="G153" i="4"/>
  <c r="E153" i="4"/>
  <c r="D153" i="4"/>
  <c r="M152" i="4"/>
  <c r="I152" i="4"/>
  <c r="H152" i="4"/>
  <c r="G152" i="4"/>
  <c r="E152" i="4"/>
  <c r="D152" i="4"/>
  <c r="M151" i="4"/>
  <c r="I151" i="4"/>
  <c r="H151" i="4"/>
  <c r="G151" i="4"/>
  <c r="E151" i="4"/>
  <c r="D151" i="4"/>
  <c r="M150" i="4"/>
  <c r="I150" i="4"/>
  <c r="H150" i="4"/>
  <c r="G150" i="4"/>
  <c r="E150" i="4"/>
  <c r="D150" i="4"/>
  <c r="M149" i="4"/>
  <c r="I149" i="4"/>
  <c r="H149" i="4"/>
  <c r="G149" i="4"/>
  <c r="E149" i="4"/>
  <c r="D149" i="4"/>
  <c r="M148" i="4"/>
  <c r="I148" i="4"/>
  <c r="H148" i="4"/>
  <c r="G148" i="4"/>
  <c r="E148" i="4"/>
  <c r="D148" i="4"/>
  <c r="M147" i="4"/>
  <c r="I147" i="4"/>
  <c r="H147" i="4"/>
  <c r="G147" i="4"/>
  <c r="E147" i="4"/>
  <c r="D147" i="4"/>
  <c r="M146" i="4"/>
  <c r="I146" i="4"/>
  <c r="H146" i="4"/>
  <c r="G146" i="4"/>
  <c r="E146" i="4"/>
  <c r="D146" i="4"/>
  <c r="M145" i="4"/>
  <c r="I145" i="4"/>
  <c r="H145" i="4"/>
  <c r="G145" i="4"/>
  <c r="E145" i="4"/>
  <c r="D145" i="4"/>
  <c r="M144" i="4"/>
  <c r="I144" i="4"/>
  <c r="H144" i="4"/>
  <c r="G144" i="4"/>
  <c r="E144" i="4"/>
  <c r="D144" i="4"/>
  <c r="M143" i="4"/>
  <c r="I143" i="4"/>
  <c r="H143" i="4"/>
  <c r="G143" i="4"/>
  <c r="E143" i="4"/>
  <c r="D143" i="4"/>
  <c r="M142" i="4"/>
  <c r="I142" i="4"/>
  <c r="H142" i="4"/>
  <c r="G142" i="4"/>
  <c r="E142" i="4"/>
  <c r="D142" i="4"/>
  <c r="M141" i="4"/>
  <c r="I141" i="4"/>
  <c r="H141" i="4"/>
  <c r="G141" i="4"/>
  <c r="E141" i="4"/>
  <c r="D141" i="4"/>
  <c r="M140" i="4"/>
  <c r="I140" i="4"/>
  <c r="H140" i="4"/>
  <c r="G140" i="4"/>
  <c r="E140" i="4"/>
  <c r="D140" i="4"/>
  <c r="M139" i="4"/>
  <c r="I139" i="4"/>
  <c r="H139" i="4"/>
  <c r="G139" i="4"/>
  <c r="E139" i="4"/>
  <c r="D139" i="4"/>
  <c r="M138" i="4"/>
  <c r="I138" i="4"/>
  <c r="H138" i="4"/>
  <c r="G138" i="4"/>
  <c r="E138" i="4"/>
  <c r="D138" i="4"/>
  <c r="M137" i="4"/>
  <c r="I137" i="4"/>
  <c r="H137" i="4"/>
  <c r="G137" i="4"/>
  <c r="E137" i="4"/>
  <c r="D137" i="4"/>
  <c r="M136" i="4"/>
  <c r="I136" i="4"/>
  <c r="H136" i="4"/>
  <c r="G136" i="4"/>
  <c r="E136" i="4"/>
  <c r="D136" i="4"/>
  <c r="M135" i="4"/>
  <c r="I135" i="4"/>
  <c r="H135" i="4"/>
  <c r="G135" i="4"/>
  <c r="E135" i="4"/>
  <c r="D135" i="4"/>
  <c r="M134" i="4"/>
  <c r="I134" i="4"/>
  <c r="H134" i="4"/>
  <c r="G134" i="4"/>
  <c r="E134" i="4"/>
  <c r="D134" i="4"/>
  <c r="M133" i="4"/>
  <c r="I133" i="4"/>
  <c r="H133" i="4"/>
  <c r="G133" i="4"/>
  <c r="E133" i="4"/>
  <c r="D133" i="4"/>
  <c r="M132" i="4"/>
  <c r="I132" i="4"/>
  <c r="H132" i="4"/>
  <c r="G132" i="4"/>
  <c r="E132" i="4"/>
  <c r="D132" i="4"/>
  <c r="M131" i="4"/>
  <c r="I131" i="4"/>
  <c r="H131" i="4"/>
  <c r="G131" i="4"/>
  <c r="E131" i="4"/>
  <c r="D131" i="4"/>
  <c r="M130" i="4"/>
  <c r="I130" i="4"/>
  <c r="H130" i="4"/>
  <c r="G130" i="4"/>
  <c r="E130" i="4"/>
  <c r="D130" i="4"/>
  <c r="M129" i="4"/>
  <c r="I129" i="4"/>
  <c r="H129" i="4"/>
  <c r="G129" i="4"/>
  <c r="E129" i="4"/>
  <c r="D129" i="4"/>
  <c r="M128" i="4"/>
  <c r="I128" i="4"/>
  <c r="H128" i="4"/>
  <c r="G128" i="4"/>
  <c r="E128" i="4"/>
  <c r="D128" i="4"/>
  <c r="M127" i="4"/>
  <c r="I127" i="4"/>
  <c r="H127" i="4"/>
  <c r="G127" i="4"/>
  <c r="E127" i="4"/>
  <c r="D127" i="4"/>
  <c r="M126" i="4"/>
  <c r="I126" i="4"/>
  <c r="H126" i="4"/>
  <c r="G126" i="4"/>
  <c r="E126" i="4"/>
  <c r="D126" i="4"/>
  <c r="M125" i="4"/>
  <c r="I125" i="4"/>
  <c r="H125" i="4"/>
  <c r="G125" i="4"/>
  <c r="E125" i="4"/>
  <c r="D125" i="4"/>
  <c r="M124" i="4"/>
  <c r="I124" i="4"/>
  <c r="H124" i="4"/>
  <c r="G124" i="4"/>
  <c r="E124" i="4"/>
  <c r="D124" i="4"/>
  <c r="M123" i="4"/>
  <c r="I123" i="4"/>
  <c r="H123" i="4"/>
  <c r="G123" i="4"/>
  <c r="E123" i="4"/>
  <c r="D123" i="4"/>
  <c r="M122" i="4"/>
  <c r="I122" i="4"/>
  <c r="H122" i="4"/>
  <c r="G122" i="4"/>
  <c r="E122" i="4"/>
  <c r="D122" i="4"/>
  <c r="M121" i="4"/>
  <c r="I121" i="4"/>
  <c r="H121" i="4"/>
  <c r="G121" i="4"/>
  <c r="E121" i="4"/>
  <c r="D121" i="4"/>
  <c r="M120" i="4"/>
  <c r="I120" i="4"/>
  <c r="H120" i="4"/>
  <c r="G120" i="4"/>
  <c r="E120" i="4"/>
  <c r="D120" i="4"/>
  <c r="M119" i="4"/>
  <c r="I119" i="4"/>
  <c r="H119" i="4"/>
  <c r="G119" i="4"/>
  <c r="E119" i="4"/>
  <c r="D119" i="4"/>
  <c r="M118" i="4"/>
  <c r="I118" i="4"/>
  <c r="H118" i="4"/>
  <c r="G118" i="4"/>
  <c r="E118" i="4"/>
  <c r="D118" i="4"/>
  <c r="M117" i="4"/>
  <c r="I117" i="4"/>
  <c r="H117" i="4"/>
  <c r="G117" i="4"/>
  <c r="E117" i="4"/>
  <c r="D117" i="4"/>
  <c r="M116" i="4"/>
  <c r="I116" i="4"/>
  <c r="H116" i="4"/>
  <c r="G116" i="4"/>
  <c r="E116" i="4"/>
  <c r="D116" i="4"/>
  <c r="M115" i="4"/>
  <c r="I115" i="4"/>
  <c r="H115" i="4"/>
  <c r="G115" i="4"/>
  <c r="E115" i="4"/>
  <c r="D115" i="4"/>
  <c r="M114" i="4"/>
  <c r="I114" i="4"/>
  <c r="H114" i="4"/>
  <c r="G114" i="4"/>
  <c r="E114" i="4"/>
  <c r="D114" i="4"/>
  <c r="M113" i="4"/>
  <c r="I113" i="4"/>
  <c r="H113" i="4"/>
  <c r="G113" i="4"/>
  <c r="E113" i="4"/>
  <c r="D113" i="4"/>
  <c r="M112" i="4"/>
  <c r="I112" i="4"/>
  <c r="H112" i="4"/>
  <c r="G112" i="4"/>
  <c r="E112" i="4"/>
  <c r="D112" i="4"/>
  <c r="M111" i="4"/>
  <c r="I111" i="4"/>
  <c r="H111" i="4"/>
  <c r="G111" i="4"/>
  <c r="E111" i="4"/>
  <c r="D111" i="4"/>
  <c r="M110" i="4"/>
  <c r="I110" i="4"/>
  <c r="H110" i="4"/>
  <c r="G110" i="4"/>
  <c r="E110" i="4"/>
  <c r="D110" i="4"/>
  <c r="M109" i="4"/>
  <c r="I109" i="4"/>
  <c r="H109" i="4"/>
  <c r="G109" i="4"/>
  <c r="E109" i="4"/>
  <c r="D109" i="4"/>
  <c r="M108" i="4"/>
  <c r="I108" i="4"/>
  <c r="H108" i="4"/>
  <c r="G108" i="4"/>
  <c r="E108" i="4"/>
  <c r="D108" i="4"/>
  <c r="M107" i="4"/>
  <c r="I107" i="4"/>
  <c r="H107" i="4"/>
  <c r="G107" i="4"/>
  <c r="E107" i="4"/>
  <c r="D107" i="4"/>
  <c r="M106" i="4"/>
  <c r="I106" i="4"/>
  <c r="H106" i="4"/>
  <c r="G106" i="4"/>
  <c r="E106" i="4"/>
  <c r="D106" i="4"/>
  <c r="M105" i="4"/>
  <c r="I105" i="4"/>
  <c r="H105" i="4"/>
  <c r="G105" i="4"/>
  <c r="E105" i="4"/>
  <c r="D105" i="4"/>
  <c r="M104" i="4"/>
  <c r="I104" i="4"/>
  <c r="H104" i="4"/>
  <c r="G104" i="4"/>
  <c r="E104" i="4"/>
  <c r="D104" i="4"/>
  <c r="M103" i="4"/>
  <c r="I103" i="4"/>
  <c r="H103" i="4"/>
  <c r="G103" i="4"/>
  <c r="E103" i="4"/>
  <c r="D103" i="4"/>
  <c r="M102" i="4"/>
  <c r="I102" i="4"/>
  <c r="H102" i="4"/>
  <c r="G102" i="4"/>
  <c r="E102" i="4"/>
  <c r="D102" i="4"/>
  <c r="M101" i="4"/>
  <c r="I101" i="4"/>
  <c r="H101" i="4"/>
  <c r="G101" i="4"/>
  <c r="E101" i="4"/>
  <c r="D101" i="4"/>
  <c r="M100" i="4"/>
  <c r="I100" i="4"/>
  <c r="H100" i="4"/>
  <c r="G100" i="4"/>
  <c r="E100" i="4"/>
  <c r="D100" i="4"/>
  <c r="M99" i="4"/>
  <c r="I99" i="4"/>
  <c r="H99" i="4"/>
  <c r="G99" i="4"/>
  <c r="E99" i="4"/>
  <c r="D99" i="4"/>
  <c r="M98" i="4"/>
  <c r="I98" i="4"/>
  <c r="H98" i="4"/>
  <c r="G98" i="4"/>
  <c r="E98" i="4"/>
  <c r="D98" i="4"/>
  <c r="M97" i="4"/>
  <c r="I97" i="4"/>
  <c r="H97" i="4"/>
  <c r="G97" i="4"/>
  <c r="E97" i="4"/>
  <c r="D97" i="4"/>
  <c r="M96" i="4"/>
  <c r="I96" i="4"/>
  <c r="H96" i="4"/>
  <c r="G96" i="4"/>
  <c r="E96" i="4"/>
  <c r="D96" i="4"/>
  <c r="M95" i="4"/>
  <c r="I95" i="4"/>
  <c r="H95" i="4"/>
  <c r="G95" i="4"/>
  <c r="E95" i="4"/>
  <c r="D95" i="4"/>
  <c r="M94" i="4"/>
  <c r="I94" i="4"/>
  <c r="H94" i="4"/>
  <c r="G94" i="4"/>
  <c r="E94" i="4"/>
  <c r="D94" i="4"/>
  <c r="M93" i="4"/>
  <c r="I93" i="4"/>
  <c r="H93" i="4"/>
  <c r="G93" i="4"/>
  <c r="E93" i="4"/>
  <c r="D93" i="4"/>
  <c r="M92" i="4"/>
  <c r="I92" i="4"/>
  <c r="H92" i="4"/>
  <c r="G92" i="4"/>
  <c r="E92" i="4"/>
  <c r="D92" i="4"/>
  <c r="M91" i="4"/>
  <c r="I91" i="4"/>
  <c r="H91" i="4"/>
  <c r="G91" i="4"/>
  <c r="E91" i="4"/>
  <c r="D91" i="4"/>
  <c r="M90" i="4"/>
  <c r="I90" i="4"/>
  <c r="H90" i="4"/>
  <c r="G90" i="4"/>
  <c r="E90" i="4"/>
  <c r="D90" i="4"/>
  <c r="M89" i="4"/>
  <c r="I89" i="4"/>
  <c r="H89" i="4"/>
  <c r="G89" i="4"/>
  <c r="E89" i="4"/>
  <c r="D89" i="4"/>
  <c r="M88" i="4"/>
  <c r="I88" i="4"/>
  <c r="H88" i="4"/>
  <c r="G88" i="4"/>
  <c r="E88" i="4"/>
  <c r="D88" i="4"/>
  <c r="M87" i="4"/>
  <c r="I87" i="4"/>
  <c r="H87" i="4"/>
  <c r="G87" i="4"/>
  <c r="E87" i="4"/>
  <c r="D87" i="4"/>
  <c r="M86" i="4"/>
  <c r="I86" i="4"/>
  <c r="H86" i="4"/>
  <c r="G86" i="4"/>
  <c r="E86" i="4"/>
  <c r="D86" i="4"/>
  <c r="M85" i="4"/>
  <c r="I85" i="4"/>
  <c r="H85" i="4"/>
  <c r="G85" i="4"/>
  <c r="E85" i="4"/>
  <c r="D85" i="4"/>
  <c r="M84" i="4"/>
  <c r="I84" i="4"/>
  <c r="H84" i="4"/>
  <c r="G84" i="4"/>
  <c r="E84" i="4"/>
  <c r="D84" i="4"/>
  <c r="M83" i="4"/>
  <c r="I83" i="4"/>
  <c r="H83" i="4"/>
  <c r="G83" i="4"/>
  <c r="E83" i="4"/>
  <c r="D83" i="4"/>
  <c r="M82" i="4"/>
  <c r="I82" i="4"/>
  <c r="H82" i="4"/>
  <c r="G82" i="4"/>
  <c r="E82" i="4"/>
  <c r="D82" i="4"/>
  <c r="M81" i="4"/>
  <c r="I81" i="4"/>
  <c r="H81" i="4"/>
  <c r="G81" i="4"/>
  <c r="E81" i="4"/>
  <c r="D81" i="4"/>
  <c r="M80" i="4"/>
  <c r="I80" i="4"/>
  <c r="H80" i="4"/>
  <c r="G80" i="4"/>
  <c r="E80" i="4"/>
  <c r="D80" i="4"/>
  <c r="M79" i="4"/>
  <c r="I79" i="4"/>
  <c r="H79" i="4"/>
  <c r="G79" i="4"/>
  <c r="E79" i="4"/>
  <c r="D79" i="4"/>
  <c r="M78" i="4"/>
  <c r="I78" i="4"/>
  <c r="H78" i="4"/>
  <c r="G78" i="4"/>
  <c r="E78" i="4"/>
  <c r="D78" i="4"/>
  <c r="M77" i="4"/>
  <c r="I77" i="4"/>
  <c r="H77" i="4"/>
  <c r="G77" i="4"/>
  <c r="E77" i="4"/>
  <c r="D77" i="4"/>
  <c r="M76" i="4"/>
  <c r="I76" i="4"/>
  <c r="H76" i="4"/>
  <c r="G76" i="4"/>
  <c r="E76" i="4"/>
  <c r="D76" i="4"/>
  <c r="M75" i="4"/>
  <c r="I75" i="4"/>
  <c r="H75" i="4"/>
  <c r="G75" i="4"/>
  <c r="E75" i="4"/>
  <c r="D75" i="4"/>
  <c r="M74" i="4"/>
  <c r="I74" i="4"/>
  <c r="H74" i="4"/>
  <c r="G74" i="4"/>
  <c r="E74" i="4"/>
  <c r="D74" i="4"/>
  <c r="M73" i="4"/>
  <c r="I73" i="4"/>
  <c r="H73" i="4"/>
  <c r="G73" i="4"/>
  <c r="E73" i="4"/>
  <c r="D73" i="4"/>
  <c r="M72" i="4"/>
  <c r="I72" i="4"/>
  <c r="H72" i="4"/>
  <c r="G72" i="4"/>
  <c r="E72" i="4"/>
  <c r="D72" i="4"/>
  <c r="M71" i="4"/>
  <c r="I71" i="4"/>
  <c r="H71" i="4"/>
  <c r="G71" i="4"/>
  <c r="E71" i="4"/>
  <c r="D71" i="4"/>
  <c r="M70" i="4"/>
  <c r="I70" i="4"/>
  <c r="H70" i="4"/>
  <c r="G70" i="4"/>
  <c r="E70" i="4"/>
  <c r="D70" i="4"/>
  <c r="M69" i="4"/>
  <c r="I69" i="4"/>
  <c r="H69" i="4"/>
  <c r="G69" i="4"/>
  <c r="E69" i="4"/>
  <c r="D69" i="4"/>
  <c r="M68" i="4"/>
  <c r="I68" i="4"/>
  <c r="H68" i="4"/>
  <c r="G68" i="4"/>
  <c r="E68" i="4"/>
  <c r="D68" i="4"/>
  <c r="M67" i="4"/>
  <c r="I67" i="4"/>
  <c r="H67" i="4"/>
  <c r="G67" i="4"/>
  <c r="E67" i="4"/>
  <c r="D67" i="4"/>
  <c r="M66" i="4"/>
  <c r="I66" i="4"/>
  <c r="H66" i="4"/>
  <c r="G66" i="4"/>
  <c r="E66" i="4"/>
  <c r="D66" i="4"/>
  <c r="M65" i="4"/>
  <c r="I65" i="4"/>
  <c r="H65" i="4"/>
  <c r="G65" i="4"/>
  <c r="E65" i="4"/>
  <c r="D65" i="4"/>
  <c r="M64" i="4"/>
  <c r="I64" i="4"/>
  <c r="H64" i="4"/>
  <c r="G64" i="4"/>
  <c r="E64" i="4"/>
  <c r="D64" i="4"/>
  <c r="M63" i="4"/>
  <c r="I63" i="4"/>
  <c r="H63" i="4"/>
  <c r="G63" i="4"/>
  <c r="E63" i="4"/>
  <c r="D63" i="4"/>
  <c r="M62" i="4"/>
  <c r="I62" i="4"/>
  <c r="H62" i="4"/>
  <c r="G62" i="4"/>
  <c r="E62" i="4"/>
  <c r="D62" i="4"/>
  <c r="M61" i="4"/>
  <c r="I61" i="4"/>
  <c r="H61" i="4"/>
  <c r="G61" i="4"/>
  <c r="E61" i="4"/>
  <c r="D61" i="4"/>
  <c r="M60" i="4"/>
  <c r="I60" i="4"/>
  <c r="H60" i="4"/>
  <c r="G60" i="4"/>
  <c r="E60" i="4"/>
  <c r="D60" i="4"/>
  <c r="M59" i="4"/>
  <c r="I59" i="4"/>
  <c r="H59" i="4"/>
  <c r="G59" i="4"/>
  <c r="E59" i="4"/>
  <c r="D59" i="4"/>
  <c r="M58" i="4"/>
  <c r="I58" i="4"/>
  <c r="H58" i="4"/>
  <c r="G58" i="4"/>
  <c r="E58" i="4"/>
  <c r="D58" i="4"/>
  <c r="M57" i="4"/>
  <c r="I57" i="4"/>
  <c r="H57" i="4"/>
  <c r="G57" i="4"/>
  <c r="E57" i="4"/>
  <c r="D57" i="4"/>
  <c r="M56" i="4"/>
  <c r="I56" i="4"/>
  <c r="H56" i="4"/>
  <c r="G56" i="4"/>
  <c r="E56" i="4"/>
  <c r="D56" i="4"/>
  <c r="M55" i="4"/>
  <c r="I55" i="4"/>
  <c r="H55" i="4"/>
  <c r="G55" i="4"/>
  <c r="E55" i="4"/>
  <c r="D55" i="4"/>
  <c r="M54" i="4"/>
  <c r="I54" i="4"/>
  <c r="H54" i="4"/>
  <c r="G54" i="4"/>
  <c r="E54" i="4"/>
  <c r="D54" i="4"/>
  <c r="M53" i="4"/>
  <c r="I53" i="4"/>
  <c r="H53" i="4"/>
  <c r="G53" i="4"/>
  <c r="E53" i="4"/>
  <c r="D53" i="4"/>
  <c r="M52" i="4"/>
  <c r="I52" i="4"/>
  <c r="H52" i="4"/>
  <c r="G52" i="4"/>
  <c r="E52" i="4"/>
  <c r="D52" i="4"/>
  <c r="M51" i="4"/>
  <c r="I51" i="4"/>
  <c r="H51" i="4"/>
  <c r="G51" i="4"/>
  <c r="E51" i="4"/>
  <c r="D51" i="4"/>
  <c r="M50" i="4"/>
  <c r="I50" i="4"/>
  <c r="H50" i="4"/>
  <c r="G50" i="4"/>
  <c r="E50" i="4"/>
  <c r="D50" i="4"/>
  <c r="M49" i="4"/>
  <c r="I49" i="4"/>
  <c r="H49" i="4"/>
  <c r="G49" i="4"/>
  <c r="E49" i="4"/>
  <c r="D49" i="4"/>
  <c r="M48" i="4"/>
  <c r="I48" i="4"/>
  <c r="H48" i="4"/>
  <c r="G48" i="4"/>
  <c r="E48" i="4"/>
  <c r="D48" i="4"/>
  <c r="M47" i="4"/>
  <c r="I47" i="4"/>
  <c r="H47" i="4"/>
  <c r="G47" i="4"/>
  <c r="E47" i="4"/>
  <c r="D47" i="4"/>
  <c r="M46" i="4"/>
  <c r="I46" i="4"/>
  <c r="H46" i="4"/>
  <c r="G46" i="4"/>
  <c r="E46" i="4"/>
  <c r="D46" i="4"/>
  <c r="M45" i="4"/>
  <c r="I45" i="4"/>
  <c r="H45" i="4"/>
  <c r="G45" i="4"/>
  <c r="E45" i="4"/>
  <c r="D45" i="4"/>
  <c r="M44" i="4"/>
  <c r="I44" i="4"/>
  <c r="H44" i="4"/>
  <c r="G44" i="4"/>
  <c r="E44" i="4"/>
  <c r="D44" i="4"/>
  <c r="M43" i="4"/>
  <c r="I43" i="4"/>
  <c r="H43" i="4"/>
  <c r="G43" i="4"/>
  <c r="E43" i="4"/>
  <c r="D43" i="4"/>
  <c r="M42" i="4"/>
  <c r="I42" i="4"/>
  <c r="H42" i="4"/>
  <c r="G42" i="4"/>
  <c r="E42" i="4"/>
  <c r="D42" i="4"/>
  <c r="M41" i="4"/>
  <c r="I41" i="4"/>
  <c r="H41" i="4"/>
  <c r="G41" i="4"/>
  <c r="E41" i="4"/>
  <c r="D41" i="4"/>
  <c r="M40" i="4"/>
  <c r="I40" i="4"/>
  <c r="H40" i="4"/>
  <c r="G40" i="4"/>
  <c r="E40" i="4"/>
  <c r="D40" i="4"/>
  <c r="M39" i="4"/>
  <c r="I39" i="4"/>
  <c r="H39" i="4"/>
  <c r="G39" i="4"/>
  <c r="E39" i="4"/>
  <c r="D39" i="4"/>
  <c r="M38" i="4"/>
  <c r="I38" i="4"/>
  <c r="H38" i="4"/>
  <c r="G38" i="4"/>
  <c r="E38" i="4"/>
  <c r="D38" i="4"/>
  <c r="M37" i="4"/>
  <c r="I37" i="4"/>
  <c r="H37" i="4"/>
  <c r="G37" i="4"/>
  <c r="E37" i="4"/>
  <c r="D37" i="4"/>
  <c r="M36" i="4"/>
  <c r="I36" i="4"/>
  <c r="H36" i="4"/>
  <c r="G36" i="4"/>
  <c r="E36" i="4"/>
  <c r="D36" i="4"/>
  <c r="M35" i="4"/>
  <c r="I35" i="4"/>
  <c r="H35" i="4"/>
  <c r="G35" i="4"/>
  <c r="E35" i="4"/>
  <c r="D35" i="4"/>
  <c r="M34" i="4"/>
  <c r="I34" i="4"/>
  <c r="H34" i="4"/>
  <c r="G34" i="4"/>
  <c r="E34" i="4"/>
  <c r="D34" i="4"/>
  <c r="M33" i="4"/>
  <c r="I33" i="4"/>
  <c r="H33" i="4"/>
  <c r="G33" i="4"/>
  <c r="E33" i="4"/>
  <c r="D33" i="4"/>
  <c r="M32" i="4"/>
  <c r="I32" i="4"/>
  <c r="H32" i="4"/>
  <c r="G32" i="4"/>
  <c r="E32" i="4"/>
  <c r="D32" i="4"/>
  <c r="M31" i="4"/>
  <c r="I31" i="4"/>
  <c r="H31" i="4"/>
  <c r="G31" i="4"/>
  <c r="E31" i="4"/>
  <c r="D31" i="4"/>
  <c r="M30" i="4"/>
  <c r="I30" i="4"/>
  <c r="H30" i="4"/>
  <c r="G30" i="4"/>
  <c r="E30" i="4"/>
  <c r="D30" i="4"/>
  <c r="M29" i="4"/>
  <c r="I29" i="4"/>
  <c r="H29" i="4"/>
  <c r="G29" i="4"/>
  <c r="E29" i="4"/>
  <c r="D29" i="4"/>
  <c r="M28" i="4"/>
  <c r="I28" i="4"/>
  <c r="H28" i="4"/>
  <c r="G28" i="4"/>
  <c r="E28" i="4"/>
  <c r="D28" i="4"/>
  <c r="M27" i="4"/>
  <c r="I27" i="4"/>
  <c r="H27" i="4"/>
  <c r="G27" i="4"/>
  <c r="E27" i="4"/>
  <c r="D27" i="4"/>
  <c r="M26" i="4"/>
  <c r="I26" i="4"/>
  <c r="H26" i="4"/>
  <c r="G26" i="4"/>
  <c r="E26" i="4"/>
  <c r="D26" i="4"/>
  <c r="M25" i="4"/>
  <c r="I25" i="4"/>
  <c r="H25" i="4"/>
  <c r="G25" i="4"/>
  <c r="E25" i="4"/>
  <c r="D25" i="4"/>
  <c r="M24" i="4"/>
  <c r="I24" i="4"/>
  <c r="H24" i="4"/>
  <c r="G24" i="4"/>
  <c r="E24" i="4"/>
  <c r="D24" i="4"/>
  <c r="M23" i="4"/>
  <c r="I23" i="4"/>
  <c r="H23" i="4"/>
  <c r="G23" i="4"/>
  <c r="E23" i="4"/>
  <c r="D23" i="4"/>
  <c r="M22" i="4"/>
  <c r="I22" i="4"/>
  <c r="H22" i="4"/>
  <c r="G22" i="4"/>
  <c r="E22" i="4"/>
  <c r="D22" i="4"/>
  <c r="M21" i="4"/>
  <c r="I21" i="4"/>
  <c r="H21" i="4"/>
  <c r="G21" i="4"/>
  <c r="E21" i="4"/>
  <c r="D21" i="4"/>
  <c r="M20" i="4"/>
  <c r="I20" i="4"/>
  <c r="H20" i="4"/>
  <c r="G20" i="4"/>
  <c r="E20" i="4"/>
  <c r="D20" i="4"/>
  <c r="M19" i="4"/>
  <c r="I19" i="4"/>
  <c r="H19" i="4"/>
  <c r="G19" i="4"/>
  <c r="E19" i="4"/>
  <c r="D19" i="4"/>
  <c r="M18" i="4"/>
  <c r="I18" i="4"/>
  <c r="G18" i="4"/>
  <c r="H18" i="4" s="1"/>
  <c r="E18" i="4"/>
  <c r="D18" i="4"/>
  <c r="M17" i="4"/>
  <c r="I17" i="4"/>
  <c r="G17" i="4"/>
  <c r="H17" i="4" s="1"/>
  <c r="E17" i="4"/>
  <c r="D17" i="4"/>
  <c r="M16" i="4"/>
  <c r="I16" i="4"/>
  <c r="G16" i="4"/>
  <c r="H16" i="4" s="1"/>
  <c r="E16" i="4"/>
  <c r="D16" i="4"/>
  <c r="M15" i="4"/>
  <c r="I15" i="4"/>
  <c r="G15" i="4"/>
  <c r="H15" i="4" s="1"/>
  <c r="E15" i="4"/>
  <c r="D15" i="4"/>
  <c r="M14" i="4"/>
  <c r="I14" i="4"/>
  <c r="G14" i="4"/>
  <c r="H14" i="4" s="1"/>
  <c r="E14" i="4"/>
  <c r="D14" i="4"/>
  <c r="M13" i="4"/>
  <c r="I13" i="4"/>
  <c r="G13" i="4"/>
  <c r="H13" i="4" s="1"/>
  <c r="E13" i="4"/>
  <c r="D13" i="4"/>
  <c r="M12" i="4"/>
  <c r="I12" i="4"/>
  <c r="G12" i="4"/>
  <c r="H12" i="4" s="1"/>
  <c r="E12" i="4"/>
  <c r="D12" i="4"/>
  <c r="M11" i="4"/>
  <c r="I11" i="4"/>
  <c r="G11" i="4"/>
  <c r="H11" i="4" s="1"/>
  <c r="E11" i="4"/>
  <c r="D11" i="4"/>
  <c r="M10" i="4"/>
  <c r="I10" i="4"/>
  <c r="G10" i="4"/>
  <c r="H10" i="4" s="1"/>
  <c r="E10" i="4"/>
  <c r="D10" i="4"/>
  <c r="M9" i="4"/>
  <c r="I9" i="4"/>
  <c r="G9" i="4"/>
  <c r="H9" i="4" s="1"/>
  <c r="E9" i="4"/>
  <c r="D9" i="4"/>
  <c r="M8" i="4"/>
  <c r="I8" i="4"/>
  <c r="G8" i="4"/>
  <c r="H8" i="4" s="1"/>
  <c r="E8" i="4"/>
  <c r="D8" i="4"/>
  <c r="M7" i="4"/>
  <c r="I7" i="4"/>
  <c r="G7" i="4"/>
  <c r="H7" i="4" s="1"/>
  <c r="E7" i="4"/>
  <c r="D7" i="4"/>
  <c r="M6" i="4"/>
  <c r="I6" i="4"/>
  <c r="G6" i="4"/>
  <c r="H6" i="4" s="1"/>
  <c r="C13" i="2" s="1"/>
  <c r="E6" i="4"/>
  <c r="D6" i="4"/>
  <c r="M5" i="4"/>
  <c r="I5" i="4"/>
  <c r="G5" i="4"/>
  <c r="H5" i="4" s="1"/>
  <c r="C12" i="2" s="1"/>
  <c r="E5" i="4"/>
  <c r="D5" i="4"/>
  <c r="N504" i="3"/>
  <c r="O504" i="3" s="1"/>
  <c r="M504" i="3"/>
  <c r="L504" i="3"/>
  <c r="K504" i="3"/>
  <c r="J504" i="3"/>
  <c r="N503" i="3"/>
  <c r="O503" i="3" s="1"/>
  <c r="M503" i="3"/>
  <c r="L503" i="3"/>
  <c r="K503" i="3"/>
  <c r="J503" i="3"/>
  <c r="N502" i="3"/>
  <c r="O502" i="3" s="1"/>
  <c r="M502" i="3"/>
  <c r="L502" i="3"/>
  <c r="K502" i="3"/>
  <c r="J502" i="3"/>
  <c r="N501" i="3"/>
  <c r="O501" i="3" s="1"/>
  <c r="M501" i="3"/>
  <c r="L501" i="3"/>
  <c r="K501" i="3"/>
  <c r="J501" i="3"/>
  <c r="N500" i="3"/>
  <c r="O500" i="3" s="1"/>
  <c r="M500" i="3"/>
  <c r="L500" i="3"/>
  <c r="K500" i="3"/>
  <c r="J500" i="3"/>
  <c r="N499" i="3"/>
  <c r="O499" i="3" s="1"/>
  <c r="M499" i="3"/>
  <c r="L499" i="3"/>
  <c r="K499" i="3"/>
  <c r="J499" i="3"/>
  <c r="N498" i="3"/>
  <c r="O498" i="3" s="1"/>
  <c r="M498" i="3"/>
  <c r="L498" i="3"/>
  <c r="K498" i="3"/>
  <c r="J498" i="3"/>
  <c r="N497" i="3"/>
  <c r="O497" i="3" s="1"/>
  <c r="M497" i="3"/>
  <c r="L497" i="3"/>
  <c r="K497" i="3"/>
  <c r="J497" i="3"/>
  <c r="N496" i="3"/>
  <c r="O496" i="3" s="1"/>
  <c r="M496" i="3"/>
  <c r="L496" i="3"/>
  <c r="K496" i="3"/>
  <c r="J496" i="3"/>
  <c r="N495" i="3"/>
  <c r="O495" i="3" s="1"/>
  <c r="M495" i="3"/>
  <c r="L495" i="3"/>
  <c r="K495" i="3"/>
  <c r="J495" i="3"/>
  <c r="N494" i="3"/>
  <c r="O494" i="3" s="1"/>
  <c r="M494" i="3"/>
  <c r="L494" i="3"/>
  <c r="K494" i="3"/>
  <c r="J494" i="3"/>
  <c r="N493" i="3"/>
  <c r="O493" i="3" s="1"/>
  <c r="M493" i="3"/>
  <c r="L493" i="3"/>
  <c r="K493" i="3"/>
  <c r="J493" i="3"/>
  <c r="N492" i="3"/>
  <c r="O492" i="3" s="1"/>
  <c r="M492" i="3"/>
  <c r="L492" i="3"/>
  <c r="K492" i="3"/>
  <c r="J492" i="3"/>
  <c r="N491" i="3"/>
  <c r="O491" i="3" s="1"/>
  <c r="M491" i="3"/>
  <c r="L491" i="3"/>
  <c r="K491" i="3"/>
  <c r="J491" i="3"/>
  <c r="N490" i="3"/>
  <c r="O490" i="3" s="1"/>
  <c r="M490" i="3"/>
  <c r="L490" i="3"/>
  <c r="K490" i="3"/>
  <c r="J490" i="3"/>
  <c r="N489" i="3"/>
  <c r="O489" i="3" s="1"/>
  <c r="M489" i="3"/>
  <c r="L489" i="3"/>
  <c r="K489" i="3"/>
  <c r="J489" i="3"/>
  <c r="N488" i="3"/>
  <c r="O488" i="3" s="1"/>
  <c r="M488" i="3"/>
  <c r="L488" i="3"/>
  <c r="K488" i="3"/>
  <c r="J488" i="3"/>
  <c r="N487" i="3"/>
  <c r="O487" i="3" s="1"/>
  <c r="M487" i="3"/>
  <c r="L487" i="3"/>
  <c r="K487" i="3"/>
  <c r="J487" i="3"/>
  <c r="N486" i="3"/>
  <c r="O486" i="3" s="1"/>
  <c r="M486" i="3"/>
  <c r="L486" i="3"/>
  <c r="K486" i="3"/>
  <c r="J486" i="3"/>
  <c r="N485" i="3"/>
  <c r="O485" i="3" s="1"/>
  <c r="M485" i="3"/>
  <c r="L485" i="3"/>
  <c r="K485" i="3"/>
  <c r="J485" i="3"/>
  <c r="N484" i="3"/>
  <c r="O484" i="3" s="1"/>
  <c r="M484" i="3"/>
  <c r="L484" i="3"/>
  <c r="K484" i="3"/>
  <c r="J484" i="3"/>
  <c r="N483" i="3"/>
  <c r="O483" i="3" s="1"/>
  <c r="M483" i="3"/>
  <c r="L483" i="3"/>
  <c r="K483" i="3"/>
  <c r="J483" i="3"/>
  <c r="N482" i="3"/>
  <c r="O482" i="3" s="1"/>
  <c r="M482" i="3"/>
  <c r="L482" i="3"/>
  <c r="K482" i="3"/>
  <c r="J482" i="3"/>
  <c r="N481" i="3"/>
  <c r="O481" i="3" s="1"/>
  <c r="M481" i="3"/>
  <c r="L481" i="3"/>
  <c r="K481" i="3"/>
  <c r="J481" i="3"/>
  <c r="N480" i="3"/>
  <c r="O480" i="3" s="1"/>
  <c r="M480" i="3"/>
  <c r="L480" i="3"/>
  <c r="K480" i="3"/>
  <c r="J480" i="3"/>
  <c r="N479" i="3"/>
  <c r="O479" i="3" s="1"/>
  <c r="M479" i="3"/>
  <c r="L479" i="3"/>
  <c r="K479" i="3"/>
  <c r="J479" i="3"/>
  <c r="N478" i="3"/>
  <c r="O478" i="3" s="1"/>
  <c r="M478" i="3"/>
  <c r="L478" i="3"/>
  <c r="K478" i="3"/>
  <c r="J478" i="3"/>
  <c r="N477" i="3"/>
  <c r="O477" i="3" s="1"/>
  <c r="M477" i="3"/>
  <c r="L477" i="3"/>
  <c r="K477" i="3"/>
  <c r="J477" i="3"/>
  <c r="N476" i="3"/>
  <c r="O476" i="3" s="1"/>
  <c r="M476" i="3"/>
  <c r="L476" i="3"/>
  <c r="K476" i="3"/>
  <c r="J476" i="3"/>
  <c r="N475" i="3"/>
  <c r="O475" i="3" s="1"/>
  <c r="M475" i="3"/>
  <c r="L475" i="3"/>
  <c r="K475" i="3"/>
  <c r="J475" i="3"/>
  <c r="N474" i="3"/>
  <c r="O474" i="3" s="1"/>
  <c r="M474" i="3"/>
  <c r="L474" i="3"/>
  <c r="K474" i="3"/>
  <c r="J474" i="3"/>
  <c r="N473" i="3"/>
  <c r="O473" i="3" s="1"/>
  <c r="M473" i="3"/>
  <c r="L473" i="3"/>
  <c r="K473" i="3"/>
  <c r="J473" i="3"/>
  <c r="N472" i="3"/>
  <c r="O472" i="3" s="1"/>
  <c r="M472" i="3"/>
  <c r="L472" i="3"/>
  <c r="K472" i="3"/>
  <c r="J472" i="3"/>
  <c r="N471" i="3"/>
  <c r="O471" i="3" s="1"/>
  <c r="M471" i="3"/>
  <c r="L471" i="3"/>
  <c r="K471" i="3"/>
  <c r="J471" i="3"/>
  <c r="N470" i="3"/>
  <c r="O470" i="3" s="1"/>
  <c r="M470" i="3"/>
  <c r="L470" i="3"/>
  <c r="K470" i="3"/>
  <c r="J470" i="3"/>
  <c r="N469" i="3"/>
  <c r="O469" i="3" s="1"/>
  <c r="M469" i="3"/>
  <c r="L469" i="3"/>
  <c r="K469" i="3"/>
  <c r="J469" i="3"/>
  <c r="N468" i="3"/>
  <c r="O468" i="3" s="1"/>
  <c r="M468" i="3"/>
  <c r="L468" i="3"/>
  <c r="K468" i="3"/>
  <c r="J468" i="3"/>
  <c r="N467" i="3"/>
  <c r="O467" i="3" s="1"/>
  <c r="M467" i="3"/>
  <c r="L467" i="3"/>
  <c r="K467" i="3"/>
  <c r="J467" i="3"/>
  <c r="N466" i="3"/>
  <c r="O466" i="3" s="1"/>
  <c r="M466" i="3"/>
  <c r="L466" i="3"/>
  <c r="K466" i="3"/>
  <c r="J466" i="3"/>
  <c r="N465" i="3"/>
  <c r="O465" i="3" s="1"/>
  <c r="M465" i="3"/>
  <c r="L465" i="3"/>
  <c r="K465" i="3"/>
  <c r="J465" i="3"/>
  <c r="N464" i="3"/>
  <c r="O464" i="3" s="1"/>
  <c r="M464" i="3"/>
  <c r="L464" i="3"/>
  <c r="K464" i="3"/>
  <c r="J464" i="3"/>
  <c r="N463" i="3"/>
  <c r="O463" i="3" s="1"/>
  <c r="M463" i="3"/>
  <c r="L463" i="3"/>
  <c r="K463" i="3"/>
  <c r="J463" i="3"/>
  <c r="N462" i="3"/>
  <c r="O462" i="3" s="1"/>
  <c r="M462" i="3"/>
  <c r="L462" i="3"/>
  <c r="K462" i="3"/>
  <c r="J462" i="3"/>
  <c r="N461" i="3"/>
  <c r="O461" i="3" s="1"/>
  <c r="M461" i="3"/>
  <c r="L461" i="3"/>
  <c r="K461" i="3"/>
  <c r="J461" i="3"/>
  <c r="N460" i="3"/>
  <c r="O460" i="3" s="1"/>
  <c r="M460" i="3"/>
  <c r="L460" i="3"/>
  <c r="K460" i="3"/>
  <c r="J460" i="3"/>
  <c r="N459" i="3"/>
  <c r="O459" i="3" s="1"/>
  <c r="M459" i="3"/>
  <c r="L459" i="3"/>
  <c r="K459" i="3"/>
  <c r="J459" i="3"/>
  <c r="N458" i="3"/>
  <c r="O458" i="3" s="1"/>
  <c r="M458" i="3"/>
  <c r="L458" i="3"/>
  <c r="K458" i="3"/>
  <c r="J458" i="3"/>
  <c r="N457" i="3"/>
  <c r="O457" i="3" s="1"/>
  <c r="M457" i="3"/>
  <c r="L457" i="3"/>
  <c r="K457" i="3"/>
  <c r="J457" i="3"/>
  <c r="N456" i="3"/>
  <c r="O456" i="3" s="1"/>
  <c r="M456" i="3"/>
  <c r="L456" i="3"/>
  <c r="K456" i="3"/>
  <c r="J456" i="3"/>
  <c r="N455" i="3"/>
  <c r="O455" i="3" s="1"/>
  <c r="M455" i="3"/>
  <c r="L455" i="3"/>
  <c r="K455" i="3"/>
  <c r="J455" i="3"/>
  <c r="N454" i="3"/>
  <c r="O454" i="3" s="1"/>
  <c r="M454" i="3"/>
  <c r="L454" i="3"/>
  <c r="K454" i="3"/>
  <c r="J454" i="3"/>
  <c r="N453" i="3"/>
  <c r="O453" i="3" s="1"/>
  <c r="M453" i="3"/>
  <c r="L453" i="3"/>
  <c r="K453" i="3"/>
  <c r="J453" i="3"/>
  <c r="N452" i="3"/>
  <c r="O452" i="3" s="1"/>
  <c r="M452" i="3"/>
  <c r="L452" i="3"/>
  <c r="K452" i="3"/>
  <c r="J452" i="3"/>
  <c r="N451" i="3"/>
  <c r="O451" i="3" s="1"/>
  <c r="M451" i="3"/>
  <c r="L451" i="3"/>
  <c r="K451" i="3"/>
  <c r="J451" i="3"/>
  <c r="N450" i="3"/>
  <c r="O450" i="3" s="1"/>
  <c r="M450" i="3"/>
  <c r="L450" i="3"/>
  <c r="K450" i="3"/>
  <c r="J450" i="3"/>
  <c r="N449" i="3"/>
  <c r="O449" i="3" s="1"/>
  <c r="M449" i="3"/>
  <c r="L449" i="3"/>
  <c r="K449" i="3"/>
  <c r="J449" i="3"/>
  <c r="N448" i="3"/>
  <c r="O448" i="3" s="1"/>
  <c r="M448" i="3"/>
  <c r="L448" i="3"/>
  <c r="K448" i="3"/>
  <c r="J448" i="3"/>
  <c r="N447" i="3"/>
  <c r="O447" i="3" s="1"/>
  <c r="M447" i="3"/>
  <c r="L447" i="3"/>
  <c r="K447" i="3"/>
  <c r="J447" i="3"/>
  <c r="N446" i="3"/>
  <c r="O446" i="3" s="1"/>
  <c r="M446" i="3"/>
  <c r="L446" i="3"/>
  <c r="K446" i="3"/>
  <c r="J446" i="3"/>
  <c r="N445" i="3"/>
  <c r="O445" i="3" s="1"/>
  <c r="M445" i="3"/>
  <c r="L445" i="3"/>
  <c r="K445" i="3"/>
  <c r="J445" i="3"/>
  <c r="N444" i="3"/>
  <c r="O444" i="3" s="1"/>
  <c r="M444" i="3"/>
  <c r="L444" i="3"/>
  <c r="K444" i="3"/>
  <c r="J444" i="3"/>
  <c r="N443" i="3"/>
  <c r="O443" i="3" s="1"/>
  <c r="M443" i="3"/>
  <c r="L443" i="3"/>
  <c r="K443" i="3"/>
  <c r="J443" i="3"/>
  <c r="N442" i="3"/>
  <c r="O442" i="3" s="1"/>
  <c r="M442" i="3"/>
  <c r="L442" i="3"/>
  <c r="K442" i="3"/>
  <c r="J442" i="3"/>
  <c r="N441" i="3"/>
  <c r="O441" i="3" s="1"/>
  <c r="M441" i="3"/>
  <c r="L441" i="3"/>
  <c r="K441" i="3"/>
  <c r="J441" i="3"/>
  <c r="N440" i="3"/>
  <c r="O440" i="3" s="1"/>
  <c r="M440" i="3"/>
  <c r="L440" i="3"/>
  <c r="K440" i="3"/>
  <c r="J440" i="3"/>
  <c r="N439" i="3"/>
  <c r="O439" i="3" s="1"/>
  <c r="M439" i="3"/>
  <c r="L439" i="3"/>
  <c r="K439" i="3"/>
  <c r="J439" i="3"/>
  <c r="N438" i="3"/>
  <c r="O438" i="3" s="1"/>
  <c r="M438" i="3"/>
  <c r="L438" i="3"/>
  <c r="K438" i="3"/>
  <c r="J438" i="3"/>
  <c r="N437" i="3"/>
  <c r="O437" i="3" s="1"/>
  <c r="M437" i="3"/>
  <c r="L437" i="3"/>
  <c r="K437" i="3"/>
  <c r="J437" i="3"/>
  <c r="N436" i="3"/>
  <c r="O436" i="3" s="1"/>
  <c r="M436" i="3"/>
  <c r="L436" i="3"/>
  <c r="K436" i="3"/>
  <c r="J436" i="3"/>
  <c r="N435" i="3"/>
  <c r="O435" i="3" s="1"/>
  <c r="M435" i="3"/>
  <c r="L435" i="3"/>
  <c r="K435" i="3"/>
  <c r="J435" i="3"/>
  <c r="N434" i="3"/>
  <c r="O434" i="3" s="1"/>
  <c r="M434" i="3"/>
  <c r="L434" i="3"/>
  <c r="K434" i="3"/>
  <c r="J434" i="3"/>
  <c r="N433" i="3"/>
  <c r="O433" i="3" s="1"/>
  <c r="M433" i="3"/>
  <c r="L433" i="3"/>
  <c r="K433" i="3"/>
  <c r="J433" i="3"/>
  <c r="N432" i="3"/>
  <c r="O432" i="3" s="1"/>
  <c r="M432" i="3"/>
  <c r="L432" i="3"/>
  <c r="K432" i="3"/>
  <c r="J432" i="3"/>
  <c r="N431" i="3"/>
  <c r="O431" i="3" s="1"/>
  <c r="M431" i="3"/>
  <c r="L431" i="3"/>
  <c r="K431" i="3"/>
  <c r="J431" i="3"/>
  <c r="N430" i="3"/>
  <c r="O430" i="3" s="1"/>
  <c r="M430" i="3"/>
  <c r="L430" i="3"/>
  <c r="K430" i="3"/>
  <c r="J430" i="3"/>
  <c r="N429" i="3"/>
  <c r="O429" i="3" s="1"/>
  <c r="M429" i="3"/>
  <c r="L429" i="3"/>
  <c r="K429" i="3"/>
  <c r="J429" i="3"/>
  <c r="N428" i="3"/>
  <c r="O428" i="3" s="1"/>
  <c r="M428" i="3"/>
  <c r="L428" i="3"/>
  <c r="K428" i="3"/>
  <c r="J428" i="3"/>
  <c r="N427" i="3"/>
  <c r="O427" i="3" s="1"/>
  <c r="M427" i="3"/>
  <c r="L427" i="3"/>
  <c r="K427" i="3"/>
  <c r="J427" i="3"/>
  <c r="N426" i="3"/>
  <c r="O426" i="3" s="1"/>
  <c r="M426" i="3"/>
  <c r="L426" i="3"/>
  <c r="K426" i="3"/>
  <c r="J426" i="3"/>
  <c r="N425" i="3"/>
  <c r="O425" i="3" s="1"/>
  <c r="M425" i="3"/>
  <c r="L425" i="3"/>
  <c r="K425" i="3"/>
  <c r="J425" i="3"/>
  <c r="N424" i="3"/>
  <c r="O424" i="3" s="1"/>
  <c r="M424" i="3"/>
  <c r="L424" i="3"/>
  <c r="K424" i="3"/>
  <c r="J424" i="3"/>
  <c r="N423" i="3"/>
  <c r="O423" i="3" s="1"/>
  <c r="M423" i="3"/>
  <c r="L423" i="3"/>
  <c r="K423" i="3"/>
  <c r="J423" i="3"/>
  <c r="N422" i="3"/>
  <c r="O422" i="3" s="1"/>
  <c r="M422" i="3"/>
  <c r="L422" i="3"/>
  <c r="K422" i="3"/>
  <c r="J422" i="3"/>
  <c r="N421" i="3"/>
  <c r="O421" i="3" s="1"/>
  <c r="M421" i="3"/>
  <c r="L421" i="3"/>
  <c r="K421" i="3"/>
  <c r="J421" i="3"/>
  <c r="N420" i="3"/>
  <c r="O420" i="3" s="1"/>
  <c r="M420" i="3"/>
  <c r="L420" i="3"/>
  <c r="K420" i="3"/>
  <c r="J420" i="3"/>
  <c r="N419" i="3"/>
  <c r="O419" i="3" s="1"/>
  <c r="M419" i="3"/>
  <c r="L419" i="3"/>
  <c r="K419" i="3"/>
  <c r="J419" i="3"/>
  <c r="N418" i="3"/>
  <c r="O418" i="3" s="1"/>
  <c r="M418" i="3"/>
  <c r="L418" i="3"/>
  <c r="K418" i="3"/>
  <c r="J418" i="3"/>
  <c r="N417" i="3"/>
  <c r="O417" i="3" s="1"/>
  <c r="M417" i="3"/>
  <c r="L417" i="3"/>
  <c r="K417" i="3"/>
  <c r="J417" i="3"/>
  <c r="N416" i="3"/>
  <c r="O416" i="3" s="1"/>
  <c r="M416" i="3"/>
  <c r="L416" i="3"/>
  <c r="K416" i="3"/>
  <c r="J416" i="3"/>
  <c r="N415" i="3"/>
  <c r="O415" i="3" s="1"/>
  <c r="M415" i="3"/>
  <c r="L415" i="3"/>
  <c r="K415" i="3"/>
  <c r="J415" i="3"/>
  <c r="N414" i="3"/>
  <c r="O414" i="3" s="1"/>
  <c r="M414" i="3"/>
  <c r="L414" i="3"/>
  <c r="K414" i="3"/>
  <c r="J414" i="3"/>
  <c r="N413" i="3"/>
  <c r="O413" i="3" s="1"/>
  <c r="M413" i="3"/>
  <c r="L413" i="3"/>
  <c r="K413" i="3"/>
  <c r="J413" i="3"/>
  <c r="N412" i="3"/>
  <c r="O412" i="3" s="1"/>
  <c r="M412" i="3"/>
  <c r="L412" i="3"/>
  <c r="K412" i="3"/>
  <c r="J412" i="3"/>
  <c r="N411" i="3"/>
  <c r="O411" i="3" s="1"/>
  <c r="M411" i="3"/>
  <c r="L411" i="3"/>
  <c r="K411" i="3"/>
  <c r="J411" i="3"/>
  <c r="N410" i="3"/>
  <c r="O410" i="3" s="1"/>
  <c r="M410" i="3"/>
  <c r="L410" i="3"/>
  <c r="K410" i="3"/>
  <c r="J410" i="3"/>
  <c r="N409" i="3"/>
  <c r="O409" i="3" s="1"/>
  <c r="M409" i="3"/>
  <c r="L409" i="3"/>
  <c r="K409" i="3"/>
  <c r="J409" i="3"/>
  <c r="N408" i="3"/>
  <c r="O408" i="3" s="1"/>
  <c r="M408" i="3"/>
  <c r="L408" i="3"/>
  <c r="K408" i="3"/>
  <c r="J408" i="3"/>
  <c r="N407" i="3"/>
  <c r="O407" i="3" s="1"/>
  <c r="M407" i="3"/>
  <c r="L407" i="3"/>
  <c r="K407" i="3"/>
  <c r="J407" i="3"/>
  <c r="N406" i="3"/>
  <c r="O406" i="3" s="1"/>
  <c r="M406" i="3"/>
  <c r="L406" i="3"/>
  <c r="K406" i="3"/>
  <c r="J406" i="3"/>
  <c r="N405" i="3"/>
  <c r="O405" i="3" s="1"/>
  <c r="M405" i="3"/>
  <c r="L405" i="3"/>
  <c r="K405" i="3"/>
  <c r="J405" i="3"/>
  <c r="N404" i="3"/>
  <c r="O404" i="3" s="1"/>
  <c r="M404" i="3"/>
  <c r="L404" i="3"/>
  <c r="K404" i="3"/>
  <c r="J404" i="3"/>
  <c r="N403" i="3"/>
  <c r="O403" i="3" s="1"/>
  <c r="M403" i="3"/>
  <c r="L403" i="3"/>
  <c r="K403" i="3"/>
  <c r="J403" i="3"/>
  <c r="N402" i="3"/>
  <c r="O402" i="3" s="1"/>
  <c r="M402" i="3"/>
  <c r="L402" i="3"/>
  <c r="K402" i="3"/>
  <c r="J402" i="3"/>
  <c r="N401" i="3"/>
  <c r="O401" i="3" s="1"/>
  <c r="M401" i="3"/>
  <c r="L401" i="3"/>
  <c r="K401" i="3"/>
  <c r="J401" i="3"/>
  <c r="N400" i="3"/>
  <c r="O400" i="3" s="1"/>
  <c r="M400" i="3"/>
  <c r="L400" i="3"/>
  <c r="K400" i="3"/>
  <c r="J400" i="3"/>
  <c r="N399" i="3"/>
  <c r="O399" i="3" s="1"/>
  <c r="M399" i="3"/>
  <c r="L399" i="3"/>
  <c r="K399" i="3"/>
  <c r="J399" i="3"/>
  <c r="N398" i="3"/>
  <c r="O398" i="3" s="1"/>
  <c r="M398" i="3"/>
  <c r="L398" i="3"/>
  <c r="K398" i="3"/>
  <c r="J398" i="3"/>
  <c r="N397" i="3"/>
  <c r="O397" i="3" s="1"/>
  <c r="M397" i="3"/>
  <c r="L397" i="3"/>
  <c r="K397" i="3"/>
  <c r="J397" i="3"/>
  <c r="N396" i="3"/>
  <c r="O396" i="3" s="1"/>
  <c r="M396" i="3"/>
  <c r="L396" i="3"/>
  <c r="K396" i="3"/>
  <c r="J396" i="3"/>
  <c r="N395" i="3"/>
  <c r="O395" i="3" s="1"/>
  <c r="M395" i="3"/>
  <c r="L395" i="3"/>
  <c r="K395" i="3"/>
  <c r="J395" i="3"/>
  <c r="N394" i="3"/>
  <c r="O394" i="3" s="1"/>
  <c r="M394" i="3"/>
  <c r="L394" i="3"/>
  <c r="K394" i="3"/>
  <c r="J394" i="3"/>
  <c r="N393" i="3"/>
  <c r="O393" i="3" s="1"/>
  <c r="M393" i="3"/>
  <c r="L393" i="3"/>
  <c r="K393" i="3"/>
  <c r="J393" i="3"/>
  <c r="N392" i="3"/>
  <c r="O392" i="3" s="1"/>
  <c r="M392" i="3"/>
  <c r="L392" i="3"/>
  <c r="K392" i="3"/>
  <c r="J392" i="3"/>
  <c r="N391" i="3"/>
  <c r="O391" i="3" s="1"/>
  <c r="M391" i="3"/>
  <c r="L391" i="3"/>
  <c r="K391" i="3"/>
  <c r="J391" i="3"/>
  <c r="N390" i="3"/>
  <c r="O390" i="3" s="1"/>
  <c r="M390" i="3"/>
  <c r="L390" i="3"/>
  <c r="K390" i="3"/>
  <c r="J390" i="3"/>
  <c r="N389" i="3"/>
  <c r="O389" i="3" s="1"/>
  <c r="M389" i="3"/>
  <c r="L389" i="3"/>
  <c r="K389" i="3"/>
  <c r="J389" i="3"/>
  <c r="N388" i="3"/>
  <c r="O388" i="3" s="1"/>
  <c r="M388" i="3"/>
  <c r="L388" i="3"/>
  <c r="K388" i="3"/>
  <c r="J388" i="3"/>
  <c r="N387" i="3"/>
  <c r="O387" i="3" s="1"/>
  <c r="M387" i="3"/>
  <c r="L387" i="3"/>
  <c r="K387" i="3"/>
  <c r="J387" i="3"/>
  <c r="N386" i="3"/>
  <c r="O386" i="3" s="1"/>
  <c r="M386" i="3"/>
  <c r="L386" i="3"/>
  <c r="K386" i="3"/>
  <c r="J386" i="3"/>
  <c r="N385" i="3"/>
  <c r="O385" i="3" s="1"/>
  <c r="M385" i="3"/>
  <c r="L385" i="3"/>
  <c r="K385" i="3"/>
  <c r="J385" i="3"/>
  <c r="N384" i="3"/>
  <c r="O384" i="3" s="1"/>
  <c r="M384" i="3"/>
  <c r="L384" i="3"/>
  <c r="K384" i="3"/>
  <c r="J384" i="3"/>
  <c r="N383" i="3"/>
  <c r="O383" i="3" s="1"/>
  <c r="M383" i="3"/>
  <c r="L383" i="3"/>
  <c r="K383" i="3"/>
  <c r="J383" i="3"/>
  <c r="N382" i="3"/>
  <c r="O382" i="3" s="1"/>
  <c r="M382" i="3"/>
  <c r="L382" i="3"/>
  <c r="K382" i="3"/>
  <c r="J382" i="3"/>
  <c r="N381" i="3"/>
  <c r="O381" i="3" s="1"/>
  <c r="M381" i="3"/>
  <c r="L381" i="3"/>
  <c r="K381" i="3"/>
  <c r="J381" i="3"/>
  <c r="N380" i="3"/>
  <c r="O380" i="3" s="1"/>
  <c r="M380" i="3"/>
  <c r="L380" i="3"/>
  <c r="K380" i="3"/>
  <c r="J380" i="3"/>
  <c r="N379" i="3"/>
  <c r="O379" i="3" s="1"/>
  <c r="M379" i="3"/>
  <c r="L379" i="3"/>
  <c r="K379" i="3"/>
  <c r="J379" i="3"/>
  <c r="N378" i="3"/>
  <c r="O378" i="3" s="1"/>
  <c r="M378" i="3"/>
  <c r="L378" i="3"/>
  <c r="K378" i="3"/>
  <c r="J378" i="3"/>
  <c r="N377" i="3"/>
  <c r="O377" i="3" s="1"/>
  <c r="M377" i="3"/>
  <c r="L377" i="3"/>
  <c r="K377" i="3"/>
  <c r="J377" i="3"/>
  <c r="N376" i="3"/>
  <c r="O376" i="3" s="1"/>
  <c r="M376" i="3"/>
  <c r="L376" i="3"/>
  <c r="K376" i="3"/>
  <c r="J376" i="3"/>
  <c r="N375" i="3"/>
  <c r="O375" i="3" s="1"/>
  <c r="M375" i="3"/>
  <c r="L375" i="3"/>
  <c r="K375" i="3"/>
  <c r="J375" i="3"/>
  <c r="N374" i="3"/>
  <c r="O374" i="3" s="1"/>
  <c r="M374" i="3"/>
  <c r="L374" i="3"/>
  <c r="K374" i="3"/>
  <c r="J374" i="3"/>
  <c r="N373" i="3"/>
  <c r="O373" i="3" s="1"/>
  <c r="M373" i="3"/>
  <c r="L373" i="3"/>
  <c r="K373" i="3"/>
  <c r="J373" i="3"/>
  <c r="N372" i="3"/>
  <c r="O372" i="3" s="1"/>
  <c r="M372" i="3"/>
  <c r="L372" i="3"/>
  <c r="K372" i="3"/>
  <c r="J372" i="3"/>
  <c r="N371" i="3"/>
  <c r="O371" i="3" s="1"/>
  <c r="M371" i="3"/>
  <c r="L371" i="3"/>
  <c r="K371" i="3"/>
  <c r="J371" i="3"/>
  <c r="N370" i="3"/>
  <c r="O370" i="3" s="1"/>
  <c r="M370" i="3"/>
  <c r="L370" i="3"/>
  <c r="K370" i="3"/>
  <c r="J370" i="3"/>
  <c r="N369" i="3"/>
  <c r="O369" i="3" s="1"/>
  <c r="M369" i="3"/>
  <c r="L369" i="3"/>
  <c r="K369" i="3"/>
  <c r="J369" i="3"/>
  <c r="N368" i="3"/>
  <c r="O368" i="3" s="1"/>
  <c r="M368" i="3"/>
  <c r="L368" i="3"/>
  <c r="K368" i="3"/>
  <c r="J368" i="3"/>
  <c r="N367" i="3"/>
  <c r="O367" i="3" s="1"/>
  <c r="M367" i="3"/>
  <c r="L367" i="3"/>
  <c r="K367" i="3"/>
  <c r="J367" i="3"/>
  <c r="N366" i="3"/>
  <c r="O366" i="3" s="1"/>
  <c r="M366" i="3"/>
  <c r="L366" i="3"/>
  <c r="K366" i="3"/>
  <c r="J366" i="3"/>
  <c r="N365" i="3"/>
  <c r="O365" i="3" s="1"/>
  <c r="M365" i="3"/>
  <c r="L365" i="3"/>
  <c r="K365" i="3"/>
  <c r="J365" i="3"/>
  <c r="N364" i="3"/>
  <c r="O364" i="3" s="1"/>
  <c r="M364" i="3"/>
  <c r="L364" i="3"/>
  <c r="K364" i="3"/>
  <c r="J364" i="3"/>
  <c r="N363" i="3"/>
  <c r="O363" i="3" s="1"/>
  <c r="M363" i="3"/>
  <c r="L363" i="3"/>
  <c r="K363" i="3"/>
  <c r="J363" i="3"/>
  <c r="N362" i="3"/>
  <c r="O362" i="3" s="1"/>
  <c r="M362" i="3"/>
  <c r="L362" i="3"/>
  <c r="K362" i="3"/>
  <c r="J362" i="3"/>
  <c r="N361" i="3"/>
  <c r="O361" i="3" s="1"/>
  <c r="M361" i="3"/>
  <c r="L361" i="3"/>
  <c r="K361" i="3"/>
  <c r="J361" i="3"/>
  <c r="N360" i="3"/>
  <c r="O360" i="3" s="1"/>
  <c r="M360" i="3"/>
  <c r="L360" i="3"/>
  <c r="K360" i="3"/>
  <c r="J360" i="3"/>
  <c r="N359" i="3"/>
  <c r="O359" i="3" s="1"/>
  <c r="M359" i="3"/>
  <c r="L359" i="3"/>
  <c r="K359" i="3"/>
  <c r="J359" i="3"/>
  <c r="N358" i="3"/>
  <c r="O358" i="3" s="1"/>
  <c r="M358" i="3"/>
  <c r="L358" i="3"/>
  <c r="K358" i="3"/>
  <c r="J358" i="3"/>
  <c r="N357" i="3"/>
  <c r="O357" i="3" s="1"/>
  <c r="M357" i="3"/>
  <c r="L357" i="3"/>
  <c r="K357" i="3"/>
  <c r="J357" i="3"/>
  <c r="N356" i="3"/>
  <c r="O356" i="3" s="1"/>
  <c r="M356" i="3"/>
  <c r="L356" i="3"/>
  <c r="K356" i="3"/>
  <c r="J356" i="3"/>
  <c r="N355" i="3"/>
  <c r="O355" i="3" s="1"/>
  <c r="M355" i="3"/>
  <c r="L355" i="3"/>
  <c r="K355" i="3"/>
  <c r="J355" i="3"/>
  <c r="N354" i="3"/>
  <c r="O354" i="3" s="1"/>
  <c r="M354" i="3"/>
  <c r="L354" i="3"/>
  <c r="K354" i="3"/>
  <c r="J354" i="3"/>
  <c r="N353" i="3"/>
  <c r="O353" i="3" s="1"/>
  <c r="M353" i="3"/>
  <c r="L353" i="3"/>
  <c r="K353" i="3"/>
  <c r="J353" i="3"/>
  <c r="N352" i="3"/>
  <c r="O352" i="3" s="1"/>
  <c r="M352" i="3"/>
  <c r="L352" i="3"/>
  <c r="K352" i="3"/>
  <c r="J352" i="3"/>
  <c r="N351" i="3"/>
  <c r="O351" i="3" s="1"/>
  <c r="M351" i="3"/>
  <c r="L351" i="3"/>
  <c r="K351" i="3"/>
  <c r="J351" i="3"/>
  <c r="N350" i="3"/>
  <c r="O350" i="3" s="1"/>
  <c r="M350" i="3"/>
  <c r="L350" i="3"/>
  <c r="K350" i="3"/>
  <c r="J350" i="3"/>
  <c r="N349" i="3"/>
  <c r="O349" i="3" s="1"/>
  <c r="M349" i="3"/>
  <c r="L349" i="3"/>
  <c r="K349" i="3"/>
  <c r="J349" i="3"/>
  <c r="N348" i="3"/>
  <c r="O348" i="3" s="1"/>
  <c r="M348" i="3"/>
  <c r="L348" i="3"/>
  <c r="K348" i="3"/>
  <c r="J348" i="3"/>
  <c r="N347" i="3"/>
  <c r="O347" i="3" s="1"/>
  <c r="M347" i="3"/>
  <c r="L347" i="3"/>
  <c r="K347" i="3"/>
  <c r="J347" i="3"/>
  <c r="N346" i="3"/>
  <c r="O346" i="3" s="1"/>
  <c r="M346" i="3"/>
  <c r="L346" i="3"/>
  <c r="K346" i="3"/>
  <c r="J346" i="3"/>
  <c r="N345" i="3"/>
  <c r="O345" i="3" s="1"/>
  <c r="M345" i="3"/>
  <c r="L345" i="3"/>
  <c r="K345" i="3"/>
  <c r="J345" i="3"/>
  <c r="N344" i="3"/>
  <c r="O344" i="3" s="1"/>
  <c r="M344" i="3"/>
  <c r="L344" i="3"/>
  <c r="K344" i="3"/>
  <c r="J344" i="3"/>
  <c r="N343" i="3"/>
  <c r="O343" i="3" s="1"/>
  <c r="M343" i="3"/>
  <c r="L343" i="3"/>
  <c r="K343" i="3"/>
  <c r="J343" i="3"/>
  <c r="N342" i="3"/>
  <c r="O342" i="3" s="1"/>
  <c r="M342" i="3"/>
  <c r="L342" i="3"/>
  <c r="K342" i="3"/>
  <c r="J342" i="3"/>
  <c r="N341" i="3"/>
  <c r="O341" i="3" s="1"/>
  <c r="M341" i="3"/>
  <c r="L341" i="3"/>
  <c r="K341" i="3"/>
  <c r="J341" i="3"/>
  <c r="N340" i="3"/>
  <c r="O340" i="3" s="1"/>
  <c r="M340" i="3"/>
  <c r="L340" i="3"/>
  <c r="K340" i="3"/>
  <c r="J340" i="3"/>
  <c r="N339" i="3"/>
  <c r="O339" i="3" s="1"/>
  <c r="M339" i="3"/>
  <c r="L339" i="3"/>
  <c r="K339" i="3"/>
  <c r="J339" i="3"/>
  <c r="N338" i="3"/>
  <c r="O338" i="3" s="1"/>
  <c r="M338" i="3"/>
  <c r="L338" i="3"/>
  <c r="K338" i="3"/>
  <c r="J338" i="3"/>
  <c r="N337" i="3"/>
  <c r="O337" i="3" s="1"/>
  <c r="M337" i="3"/>
  <c r="L337" i="3"/>
  <c r="K337" i="3"/>
  <c r="J337" i="3"/>
  <c r="N336" i="3"/>
  <c r="O336" i="3" s="1"/>
  <c r="M336" i="3"/>
  <c r="L336" i="3"/>
  <c r="K336" i="3"/>
  <c r="J336" i="3"/>
  <c r="N335" i="3"/>
  <c r="O335" i="3" s="1"/>
  <c r="M335" i="3"/>
  <c r="L335" i="3"/>
  <c r="K335" i="3"/>
  <c r="J335" i="3"/>
  <c r="N334" i="3"/>
  <c r="O334" i="3" s="1"/>
  <c r="M334" i="3"/>
  <c r="L334" i="3"/>
  <c r="K334" i="3"/>
  <c r="J334" i="3"/>
  <c r="N333" i="3"/>
  <c r="O333" i="3" s="1"/>
  <c r="M333" i="3"/>
  <c r="L333" i="3"/>
  <c r="K333" i="3"/>
  <c r="J333" i="3"/>
  <c r="N332" i="3"/>
  <c r="O332" i="3" s="1"/>
  <c r="M332" i="3"/>
  <c r="L332" i="3"/>
  <c r="K332" i="3"/>
  <c r="J332" i="3"/>
  <c r="N331" i="3"/>
  <c r="O331" i="3" s="1"/>
  <c r="M331" i="3"/>
  <c r="L331" i="3"/>
  <c r="K331" i="3"/>
  <c r="J331" i="3"/>
  <c r="N330" i="3"/>
  <c r="O330" i="3" s="1"/>
  <c r="M330" i="3"/>
  <c r="L330" i="3"/>
  <c r="K330" i="3"/>
  <c r="J330" i="3"/>
  <c r="N329" i="3"/>
  <c r="O329" i="3" s="1"/>
  <c r="M329" i="3"/>
  <c r="L329" i="3"/>
  <c r="K329" i="3"/>
  <c r="J329" i="3"/>
  <c r="N328" i="3"/>
  <c r="O328" i="3" s="1"/>
  <c r="M328" i="3"/>
  <c r="L328" i="3"/>
  <c r="K328" i="3"/>
  <c r="J328" i="3"/>
  <c r="N327" i="3"/>
  <c r="O327" i="3" s="1"/>
  <c r="M327" i="3"/>
  <c r="L327" i="3"/>
  <c r="K327" i="3"/>
  <c r="J327" i="3"/>
  <c r="N326" i="3"/>
  <c r="O326" i="3" s="1"/>
  <c r="M326" i="3"/>
  <c r="L326" i="3"/>
  <c r="K326" i="3"/>
  <c r="J326" i="3"/>
  <c r="N325" i="3"/>
  <c r="O325" i="3" s="1"/>
  <c r="M325" i="3"/>
  <c r="L325" i="3"/>
  <c r="K325" i="3"/>
  <c r="J325" i="3"/>
  <c r="N324" i="3"/>
  <c r="O324" i="3" s="1"/>
  <c r="M324" i="3"/>
  <c r="L324" i="3"/>
  <c r="K324" i="3"/>
  <c r="J324" i="3"/>
  <c r="N323" i="3"/>
  <c r="O323" i="3" s="1"/>
  <c r="M323" i="3"/>
  <c r="L323" i="3"/>
  <c r="K323" i="3"/>
  <c r="J323" i="3"/>
  <c r="N322" i="3"/>
  <c r="O322" i="3" s="1"/>
  <c r="M322" i="3"/>
  <c r="L322" i="3"/>
  <c r="K322" i="3"/>
  <c r="J322" i="3"/>
  <c r="N321" i="3"/>
  <c r="O321" i="3" s="1"/>
  <c r="M321" i="3"/>
  <c r="L321" i="3"/>
  <c r="K321" i="3"/>
  <c r="J321" i="3"/>
  <c r="N320" i="3"/>
  <c r="O320" i="3" s="1"/>
  <c r="M320" i="3"/>
  <c r="L320" i="3"/>
  <c r="K320" i="3"/>
  <c r="J320" i="3"/>
  <c r="N319" i="3"/>
  <c r="O319" i="3" s="1"/>
  <c r="M319" i="3"/>
  <c r="L319" i="3"/>
  <c r="K319" i="3"/>
  <c r="J319" i="3"/>
  <c r="N318" i="3"/>
  <c r="O318" i="3" s="1"/>
  <c r="M318" i="3"/>
  <c r="L318" i="3"/>
  <c r="K318" i="3"/>
  <c r="J318" i="3"/>
  <c r="N317" i="3"/>
  <c r="O317" i="3" s="1"/>
  <c r="M317" i="3"/>
  <c r="L317" i="3"/>
  <c r="K317" i="3"/>
  <c r="J317" i="3"/>
  <c r="N316" i="3"/>
  <c r="O316" i="3" s="1"/>
  <c r="M316" i="3"/>
  <c r="L316" i="3"/>
  <c r="K316" i="3"/>
  <c r="J316" i="3"/>
  <c r="N315" i="3"/>
  <c r="O315" i="3" s="1"/>
  <c r="M315" i="3"/>
  <c r="L315" i="3"/>
  <c r="K315" i="3"/>
  <c r="J315" i="3"/>
  <c r="N314" i="3"/>
  <c r="O314" i="3" s="1"/>
  <c r="M314" i="3"/>
  <c r="L314" i="3"/>
  <c r="K314" i="3"/>
  <c r="J314" i="3"/>
  <c r="N313" i="3"/>
  <c r="O313" i="3" s="1"/>
  <c r="M313" i="3"/>
  <c r="L313" i="3"/>
  <c r="K313" i="3"/>
  <c r="J313" i="3"/>
  <c r="N312" i="3"/>
  <c r="O312" i="3" s="1"/>
  <c r="M312" i="3"/>
  <c r="L312" i="3"/>
  <c r="K312" i="3"/>
  <c r="J312" i="3"/>
  <c r="N311" i="3"/>
  <c r="O311" i="3" s="1"/>
  <c r="M311" i="3"/>
  <c r="L311" i="3"/>
  <c r="K311" i="3"/>
  <c r="J311" i="3"/>
  <c r="N310" i="3"/>
  <c r="O310" i="3" s="1"/>
  <c r="M310" i="3"/>
  <c r="L310" i="3"/>
  <c r="K310" i="3"/>
  <c r="J310" i="3"/>
  <c r="N309" i="3"/>
  <c r="O309" i="3" s="1"/>
  <c r="M309" i="3"/>
  <c r="L309" i="3"/>
  <c r="K309" i="3"/>
  <c r="J309" i="3"/>
  <c r="N308" i="3"/>
  <c r="O308" i="3" s="1"/>
  <c r="M308" i="3"/>
  <c r="L308" i="3"/>
  <c r="K308" i="3"/>
  <c r="J308" i="3"/>
  <c r="N307" i="3"/>
  <c r="O307" i="3" s="1"/>
  <c r="M307" i="3"/>
  <c r="L307" i="3"/>
  <c r="K307" i="3"/>
  <c r="J307" i="3"/>
  <c r="N306" i="3"/>
  <c r="O306" i="3" s="1"/>
  <c r="M306" i="3"/>
  <c r="L306" i="3"/>
  <c r="K306" i="3"/>
  <c r="J306" i="3"/>
  <c r="N305" i="3"/>
  <c r="O305" i="3" s="1"/>
  <c r="M305" i="3"/>
  <c r="L305" i="3"/>
  <c r="K305" i="3"/>
  <c r="J305" i="3"/>
  <c r="N304" i="3"/>
  <c r="O304" i="3" s="1"/>
  <c r="M304" i="3"/>
  <c r="L304" i="3"/>
  <c r="K304" i="3"/>
  <c r="J304" i="3"/>
  <c r="N303" i="3"/>
  <c r="O303" i="3" s="1"/>
  <c r="M303" i="3"/>
  <c r="L303" i="3"/>
  <c r="K303" i="3"/>
  <c r="J303" i="3"/>
  <c r="N302" i="3"/>
  <c r="O302" i="3" s="1"/>
  <c r="M302" i="3"/>
  <c r="L302" i="3"/>
  <c r="K302" i="3"/>
  <c r="J302" i="3"/>
  <c r="N301" i="3"/>
  <c r="O301" i="3" s="1"/>
  <c r="M301" i="3"/>
  <c r="L301" i="3"/>
  <c r="K301" i="3"/>
  <c r="J301" i="3"/>
  <c r="N300" i="3"/>
  <c r="O300" i="3" s="1"/>
  <c r="M300" i="3"/>
  <c r="L300" i="3"/>
  <c r="K300" i="3"/>
  <c r="J300" i="3"/>
  <c r="N299" i="3"/>
  <c r="O299" i="3" s="1"/>
  <c r="M299" i="3"/>
  <c r="L299" i="3"/>
  <c r="K299" i="3"/>
  <c r="J299" i="3"/>
  <c r="N298" i="3"/>
  <c r="O298" i="3" s="1"/>
  <c r="M298" i="3"/>
  <c r="L298" i="3"/>
  <c r="K298" i="3"/>
  <c r="J298" i="3"/>
  <c r="N297" i="3"/>
  <c r="O297" i="3" s="1"/>
  <c r="M297" i="3"/>
  <c r="L297" i="3"/>
  <c r="K297" i="3"/>
  <c r="J297" i="3"/>
  <c r="N296" i="3"/>
  <c r="O296" i="3" s="1"/>
  <c r="M296" i="3"/>
  <c r="L296" i="3"/>
  <c r="K296" i="3"/>
  <c r="J296" i="3"/>
  <c r="N295" i="3"/>
  <c r="O295" i="3" s="1"/>
  <c r="M295" i="3"/>
  <c r="L295" i="3"/>
  <c r="K295" i="3"/>
  <c r="J295" i="3"/>
  <c r="N294" i="3"/>
  <c r="O294" i="3" s="1"/>
  <c r="M294" i="3"/>
  <c r="L294" i="3"/>
  <c r="K294" i="3"/>
  <c r="J294" i="3"/>
  <c r="N293" i="3"/>
  <c r="O293" i="3" s="1"/>
  <c r="M293" i="3"/>
  <c r="L293" i="3"/>
  <c r="K293" i="3"/>
  <c r="J293" i="3"/>
  <c r="N292" i="3"/>
  <c r="O292" i="3" s="1"/>
  <c r="M292" i="3"/>
  <c r="L292" i="3"/>
  <c r="K292" i="3"/>
  <c r="J292" i="3"/>
  <c r="N291" i="3"/>
  <c r="O291" i="3" s="1"/>
  <c r="M291" i="3"/>
  <c r="L291" i="3"/>
  <c r="K291" i="3"/>
  <c r="J291" i="3"/>
  <c r="N290" i="3"/>
  <c r="O290" i="3" s="1"/>
  <c r="M290" i="3"/>
  <c r="L290" i="3"/>
  <c r="K290" i="3"/>
  <c r="J290" i="3"/>
  <c r="N289" i="3"/>
  <c r="O289" i="3" s="1"/>
  <c r="M289" i="3"/>
  <c r="L289" i="3"/>
  <c r="K289" i="3"/>
  <c r="J289" i="3"/>
  <c r="N288" i="3"/>
  <c r="O288" i="3" s="1"/>
  <c r="M288" i="3"/>
  <c r="L288" i="3"/>
  <c r="K288" i="3"/>
  <c r="J288" i="3"/>
  <c r="N287" i="3"/>
  <c r="O287" i="3" s="1"/>
  <c r="M287" i="3"/>
  <c r="L287" i="3"/>
  <c r="K287" i="3"/>
  <c r="J287" i="3"/>
  <c r="N286" i="3"/>
  <c r="O286" i="3" s="1"/>
  <c r="M286" i="3"/>
  <c r="L286" i="3"/>
  <c r="K286" i="3"/>
  <c r="J286" i="3"/>
  <c r="N285" i="3"/>
  <c r="O285" i="3" s="1"/>
  <c r="M285" i="3"/>
  <c r="L285" i="3"/>
  <c r="K285" i="3"/>
  <c r="J285" i="3"/>
  <c r="N284" i="3"/>
  <c r="O284" i="3" s="1"/>
  <c r="M284" i="3"/>
  <c r="L284" i="3"/>
  <c r="K284" i="3"/>
  <c r="J284" i="3"/>
  <c r="N283" i="3"/>
  <c r="O283" i="3" s="1"/>
  <c r="M283" i="3"/>
  <c r="L283" i="3"/>
  <c r="K283" i="3"/>
  <c r="J283" i="3"/>
  <c r="N282" i="3"/>
  <c r="O282" i="3" s="1"/>
  <c r="M282" i="3"/>
  <c r="L282" i="3"/>
  <c r="K282" i="3"/>
  <c r="J282" i="3"/>
  <c r="N281" i="3"/>
  <c r="O281" i="3" s="1"/>
  <c r="M281" i="3"/>
  <c r="L281" i="3"/>
  <c r="K281" i="3"/>
  <c r="J281" i="3"/>
  <c r="N280" i="3"/>
  <c r="O280" i="3" s="1"/>
  <c r="M280" i="3"/>
  <c r="L280" i="3"/>
  <c r="K280" i="3"/>
  <c r="J280" i="3"/>
  <c r="N279" i="3"/>
  <c r="O279" i="3" s="1"/>
  <c r="M279" i="3"/>
  <c r="L279" i="3"/>
  <c r="K279" i="3"/>
  <c r="J279" i="3"/>
  <c r="N278" i="3"/>
  <c r="O278" i="3" s="1"/>
  <c r="M278" i="3"/>
  <c r="L278" i="3"/>
  <c r="K278" i="3"/>
  <c r="J278" i="3"/>
  <c r="N277" i="3"/>
  <c r="O277" i="3" s="1"/>
  <c r="M277" i="3"/>
  <c r="L277" i="3"/>
  <c r="K277" i="3"/>
  <c r="J277" i="3"/>
  <c r="N276" i="3"/>
  <c r="O276" i="3" s="1"/>
  <c r="M276" i="3"/>
  <c r="L276" i="3"/>
  <c r="K276" i="3"/>
  <c r="J276" i="3"/>
  <c r="N275" i="3"/>
  <c r="O275" i="3" s="1"/>
  <c r="M275" i="3"/>
  <c r="L275" i="3"/>
  <c r="K275" i="3"/>
  <c r="J275" i="3"/>
  <c r="N274" i="3"/>
  <c r="O274" i="3" s="1"/>
  <c r="M274" i="3"/>
  <c r="L274" i="3"/>
  <c r="K274" i="3"/>
  <c r="J274" i="3"/>
  <c r="N273" i="3"/>
  <c r="O273" i="3" s="1"/>
  <c r="M273" i="3"/>
  <c r="L273" i="3"/>
  <c r="K273" i="3"/>
  <c r="J273" i="3"/>
  <c r="N272" i="3"/>
  <c r="O272" i="3" s="1"/>
  <c r="M272" i="3"/>
  <c r="L272" i="3"/>
  <c r="K272" i="3"/>
  <c r="J272" i="3"/>
  <c r="N271" i="3"/>
  <c r="O271" i="3" s="1"/>
  <c r="M271" i="3"/>
  <c r="L271" i="3"/>
  <c r="K271" i="3"/>
  <c r="J271" i="3"/>
  <c r="N270" i="3"/>
  <c r="O270" i="3" s="1"/>
  <c r="M270" i="3"/>
  <c r="L270" i="3"/>
  <c r="K270" i="3"/>
  <c r="J270" i="3"/>
  <c r="N269" i="3"/>
  <c r="O269" i="3" s="1"/>
  <c r="M269" i="3"/>
  <c r="L269" i="3"/>
  <c r="K269" i="3"/>
  <c r="J269" i="3"/>
  <c r="N268" i="3"/>
  <c r="O268" i="3" s="1"/>
  <c r="M268" i="3"/>
  <c r="L268" i="3"/>
  <c r="K268" i="3"/>
  <c r="J268" i="3"/>
  <c r="N267" i="3"/>
  <c r="O267" i="3" s="1"/>
  <c r="M267" i="3"/>
  <c r="L267" i="3"/>
  <c r="K267" i="3"/>
  <c r="J267" i="3"/>
  <c r="N266" i="3"/>
  <c r="O266" i="3" s="1"/>
  <c r="M266" i="3"/>
  <c r="L266" i="3"/>
  <c r="K266" i="3"/>
  <c r="J266" i="3"/>
  <c r="N265" i="3"/>
  <c r="O265" i="3" s="1"/>
  <c r="M265" i="3"/>
  <c r="L265" i="3"/>
  <c r="K265" i="3"/>
  <c r="J265" i="3"/>
  <c r="N264" i="3"/>
  <c r="O264" i="3" s="1"/>
  <c r="M264" i="3"/>
  <c r="L264" i="3"/>
  <c r="K264" i="3"/>
  <c r="J264" i="3"/>
  <c r="N263" i="3"/>
  <c r="O263" i="3" s="1"/>
  <c r="M263" i="3"/>
  <c r="L263" i="3"/>
  <c r="K263" i="3"/>
  <c r="J263" i="3"/>
  <c r="N262" i="3"/>
  <c r="O262" i="3" s="1"/>
  <c r="M262" i="3"/>
  <c r="L262" i="3"/>
  <c r="K262" i="3"/>
  <c r="J262" i="3"/>
  <c r="N261" i="3"/>
  <c r="O261" i="3" s="1"/>
  <c r="M261" i="3"/>
  <c r="L261" i="3"/>
  <c r="K261" i="3"/>
  <c r="J261" i="3"/>
  <c r="N260" i="3"/>
  <c r="O260" i="3" s="1"/>
  <c r="M260" i="3"/>
  <c r="L260" i="3"/>
  <c r="K260" i="3"/>
  <c r="J260" i="3"/>
  <c r="N259" i="3"/>
  <c r="O259" i="3" s="1"/>
  <c r="M259" i="3"/>
  <c r="L259" i="3"/>
  <c r="K259" i="3"/>
  <c r="J259" i="3"/>
  <c r="N258" i="3"/>
  <c r="O258" i="3" s="1"/>
  <c r="M258" i="3"/>
  <c r="L258" i="3"/>
  <c r="K258" i="3"/>
  <c r="J258" i="3"/>
  <c r="N257" i="3"/>
  <c r="O257" i="3" s="1"/>
  <c r="M257" i="3"/>
  <c r="L257" i="3"/>
  <c r="K257" i="3"/>
  <c r="J257" i="3"/>
  <c r="N256" i="3"/>
  <c r="O256" i="3" s="1"/>
  <c r="M256" i="3"/>
  <c r="L256" i="3"/>
  <c r="K256" i="3"/>
  <c r="J256" i="3"/>
  <c r="N255" i="3"/>
  <c r="O255" i="3" s="1"/>
  <c r="M255" i="3"/>
  <c r="L255" i="3"/>
  <c r="K255" i="3"/>
  <c r="J255" i="3"/>
  <c r="N254" i="3"/>
  <c r="O254" i="3" s="1"/>
  <c r="M254" i="3"/>
  <c r="L254" i="3"/>
  <c r="K254" i="3"/>
  <c r="J254" i="3"/>
  <c r="N253" i="3"/>
  <c r="O253" i="3" s="1"/>
  <c r="M253" i="3"/>
  <c r="L253" i="3"/>
  <c r="K253" i="3"/>
  <c r="J253" i="3"/>
  <c r="N252" i="3"/>
  <c r="O252" i="3" s="1"/>
  <c r="M252" i="3"/>
  <c r="L252" i="3"/>
  <c r="K252" i="3"/>
  <c r="J252" i="3"/>
  <c r="N251" i="3"/>
  <c r="O251" i="3" s="1"/>
  <c r="M251" i="3"/>
  <c r="L251" i="3"/>
  <c r="K251" i="3"/>
  <c r="J251" i="3"/>
  <c r="N250" i="3"/>
  <c r="O250" i="3" s="1"/>
  <c r="M250" i="3"/>
  <c r="L250" i="3"/>
  <c r="K250" i="3"/>
  <c r="J250" i="3"/>
  <c r="N249" i="3"/>
  <c r="O249" i="3" s="1"/>
  <c r="M249" i="3"/>
  <c r="L249" i="3"/>
  <c r="K249" i="3"/>
  <c r="J249" i="3"/>
  <c r="N248" i="3"/>
  <c r="O248" i="3" s="1"/>
  <c r="M248" i="3"/>
  <c r="L248" i="3"/>
  <c r="K248" i="3"/>
  <c r="J248" i="3"/>
  <c r="N247" i="3"/>
  <c r="O247" i="3" s="1"/>
  <c r="M247" i="3"/>
  <c r="L247" i="3"/>
  <c r="K247" i="3"/>
  <c r="J247" i="3"/>
  <c r="N246" i="3"/>
  <c r="O246" i="3" s="1"/>
  <c r="M246" i="3"/>
  <c r="L246" i="3"/>
  <c r="K246" i="3"/>
  <c r="J246" i="3"/>
  <c r="N245" i="3"/>
  <c r="O245" i="3" s="1"/>
  <c r="M245" i="3"/>
  <c r="L245" i="3"/>
  <c r="K245" i="3"/>
  <c r="J245" i="3"/>
  <c r="N244" i="3"/>
  <c r="O244" i="3" s="1"/>
  <c r="M244" i="3"/>
  <c r="L244" i="3"/>
  <c r="K244" i="3"/>
  <c r="J244" i="3"/>
  <c r="N243" i="3"/>
  <c r="O243" i="3" s="1"/>
  <c r="M243" i="3"/>
  <c r="L243" i="3"/>
  <c r="K243" i="3"/>
  <c r="J243" i="3"/>
  <c r="N242" i="3"/>
  <c r="O242" i="3" s="1"/>
  <c r="M242" i="3"/>
  <c r="L242" i="3"/>
  <c r="K242" i="3"/>
  <c r="J242" i="3"/>
  <c r="N241" i="3"/>
  <c r="O241" i="3" s="1"/>
  <c r="M241" i="3"/>
  <c r="L241" i="3"/>
  <c r="K241" i="3"/>
  <c r="J241" i="3"/>
  <c r="N240" i="3"/>
  <c r="O240" i="3" s="1"/>
  <c r="M240" i="3"/>
  <c r="L240" i="3"/>
  <c r="K240" i="3"/>
  <c r="J240" i="3"/>
  <c r="N239" i="3"/>
  <c r="O239" i="3" s="1"/>
  <c r="M239" i="3"/>
  <c r="L239" i="3"/>
  <c r="K239" i="3"/>
  <c r="J239" i="3"/>
  <c r="N238" i="3"/>
  <c r="O238" i="3" s="1"/>
  <c r="M238" i="3"/>
  <c r="L238" i="3"/>
  <c r="K238" i="3"/>
  <c r="J238" i="3"/>
  <c r="N237" i="3"/>
  <c r="O237" i="3" s="1"/>
  <c r="M237" i="3"/>
  <c r="L237" i="3"/>
  <c r="K237" i="3"/>
  <c r="J237" i="3"/>
  <c r="N236" i="3"/>
  <c r="O236" i="3" s="1"/>
  <c r="M236" i="3"/>
  <c r="L236" i="3"/>
  <c r="K236" i="3"/>
  <c r="J236" i="3"/>
  <c r="N235" i="3"/>
  <c r="O235" i="3" s="1"/>
  <c r="M235" i="3"/>
  <c r="L235" i="3"/>
  <c r="K235" i="3"/>
  <c r="J235" i="3"/>
  <c r="N234" i="3"/>
  <c r="O234" i="3" s="1"/>
  <c r="M234" i="3"/>
  <c r="L234" i="3"/>
  <c r="K234" i="3"/>
  <c r="J234" i="3"/>
  <c r="N233" i="3"/>
  <c r="O233" i="3" s="1"/>
  <c r="M233" i="3"/>
  <c r="L233" i="3"/>
  <c r="K233" i="3"/>
  <c r="J233" i="3"/>
  <c r="N232" i="3"/>
  <c r="O232" i="3" s="1"/>
  <c r="M232" i="3"/>
  <c r="L232" i="3"/>
  <c r="K232" i="3"/>
  <c r="J232" i="3"/>
  <c r="N231" i="3"/>
  <c r="O231" i="3" s="1"/>
  <c r="M231" i="3"/>
  <c r="L231" i="3"/>
  <c r="K231" i="3"/>
  <c r="J231" i="3"/>
  <c r="N230" i="3"/>
  <c r="O230" i="3" s="1"/>
  <c r="M230" i="3"/>
  <c r="L230" i="3"/>
  <c r="K230" i="3"/>
  <c r="J230" i="3"/>
  <c r="N229" i="3"/>
  <c r="O229" i="3" s="1"/>
  <c r="M229" i="3"/>
  <c r="L229" i="3"/>
  <c r="K229" i="3"/>
  <c r="J229" i="3"/>
  <c r="N228" i="3"/>
  <c r="O228" i="3" s="1"/>
  <c r="M228" i="3"/>
  <c r="L228" i="3"/>
  <c r="K228" i="3"/>
  <c r="J228" i="3"/>
  <c r="N227" i="3"/>
  <c r="O227" i="3" s="1"/>
  <c r="M227" i="3"/>
  <c r="L227" i="3"/>
  <c r="K227" i="3"/>
  <c r="J227" i="3"/>
  <c r="N226" i="3"/>
  <c r="O226" i="3" s="1"/>
  <c r="M226" i="3"/>
  <c r="L226" i="3"/>
  <c r="K226" i="3"/>
  <c r="J226" i="3"/>
  <c r="N225" i="3"/>
  <c r="O225" i="3" s="1"/>
  <c r="M225" i="3"/>
  <c r="L225" i="3"/>
  <c r="K225" i="3"/>
  <c r="J225" i="3"/>
  <c r="N224" i="3"/>
  <c r="O224" i="3" s="1"/>
  <c r="M224" i="3"/>
  <c r="L224" i="3"/>
  <c r="K224" i="3"/>
  <c r="J224" i="3"/>
  <c r="N223" i="3"/>
  <c r="O223" i="3" s="1"/>
  <c r="M223" i="3"/>
  <c r="L223" i="3"/>
  <c r="K223" i="3"/>
  <c r="J223" i="3"/>
  <c r="N222" i="3"/>
  <c r="O222" i="3" s="1"/>
  <c r="M222" i="3"/>
  <c r="L222" i="3"/>
  <c r="K222" i="3"/>
  <c r="J222" i="3"/>
  <c r="N221" i="3"/>
  <c r="O221" i="3" s="1"/>
  <c r="M221" i="3"/>
  <c r="L221" i="3"/>
  <c r="K221" i="3"/>
  <c r="J221" i="3"/>
  <c r="N220" i="3"/>
  <c r="O220" i="3" s="1"/>
  <c r="M220" i="3"/>
  <c r="L220" i="3"/>
  <c r="K220" i="3"/>
  <c r="J220" i="3"/>
  <c r="N219" i="3"/>
  <c r="O219" i="3" s="1"/>
  <c r="M219" i="3"/>
  <c r="L219" i="3"/>
  <c r="K219" i="3"/>
  <c r="J219" i="3"/>
  <c r="N218" i="3"/>
  <c r="O218" i="3" s="1"/>
  <c r="M218" i="3"/>
  <c r="L218" i="3"/>
  <c r="K218" i="3"/>
  <c r="J218" i="3"/>
  <c r="N217" i="3"/>
  <c r="O217" i="3" s="1"/>
  <c r="M217" i="3"/>
  <c r="L217" i="3"/>
  <c r="K217" i="3"/>
  <c r="J217" i="3"/>
  <c r="N216" i="3"/>
  <c r="O216" i="3" s="1"/>
  <c r="M216" i="3"/>
  <c r="L216" i="3"/>
  <c r="K216" i="3"/>
  <c r="J216" i="3"/>
  <c r="N215" i="3"/>
  <c r="O215" i="3" s="1"/>
  <c r="M215" i="3"/>
  <c r="L215" i="3"/>
  <c r="K215" i="3"/>
  <c r="J215" i="3"/>
  <c r="N214" i="3"/>
  <c r="O214" i="3" s="1"/>
  <c r="M214" i="3"/>
  <c r="L214" i="3"/>
  <c r="K214" i="3"/>
  <c r="J214" i="3"/>
  <c r="N213" i="3"/>
  <c r="O213" i="3" s="1"/>
  <c r="M213" i="3"/>
  <c r="L213" i="3"/>
  <c r="K213" i="3"/>
  <c r="J213" i="3"/>
  <c r="N212" i="3"/>
  <c r="O212" i="3" s="1"/>
  <c r="M212" i="3"/>
  <c r="L212" i="3"/>
  <c r="K212" i="3"/>
  <c r="J212" i="3"/>
  <c r="N211" i="3"/>
  <c r="O211" i="3" s="1"/>
  <c r="M211" i="3"/>
  <c r="L211" i="3"/>
  <c r="K211" i="3"/>
  <c r="J211" i="3"/>
  <c r="N210" i="3"/>
  <c r="O210" i="3" s="1"/>
  <c r="M210" i="3"/>
  <c r="L210" i="3"/>
  <c r="K210" i="3"/>
  <c r="J210" i="3"/>
  <c r="N209" i="3"/>
  <c r="O209" i="3" s="1"/>
  <c r="M209" i="3"/>
  <c r="L209" i="3"/>
  <c r="K209" i="3"/>
  <c r="J209" i="3"/>
  <c r="N208" i="3"/>
  <c r="O208" i="3" s="1"/>
  <c r="M208" i="3"/>
  <c r="L208" i="3"/>
  <c r="K208" i="3"/>
  <c r="J208" i="3"/>
  <c r="N207" i="3"/>
  <c r="O207" i="3" s="1"/>
  <c r="M207" i="3"/>
  <c r="L207" i="3"/>
  <c r="K207" i="3"/>
  <c r="J207" i="3"/>
  <c r="N206" i="3"/>
  <c r="O206" i="3" s="1"/>
  <c r="M206" i="3"/>
  <c r="L206" i="3"/>
  <c r="K206" i="3"/>
  <c r="J206" i="3"/>
  <c r="N205" i="3"/>
  <c r="O205" i="3" s="1"/>
  <c r="M205" i="3"/>
  <c r="L205" i="3"/>
  <c r="K205" i="3"/>
  <c r="J205" i="3"/>
  <c r="N204" i="3"/>
  <c r="O204" i="3" s="1"/>
  <c r="M204" i="3"/>
  <c r="L204" i="3"/>
  <c r="K204" i="3"/>
  <c r="J204" i="3"/>
  <c r="N203" i="3"/>
  <c r="O203" i="3" s="1"/>
  <c r="M203" i="3"/>
  <c r="L203" i="3"/>
  <c r="K203" i="3"/>
  <c r="J203" i="3"/>
  <c r="N202" i="3"/>
  <c r="O202" i="3" s="1"/>
  <c r="M202" i="3"/>
  <c r="L202" i="3"/>
  <c r="K202" i="3"/>
  <c r="J202" i="3"/>
  <c r="N201" i="3"/>
  <c r="O201" i="3" s="1"/>
  <c r="M201" i="3"/>
  <c r="L201" i="3"/>
  <c r="K201" i="3"/>
  <c r="J201" i="3"/>
  <c r="N200" i="3"/>
  <c r="O200" i="3" s="1"/>
  <c r="M200" i="3"/>
  <c r="L200" i="3"/>
  <c r="K200" i="3"/>
  <c r="J200" i="3"/>
  <c r="N199" i="3"/>
  <c r="O199" i="3" s="1"/>
  <c r="M199" i="3"/>
  <c r="L199" i="3"/>
  <c r="K199" i="3"/>
  <c r="J199" i="3"/>
  <c r="N198" i="3"/>
  <c r="O198" i="3" s="1"/>
  <c r="M198" i="3"/>
  <c r="L198" i="3"/>
  <c r="K198" i="3"/>
  <c r="J198" i="3"/>
  <c r="N197" i="3"/>
  <c r="O197" i="3" s="1"/>
  <c r="M197" i="3"/>
  <c r="L197" i="3"/>
  <c r="K197" i="3"/>
  <c r="J197" i="3"/>
  <c r="N196" i="3"/>
  <c r="O196" i="3" s="1"/>
  <c r="M196" i="3"/>
  <c r="L196" i="3"/>
  <c r="K196" i="3"/>
  <c r="J196" i="3"/>
  <c r="N195" i="3"/>
  <c r="O195" i="3" s="1"/>
  <c r="M195" i="3"/>
  <c r="L195" i="3"/>
  <c r="K195" i="3"/>
  <c r="J195" i="3"/>
  <c r="N194" i="3"/>
  <c r="O194" i="3" s="1"/>
  <c r="M194" i="3"/>
  <c r="L194" i="3"/>
  <c r="K194" i="3"/>
  <c r="J194" i="3"/>
  <c r="N193" i="3"/>
  <c r="O193" i="3" s="1"/>
  <c r="M193" i="3"/>
  <c r="L193" i="3"/>
  <c r="K193" i="3"/>
  <c r="J193" i="3"/>
  <c r="N192" i="3"/>
  <c r="O192" i="3" s="1"/>
  <c r="M192" i="3"/>
  <c r="L192" i="3"/>
  <c r="K192" i="3"/>
  <c r="J192" i="3"/>
  <c r="N191" i="3"/>
  <c r="O191" i="3" s="1"/>
  <c r="M191" i="3"/>
  <c r="L191" i="3"/>
  <c r="K191" i="3"/>
  <c r="J191" i="3"/>
  <c r="N190" i="3"/>
  <c r="O190" i="3" s="1"/>
  <c r="M190" i="3"/>
  <c r="L190" i="3"/>
  <c r="K190" i="3"/>
  <c r="J190" i="3"/>
  <c r="N189" i="3"/>
  <c r="O189" i="3" s="1"/>
  <c r="M189" i="3"/>
  <c r="L189" i="3"/>
  <c r="K189" i="3"/>
  <c r="J189" i="3"/>
  <c r="N188" i="3"/>
  <c r="O188" i="3" s="1"/>
  <c r="M188" i="3"/>
  <c r="L188" i="3"/>
  <c r="K188" i="3"/>
  <c r="J188" i="3"/>
  <c r="N187" i="3"/>
  <c r="O187" i="3" s="1"/>
  <c r="M187" i="3"/>
  <c r="L187" i="3"/>
  <c r="K187" i="3"/>
  <c r="J187" i="3"/>
  <c r="N186" i="3"/>
  <c r="O186" i="3" s="1"/>
  <c r="M186" i="3"/>
  <c r="L186" i="3"/>
  <c r="K186" i="3"/>
  <c r="J186" i="3"/>
  <c r="N185" i="3"/>
  <c r="O185" i="3" s="1"/>
  <c r="M185" i="3"/>
  <c r="L185" i="3"/>
  <c r="K185" i="3"/>
  <c r="J185" i="3"/>
  <c r="N184" i="3"/>
  <c r="O184" i="3" s="1"/>
  <c r="M184" i="3"/>
  <c r="L184" i="3"/>
  <c r="K184" i="3"/>
  <c r="J184" i="3"/>
  <c r="N183" i="3"/>
  <c r="O183" i="3" s="1"/>
  <c r="M183" i="3"/>
  <c r="L183" i="3"/>
  <c r="K183" i="3"/>
  <c r="J183" i="3"/>
  <c r="N182" i="3"/>
  <c r="O182" i="3" s="1"/>
  <c r="M182" i="3"/>
  <c r="L182" i="3"/>
  <c r="K182" i="3"/>
  <c r="J182" i="3"/>
  <c r="N181" i="3"/>
  <c r="O181" i="3" s="1"/>
  <c r="M181" i="3"/>
  <c r="L181" i="3"/>
  <c r="K181" i="3"/>
  <c r="J181" i="3"/>
  <c r="N180" i="3"/>
  <c r="O180" i="3" s="1"/>
  <c r="M180" i="3"/>
  <c r="L180" i="3"/>
  <c r="K180" i="3"/>
  <c r="J180" i="3"/>
  <c r="N179" i="3"/>
  <c r="O179" i="3" s="1"/>
  <c r="M179" i="3"/>
  <c r="L179" i="3"/>
  <c r="K179" i="3"/>
  <c r="J179" i="3"/>
  <c r="N178" i="3"/>
  <c r="O178" i="3" s="1"/>
  <c r="M178" i="3"/>
  <c r="L178" i="3"/>
  <c r="K178" i="3"/>
  <c r="J178" i="3"/>
  <c r="N177" i="3"/>
  <c r="O177" i="3" s="1"/>
  <c r="M177" i="3"/>
  <c r="L177" i="3"/>
  <c r="K177" i="3"/>
  <c r="J177" i="3"/>
  <c r="N176" i="3"/>
  <c r="O176" i="3" s="1"/>
  <c r="M176" i="3"/>
  <c r="L176" i="3"/>
  <c r="K176" i="3"/>
  <c r="J176" i="3"/>
  <c r="N175" i="3"/>
  <c r="O175" i="3" s="1"/>
  <c r="M175" i="3"/>
  <c r="L175" i="3"/>
  <c r="K175" i="3"/>
  <c r="J175" i="3"/>
  <c r="N174" i="3"/>
  <c r="O174" i="3" s="1"/>
  <c r="M174" i="3"/>
  <c r="L174" i="3"/>
  <c r="K174" i="3"/>
  <c r="J174" i="3"/>
  <c r="N173" i="3"/>
  <c r="O173" i="3" s="1"/>
  <c r="M173" i="3"/>
  <c r="L173" i="3"/>
  <c r="K173" i="3"/>
  <c r="J173" i="3"/>
  <c r="N172" i="3"/>
  <c r="O172" i="3" s="1"/>
  <c r="M172" i="3"/>
  <c r="L172" i="3"/>
  <c r="K172" i="3"/>
  <c r="J172" i="3"/>
  <c r="N171" i="3"/>
  <c r="O171" i="3" s="1"/>
  <c r="M171" i="3"/>
  <c r="L171" i="3"/>
  <c r="K171" i="3"/>
  <c r="J171" i="3"/>
  <c r="N170" i="3"/>
  <c r="O170" i="3" s="1"/>
  <c r="M170" i="3"/>
  <c r="L170" i="3"/>
  <c r="K170" i="3"/>
  <c r="J170" i="3"/>
  <c r="N169" i="3"/>
  <c r="O169" i="3" s="1"/>
  <c r="M169" i="3"/>
  <c r="L169" i="3"/>
  <c r="K169" i="3"/>
  <c r="J169" i="3"/>
  <c r="N168" i="3"/>
  <c r="O168" i="3" s="1"/>
  <c r="M168" i="3"/>
  <c r="L168" i="3"/>
  <c r="K168" i="3"/>
  <c r="J168" i="3"/>
  <c r="N167" i="3"/>
  <c r="O167" i="3" s="1"/>
  <c r="M167" i="3"/>
  <c r="L167" i="3"/>
  <c r="K167" i="3"/>
  <c r="J167" i="3"/>
  <c r="N166" i="3"/>
  <c r="O166" i="3" s="1"/>
  <c r="M166" i="3"/>
  <c r="L166" i="3"/>
  <c r="K166" i="3"/>
  <c r="J166" i="3"/>
  <c r="N165" i="3"/>
  <c r="O165" i="3" s="1"/>
  <c r="M165" i="3"/>
  <c r="L165" i="3"/>
  <c r="K165" i="3"/>
  <c r="J165" i="3"/>
  <c r="N164" i="3"/>
  <c r="O164" i="3" s="1"/>
  <c r="M164" i="3"/>
  <c r="L164" i="3"/>
  <c r="K164" i="3"/>
  <c r="J164" i="3"/>
  <c r="N163" i="3"/>
  <c r="O163" i="3" s="1"/>
  <c r="M163" i="3"/>
  <c r="L163" i="3"/>
  <c r="K163" i="3"/>
  <c r="J163" i="3"/>
  <c r="N162" i="3"/>
  <c r="O162" i="3" s="1"/>
  <c r="M162" i="3"/>
  <c r="L162" i="3"/>
  <c r="K162" i="3"/>
  <c r="J162" i="3"/>
  <c r="N161" i="3"/>
  <c r="O161" i="3" s="1"/>
  <c r="M161" i="3"/>
  <c r="L161" i="3"/>
  <c r="K161" i="3"/>
  <c r="J161" i="3"/>
  <c r="N160" i="3"/>
  <c r="O160" i="3" s="1"/>
  <c r="M160" i="3"/>
  <c r="L160" i="3"/>
  <c r="K160" i="3"/>
  <c r="J160" i="3"/>
  <c r="N159" i="3"/>
  <c r="O159" i="3" s="1"/>
  <c r="M159" i="3"/>
  <c r="L159" i="3"/>
  <c r="K159" i="3"/>
  <c r="J159" i="3"/>
  <c r="N158" i="3"/>
  <c r="O158" i="3" s="1"/>
  <c r="M158" i="3"/>
  <c r="L158" i="3"/>
  <c r="K158" i="3"/>
  <c r="J158" i="3"/>
  <c r="N157" i="3"/>
  <c r="O157" i="3" s="1"/>
  <c r="M157" i="3"/>
  <c r="L157" i="3"/>
  <c r="K157" i="3"/>
  <c r="J157" i="3"/>
  <c r="N156" i="3"/>
  <c r="O156" i="3" s="1"/>
  <c r="M156" i="3"/>
  <c r="L156" i="3"/>
  <c r="K156" i="3"/>
  <c r="J156" i="3"/>
  <c r="N155" i="3"/>
  <c r="O155" i="3" s="1"/>
  <c r="M155" i="3"/>
  <c r="L155" i="3"/>
  <c r="K155" i="3"/>
  <c r="J155" i="3"/>
  <c r="N154" i="3"/>
  <c r="O154" i="3" s="1"/>
  <c r="M154" i="3"/>
  <c r="L154" i="3"/>
  <c r="K154" i="3"/>
  <c r="J154" i="3"/>
  <c r="N153" i="3"/>
  <c r="O153" i="3" s="1"/>
  <c r="M153" i="3"/>
  <c r="L153" i="3"/>
  <c r="K153" i="3"/>
  <c r="J153" i="3"/>
  <c r="N152" i="3"/>
  <c r="O152" i="3" s="1"/>
  <c r="M152" i="3"/>
  <c r="L152" i="3"/>
  <c r="K152" i="3"/>
  <c r="J152" i="3"/>
  <c r="N151" i="3"/>
  <c r="O151" i="3" s="1"/>
  <c r="M151" i="3"/>
  <c r="L151" i="3"/>
  <c r="K151" i="3"/>
  <c r="J151" i="3"/>
  <c r="N150" i="3"/>
  <c r="O150" i="3" s="1"/>
  <c r="M150" i="3"/>
  <c r="L150" i="3"/>
  <c r="K150" i="3"/>
  <c r="J150" i="3"/>
  <c r="N149" i="3"/>
  <c r="O149" i="3" s="1"/>
  <c r="M149" i="3"/>
  <c r="L149" i="3"/>
  <c r="K149" i="3"/>
  <c r="J149" i="3"/>
  <c r="N148" i="3"/>
  <c r="O148" i="3" s="1"/>
  <c r="M148" i="3"/>
  <c r="L148" i="3"/>
  <c r="K148" i="3"/>
  <c r="J148" i="3"/>
  <c r="N147" i="3"/>
  <c r="O147" i="3" s="1"/>
  <c r="M147" i="3"/>
  <c r="L147" i="3"/>
  <c r="K147" i="3"/>
  <c r="J147" i="3"/>
  <c r="N146" i="3"/>
  <c r="O146" i="3" s="1"/>
  <c r="M146" i="3"/>
  <c r="L146" i="3"/>
  <c r="K146" i="3"/>
  <c r="J146" i="3"/>
  <c r="N145" i="3"/>
  <c r="O145" i="3" s="1"/>
  <c r="M145" i="3"/>
  <c r="L145" i="3"/>
  <c r="K145" i="3"/>
  <c r="J145" i="3"/>
  <c r="N144" i="3"/>
  <c r="O144" i="3" s="1"/>
  <c r="M144" i="3"/>
  <c r="L144" i="3"/>
  <c r="K144" i="3"/>
  <c r="J144" i="3"/>
  <c r="N143" i="3"/>
  <c r="O143" i="3" s="1"/>
  <c r="M143" i="3"/>
  <c r="L143" i="3"/>
  <c r="K143" i="3"/>
  <c r="J143" i="3"/>
  <c r="N142" i="3"/>
  <c r="O142" i="3" s="1"/>
  <c r="M142" i="3"/>
  <c r="L142" i="3"/>
  <c r="K142" i="3"/>
  <c r="J142" i="3"/>
  <c r="N141" i="3"/>
  <c r="O141" i="3" s="1"/>
  <c r="M141" i="3"/>
  <c r="L141" i="3"/>
  <c r="K141" i="3"/>
  <c r="J141" i="3"/>
  <c r="N140" i="3"/>
  <c r="O140" i="3" s="1"/>
  <c r="M140" i="3"/>
  <c r="L140" i="3"/>
  <c r="K140" i="3"/>
  <c r="J140" i="3"/>
  <c r="N139" i="3"/>
  <c r="O139" i="3" s="1"/>
  <c r="M139" i="3"/>
  <c r="L139" i="3"/>
  <c r="K139" i="3"/>
  <c r="J139" i="3"/>
  <c r="N138" i="3"/>
  <c r="O138" i="3" s="1"/>
  <c r="M138" i="3"/>
  <c r="L138" i="3"/>
  <c r="K138" i="3"/>
  <c r="J138" i="3"/>
  <c r="N137" i="3"/>
  <c r="O137" i="3" s="1"/>
  <c r="M137" i="3"/>
  <c r="L137" i="3"/>
  <c r="K137" i="3"/>
  <c r="J137" i="3"/>
  <c r="N136" i="3"/>
  <c r="O136" i="3" s="1"/>
  <c r="M136" i="3"/>
  <c r="L136" i="3"/>
  <c r="K136" i="3"/>
  <c r="J136" i="3"/>
  <c r="N135" i="3"/>
  <c r="O135" i="3" s="1"/>
  <c r="M135" i="3"/>
  <c r="L135" i="3"/>
  <c r="K135" i="3"/>
  <c r="J135" i="3"/>
  <c r="N134" i="3"/>
  <c r="O134" i="3" s="1"/>
  <c r="M134" i="3"/>
  <c r="L134" i="3"/>
  <c r="K134" i="3"/>
  <c r="J134" i="3"/>
  <c r="N133" i="3"/>
  <c r="O133" i="3" s="1"/>
  <c r="M133" i="3"/>
  <c r="L133" i="3"/>
  <c r="K133" i="3"/>
  <c r="J133" i="3"/>
  <c r="N132" i="3"/>
  <c r="O132" i="3" s="1"/>
  <c r="M132" i="3"/>
  <c r="L132" i="3"/>
  <c r="K132" i="3"/>
  <c r="J132" i="3"/>
  <c r="N131" i="3"/>
  <c r="O131" i="3" s="1"/>
  <c r="M131" i="3"/>
  <c r="L131" i="3"/>
  <c r="K131" i="3"/>
  <c r="J131" i="3"/>
  <c r="N130" i="3"/>
  <c r="O130" i="3" s="1"/>
  <c r="M130" i="3"/>
  <c r="L130" i="3"/>
  <c r="K130" i="3"/>
  <c r="J130" i="3"/>
  <c r="N129" i="3"/>
  <c r="O129" i="3" s="1"/>
  <c r="M129" i="3"/>
  <c r="L129" i="3"/>
  <c r="K129" i="3"/>
  <c r="J129" i="3"/>
  <c r="N128" i="3"/>
  <c r="O128" i="3" s="1"/>
  <c r="M128" i="3"/>
  <c r="L128" i="3"/>
  <c r="K128" i="3"/>
  <c r="J128" i="3"/>
  <c r="N127" i="3"/>
  <c r="O127" i="3" s="1"/>
  <c r="M127" i="3"/>
  <c r="L127" i="3"/>
  <c r="K127" i="3"/>
  <c r="J127" i="3"/>
  <c r="N126" i="3"/>
  <c r="O126" i="3" s="1"/>
  <c r="M126" i="3"/>
  <c r="L126" i="3"/>
  <c r="K126" i="3"/>
  <c r="J126" i="3"/>
  <c r="N125" i="3"/>
  <c r="O125" i="3" s="1"/>
  <c r="M125" i="3"/>
  <c r="L125" i="3"/>
  <c r="K125" i="3"/>
  <c r="J125" i="3"/>
  <c r="N124" i="3"/>
  <c r="O124" i="3" s="1"/>
  <c r="M124" i="3"/>
  <c r="L124" i="3"/>
  <c r="K124" i="3"/>
  <c r="J124" i="3"/>
  <c r="N123" i="3"/>
  <c r="O123" i="3" s="1"/>
  <c r="M123" i="3"/>
  <c r="L123" i="3"/>
  <c r="K123" i="3"/>
  <c r="J123" i="3"/>
  <c r="N122" i="3"/>
  <c r="O122" i="3" s="1"/>
  <c r="M122" i="3"/>
  <c r="L122" i="3"/>
  <c r="K122" i="3"/>
  <c r="J122" i="3"/>
  <c r="N121" i="3"/>
  <c r="O121" i="3" s="1"/>
  <c r="M121" i="3"/>
  <c r="L121" i="3"/>
  <c r="K121" i="3"/>
  <c r="J121" i="3"/>
  <c r="N120" i="3"/>
  <c r="O120" i="3" s="1"/>
  <c r="M120" i="3"/>
  <c r="L120" i="3"/>
  <c r="K120" i="3"/>
  <c r="J120" i="3"/>
  <c r="N119" i="3"/>
  <c r="O119" i="3" s="1"/>
  <c r="M119" i="3"/>
  <c r="L119" i="3"/>
  <c r="K119" i="3"/>
  <c r="J119" i="3"/>
  <c r="N118" i="3"/>
  <c r="O118" i="3" s="1"/>
  <c r="M118" i="3"/>
  <c r="L118" i="3"/>
  <c r="K118" i="3"/>
  <c r="J118" i="3"/>
  <c r="N117" i="3"/>
  <c r="O117" i="3" s="1"/>
  <c r="M117" i="3"/>
  <c r="L117" i="3"/>
  <c r="K117" i="3"/>
  <c r="J117" i="3"/>
  <c r="N116" i="3"/>
  <c r="O116" i="3" s="1"/>
  <c r="M116" i="3"/>
  <c r="L116" i="3"/>
  <c r="K116" i="3"/>
  <c r="J116" i="3"/>
  <c r="N115" i="3"/>
  <c r="O115" i="3" s="1"/>
  <c r="M115" i="3"/>
  <c r="L115" i="3"/>
  <c r="K115" i="3"/>
  <c r="J115" i="3"/>
  <c r="N114" i="3"/>
  <c r="O114" i="3" s="1"/>
  <c r="M114" i="3"/>
  <c r="L114" i="3"/>
  <c r="K114" i="3"/>
  <c r="J114" i="3"/>
  <c r="N113" i="3"/>
  <c r="O113" i="3" s="1"/>
  <c r="M113" i="3"/>
  <c r="L113" i="3"/>
  <c r="K113" i="3"/>
  <c r="J113" i="3"/>
  <c r="N112" i="3"/>
  <c r="O112" i="3" s="1"/>
  <c r="M112" i="3"/>
  <c r="L112" i="3"/>
  <c r="K112" i="3"/>
  <c r="J112" i="3"/>
  <c r="N111" i="3"/>
  <c r="O111" i="3" s="1"/>
  <c r="M111" i="3"/>
  <c r="L111" i="3"/>
  <c r="K111" i="3"/>
  <c r="J111" i="3"/>
  <c r="N110" i="3"/>
  <c r="O110" i="3" s="1"/>
  <c r="M110" i="3"/>
  <c r="L110" i="3"/>
  <c r="K110" i="3"/>
  <c r="J110" i="3"/>
  <c r="N109" i="3"/>
  <c r="O109" i="3" s="1"/>
  <c r="M109" i="3"/>
  <c r="L109" i="3"/>
  <c r="K109" i="3"/>
  <c r="J109" i="3"/>
  <c r="N108" i="3"/>
  <c r="O108" i="3" s="1"/>
  <c r="M108" i="3"/>
  <c r="L108" i="3"/>
  <c r="K108" i="3"/>
  <c r="J108" i="3"/>
  <c r="N107" i="3"/>
  <c r="O107" i="3" s="1"/>
  <c r="M107" i="3"/>
  <c r="L107" i="3"/>
  <c r="K107" i="3"/>
  <c r="J107" i="3"/>
  <c r="N106" i="3"/>
  <c r="O106" i="3" s="1"/>
  <c r="M106" i="3"/>
  <c r="L106" i="3"/>
  <c r="K106" i="3"/>
  <c r="J106" i="3"/>
  <c r="N105" i="3"/>
  <c r="O105" i="3" s="1"/>
  <c r="M105" i="3"/>
  <c r="L105" i="3"/>
  <c r="K105" i="3"/>
  <c r="J105" i="3"/>
  <c r="N104" i="3"/>
  <c r="O104" i="3" s="1"/>
  <c r="M104" i="3"/>
  <c r="L104" i="3"/>
  <c r="K104" i="3"/>
  <c r="J104" i="3"/>
  <c r="N103" i="3"/>
  <c r="O103" i="3" s="1"/>
  <c r="M103" i="3"/>
  <c r="L103" i="3"/>
  <c r="K103" i="3"/>
  <c r="J103" i="3"/>
  <c r="N102" i="3"/>
  <c r="O102" i="3" s="1"/>
  <c r="M102" i="3"/>
  <c r="L102" i="3"/>
  <c r="K102" i="3"/>
  <c r="J102" i="3"/>
  <c r="N101" i="3"/>
  <c r="O101" i="3" s="1"/>
  <c r="M101" i="3"/>
  <c r="L101" i="3"/>
  <c r="K101" i="3"/>
  <c r="J101" i="3"/>
  <c r="N100" i="3"/>
  <c r="O100" i="3" s="1"/>
  <c r="M100" i="3"/>
  <c r="L100" i="3"/>
  <c r="K100" i="3"/>
  <c r="J100" i="3"/>
  <c r="N99" i="3"/>
  <c r="O99" i="3" s="1"/>
  <c r="M99" i="3"/>
  <c r="L99" i="3"/>
  <c r="K99" i="3"/>
  <c r="J99" i="3"/>
  <c r="N98" i="3"/>
  <c r="O98" i="3" s="1"/>
  <c r="M98" i="3"/>
  <c r="L98" i="3"/>
  <c r="K98" i="3"/>
  <c r="J98" i="3"/>
  <c r="N97" i="3"/>
  <c r="O97" i="3" s="1"/>
  <c r="M97" i="3"/>
  <c r="L97" i="3"/>
  <c r="K97" i="3"/>
  <c r="J97" i="3"/>
  <c r="N96" i="3"/>
  <c r="O96" i="3" s="1"/>
  <c r="M96" i="3"/>
  <c r="L96" i="3"/>
  <c r="K96" i="3"/>
  <c r="J96" i="3"/>
  <c r="N95" i="3"/>
  <c r="O95" i="3" s="1"/>
  <c r="M95" i="3"/>
  <c r="L95" i="3"/>
  <c r="K95" i="3"/>
  <c r="J95" i="3"/>
  <c r="N94" i="3"/>
  <c r="O94" i="3" s="1"/>
  <c r="M94" i="3"/>
  <c r="L94" i="3"/>
  <c r="K94" i="3"/>
  <c r="J94" i="3"/>
  <c r="N93" i="3"/>
  <c r="O93" i="3" s="1"/>
  <c r="M93" i="3"/>
  <c r="L93" i="3"/>
  <c r="K93" i="3"/>
  <c r="J93" i="3"/>
  <c r="N92" i="3"/>
  <c r="O92" i="3" s="1"/>
  <c r="M92" i="3"/>
  <c r="L92" i="3"/>
  <c r="K92" i="3"/>
  <c r="J92" i="3"/>
  <c r="N91" i="3"/>
  <c r="O91" i="3" s="1"/>
  <c r="M91" i="3"/>
  <c r="L91" i="3"/>
  <c r="K91" i="3"/>
  <c r="J91" i="3"/>
  <c r="N90" i="3"/>
  <c r="O90" i="3" s="1"/>
  <c r="M90" i="3"/>
  <c r="L90" i="3"/>
  <c r="K90" i="3"/>
  <c r="J90" i="3"/>
  <c r="N89" i="3"/>
  <c r="O89" i="3" s="1"/>
  <c r="M89" i="3"/>
  <c r="L89" i="3"/>
  <c r="K89" i="3"/>
  <c r="J89" i="3"/>
  <c r="N88" i="3"/>
  <c r="O88" i="3" s="1"/>
  <c r="M88" i="3"/>
  <c r="L88" i="3"/>
  <c r="K88" i="3"/>
  <c r="J88" i="3"/>
  <c r="N87" i="3"/>
  <c r="O87" i="3" s="1"/>
  <c r="M87" i="3"/>
  <c r="L87" i="3"/>
  <c r="K87" i="3"/>
  <c r="J87" i="3"/>
  <c r="N86" i="3"/>
  <c r="O86" i="3" s="1"/>
  <c r="M86" i="3"/>
  <c r="L86" i="3"/>
  <c r="K86" i="3"/>
  <c r="J86" i="3"/>
  <c r="N85" i="3"/>
  <c r="O85" i="3" s="1"/>
  <c r="M85" i="3"/>
  <c r="L85" i="3"/>
  <c r="K85" i="3"/>
  <c r="J85" i="3"/>
  <c r="N84" i="3"/>
  <c r="O84" i="3" s="1"/>
  <c r="M84" i="3"/>
  <c r="L84" i="3"/>
  <c r="K84" i="3"/>
  <c r="J84" i="3"/>
  <c r="N83" i="3"/>
  <c r="O83" i="3" s="1"/>
  <c r="M83" i="3"/>
  <c r="L83" i="3"/>
  <c r="K83" i="3"/>
  <c r="J83" i="3"/>
  <c r="N82" i="3"/>
  <c r="O82" i="3" s="1"/>
  <c r="M82" i="3"/>
  <c r="L82" i="3"/>
  <c r="K82" i="3"/>
  <c r="J82" i="3"/>
  <c r="N81" i="3"/>
  <c r="O81" i="3" s="1"/>
  <c r="M81" i="3"/>
  <c r="L81" i="3"/>
  <c r="K81" i="3"/>
  <c r="J81" i="3"/>
  <c r="N80" i="3"/>
  <c r="O80" i="3" s="1"/>
  <c r="M80" i="3"/>
  <c r="L80" i="3"/>
  <c r="K80" i="3"/>
  <c r="J80" i="3"/>
  <c r="N79" i="3"/>
  <c r="O79" i="3" s="1"/>
  <c r="M79" i="3"/>
  <c r="L79" i="3"/>
  <c r="K79" i="3"/>
  <c r="J79" i="3"/>
  <c r="N78" i="3"/>
  <c r="O78" i="3" s="1"/>
  <c r="M78" i="3"/>
  <c r="L78" i="3"/>
  <c r="K78" i="3"/>
  <c r="J78" i="3"/>
  <c r="N77" i="3"/>
  <c r="O77" i="3" s="1"/>
  <c r="M77" i="3"/>
  <c r="L77" i="3"/>
  <c r="K77" i="3"/>
  <c r="J77" i="3"/>
  <c r="N76" i="3"/>
  <c r="O76" i="3" s="1"/>
  <c r="M76" i="3"/>
  <c r="L76" i="3"/>
  <c r="K76" i="3"/>
  <c r="J76" i="3"/>
  <c r="N75" i="3"/>
  <c r="O75" i="3" s="1"/>
  <c r="M75" i="3"/>
  <c r="L75" i="3"/>
  <c r="K75" i="3"/>
  <c r="J75" i="3"/>
  <c r="N74" i="3"/>
  <c r="O74" i="3" s="1"/>
  <c r="M74" i="3"/>
  <c r="L74" i="3"/>
  <c r="K74" i="3"/>
  <c r="J74" i="3"/>
  <c r="N73" i="3"/>
  <c r="O73" i="3" s="1"/>
  <c r="M73" i="3"/>
  <c r="L73" i="3"/>
  <c r="K73" i="3"/>
  <c r="J73" i="3"/>
  <c r="N72" i="3"/>
  <c r="O72" i="3" s="1"/>
  <c r="M72" i="3"/>
  <c r="L72" i="3"/>
  <c r="K72" i="3"/>
  <c r="J72" i="3"/>
  <c r="N71" i="3"/>
  <c r="O71" i="3" s="1"/>
  <c r="M71" i="3"/>
  <c r="L71" i="3"/>
  <c r="K71" i="3"/>
  <c r="J71" i="3"/>
  <c r="N70" i="3"/>
  <c r="O70" i="3" s="1"/>
  <c r="M70" i="3"/>
  <c r="L70" i="3"/>
  <c r="K70" i="3"/>
  <c r="J70" i="3"/>
  <c r="N69" i="3"/>
  <c r="O69" i="3" s="1"/>
  <c r="M69" i="3"/>
  <c r="L69" i="3"/>
  <c r="K69" i="3"/>
  <c r="J69" i="3"/>
  <c r="N68" i="3"/>
  <c r="O68" i="3" s="1"/>
  <c r="M68" i="3"/>
  <c r="L68" i="3"/>
  <c r="K68" i="3"/>
  <c r="J68" i="3"/>
  <c r="N67" i="3"/>
  <c r="O67" i="3" s="1"/>
  <c r="M67" i="3"/>
  <c r="L67" i="3"/>
  <c r="K67" i="3"/>
  <c r="J67" i="3"/>
  <c r="N66" i="3"/>
  <c r="O66" i="3" s="1"/>
  <c r="M66" i="3"/>
  <c r="L66" i="3"/>
  <c r="K66" i="3"/>
  <c r="J66" i="3"/>
  <c r="N65" i="3"/>
  <c r="O65" i="3" s="1"/>
  <c r="M65" i="3"/>
  <c r="L65" i="3"/>
  <c r="K65" i="3"/>
  <c r="J65" i="3"/>
  <c r="N64" i="3"/>
  <c r="O64" i="3" s="1"/>
  <c r="M64" i="3"/>
  <c r="L64" i="3"/>
  <c r="K64" i="3"/>
  <c r="J64" i="3"/>
  <c r="N63" i="3"/>
  <c r="O63" i="3" s="1"/>
  <c r="M63" i="3"/>
  <c r="L63" i="3"/>
  <c r="K63" i="3"/>
  <c r="J63" i="3"/>
  <c r="N62" i="3"/>
  <c r="O62" i="3" s="1"/>
  <c r="M62" i="3"/>
  <c r="L62" i="3"/>
  <c r="K62" i="3"/>
  <c r="J62" i="3"/>
  <c r="N61" i="3"/>
  <c r="O61" i="3" s="1"/>
  <c r="M61" i="3"/>
  <c r="L61" i="3"/>
  <c r="K61" i="3"/>
  <c r="J61" i="3"/>
  <c r="N60" i="3"/>
  <c r="O60" i="3" s="1"/>
  <c r="M60" i="3"/>
  <c r="L60" i="3"/>
  <c r="K60" i="3"/>
  <c r="J60" i="3"/>
  <c r="N59" i="3"/>
  <c r="O59" i="3" s="1"/>
  <c r="M59" i="3"/>
  <c r="L59" i="3"/>
  <c r="K59" i="3"/>
  <c r="J59" i="3"/>
  <c r="N58" i="3"/>
  <c r="O58" i="3" s="1"/>
  <c r="M58" i="3"/>
  <c r="L58" i="3"/>
  <c r="K58" i="3"/>
  <c r="J58" i="3"/>
  <c r="N57" i="3"/>
  <c r="O57" i="3" s="1"/>
  <c r="M57" i="3"/>
  <c r="L57" i="3"/>
  <c r="K57" i="3"/>
  <c r="J57" i="3"/>
  <c r="N56" i="3"/>
  <c r="O56" i="3" s="1"/>
  <c r="M56" i="3"/>
  <c r="L56" i="3"/>
  <c r="K56" i="3"/>
  <c r="J56" i="3"/>
  <c r="N55" i="3"/>
  <c r="O55" i="3" s="1"/>
  <c r="M55" i="3"/>
  <c r="L55" i="3"/>
  <c r="K55" i="3"/>
  <c r="J55" i="3"/>
  <c r="N54" i="3"/>
  <c r="O54" i="3" s="1"/>
  <c r="M54" i="3"/>
  <c r="L54" i="3"/>
  <c r="K54" i="3"/>
  <c r="J54" i="3"/>
  <c r="N53" i="3"/>
  <c r="O53" i="3" s="1"/>
  <c r="M53" i="3"/>
  <c r="L53" i="3"/>
  <c r="K53" i="3"/>
  <c r="J53" i="3"/>
  <c r="N52" i="3"/>
  <c r="O52" i="3" s="1"/>
  <c r="M52" i="3"/>
  <c r="L52" i="3"/>
  <c r="K52" i="3"/>
  <c r="J52" i="3"/>
  <c r="N51" i="3"/>
  <c r="O51" i="3" s="1"/>
  <c r="M51" i="3"/>
  <c r="L51" i="3"/>
  <c r="K51" i="3"/>
  <c r="J51" i="3"/>
  <c r="N50" i="3"/>
  <c r="O50" i="3" s="1"/>
  <c r="M50" i="3"/>
  <c r="L50" i="3"/>
  <c r="K50" i="3"/>
  <c r="J50" i="3"/>
  <c r="N49" i="3"/>
  <c r="O49" i="3" s="1"/>
  <c r="M49" i="3"/>
  <c r="L49" i="3"/>
  <c r="K49" i="3"/>
  <c r="J49" i="3"/>
  <c r="N48" i="3"/>
  <c r="O48" i="3" s="1"/>
  <c r="M48" i="3"/>
  <c r="L48" i="3"/>
  <c r="K48" i="3"/>
  <c r="J48" i="3"/>
  <c r="N47" i="3"/>
  <c r="O47" i="3" s="1"/>
  <c r="M47" i="3"/>
  <c r="L47" i="3"/>
  <c r="K47" i="3"/>
  <c r="J47" i="3"/>
  <c r="N46" i="3"/>
  <c r="O46" i="3" s="1"/>
  <c r="M46" i="3"/>
  <c r="L46" i="3"/>
  <c r="K46" i="3"/>
  <c r="J46" i="3"/>
  <c r="N45" i="3"/>
  <c r="O45" i="3" s="1"/>
  <c r="M45" i="3"/>
  <c r="L45" i="3"/>
  <c r="K45" i="3"/>
  <c r="J45" i="3"/>
  <c r="N44" i="3"/>
  <c r="O44" i="3" s="1"/>
  <c r="M44" i="3"/>
  <c r="L44" i="3"/>
  <c r="K44" i="3"/>
  <c r="J44" i="3"/>
  <c r="N43" i="3"/>
  <c r="O43" i="3" s="1"/>
  <c r="M43" i="3"/>
  <c r="L43" i="3"/>
  <c r="K43" i="3"/>
  <c r="J43" i="3"/>
  <c r="N42" i="3"/>
  <c r="O42" i="3" s="1"/>
  <c r="M42" i="3"/>
  <c r="L42" i="3"/>
  <c r="K42" i="3"/>
  <c r="J42" i="3"/>
  <c r="N41" i="3"/>
  <c r="O41" i="3" s="1"/>
  <c r="M41" i="3"/>
  <c r="L41" i="3"/>
  <c r="K41" i="3"/>
  <c r="J41" i="3"/>
  <c r="N40" i="3"/>
  <c r="O40" i="3" s="1"/>
  <c r="M40" i="3"/>
  <c r="L40" i="3"/>
  <c r="K40" i="3"/>
  <c r="J40" i="3"/>
  <c r="N39" i="3"/>
  <c r="O39" i="3" s="1"/>
  <c r="M39" i="3"/>
  <c r="L39" i="3"/>
  <c r="K39" i="3"/>
  <c r="J39" i="3"/>
  <c r="N38" i="3"/>
  <c r="O38" i="3" s="1"/>
  <c r="M38" i="3"/>
  <c r="L38" i="3"/>
  <c r="K38" i="3"/>
  <c r="J38" i="3"/>
  <c r="N37" i="3"/>
  <c r="O37" i="3" s="1"/>
  <c r="M37" i="3"/>
  <c r="L37" i="3"/>
  <c r="K37" i="3"/>
  <c r="J37" i="3"/>
  <c r="N36" i="3"/>
  <c r="O36" i="3" s="1"/>
  <c r="M36" i="3"/>
  <c r="L36" i="3"/>
  <c r="K36" i="3"/>
  <c r="J36" i="3"/>
  <c r="N35" i="3"/>
  <c r="O35" i="3" s="1"/>
  <c r="M35" i="3"/>
  <c r="L35" i="3"/>
  <c r="K35" i="3"/>
  <c r="J35" i="3"/>
  <c r="N34" i="3"/>
  <c r="O34" i="3" s="1"/>
  <c r="M34" i="3"/>
  <c r="L34" i="3"/>
  <c r="K34" i="3"/>
  <c r="J34" i="3"/>
  <c r="N33" i="3"/>
  <c r="O33" i="3" s="1"/>
  <c r="M33" i="3"/>
  <c r="L33" i="3"/>
  <c r="K33" i="3"/>
  <c r="J33" i="3"/>
  <c r="N32" i="3"/>
  <c r="O32" i="3" s="1"/>
  <c r="M32" i="3"/>
  <c r="L32" i="3"/>
  <c r="K32" i="3"/>
  <c r="J32" i="3"/>
  <c r="N31" i="3"/>
  <c r="O31" i="3" s="1"/>
  <c r="M31" i="3"/>
  <c r="L31" i="3"/>
  <c r="K31" i="3"/>
  <c r="J31" i="3"/>
  <c r="N30" i="3"/>
  <c r="O30" i="3" s="1"/>
  <c r="M30" i="3"/>
  <c r="L30" i="3"/>
  <c r="K30" i="3"/>
  <c r="J30" i="3"/>
  <c r="N29" i="3"/>
  <c r="O29" i="3" s="1"/>
  <c r="M29" i="3"/>
  <c r="L29" i="3"/>
  <c r="K29" i="3"/>
  <c r="J29" i="3"/>
  <c r="N28" i="3"/>
  <c r="O28" i="3" s="1"/>
  <c r="M28" i="3"/>
  <c r="L28" i="3"/>
  <c r="K28" i="3"/>
  <c r="J28" i="3"/>
  <c r="N27" i="3"/>
  <c r="O27" i="3" s="1"/>
  <c r="M27" i="3"/>
  <c r="L27" i="3"/>
  <c r="K27" i="3"/>
  <c r="J27" i="3"/>
  <c r="N26" i="3"/>
  <c r="O26" i="3" s="1"/>
  <c r="M26" i="3"/>
  <c r="L26" i="3"/>
  <c r="K26" i="3"/>
  <c r="J26" i="3"/>
  <c r="N25" i="3"/>
  <c r="O25" i="3" s="1"/>
  <c r="M25" i="3"/>
  <c r="L25" i="3"/>
  <c r="K25" i="3"/>
  <c r="J25" i="3"/>
  <c r="N24" i="3"/>
  <c r="O24" i="3" s="1"/>
  <c r="M24" i="3"/>
  <c r="L24" i="3"/>
  <c r="K24" i="3"/>
  <c r="J24" i="3"/>
  <c r="N23" i="3"/>
  <c r="O23" i="3" s="1"/>
  <c r="M23" i="3"/>
  <c r="L23" i="3"/>
  <c r="K23" i="3"/>
  <c r="J23" i="3"/>
  <c r="N22" i="3"/>
  <c r="O22" i="3" s="1"/>
  <c r="M22" i="3"/>
  <c r="L22" i="3"/>
  <c r="K22" i="3"/>
  <c r="J22" i="3"/>
  <c r="N21" i="3"/>
  <c r="O21" i="3" s="1"/>
  <c r="M21" i="3"/>
  <c r="L21" i="3"/>
  <c r="K21" i="3"/>
  <c r="J21" i="3"/>
  <c r="N20" i="3"/>
  <c r="O20" i="3" s="1"/>
  <c r="M20" i="3"/>
  <c r="L20" i="3"/>
  <c r="K20" i="3"/>
  <c r="J20" i="3"/>
  <c r="N19" i="3"/>
  <c r="O19" i="3" s="1"/>
  <c r="M19" i="3"/>
  <c r="L19" i="3"/>
  <c r="K19" i="3"/>
  <c r="J19" i="3"/>
  <c r="N18" i="3"/>
  <c r="O18" i="3" s="1"/>
  <c r="M18" i="3"/>
  <c r="L18" i="3"/>
  <c r="K18" i="3"/>
  <c r="J18" i="3"/>
  <c r="N17" i="3"/>
  <c r="O17" i="3" s="1"/>
  <c r="M17" i="3"/>
  <c r="L17" i="3"/>
  <c r="K17" i="3"/>
  <c r="J17" i="3"/>
  <c r="N16" i="3"/>
  <c r="O16" i="3" s="1"/>
  <c r="M16" i="3"/>
  <c r="L16" i="3"/>
  <c r="K16" i="3"/>
  <c r="J16" i="3"/>
  <c r="N15" i="3"/>
  <c r="O15" i="3" s="1"/>
  <c r="M15" i="3"/>
  <c r="L15" i="3"/>
  <c r="K15" i="3"/>
  <c r="J15" i="3"/>
  <c r="N14" i="3"/>
  <c r="O14" i="3" s="1"/>
  <c r="M14" i="3"/>
  <c r="L14" i="3"/>
  <c r="K14" i="3"/>
  <c r="J14" i="3"/>
  <c r="N13" i="3"/>
  <c r="O13" i="3" s="1"/>
  <c r="M13" i="3"/>
  <c r="L13" i="3"/>
  <c r="K13" i="3"/>
  <c r="J13" i="3"/>
  <c r="K12" i="3"/>
  <c r="J12" i="3"/>
  <c r="L12" i="3" s="1"/>
  <c r="K11" i="3"/>
  <c r="J11" i="3"/>
  <c r="L11" i="3" s="1"/>
  <c r="K10" i="3"/>
  <c r="J10" i="3"/>
  <c r="L10" i="3" s="1"/>
  <c r="K9" i="3"/>
  <c r="J9" i="3"/>
  <c r="L9" i="3" s="1"/>
  <c r="K8" i="3"/>
  <c r="J8" i="3"/>
  <c r="L8" i="3" s="1"/>
  <c r="K7" i="3"/>
  <c r="J7" i="3"/>
  <c r="L7" i="3" s="1"/>
  <c r="K6" i="3"/>
  <c r="J6" i="3"/>
  <c r="L6" i="3" s="1"/>
  <c r="K5" i="3"/>
  <c r="J5" i="3"/>
  <c r="L5" i="3" s="1"/>
  <c r="C11" i="2"/>
  <c r="C10" i="2"/>
  <c r="C6" i="2"/>
  <c r="A300" i="5" l="1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7" i="5"/>
  <c r="A11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6" i="5"/>
  <c r="A15" i="5"/>
  <c r="A14" i="5"/>
  <c r="A13" i="5"/>
  <c r="A12" i="5"/>
  <c r="A10" i="5"/>
  <c r="A9" i="5"/>
  <c r="A308" i="5"/>
  <c r="A307" i="5"/>
  <c r="A306" i="5"/>
  <c r="A305" i="5"/>
  <c r="A304" i="5"/>
  <c r="A303" i="5"/>
  <c r="A302" i="5"/>
  <c r="A301" i="5"/>
  <c r="M12" i="3"/>
  <c r="N12" i="3"/>
  <c r="O12" i="3" s="1"/>
  <c r="N11" i="3"/>
  <c r="M11" i="3"/>
  <c r="M10" i="3"/>
  <c r="N10" i="3"/>
  <c r="M9" i="3"/>
  <c r="N9" i="3"/>
  <c r="N8" i="3"/>
  <c r="O8" i="3" s="1"/>
  <c r="M8" i="3"/>
  <c r="N7" i="3"/>
  <c r="M7" i="3"/>
  <c r="M6" i="3"/>
  <c r="N6" i="3"/>
  <c r="M5" i="3"/>
  <c r="N5" i="3"/>
  <c r="C6" i="5"/>
  <c r="O11" i="3" l="1"/>
  <c r="B300" i="5"/>
  <c r="C300" i="5"/>
  <c r="D300" i="5"/>
  <c r="E300" i="5"/>
  <c r="F300" i="5"/>
  <c r="G300" i="5"/>
  <c r="H300" i="5"/>
  <c r="I300" i="5"/>
  <c r="J300" i="5"/>
  <c r="B299" i="5"/>
  <c r="C299" i="5"/>
  <c r="D299" i="5"/>
  <c r="E299" i="5"/>
  <c r="F299" i="5"/>
  <c r="G299" i="5"/>
  <c r="H299" i="5"/>
  <c r="I299" i="5"/>
  <c r="J299" i="5"/>
  <c r="B298" i="5"/>
  <c r="C298" i="5"/>
  <c r="D298" i="5"/>
  <c r="E298" i="5"/>
  <c r="F298" i="5"/>
  <c r="G298" i="5"/>
  <c r="H298" i="5"/>
  <c r="I298" i="5"/>
  <c r="J298" i="5"/>
  <c r="B297" i="5"/>
  <c r="C297" i="5"/>
  <c r="D297" i="5"/>
  <c r="E297" i="5"/>
  <c r="F297" i="5"/>
  <c r="G297" i="5"/>
  <c r="H297" i="5"/>
  <c r="I297" i="5"/>
  <c r="J297" i="5"/>
  <c r="B296" i="5"/>
  <c r="C296" i="5"/>
  <c r="D296" i="5"/>
  <c r="E296" i="5"/>
  <c r="F296" i="5"/>
  <c r="G296" i="5"/>
  <c r="H296" i="5"/>
  <c r="I296" i="5"/>
  <c r="J296" i="5"/>
  <c r="B295" i="5"/>
  <c r="C295" i="5"/>
  <c r="D295" i="5"/>
  <c r="E295" i="5"/>
  <c r="F295" i="5"/>
  <c r="G295" i="5"/>
  <c r="H295" i="5"/>
  <c r="I295" i="5"/>
  <c r="J295" i="5"/>
  <c r="B294" i="5"/>
  <c r="C294" i="5"/>
  <c r="D294" i="5"/>
  <c r="E294" i="5"/>
  <c r="F294" i="5"/>
  <c r="G294" i="5"/>
  <c r="H294" i="5"/>
  <c r="I294" i="5"/>
  <c r="J294" i="5"/>
  <c r="B293" i="5"/>
  <c r="C293" i="5"/>
  <c r="D293" i="5"/>
  <c r="E293" i="5"/>
  <c r="F293" i="5"/>
  <c r="G293" i="5"/>
  <c r="H293" i="5"/>
  <c r="I293" i="5"/>
  <c r="J293" i="5"/>
  <c r="B292" i="5"/>
  <c r="C292" i="5"/>
  <c r="D292" i="5"/>
  <c r="E292" i="5"/>
  <c r="F292" i="5"/>
  <c r="G292" i="5"/>
  <c r="H292" i="5"/>
  <c r="I292" i="5"/>
  <c r="J292" i="5"/>
  <c r="B291" i="5"/>
  <c r="C291" i="5"/>
  <c r="D291" i="5"/>
  <c r="E291" i="5"/>
  <c r="F291" i="5"/>
  <c r="G291" i="5"/>
  <c r="H291" i="5"/>
  <c r="I291" i="5"/>
  <c r="J291" i="5"/>
  <c r="B290" i="5"/>
  <c r="C290" i="5"/>
  <c r="D290" i="5"/>
  <c r="E290" i="5"/>
  <c r="F290" i="5"/>
  <c r="G290" i="5"/>
  <c r="H290" i="5"/>
  <c r="I290" i="5"/>
  <c r="J290" i="5"/>
  <c r="B289" i="5"/>
  <c r="C289" i="5"/>
  <c r="D289" i="5"/>
  <c r="E289" i="5"/>
  <c r="F289" i="5"/>
  <c r="G289" i="5"/>
  <c r="H289" i="5"/>
  <c r="I289" i="5"/>
  <c r="J289" i="5"/>
  <c r="B288" i="5"/>
  <c r="C288" i="5"/>
  <c r="D288" i="5"/>
  <c r="E288" i="5"/>
  <c r="F288" i="5"/>
  <c r="G288" i="5"/>
  <c r="H288" i="5"/>
  <c r="I288" i="5"/>
  <c r="J288" i="5"/>
  <c r="B287" i="5"/>
  <c r="C287" i="5"/>
  <c r="D287" i="5"/>
  <c r="E287" i="5"/>
  <c r="F287" i="5"/>
  <c r="G287" i="5"/>
  <c r="H287" i="5"/>
  <c r="I287" i="5"/>
  <c r="J287" i="5"/>
  <c r="B286" i="5"/>
  <c r="C286" i="5"/>
  <c r="D286" i="5"/>
  <c r="E286" i="5"/>
  <c r="F286" i="5"/>
  <c r="G286" i="5"/>
  <c r="H286" i="5"/>
  <c r="I286" i="5"/>
  <c r="J286" i="5"/>
  <c r="B285" i="5"/>
  <c r="C285" i="5"/>
  <c r="D285" i="5"/>
  <c r="E285" i="5"/>
  <c r="F285" i="5"/>
  <c r="G285" i="5"/>
  <c r="H285" i="5"/>
  <c r="I285" i="5"/>
  <c r="J285" i="5"/>
  <c r="B284" i="5"/>
  <c r="C284" i="5"/>
  <c r="D284" i="5"/>
  <c r="E284" i="5"/>
  <c r="F284" i="5"/>
  <c r="G284" i="5"/>
  <c r="H284" i="5"/>
  <c r="I284" i="5"/>
  <c r="J284" i="5"/>
  <c r="B283" i="5"/>
  <c r="C283" i="5"/>
  <c r="D283" i="5"/>
  <c r="E283" i="5"/>
  <c r="F283" i="5"/>
  <c r="G283" i="5"/>
  <c r="H283" i="5"/>
  <c r="I283" i="5"/>
  <c r="J283" i="5"/>
  <c r="B282" i="5"/>
  <c r="C282" i="5"/>
  <c r="D282" i="5"/>
  <c r="E282" i="5"/>
  <c r="F282" i="5"/>
  <c r="G282" i="5"/>
  <c r="H282" i="5"/>
  <c r="I282" i="5"/>
  <c r="J282" i="5"/>
  <c r="B281" i="5"/>
  <c r="C281" i="5"/>
  <c r="D281" i="5"/>
  <c r="E281" i="5"/>
  <c r="F281" i="5"/>
  <c r="G281" i="5"/>
  <c r="H281" i="5"/>
  <c r="I281" i="5"/>
  <c r="J281" i="5"/>
  <c r="B280" i="5"/>
  <c r="C280" i="5"/>
  <c r="D280" i="5"/>
  <c r="E280" i="5"/>
  <c r="F280" i="5"/>
  <c r="G280" i="5"/>
  <c r="H280" i="5"/>
  <c r="I280" i="5"/>
  <c r="J280" i="5"/>
  <c r="B279" i="5"/>
  <c r="C279" i="5"/>
  <c r="D279" i="5"/>
  <c r="E279" i="5"/>
  <c r="F279" i="5"/>
  <c r="G279" i="5"/>
  <c r="H279" i="5"/>
  <c r="I279" i="5"/>
  <c r="J279" i="5"/>
  <c r="B278" i="5"/>
  <c r="C278" i="5"/>
  <c r="D278" i="5"/>
  <c r="E278" i="5"/>
  <c r="F278" i="5"/>
  <c r="G278" i="5"/>
  <c r="H278" i="5"/>
  <c r="I278" i="5"/>
  <c r="J278" i="5"/>
  <c r="B277" i="5"/>
  <c r="C277" i="5"/>
  <c r="D277" i="5"/>
  <c r="E277" i="5"/>
  <c r="F277" i="5"/>
  <c r="G277" i="5"/>
  <c r="H277" i="5"/>
  <c r="I277" i="5"/>
  <c r="J277" i="5"/>
  <c r="B276" i="5"/>
  <c r="C276" i="5"/>
  <c r="D276" i="5"/>
  <c r="E276" i="5"/>
  <c r="F276" i="5"/>
  <c r="G276" i="5"/>
  <c r="H276" i="5"/>
  <c r="I276" i="5"/>
  <c r="J276" i="5"/>
  <c r="B275" i="5"/>
  <c r="C275" i="5"/>
  <c r="D275" i="5"/>
  <c r="E275" i="5"/>
  <c r="F275" i="5"/>
  <c r="G275" i="5"/>
  <c r="H275" i="5"/>
  <c r="I275" i="5"/>
  <c r="J275" i="5"/>
  <c r="B274" i="5"/>
  <c r="C274" i="5"/>
  <c r="D274" i="5"/>
  <c r="E274" i="5"/>
  <c r="F274" i="5"/>
  <c r="G274" i="5"/>
  <c r="H274" i="5"/>
  <c r="I274" i="5"/>
  <c r="J274" i="5"/>
  <c r="B273" i="5"/>
  <c r="C273" i="5"/>
  <c r="D273" i="5"/>
  <c r="E273" i="5"/>
  <c r="F273" i="5"/>
  <c r="G273" i="5"/>
  <c r="H273" i="5"/>
  <c r="I273" i="5"/>
  <c r="J273" i="5"/>
  <c r="B272" i="5"/>
  <c r="C272" i="5"/>
  <c r="D272" i="5"/>
  <c r="E272" i="5"/>
  <c r="F272" i="5"/>
  <c r="G272" i="5"/>
  <c r="H272" i="5"/>
  <c r="I272" i="5"/>
  <c r="J272" i="5"/>
  <c r="B271" i="5"/>
  <c r="C271" i="5"/>
  <c r="D271" i="5"/>
  <c r="E271" i="5"/>
  <c r="F271" i="5"/>
  <c r="G271" i="5"/>
  <c r="H271" i="5"/>
  <c r="I271" i="5"/>
  <c r="J271" i="5"/>
  <c r="B270" i="5"/>
  <c r="C270" i="5"/>
  <c r="D270" i="5"/>
  <c r="E270" i="5"/>
  <c r="F270" i="5"/>
  <c r="G270" i="5"/>
  <c r="H270" i="5"/>
  <c r="I270" i="5"/>
  <c r="J270" i="5"/>
  <c r="B269" i="5"/>
  <c r="C269" i="5"/>
  <c r="D269" i="5"/>
  <c r="E269" i="5"/>
  <c r="F269" i="5"/>
  <c r="G269" i="5"/>
  <c r="H269" i="5"/>
  <c r="I269" i="5"/>
  <c r="J269" i="5"/>
  <c r="B268" i="5"/>
  <c r="C268" i="5"/>
  <c r="D268" i="5"/>
  <c r="E268" i="5"/>
  <c r="F268" i="5"/>
  <c r="G268" i="5"/>
  <c r="H268" i="5"/>
  <c r="I268" i="5"/>
  <c r="J268" i="5"/>
  <c r="B267" i="5"/>
  <c r="C267" i="5"/>
  <c r="D267" i="5"/>
  <c r="E267" i="5"/>
  <c r="F267" i="5"/>
  <c r="G267" i="5"/>
  <c r="H267" i="5"/>
  <c r="I267" i="5"/>
  <c r="J267" i="5"/>
  <c r="B266" i="5"/>
  <c r="C266" i="5"/>
  <c r="D266" i="5"/>
  <c r="E266" i="5"/>
  <c r="F266" i="5"/>
  <c r="G266" i="5"/>
  <c r="H266" i="5"/>
  <c r="I266" i="5"/>
  <c r="J266" i="5"/>
  <c r="B265" i="5"/>
  <c r="C265" i="5"/>
  <c r="D265" i="5"/>
  <c r="E265" i="5"/>
  <c r="F265" i="5"/>
  <c r="G265" i="5"/>
  <c r="H265" i="5"/>
  <c r="I265" i="5"/>
  <c r="J265" i="5"/>
  <c r="B264" i="5"/>
  <c r="C264" i="5"/>
  <c r="D264" i="5"/>
  <c r="E264" i="5"/>
  <c r="F264" i="5"/>
  <c r="G264" i="5"/>
  <c r="H264" i="5"/>
  <c r="I264" i="5"/>
  <c r="J264" i="5"/>
  <c r="B263" i="5"/>
  <c r="C263" i="5"/>
  <c r="D263" i="5"/>
  <c r="E263" i="5"/>
  <c r="F263" i="5"/>
  <c r="G263" i="5"/>
  <c r="H263" i="5"/>
  <c r="I263" i="5"/>
  <c r="J263" i="5"/>
  <c r="B262" i="5"/>
  <c r="C262" i="5"/>
  <c r="D262" i="5"/>
  <c r="E262" i="5"/>
  <c r="F262" i="5"/>
  <c r="G262" i="5"/>
  <c r="H262" i="5"/>
  <c r="I262" i="5"/>
  <c r="J262" i="5"/>
  <c r="B261" i="5"/>
  <c r="C261" i="5"/>
  <c r="D261" i="5"/>
  <c r="E261" i="5"/>
  <c r="F261" i="5"/>
  <c r="G261" i="5"/>
  <c r="H261" i="5"/>
  <c r="I261" i="5"/>
  <c r="J261" i="5"/>
  <c r="B260" i="5"/>
  <c r="C260" i="5"/>
  <c r="D260" i="5"/>
  <c r="E260" i="5"/>
  <c r="F260" i="5"/>
  <c r="G260" i="5"/>
  <c r="H260" i="5"/>
  <c r="I260" i="5"/>
  <c r="J260" i="5"/>
  <c r="B259" i="5"/>
  <c r="C259" i="5"/>
  <c r="D259" i="5"/>
  <c r="E259" i="5"/>
  <c r="F259" i="5"/>
  <c r="G259" i="5"/>
  <c r="H259" i="5"/>
  <c r="I259" i="5"/>
  <c r="J259" i="5"/>
  <c r="B258" i="5"/>
  <c r="C258" i="5"/>
  <c r="D258" i="5"/>
  <c r="E258" i="5"/>
  <c r="F258" i="5"/>
  <c r="G258" i="5"/>
  <c r="H258" i="5"/>
  <c r="I258" i="5"/>
  <c r="J258" i="5"/>
  <c r="B257" i="5"/>
  <c r="C257" i="5"/>
  <c r="D257" i="5"/>
  <c r="E257" i="5"/>
  <c r="F257" i="5"/>
  <c r="G257" i="5"/>
  <c r="H257" i="5"/>
  <c r="I257" i="5"/>
  <c r="J257" i="5"/>
  <c r="B256" i="5"/>
  <c r="C256" i="5"/>
  <c r="D256" i="5"/>
  <c r="E256" i="5"/>
  <c r="F256" i="5"/>
  <c r="G256" i="5"/>
  <c r="H256" i="5"/>
  <c r="I256" i="5"/>
  <c r="J256" i="5"/>
  <c r="B255" i="5"/>
  <c r="C255" i="5"/>
  <c r="D255" i="5"/>
  <c r="E255" i="5"/>
  <c r="F255" i="5"/>
  <c r="G255" i="5"/>
  <c r="H255" i="5"/>
  <c r="I255" i="5"/>
  <c r="J255" i="5"/>
  <c r="B254" i="5"/>
  <c r="C254" i="5"/>
  <c r="D254" i="5"/>
  <c r="E254" i="5"/>
  <c r="F254" i="5"/>
  <c r="G254" i="5"/>
  <c r="H254" i="5"/>
  <c r="I254" i="5"/>
  <c r="J254" i="5"/>
  <c r="B253" i="5"/>
  <c r="C253" i="5"/>
  <c r="D253" i="5"/>
  <c r="E253" i="5"/>
  <c r="F253" i="5"/>
  <c r="G253" i="5"/>
  <c r="H253" i="5"/>
  <c r="I253" i="5"/>
  <c r="J253" i="5"/>
  <c r="B252" i="5"/>
  <c r="C252" i="5"/>
  <c r="D252" i="5"/>
  <c r="E252" i="5"/>
  <c r="F252" i="5"/>
  <c r="G252" i="5"/>
  <c r="H252" i="5"/>
  <c r="I252" i="5"/>
  <c r="J252" i="5"/>
  <c r="B251" i="5"/>
  <c r="C251" i="5"/>
  <c r="D251" i="5"/>
  <c r="E251" i="5"/>
  <c r="F251" i="5"/>
  <c r="G251" i="5"/>
  <c r="H251" i="5"/>
  <c r="I251" i="5"/>
  <c r="J251" i="5"/>
  <c r="B250" i="5"/>
  <c r="C250" i="5"/>
  <c r="D250" i="5"/>
  <c r="E250" i="5"/>
  <c r="F250" i="5"/>
  <c r="G250" i="5"/>
  <c r="H250" i="5"/>
  <c r="I250" i="5"/>
  <c r="J250" i="5"/>
  <c r="B249" i="5"/>
  <c r="C249" i="5"/>
  <c r="D249" i="5"/>
  <c r="E249" i="5"/>
  <c r="F249" i="5"/>
  <c r="G249" i="5"/>
  <c r="H249" i="5"/>
  <c r="I249" i="5"/>
  <c r="J249" i="5"/>
  <c r="B248" i="5"/>
  <c r="C248" i="5"/>
  <c r="D248" i="5"/>
  <c r="E248" i="5"/>
  <c r="F248" i="5"/>
  <c r="G248" i="5"/>
  <c r="H248" i="5"/>
  <c r="I248" i="5"/>
  <c r="J248" i="5"/>
  <c r="B247" i="5"/>
  <c r="C247" i="5"/>
  <c r="D247" i="5"/>
  <c r="E247" i="5"/>
  <c r="F247" i="5"/>
  <c r="G247" i="5"/>
  <c r="H247" i="5"/>
  <c r="I247" i="5"/>
  <c r="J247" i="5"/>
  <c r="B246" i="5"/>
  <c r="C246" i="5"/>
  <c r="D246" i="5"/>
  <c r="E246" i="5"/>
  <c r="F246" i="5"/>
  <c r="G246" i="5"/>
  <c r="H246" i="5"/>
  <c r="I246" i="5"/>
  <c r="J246" i="5"/>
  <c r="B245" i="5"/>
  <c r="C245" i="5"/>
  <c r="D245" i="5"/>
  <c r="E245" i="5"/>
  <c r="F245" i="5"/>
  <c r="G245" i="5"/>
  <c r="H245" i="5"/>
  <c r="I245" i="5"/>
  <c r="J245" i="5"/>
  <c r="B244" i="5"/>
  <c r="C244" i="5"/>
  <c r="D244" i="5"/>
  <c r="E244" i="5"/>
  <c r="F244" i="5"/>
  <c r="G244" i="5"/>
  <c r="H244" i="5"/>
  <c r="I244" i="5"/>
  <c r="J244" i="5"/>
  <c r="B243" i="5"/>
  <c r="C243" i="5"/>
  <c r="D243" i="5"/>
  <c r="E243" i="5"/>
  <c r="F243" i="5"/>
  <c r="G243" i="5"/>
  <c r="H243" i="5"/>
  <c r="I243" i="5"/>
  <c r="J243" i="5"/>
  <c r="B242" i="5"/>
  <c r="C242" i="5"/>
  <c r="D242" i="5"/>
  <c r="E242" i="5"/>
  <c r="F242" i="5"/>
  <c r="G242" i="5"/>
  <c r="H242" i="5"/>
  <c r="I242" i="5"/>
  <c r="J242" i="5"/>
  <c r="B241" i="5"/>
  <c r="C241" i="5"/>
  <c r="D241" i="5"/>
  <c r="E241" i="5"/>
  <c r="F241" i="5"/>
  <c r="G241" i="5"/>
  <c r="H241" i="5"/>
  <c r="I241" i="5"/>
  <c r="J241" i="5"/>
  <c r="B240" i="5"/>
  <c r="C240" i="5"/>
  <c r="D240" i="5"/>
  <c r="E240" i="5"/>
  <c r="F240" i="5"/>
  <c r="G240" i="5"/>
  <c r="H240" i="5"/>
  <c r="I240" i="5"/>
  <c r="J240" i="5"/>
  <c r="B239" i="5"/>
  <c r="C239" i="5"/>
  <c r="D239" i="5"/>
  <c r="E239" i="5"/>
  <c r="F239" i="5"/>
  <c r="G239" i="5"/>
  <c r="H239" i="5"/>
  <c r="I239" i="5"/>
  <c r="J239" i="5"/>
  <c r="B238" i="5"/>
  <c r="C238" i="5"/>
  <c r="D238" i="5"/>
  <c r="E238" i="5"/>
  <c r="F238" i="5"/>
  <c r="G238" i="5"/>
  <c r="H238" i="5"/>
  <c r="I238" i="5"/>
  <c r="J238" i="5"/>
  <c r="B237" i="5"/>
  <c r="C237" i="5"/>
  <c r="D237" i="5"/>
  <c r="E237" i="5"/>
  <c r="F237" i="5"/>
  <c r="G237" i="5"/>
  <c r="H237" i="5"/>
  <c r="I237" i="5"/>
  <c r="J237" i="5"/>
  <c r="B236" i="5"/>
  <c r="C236" i="5"/>
  <c r="D236" i="5"/>
  <c r="E236" i="5"/>
  <c r="F236" i="5"/>
  <c r="G236" i="5"/>
  <c r="H236" i="5"/>
  <c r="I236" i="5"/>
  <c r="J236" i="5"/>
  <c r="B235" i="5"/>
  <c r="C235" i="5"/>
  <c r="D235" i="5"/>
  <c r="E235" i="5"/>
  <c r="F235" i="5"/>
  <c r="G235" i="5"/>
  <c r="H235" i="5"/>
  <c r="I235" i="5"/>
  <c r="J235" i="5"/>
  <c r="B234" i="5"/>
  <c r="C234" i="5"/>
  <c r="D234" i="5"/>
  <c r="E234" i="5"/>
  <c r="F234" i="5"/>
  <c r="G234" i="5"/>
  <c r="H234" i="5"/>
  <c r="I234" i="5"/>
  <c r="J234" i="5"/>
  <c r="B233" i="5"/>
  <c r="C233" i="5"/>
  <c r="D233" i="5"/>
  <c r="E233" i="5"/>
  <c r="F233" i="5"/>
  <c r="G233" i="5"/>
  <c r="H233" i="5"/>
  <c r="I233" i="5"/>
  <c r="J233" i="5"/>
  <c r="B232" i="5"/>
  <c r="C232" i="5"/>
  <c r="D232" i="5"/>
  <c r="E232" i="5"/>
  <c r="F232" i="5"/>
  <c r="G232" i="5"/>
  <c r="H232" i="5"/>
  <c r="I232" i="5"/>
  <c r="J232" i="5"/>
  <c r="B231" i="5"/>
  <c r="C231" i="5"/>
  <c r="D231" i="5"/>
  <c r="E231" i="5"/>
  <c r="F231" i="5"/>
  <c r="G231" i="5"/>
  <c r="H231" i="5"/>
  <c r="I231" i="5"/>
  <c r="J231" i="5"/>
  <c r="B230" i="5"/>
  <c r="C230" i="5"/>
  <c r="D230" i="5"/>
  <c r="E230" i="5"/>
  <c r="F230" i="5"/>
  <c r="G230" i="5"/>
  <c r="H230" i="5"/>
  <c r="I230" i="5"/>
  <c r="J230" i="5"/>
  <c r="B229" i="5"/>
  <c r="C229" i="5"/>
  <c r="D229" i="5"/>
  <c r="E229" i="5"/>
  <c r="F229" i="5"/>
  <c r="G229" i="5"/>
  <c r="H229" i="5"/>
  <c r="I229" i="5"/>
  <c r="J229" i="5"/>
  <c r="B228" i="5"/>
  <c r="C228" i="5"/>
  <c r="D228" i="5"/>
  <c r="E228" i="5"/>
  <c r="F228" i="5"/>
  <c r="G228" i="5"/>
  <c r="H228" i="5"/>
  <c r="I228" i="5"/>
  <c r="J228" i="5"/>
  <c r="B227" i="5"/>
  <c r="C227" i="5"/>
  <c r="D227" i="5"/>
  <c r="E227" i="5"/>
  <c r="F227" i="5"/>
  <c r="G227" i="5"/>
  <c r="H227" i="5"/>
  <c r="I227" i="5"/>
  <c r="J227" i="5"/>
  <c r="B226" i="5"/>
  <c r="C226" i="5"/>
  <c r="D226" i="5"/>
  <c r="E226" i="5"/>
  <c r="F226" i="5"/>
  <c r="G226" i="5"/>
  <c r="H226" i="5"/>
  <c r="I226" i="5"/>
  <c r="J226" i="5"/>
  <c r="B225" i="5"/>
  <c r="C225" i="5"/>
  <c r="D225" i="5"/>
  <c r="E225" i="5"/>
  <c r="F225" i="5"/>
  <c r="G225" i="5"/>
  <c r="H225" i="5"/>
  <c r="I225" i="5"/>
  <c r="J225" i="5"/>
  <c r="B224" i="5"/>
  <c r="C224" i="5"/>
  <c r="D224" i="5"/>
  <c r="E224" i="5"/>
  <c r="F224" i="5"/>
  <c r="G224" i="5"/>
  <c r="H224" i="5"/>
  <c r="I224" i="5"/>
  <c r="J224" i="5"/>
  <c r="B223" i="5"/>
  <c r="C223" i="5"/>
  <c r="D223" i="5"/>
  <c r="E223" i="5"/>
  <c r="F223" i="5"/>
  <c r="G223" i="5"/>
  <c r="H223" i="5"/>
  <c r="I223" i="5"/>
  <c r="J223" i="5"/>
  <c r="B222" i="5"/>
  <c r="C222" i="5"/>
  <c r="D222" i="5"/>
  <c r="E222" i="5"/>
  <c r="F222" i="5"/>
  <c r="G222" i="5"/>
  <c r="H222" i="5"/>
  <c r="I222" i="5"/>
  <c r="J222" i="5"/>
  <c r="B221" i="5"/>
  <c r="C221" i="5"/>
  <c r="D221" i="5"/>
  <c r="E221" i="5"/>
  <c r="F221" i="5"/>
  <c r="G221" i="5"/>
  <c r="H221" i="5"/>
  <c r="I221" i="5"/>
  <c r="J221" i="5"/>
  <c r="B220" i="5"/>
  <c r="C220" i="5"/>
  <c r="D220" i="5"/>
  <c r="E220" i="5"/>
  <c r="F220" i="5"/>
  <c r="G220" i="5"/>
  <c r="H220" i="5"/>
  <c r="I220" i="5"/>
  <c r="J220" i="5"/>
  <c r="B219" i="5"/>
  <c r="C219" i="5"/>
  <c r="D219" i="5"/>
  <c r="E219" i="5"/>
  <c r="F219" i="5"/>
  <c r="G219" i="5"/>
  <c r="H219" i="5"/>
  <c r="I219" i="5"/>
  <c r="J219" i="5"/>
  <c r="B218" i="5"/>
  <c r="C218" i="5"/>
  <c r="D218" i="5"/>
  <c r="E218" i="5"/>
  <c r="F218" i="5"/>
  <c r="G218" i="5"/>
  <c r="H218" i="5"/>
  <c r="I218" i="5"/>
  <c r="J218" i="5"/>
  <c r="B217" i="5"/>
  <c r="C217" i="5"/>
  <c r="D217" i="5"/>
  <c r="E217" i="5"/>
  <c r="F217" i="5"/>
  <c r="G217" i="5"/>
  <c r="H217" i="5"/>
  <c r="I217" i="5"/>
  <c r="J217" i="5"/>
  <c r="B216" i="5"/>
  <c r="C216" i="5"/>
  <c r="D216" i="5"/>
  <c r="E216" i="5"/>
  <c r="F216" i="5"/>
  <c r="G216" i="5"/>
  <c r="H216" i="5"/>
  <c r="I216" i="5"/>
  <c r="J216" i="5"/>
  <c r="B215" i="5"/>
  <c r="C215" i="5"/>
  <c r="D215" i="5"/>
  <c r="E215" i="5"/>
  <c r="F215" i="5"/>
  <c r="G215" i="5"/>
  <c r="H215" i="5"/>
  <c r="I215" i="5"/>
  <c r="J215" i="5"/>
  <c r="B214" i="5"/>
  <c r="C214" i="5"/>
  <c r="D214" i="5"/>
  <c r="E214" i="5"/>
  <c r="F214" i="5"/>
  <c r="G214" i="5"/>
  <c r="H214" i="5"/>
  <c r="I214" i="5"/>
  <c r="J214" i="5"/>
  <c r="B213" i="5"/>
  <c r="C213" i="5"/>
  <c r="D213" i="5"/>
  <c r="E213" i="5"/>
  <c r="F213" i="5"/>
  <c r="G213" i="5"/>
  <c r="H213" i="5"/>
  <c r="I213" i="5"/>
  <c r="J213" i="5"/>
  <c r="B212" i="5"/>
  <c r="C212" i="5"/>
  <c r="D212" i="5"/>
  <c r="E212" i="5"/>
  <c r="F212" i="5"/>
  <c r="G212" i="5"/>
  <c r="H212" i="5"/>
  <c r="I212" i="5"/>
  <c r="J212" i="5"/>
  <c r="B211" i="5"/>
  <c r="C211" i="5"/>
  <c r="D211" i="5"/>
  <c r="E211" i="5"/>
  <c r="F211" i="5"/>
  <c r="G211" i="5"/>
  <c r="H211" i="5"/>
  <c r="I211" i="5"/>
  <c r="J211" i="5"/>
  <c r="B210" i="5"/>
  <c r="C210" i="5"/>
  <c r="D210" i="5"/>
  <c r="E210" i="5"/>
  <c r="F210" i="5"/>
  <c r="G210" i="5"/>
  <c r="H210" i="5"/>
  <c r="I210" i="5"/>
  <c r="J210" i="5"/>
  <c r="B209" i="5"/>
  <c r="C209" i="5"/>
  <c r="D209" i="5"/>
  <c r="E209" i="5"/>
  <c r="F209" i="5"/>
  <c r="G209" i="5"/>
  <c r="H209" i="5"/>
  <c r="I209" i="5"/>
  <c r="J209" i="5"/>
  <c r="B208" i="5"/>
  <c r="C208" i="5"/>
  <c r="D208" i="5"/>
  <c r="E208" i="5"/>
  <c r="F208" i="5"/>
  <c r="G208" i="5"/>
  <c r="H208" i="5"/>
  <c r="I208" i="5"/>
  <c r="J208" i="5"/>
  <c r="B207" i="5"/>
  <c r="C207" i="5"/>
  <c r="D207" i="5"/>
  <c r="E207" i="5"/>
  <c r="F207" i="5"/>
  <c r="G207" i="5"/>
  <c r="H207" i="5"/>
  <c r="I207" i="5"/>
  <c r="J207" i="5"/>
  <c r="B206" i="5"/>
  <c r="C206" i="5"/>
  <c r="D206" i="5"/>
  <c r="E206" i="5"/>
  <c r="F206" i="5"/>
  <c r="G206" i="5"/>
  <c r="H206" i="5"/>
  <c r="I206" i="5"/>
  <c r="J206" i="5"/>
  <c r="B205" i="5"/>
  <c r="C205" i="5"/>
  <c r="D205" i="5"/>
  <c r="E205" i="5"/>
  <c r="F205" i="5"/>
  <c r="G205" i="5"/>
  <c r="H205" i="5"/>
  <c r="I205" i="5"/>
  <c r="J205" i="5"/>
  <c r="B204" i="5"/>
  <c r="C204" i="5"/>
  <c r="D204" i="5"/>
  <c r="E204" i="5"/>
  <c r="F204" i="5"/>
  <c r="G204" i="5"/>
  <c r="H204" i="5"/>
  <c r="I204" i="5"/>
  <c r="J204" i="5"/>
  <c r="B203" i="5"/>
  <c r="C203" i="5"/>
  <c r="D203" i="5"/>
  <c r="E203" i="5"/>
  <c r="F203" i="5"/>
  <c r="G203" i="5"/>
  <c r="H203" i="5"/>
  <c r="I203" i="5"/>
  <c r="J203" i="5"/>
  <c r="B202" i="5"/>
  <c r="C202" i="5"/>
  <c r="D202" i="5"/>
  <c r="E202" i="5"/>
  <c r="F202" i="5"/>
  <c r="G202" i="5"/>
  <c r="H202" i="5"/>
  <c r="I202" i="5"/>
  <c r="J202" i="5"/>
  <c r="B201" i="5"/>
  <c r="C201" i="5"/>
  <c r="D201" i="5"/>
  <c r="E201" i="5"/>
  <c r="F201" i="5"/>
  <c r="G201" i="5"/>
  <c r="H201" i="5"/>
  <c r="I201" i="5"/>
  <c r="J201" i="5"/>
  <c r="B200" i="5"/>
  <c r="C200" i="5"/>
  <c r="D200" i="5"/>
  <c r="E200" i="5"/>
  <c r="F200" i="5"/>
  <c r="G200" i="5"/>
  <c r="H200" i="5"/>
  <c r="I200" i="5"/>
  <c r="J200" i="5"/>
  <c r="B199" i="5"/>
  <c r="C199" i="5"/>
  <c r="D199" i="5"/>
  <c r="E199" i="5"/>
  <c r="F199" i="5"/>
  <c r="G199" i="5"/>
  <c r="H199" i="5"/>
  <c r="I199" i="5"/>
  <c r="J199" i="5"/>
  <c r="B198" i="5"/>
  <c r="C198" i="5"/>
  <c r="D198" i="5"/>
  <c r="E198" i="5"/>
  <c r="F198" i="5"/>
  <c r="G198" i="5"/>
  <c r="H198" i="5"/>
  <c r="I198" i="5"/>
  <c r="J198" i="5"/>
  <c r="B197" i="5"/>
  <c r="C197" i="5"/>
  <c r="D197" i="5"/>
  <c r="E197" i="5"/>
  <c r="F197" i="5"/>
  <c r="G197" i="5"/>
  <c r="H197" i="5"/>
  <c r="I197" i="5"/>
  <c r="J197" i="5"/>
  <c r="B196" i="5"/>
  <c r="C196" i="5"/>
  <c r="D196" i="5"/>
  <c r="E196" i="5"/>
  <c r="F196" i="5"/>
  <c r="G196" i="5"/>
  <c r="H196" i="5"/>
  <c r="I196" i="5"/>
  <c r="J196" i="5"/>
  <c r="B195" i="5"/>
  <c r="C195" i="5"/>
  <c r="D195" i="5"/>
  <c r="E195" i="5"/>
  <c r="F195" i="5"/>
  <c r="G195" i="5"/>
  <c r="H195" i="5"/>
  <c r="I195" i="5"/>
  <c r="J195" i="5"/>
  <c r="B194" i="5"/>
  <c r="C194" i="5"/>
  <c r="D194" i="5"/>
  <c r="E194" i="5"/>
  <c r="F194" i="5"/>
  <c r="G194" i="5"/>
  <c r="H194" i="5"/>
  <c r="I194" i="5"/>
  <c r="J194" i="5"/>
  <c r="B193" i="5"/>
  <c r="C193" i="5"/>
  <c r="D193" i="5"/>
  <c r="E193" i="5"/>
  <c r="F193" i="5"/>
  <c r="G193" i="5"/>
  <c r="H193" i="5"/>
  <c r="I193" i="5"/>
  <c r="J193" i="5"/>
  <c r="B192" i="5"/>
  <c r="C192" i="5"/>
  <c r="D192" i="5"/>
  <c r="E192" i="5"/>
  <c r="F192" i="5"/>
  <c r="G192" i="5"/>
  <c r="H192" i="5"/>
  <c r="I192" i="5"/>
  <c r="J192" i="5"/>
  <c r="B191" i="5"/>
  <c r="C191" i="5"/>
  <c r="D191" i="5"/>
  <c r="E191" i="5"/>
  <c r="F191" i="5"/>
  <c r="G191" i="5"/>
  <c r="H191" i="5"/>
  <c r="I191" i="5"/>
  <c r="J191" i="5"/>
  <c r="B190" i="5"/>
  <c r="C190" i="5"/>
  <c r="D190" i="5"/>
  <c r="E190" i="5"/>
  <c r="F190" i="5"/>
  <c r="G190" i="5"/>
  <c r="H190" i="5"/>
  <c r="I190" i="5"/>
  <c r="J190" i="5"/>
  <c r="B189" i="5"/>
  <c r="C189" i="5"/>
  <c r="D189" i="5"/>
  <c r="E189" i="5"/>
  <c r="F189" i="5"/>
  <c r="G189" i="5"/>
  <c r="H189" i="5"/>
  <c r="I189" i="5"/>
  <c r="J189" i="5"/>
  <c r="B188" i="5"/>
  <c r="C188" i="5"/>
  <c r="D188" i="5"/>
  <c r="E188" i="5"/>
  <c r="F188" i="5"/>
  <c r="G188" i="5"/>
  <c r="H188" i="5"/>
  <c r="I188" i="5"/>
  <c r="J188" i="5"/>
  <c r="B187" i="5"/>
  <c r="C187" i="5"/>
  <c r="D187" i="5"/>
  <c r="E187" i="5"/>
  <c r="F187" i="5"/>
  <c r="G187" i="5"/>
  <c r="H187" i="5"/>
  <c r="I187" i="5"/>
  <c r="J187" i="5"/>
  <c r="B186" i="5"/>
  <c r="C186" i="5"/>
  <c r="D186" i="5"/>
  <c r="E186" i="5"/>
  <c r="F186" i="5"/>
  <c r="G186" i="5"/>
  <c r="H186" i="5"/>
  <c r="I186" i="5"/>
  <c r="J186" i="5"/>
  <c r="B185" i="5"/>
  <c r="C185" i="5"/>
  <c r="D185" i="5"/>
  <c r="E185" i="5"/>
  <c r="F185" i="5"/>
  <c r="G185" i="5"/>
  <c r="H185" i="5"/>
  <c r="I185" i="5"/>
  <c r="J185" i="5"/>
  <c r="B184" i="5"/>
  <c r="C184" i="5"/>
  <c r="D184" i="5"/>
  <c r="E184" i="5"/>
  <c r="F184" i="5"/>
  <c r="G184" i="5"/>
  <c r="H184" i="5"/>
  <c r="I184" i="5"/>
  <c r="J184" i="5"/>
  <c r="B183" i="5"/>
  <c r="C183" i="5"/>
  <c r="D183" i="5"/>
  <c r="E183" i="5"/>
  <c r="F183" i="5"/>
  <c r="G183" i="5"/>
  <c r="H183" i="5"/>
  <c r="I183" i="5"/>
  <c r="J183" i="5"/>
  <c r="B182" i="5"/>
  <c r="C182" i="5"/>
  <c r="D182" i="5"/>
  <c r="E182" i="5"/>
  <c r="F182" i="5"/>
  <c r="G182" i="5"/>
  <c r="H182" i="5"/>
  <c r="I182" i="5"/>
  <c r="J182" i="5"/>
  <c r="B181" i="5"/>
  <c r="C181" i="5"/>
  <c r="D181" i="5"/>
  <c r="E181" i="5"/>
  <c r="F181" i="5"/>
  <c r="G181" i="5"/>
  <c r="H181" i="5"/>
  <c r="I181" i="5"/>
  <c r="J181" i="5"/>
  <c r="B180" i="5"/>
  <c r="C180" i="5"/>
  <c r="D180" i="5"/>
  <c r="E180" i="5"/>
  <c r="F180" i="5"/>
  <c r="G180" i="5"/>
  <c r="H180" i="5"/>
  <c r="I180" i="5"/>
  <c r="J180" i="5"/>
  <c r="B179" i="5"/>
  <c r="C179" i="5"/>
  <c r="D179" i="5"/>
  <c r="E179" i="5"/>
  <c r="F179" i="5"/>
  <c r="G179" i="5"/>
  <c r="H179" i="5"/>
  <c r="I179" i="5"/>
  <c r="J179" i="5"/>
  <c r="B178" i="5"/>
  <c r="C178" i="5"/>
  <c r="D178" i="5"/>
  <c r="E178" i="5"/>
  <c r="F178" i="5"/>
  <c r="G178" i="5"/>
  <c r="H178" i="5"/>
  <c r="I178" i="5"/>
  <c r="J178" i="5"/>
  <c r="B177" i="5"/>
  <c r="C177" i="5"/>
  <c r="D177" i="5"/>
  <c r="E177" i="5"/>
  <c r="F177" i="5"/>
  <c r="G177" i="5"/>
  <c r="H177" i="5"/>
  <c r="I177" i="5"/>
  <c r="J177" i="5"/>
  <c r="B176" i="5"/>
  <c r="C176" i="5"/>
  <c r="D176" i="5"/>
  <c r="E176" i="5"/>
  <c r="F176" i="5"/>
  <c r="G176" i="5"/>
  <c r="H176" i="5"/>
  <c r="I176" i="5"/>
  <c r="J176" i="5"/>
  <c r="B175" i="5"/>
  <c r="C175" i="5"/>
  <c r="D175" i="5"/>
  <c r="E175" i="5"/>
  <c r="F175" i="5"/>
  <c r="G175" i="5"/>
  <c r="H175" i="5"/>
  <c r="I175" i="5"/>
  <c r="J175" i="5"/>
  <c r="B174" i="5"/>
  <c r="C174" i="5"/>
  <c r="D174" i="5"/>
  <c r="E174" i="5"/>
  <c r="F174" i="5"/>
  <c r="G174" i="5"/>
  <c r="H174" i="5"/>
  <c r="I174" i="5"/>
  <c r="J174" i="5"/>
  <c r="B173" i="5"/>
  <c r="C173" i="5"/>
  <c r="D173" i="5"/>
  <c r="E173" i="5"/>
  <c r="F173" i="5"/>
  <c r="G173" i="5"/>
  <c r="H173" i="5"/>
  <c r="I173" i="5"/>
  <c r="J173" i="5"/>
  <c r="B172" i="5"/>
  <c r="C172" i="5"/>
  <c r="D172" i="5"/>
  <c r="E172" i="5"/>
  <c r="F172" i="5"/>
  <c r="G172" i="5"/>
  <c r="H172" i="5"/>
  <c r="I172" i="5"/>
  <c r="J172" i="5"/>
  <c r="B171" i="5"/>
  <c r="C171" i="5"/>
  <c r="D171" i="5"/>
  <c r="E171" i="5"/>
  <c r="F171" i="5"/>
  <c r="G171" i="5"/>
  <c r="H171" i="5"/>
  <c r="I171" i="5"/>
  <c r="J171" i="5"/>
  <c r="B170" i="5"/>
  <c r="C170" i="5"/>
  <c r="D170" i="5"/>
  <c r="E170" i="5"/>
  <c r="F170" i="5"/>
  <c r="G170" i="5"/>
  <c r="H170" i="5"/>
  <c r="I170" i="5"/>
  <c r="J170" i="5"/>
  <c r="B169" i="5"/>
  <c r="C169" i="5"/>
  <c r="D169" i="5"/>
  <c r="E169" i="5"/>
  <c r="F169" i="5"/>
  <c r="G169" i="5"/>
  <c r="H169" i="5"/>
  <c r="I169" i="5"/>
  <c r="J169" i="5"/>
  <c r="B168" i="5"/>
  <c r="C168" i="5"/>
  <c r="D168" i="5"/>
  <c r="E168" i="5"/>
  <c r="F168" i="5"/>
  <c r="G168" i="5"/>
  <c r="H168" i="5"/>
  <c r="I168" i="5"/>
  <c r="J168" i="5"/>
  <c r="B167" i="5"/>
  <c r="C167" i="5"/>
  <c r="D167" i="5"/>
  <c r="E167" i="5"/>
  <c r="F167" i="5"/>
  <c r="G167" i="5"/>
  <c r="H167" i="5"/>
  <c r="I167" i="5"/>
  <c r="J167" i="5"/>
  <c r="B166" i="5"/>
  <c r="C166" i="5"/>
  <c r="D166" i="5"/>
  <c r="E166" i="5"/>
  <c r="F166" i="5"/>
  <c r="G166" i="5"/>
  <c r="H166" i="5"/>
  <c r="I166" i="5"/>
  <c r="J166" i="5"/>
  <c r="B165" i="5"/>
  <c r="C165" i="5"/>
  <c r="D165" i="5"/>
  <c r="E165" i="5"/>
  <c r="F165" i="5"/>
  <c r="G165" i="5"/>
  <c r="H165" i="5"/>
  <c r="I165" i="5"/>
  <c r="J165" i="5"/>
  <c r="B164" i="5"/>
  <c r="C164" i="5"/>
  <c r="D164" i="5"/>
  <c r="E164" i="5"/>
  <c r="F164" i="5"/>
  <c r="G164" i="5"/>
  <c r="H164" i="5"/>
  <c r="I164" i="5"/>
  <c r="J164" i="5"/>
  <c r="B163" i="5"/>
  <c r="C163" i="5"/>
  <c r="D163" i="5"/>
  <c r="E163" i="5"/>
  <c r="F163" i="5"/>
  <c r="G163" i="5"/>
  <c r="H163" i="5"/>
  <c r="I163" i="5"/>
  <c r="J163" i="5"/>
  <c r="B162" i="5"/>
  <c r="C162" i="5"/>
  <c r="D162" i="5"/>
  <c r="E162" i="5"/>
  <c r="F162" i="5"/>
  <c r="G162" i="5"/>
  <c r="H162" i="5"/>
  <c r="I162" i="5"/>
  <c r="J162" i="5"/>
  <c r="B161" i="5"/>
  <c r="C161" i="5"/>
  <c r="D161" i="5"/>
  <c r="E161" i="5"/>
  <c r="F161" i="5"/>
  <c r="G161" i="5"/>
  <c r="H161" i="5"/>
  <c r="I161" i="5"/>
  <c r="J161" i="5"/>
  <c r="B160" i="5"/>
  <c r="C160" i="5"/>
  <c r="D160" i="5"/>
  <c r="E160" i="5"/>
  <c r="F160" i="5"/>
  <c r="G160" i="5"/>
  <c r="H160" i="5"/>
  <c r="I160" i="5"/>
  <c r="J160" i="5"/>
  <c r="B159" i="5"/>
  <c r="C159" i="5"/>
  <c r="D159" i="5"/>
  <c r="E159" i="5"/>
  <c r="F159" i="5"/>
  <c r="G159" i="5"/>
  <c r="H159" i="5"/>
  <c r="I159" i="5"/>
  <c r="J159" i="5"/>
  <c r="B158" i="5"/>
  <c r="C158" i="5"/>
  <c r="D158" i="5"/>
  <c r="E158" i="5"/>
  <c r="F158" i="5"/>
  <c r="G158" i="5"/>
  <c r="H158" i="5"/>
  <c r="I158" i="5"/>
  <c r="J158" i="5"/>
  <c r="C17" i="5"/>
  <c r="E17" i="5"/>
  <c r="G17" i="5"/>
  <c r="H17" i="5"/>
  <c r="I17" i="5"/>
  <c r="J17" i="5"/>
  <c r="B17" i="5"/>
  <c r="D17" i="5"/>
  <c r="F17" i="5"/>
  <c r="C11" i="5"/>
  <c r="D11" i="5"/>
  <c r="G11" i="5"/>
  <c r="H11" i="5"/>
  <c r="I11" i="5"/>
  <c r="J11" i="5"/>
  <c r="B11" i="5"/>
  <c r="B157" i="5"/>
  <c r="C157" i="5"/>
  <c r="D157" i="5"/>
  <c r="E157" i="5"/>
  <c r="F157" i="5"/>
  <c r="G157" i="5"/>
  <c r="H157" i="5"/>
  <c r="I157" i="5"/>
  <c r="J157" i="5"/>
  <c r="B156" i="5"/>
  <c r="C156" i="5"/>
  <c r="D156" i="5"/>
  <c r="E156" i="5"/>
  <c r="F156" i="5"/>
  <c r="G156" i="5"/>
  <c r="H156" i="5"/>
  <c r="I156" i="5"/>
  <c r="J156" i="5"/>
  <c r="B155" i="5"/>
  <c r="C155" i="5"/>
  <c r="D155" i="5"/>
  <c r="E155" i="5"/>
  <c r="F155" i="5"/>
  <c r="G155" i="5"/>
  <c r="H155" i="5"/>
  <c r="I155" i="5"/>
  <c r="J155" i="5"/>
  <c r="B154" i="5"/>
  <c r="C154" i="5"/>
  <c r="D154" i="5"/>
  <c r="E154" i="5"/>
  <c r="F154" i="5"/>
  <c r="G154" i="5"/>
  <c r="H154" i="5"/>
  <c r="I154" i="5"/>
  <c r="J154" i="5"/>
  <c r="B153" i="5"/>
  <c r="C153" i="5"/>
  <c r="D153" i="5"/>
  <c r="E153" i="5"/>
  <c r="F153" i="5"/>
  <c r="G153" i="5"/>
  <c r="H153" i="5"/>
  <c r="I153" i="5"/>
  <c r="J153" i="5"/>
  <c r="B152" i="5"/>
  <c r="C152" i="5"/>
  <c r="D152" i="5"/>
  <c r="E152" i="5"/>
  <c r="F152" i="5"/>
  <c r="G152" i="5"/>
  <c r="H152" i="5"/>
  <c r="I152" i="5"/>
  <c r="J152" i="5"/>
  <c r="B151" i="5"/>
  <c r="C151" i="5"/>
  <c r="D151" i="5"/>
  <c r="E151" i="5"/>
  <c r="F151" i="5"/>
  <c r="G151" i="5"/>
  <c r="H151" i="5"/>
  <c r="I151" i="5"/>
  <c r="J151" i="5"/>
  <c r="B150" i="5"/>
  <c r="C150" i="5"/>
  <c r="D150" i="5"/>
  <c r="E150" i="5"/>
  <c r="F150" i="5"/>
  <c r="G150" i="5"/>
  <c r="H150" i="5"/>
  <c r="I150" i="5"/>
  <c r="J150" i="5"/>
  <c r="B149" i="5"/>
  <c r="C149" i="5"/>
  <c r="D149" i="5"/>
  <c r="E149" i="5"/>
  <c r="F149" i="5"/>
  <c r="G149" i="5"/>
  <c r="H149" i="5"/>
  <c r="I149" i="5"/>
  <c r="J149" i="5"/>
  <c r="B148" i="5"/>
  <c r="C148" i="5"/>
  <c r="D148" i="5"/>
  <c r="E148" i="5"/>
  <c r="F148" i="5"/>
  <c r="G148" i="5"/>
  <c r="H148" i="5"/>
  <c r="I148" i="5"/>
  <c r="J148" i="5"/>
  <c r="B147" i="5"/>
  <c r="C147" i="5"/>
  <c r="D147" i="5"/>
  <c r="E147" i="5"/>
  <c r="F147" i="5"/>
  <c r="G147" i="5"/>
  <c r="H147" i="5"/>
  <c r="I147" i="5"/>
  <c r="J147" i="5"/>
  <c r="B146" i="5"/>
  <c r="C146" i="5"/>
  <c r="D146" i="5"/>
  <c r="E146" i="5"/>
  <c r="F146" i="5"/>
  <c r="G146" i="5"/>
  <c r="H146" i="5"/>
  <c r="I146" i="5"/>
  <c r="J146" i="5"/>
  <c r="B145" i="5"/>
  <c r="C145" i="5"/>
  <c r="D145" i="5"/>
  <c r="E145" i="5"/>
  <c r="F145" i="5"/>
  <c r="G145" i="5"/>
  <c r="H145" i="5"/>
  <c r="I145" i="5"/>
  <c r="J145" i="5"/>
  <c r="B144" i="5"/>
  <c r="C144" i="5"/>
  <c r="D144" i="5"/>
  <c r="E144" i="5"/>
  <c r="F144" i="5"/>
  <c r="G144" i="5"/>
  <c r="H144" i="5"/>
  <c r="I144" i="5"/>
  <c r="J144" i="5"/>
  <c r="B143" i="5"/>
  <c r="C143" i="5"/>
  <c r="D143" i="5"/>
  <c r="E143" i="5"/>
  <c r="F143" i="5"/>
  <c r="G143" i="5"/>
  <c r="H143" i="5"/>
  <c r="I143" i="5"/>
  <c r="J143" i="5"/>
  <c r="B142" i="5"/>
  <c r="C142" i="5"/>
  <c r="D142" i="5"/>
  <c r="E142" i="5"/>
  <c r="F142" i="5"/>
  <c r="G142" i="5"/>
  <c r="H142" i="5"/>
  <c r="I142" i="5"/>
  <c r="J142" i="5"/>
  <c r="B141" i="5"/>
  <c r="C141" i="5"/>
  <c r="D141" i="5"/>
  <c r="E141" i="5"/>
  <c r="F141" i="5"/>
  <c r="G141" i="5"/>
  <c r="H141" i="5"/>
  <c r="I141" i="5"/>
  <c r="J141" i="5"/>
  <c r="B140" i="5"/>
  <c r="C140" i="5"/>
  <c r="D140" i="5"/>
  <c r="E140" i="5"/>
  <c r="F140" i="5"/>
  <c r="G140" i="5"/>
  <c r="H140" i="5"/>
  <c r="I140" i="5"/>
  <c r="J140" i="5"/>
  <c r="B139" i="5"/>
  <c r="C139" i="5"/>
  <c r="D139" i="5"/>
  <c r="E139" i="5"/>
  <c r="F139" i="5"/>
  <c r="G139" i="5"/>
  <c r="H139" i="5"/>
  <c r="I139" i="5"/>
  <c r="J139" i="5"/>
  <c r="B138" i="5"/>
  <c r="C138" i="5"/>
  <c r="D138" i="5"/>
  <c r="E138" i="5"/>
  <c r="F138" i="5"/>
  <c r="G138" i="5"/>
  <c r="H138" i="5"/>
  <c r="I138" i="5"/>
  <c r="J138" i="5"/>
  <c r="B137" i="5"/>
  <c r="C137" i="5"/>
  <c r="D137" i="5"/>
  <c r="E137" i="5"/>
  <c r="F137" i="5"/>
  <c r="G137" i="5"/>
  <c r="H137" i="5"/>
  <c r="I137" i="5"/>
  <c r="J137" i="5"/>
  <c r="B136" i="5"/>
  <c r="C136" i="5"/>
  <c r="D136" i="5"/>
  <c r="E136" i="5"/>
  <c r="F136" i="5"/>
  <c r="G136" i="5"/>
  <c r="H136" i="5"/>
  <c r="I136" i="5"/>
  <c r="J136" i="5"/>
  <c r="B135" i="5"/>
  <c r="C135" i="5"/>
  <c r="D135" i="5"/>
  <c r="E135" i="5"/>
  <c r="F135" i="5"/>
  <c r="G135" i="5"/>
  <c r="H135" i="5"/>
  <c r="I135" i="5"/>
  <c r="J135" i="5"/>
  <c r="B134" i="5"/>
  <c r="C134" i="5"/>
  <c r="D134" i="5"/>
  <c r="E134" i="5"/>
  <c r="F134" i="5"/>
  <c r="G134" i="5"/>
  <c r="H134" i="5"/>
  <c r="I134" i="5"/>
  <c r="J134" i="5"/>
  <c r="B133" i="5"/>
  <c r="C133" i="5"/>
  <c r="D133" i="5"/>
  <c r="E133" i="5"/>
  <c r="F133" i="5"/>
  <c r="G133" i="5"/>
  <c r="H133" i="5"/>
  <c r="I133" i="5"/>
  <c r="J133" i="5"/>
  <c r="B132" i="5"/>
  <c r="C132" i="5"/>
  <c r="D132" i="5"/>
  <c r="E132" i="5"/>
  <c r="F132" i="5"/>
  <c r="G132" i="5"/>
  <c r="H132" i="5"/>
  <c r="I132" i="5"/>
  <c r="J132" i="5"/>
  <c r="B131" i="5"/>
  <c r="C131" i="5"/>
  <c r="D131" i="5"/>
  <c r="E131" i="5"/>
  <c r="F131" i="5"/>
  <c r="G131" i="5"/>
  <c r="H131" i="5"/>
  <c r="I131" i="5"/>
  <c r="J131" i="5"/>
  <c r="B130" i="5"/>
  <c r="C130" i="5"/>
  <c r="D130" i="5"/>
  <c r="E130" i="5"/>
  <c r="F130" i="5"/>
  <c r="G130" i="5"/>
  <c r="H130" i="5"/>
  <c r="I130" i="5"/>
  <c r="J130" i="5"/>
  <c r="B129" i="5"/>
  <c r="C129" i="5"/>
  <c r="D129" i="5"/>
  <c r="E129" i="5"/>
  <c r="F129" i="5"/>
  <c r="G129" i="5"/>
  <c r="H129" i="5"/>
  <c r="I129" i="5"/>
  <c r="J129" i="5"/>
  <c r="B128" i="5"/>
  <c r="C128" i="5"/>
  <c r="D128" i="5"/>
  <c r="E128" i="5"/>
  <c r="F128" i="5"/>
  <c r="G128" i="5"/>
  <c r="H128" i="5"/>
  <c r="I128" i="5"/>
  <c r="J128" i="5"/>
  <c r="B127" i="5"/>
  <c r="C127" i="5"/>
  <c r="D127" i="5"/>
  <c r="E127" i="5"/>
  <c r="F127" i="5"/>
  <c r="G127" i="5"/>
  <c r="H127" i="5"/>
  <c r="I127" i="5"/>
  <c r="J127" i="5"/>
  <c r="B126" i="5"/>
  <c r="C126" i="5"/>
  <c r="D126" i="5"/>
  <c r="E126" i="5"/>
  <c r="F126" i="5"/>
  <c r="G126" i="5"/>
  <c r="H126" i="5"/>
  <c r="I126" i="5"/>
  <c r="J126" i="5"/>
  <c r="B125" i="5"/>
  <c r="C125" i="5"/>
  <c r="D125" i="5"/>
  <c r="E125" i="5"/>
  <c r="F125" i="5"/>
  <c r="G125" i="5"/>
  <c r="H125" i="5"/>
  <c r="I125" i="5"/>
  <c r="J125" i="5"/>
  <c r="B124" i="5"/>
  <c r="C124" i="5"/>
  <c r="D124" i="5"/>
  <c r="E124" i="5"/>
  <c r="F124" i="5"/>
  <c r="G124" i="5"/>
  <c r="H124" i="5"/>
  <c r="I124" i="5"/>
  <c r="J124" i="5"/>
  <c r="B123" i="5"/>
  <c r="C123" i="5"/>
  <c r="D123" i="5"/>
  <c r="E123" i="5"/>
  <c r="F123" i="5"/>
  <c r="G123" i="5"/>
  <c r="H123" i="5"/>
  <c r="I123" i="5"/>
  <c r="J123" i="5"/>
  <c r="B122" i="5"/>
  <c r="C122" i="5"/>
  <c r="D122" i="5"/>
  <c r="E122" i="5"/>
  <c r="F122" i="5"/>
  <c r="G122" i="5"/>
  <c r="H122" i="5"/>
  <c r="I122" i="5"/>
  <c r="J122" i="5"/>
  <c r="B121" i="5"/>
  <c r="C121" i="5"/>
  <c r="D121" i="5"/>
  <c r="E121" i="5"/>
  <c r="F121" i="5"/>
  <c r="G121" i="5"/>
  <c r="H121" i="5"/>
  <c r="I121" i="5"/>
  <c r="J121" i="5"/>
  <c r="B120" i="5"/>
  <c r="C120" i="5"/>
  <c r="D120" i="5"/>
  <c r="E120" i="5"/>
  <c r="F120" i="5"/>
  <c r="G120" i="5"/>
  <c r="H120" i="5"/>
  <c r="I120" i="5"/>
  <c r="J120" i="5"/>
  <c r="B119" i="5"/>
  <c r="C119" i="5"/>
  <c r="D119" i="5"/>
  <c r="E119" i="5"/>
  <c r="F119" i="5"/>
  <c r="G119" i="5"/>
  <c r="H119" i="5"/>
  <c r="I119" i="5"/>
  <c r="J119" i="5"/>
  <c r="B118" i="5"/>
  <c r="C118" i="5"/>
  <c r="D118" i="5"/>
  <c r="E118" i="5"/>
  <c r="F118" i="5"/>
  <c r="G118" i="5"/>
  <c r="H118" i="5"/>
  <c r="I118" i="5"/>
  <c r="J118" i="5"/>
  <c r="B117" i="5"/>
  <c r="C117" i="5"/>
  <c r="D117" i="5"/>
  <c r="E117" i="5"/>
  <c r="F117" i="5"/>
  <c r="G117" i="5"/>
  <c r="H117" i="5"/>
  <c r="I117" i="5"/>
  <c r="J117" i="5"/>
  <c r="B116" i="5"/>
  <c r="C116" i="5"/>
  <c r="D116" i="5"/>
  <c r="E116" i="5"/>
  <c r="F116" i="5"/>
  <c r="G116" i="5"/>
  <c r="H116" i="5"/>
  <c r="I116" i="5"/>
  <c r="J116" i="5"/>
  <c r="B115" i="5"/>
  <c r="C115" i="5"/>
  <c r="D115" i="5"/>
  <c r="E115" i="5"/>
  <c r="F115" i="5"/>
  <c r="G115" i="5"/>
  <c r="H115" i="5"/>
  <c r="I115" i="5"/>
  <c r="J115" i="5"/>
  <c r="B114" i="5"/>
  <c r="C114" i="5"/>
  <c r="D114" i="5"/>
  <c r="E114" i="5"/>
  <c r="F114" i="5"/>
  <c r="G114" i="5"/>
  <c r="H114" i="5"/>
  <c r="I114" i="5"/>
  <c r="J114" i="5"/>
  <c r="B113" i="5"/>
  <c r="C113" i="5"/>
  <c r="D113" i="5"/>
  <c r="E113" i="5"/>
  <c r="F113" i="5"/>
  <c r="G113" i="5"/>
  <c r="H113" i="5"/>
  <c r="I113" i="5"/>
  <c r="J113" i="5"/>
  <c r="B112" i="5"/>
  <c r="C112" i="5"/>
  <c r="D112" i="5"/>
  <c r="E112" i="5"/>
  <c r="F112" i="5"/>
  <c r="G112" i="5"/>
  <c r="H112" i="5"/>
  <c r="I112" i="5"/>
  <c r="J112" i="5"/>
  <c r="B111" i="5"/>
  <c r="C111" i="5"/>
  <c r="D111" i="5"/>
  <c r="E111" i="5"/>
  <c r="F111" i="5"/>
  <c r="G111" i="5"/>
  <c r="H111" i="5"/>
  <c r="I111" i="5"/>
  <c r="J111" i="5"/>
  <c r="B110" i="5"/>
  <c r="C110" i="5"/>
  <c r="D110" i="5"/>
  <c r="E110" i="5"/>
  <c r="F110" i="5"/>
  <c r="G110" i="5"/>
  <c r="H110" i="5"/>
  <c r="I110" i="5"/>
  <c r="J110" i="5"/>
  <c r="B109" i="5"/>
  <c r="C109" i="5"/>
  <c r="D109" i="5"/>
  <c r="E109" i="5"/>
  <c r="F109" i="5"/>
  <c r="G109" i="5"/>
  <c r="H109" i="5"/>
  <c r="I109" i="5"/>
  <c r="J109" i="5"/>
  <c r="B108" i="5"/>
  <c r="C108" i="5"/>
  <c r="D108" i="5"/>
  <c r="E108" i="5"/>
  <c r="F108" i="5"/>
  <c r="G108" i="5"/>
  <c r="H108" i="5"/>
  <c r="I108" i="5"/>
  <c r="J108" i="5"/>
  <c r="B107" i="5"/>
  <c r="C107" i="5"/>
  <c r="D107" i="5"/>
  <c r="E107" i="5"/>
  <c r="F107" i="5"/>
  <c r="G107" i="5"/>
  <c r="H107" i="5"/>
  <c r="I107" i="5"/>
  <c r="J107" i="5"/>
  <c r="B106" i="5"/>
  <c r="C106" i="5"/>
  <c r="D106" i="5"/>
  <c r="E106" i="5"/>
  <c r="F106" i="5"/>
  <c r="G106" i="5"/>
  <c r="H106" i="5"/>
  <c r="I106" i="5"/>
  <c r="J106" i="5"/>
  <c r="B105" i="5"/>
  <c r="C105" i="5"/>
  <c r="D105" i="5"/>
  <c r="E105" i="5"/>
  <c r="F105" i="5"/>
  <c r="G105" i="5"/>
  <c r="H105" i="5"/>
  <c r="I105" i="5"/>
  <c r="J105" i="5"/>
  <c r="B104" i="5"/>
  <c r="C104" i="5"/>
  <c r="D104" i="5"/>
  <c r="E104" i="5"/>
  <c r="F104" i="5"/>
  <c r="G104" i="5"/>
  <c r="H104" i="5"/>
  <c r="I104" i="5"/>
  <c r="J104" i="5"/>
  <c r="B103" i="5"/>
  <c r="C103" i="5"/>
  <c r="D103" i="5"/>
  <c r="E103" i="5"/>
  <c r="F103" i="5"/>
  <c r="G103" i="5"/>
  <c r="H103" i="5"/>
  <c r="I103" i="5"/>
  <c r="J103" i="5"/>
  <c r="B102" i="5"/>
  <c r="C102" i="5"/>
  <c r="D102" i="5"/>
  <c r="E102" i="5"/>
  <c r="F102" i="5"/>
  <c r="G102" i="5"/>
  <c r="H102" i="5"/>
  <c r="I102" i="5"/>
  <c r="J102" i="5"/>
  <c r="B101" i="5"/>
  <c r="C101" i="5"/>
  <c r="D101" i="5"/>
  <c r="E101" i="5"/>
  <c r="F101" i="5"/>
  <c r="G101" i="5"/>
  <c r="H101" i="5"/>
  <c r="I101" i="5"/>
  <c r="J101" i="5"/>
  <c r="B100" i="5"/>
  <c r="C100" i="5"/>
  <c r="D100" i="5"/>
  <c r="E100" i="5"/>
  <c r="F100" i="5"/>
  <c r="G100" i="5"/>
  <c r="H100" i="5"/>
  <c r="I100" i="5"/>
  <c r="J100" i="5"/>
  <c r="B99" i="5"/>
  <c r="C99" i="5"/>
  <c r="D99" i="5"/>
  <c r="E99" i="5"/>
  <c r="F99" i="5"/>
  <c r="G99" i="5"/>
  <c r="H99" i="5"/>
  <c r="I99" i="5"/>
  <c r="J99" i="5"/>
  <c r="B98" i="5"/>
  <c r="C98" i="5"/>
  <c r="D98" i="5"/>
  <c r="E98" i="5"/>
  <c r="F98" i="5"/>
  <c r="G98" i="5"/>
  <c r="H98" i="5"/>
  <c r="I98" i="5"/>
  <c r="J98" i="5"/>
  <c r="B97" i="5"/>
  <c r="C97" i="5"/>
  <c r="D97" i="5"/>
  <c r="E97" i="5"/>
  <c r="F97" i="5"/>
  <c r="G97" i="5"/>
  <c r="H97" i="5"/>
  <c r="I97" i="5"/>
  <c r="J97" i="5"/>
  <c r="B96" i="5"/>
  <c r="C96" i="5"/>
  <c r="D96" i="5"/>
  <c r="E96" i="5"/>
  <c r="F96" i="5"/>
  <c r="G96" i="5"/>
  <c r="H96" i="5"/>
  <c r="I96" i="5"/>
  <c r="J96" i="5"/>
  <c r="B95" i="5"/>
  <c r="C95" i="5"/>
  <c r="D95" i="5"/>
  <c r="E95" i="5"/>
  <c r="F95" i="5"/>
  <c r="G95" i="5"/>
  <c r="H95" i="5"/>
  <c r="I95" i="5"/>
  <c r="J95" i="5"/>
  <c r="B94" i="5"/>
  <c r="C94" i="5"/>
  <c r="D94" i="5"/>
  <c r="E94" i="5"/>
  <c r="F94" i="5"/>
  <c r="G94" i="5"/>
  <c r="H94" i="5"/>
  <c r="I94" i="5"/>
  <c r="J94" i="5"/>
  <c r="B93" i="5"/>
  <c r="C93" i="5"/>
  <c r="D93" i="5"/>
  <c r="E93" i="5"/>
  <c r="F93" i="5"/>
  <c r="G93" i="5"/>
  <c r="H93" i="5"/>
  <c r="I93" i="5"/>
  <c r="J93" i="5"/>
  <c r="B92" i="5"/>
  <c r="C92" i="5"/>
  <c r="D92" i="5"/>
  <c r="E92" i="5"/>
  <c r="F92" i="5"/>
  <c r="G92" i="5"/>
  <c r="H92" i="5"/>
  <c r="I92" i="5"/>
  <c r="J92" i="5"/>
  <c r="B91" i="5"/>
  <c r="C91" i="5"/>
  <c r="D91" i="5"/>
  <c r="E91" i="5"/>
  <c r="F91" i="5"/>
  <c r="G91" i="5"/>
  <c r="H91" i="5"/>
  <c r="I91" i="5"/>
  <c r="J91" i="5"/>
  <c r="B90" i="5"/>
  <c r="C90" i="5"/>
  <c r="D90" i="5"/>
  <c r="E90" i="5"/>
  <c r="F90" i="5"/>
  <c r="G90" i="5"/>
  <c r="H90" i="5"/>
  <c r="I90" i="5"/>
  <c r="J90" i="5"/>
  <c r="B89" i="5"/>
  <c r="C89" i="5"/>
  <c r="D89" i="5"/>
  <c r="E89" i="5"/>
  <c r="F89" i="5"/>
  <c r="G89" i="5"/>
  <c r="H89" i="5"/>
  <c r="I89" i="5"/>
  <c r="J89" i="5"/>
  <c r="B88" i="5"/>
  <c r="C88" i="5"/>
  <c r="D88" i="5"/>
  <c r="E88" i="5"/>
  <c r="F88" i="5"/>
  <c r="G88" i="5"/>
  <c r="H88" i="5"/>
  <c r="I88" i="5"/>
  <c r="J88" i="5"/>
  <c r="B87" i="5"/>
  <c r="C87" i="5"/>
  <c r="D87" i="5"/>
  <c r="E87" i="5"/>
  <c r="F87" i="5"/>
  <c r="G87" i="5"/>
  <c r="H87" i="5"/>
  <c r="I87" i="5"/>
  <c r="J87" i="5"/>
  <c r="B86" i="5"/>
  <c r="C86" i="5"/>
  <c r="D86" i="5"/>
  <c r="E86" i="5"/>
  <c r="F86" i="5"/>
  <c r="G86" i="5"/>
  <c r="H86" i="5"/>
  <c r="I86" i="5"/>
  <c r="J86" i="5"/>
  <c r="B85" i="5"/>
  <c r="C85" i="5"/>
  <c r="D85" i="5"/>
  <c r="E85" i="5"/>
  <c r="F85" i="5"/>
  <c r="G85" i="5"/>
  <c r="H85" i="5"/>
  <c r="I85" i="5"/>
  <c r="J85" i="5"/>
  <c r="B84" i="5"/>
  <c r="C84" i="5"/>
  <c r="D84" i="5"/>
  <c r="E84" i="5"/>
  <c r="F84" i="5"/>
  <c r="G84" i="5"/>
  <c r="H84" i="5"/>
  <c r="I84" i="5"/>
  <c r="J84" i="5"/>
  <c r="B83" i="5"/>
  <c r="C83" i="5"/>
  <c r="D83" i="5"/>
  <c r="E83" i="5"/>
  <c r="F83" i="5"/>
  <c r="G83" i="5"/>
  <c r="H83" i="5"/>
  <c r="I83" i="5"/>
  <c r="J83" i="5"/>
  <c r="B82" i="5"/>
  <c r="C82" i="5"/>
  <c r="D82" i="5"/>
  <c r="E82" i="5"/>
  <c r="F82" i="5"/>
  <c r="G82" i="5"/>
  <c r="H82" i="5"/>
  <c r="I82" i="5"/>
  <c r="J82" i="5"/>
  <c r="B81" i="5"/>
  <c r="C81" i="5"/>
  <c r="D81" i="5"/>
  <c r="E81" i="5"/>
  <c r="F81" i="5"/>
  <c r="G81" i="5"/>
  <c r="H81" i="5"/>
  <c r="I81" i="5"/>
  <c r="J81" i="5"/>
  <c r="B80" i="5"/>
  <c r="C80" i="5"/>
  <c r="D80" i="5"/>
  <c r="E80" i="5"/>
  <c r="F80" i="5"/>
  <c r="G80" i="5"/>
  <c r="H80" i="5"/>
  <c r="I80" i="5"/>
  <c r="J80" i="5"/>
  <c r="B79" i="5"/>
  <c r="C79" i="5"/>
  <c r="D79" i="5"/>
  <c r="E79" i="5"/>
  <c r="F79" i="5"/>
  <c r="G79" i="5"/>
  <c r="H79" i="5"/>
  <c r="I79" i="5"/>
  <c r="J79" i="5"/>
  <c r="B78" i="5"/>
  <c r="C78" i="5"/>
  <c r="D78" i="5"/>
  <c r="E78" i="5"/>
  <c r="F78" i="5"/>
  <c r="G78" i="5"/>
  <c r="H78" i="5"/>
  <c r="I78" i="5"/>
  <c r="J78" i="5"/>
  <c r="B77" i="5"/>
  <c r="C77" i="5"/>
  <c r="D77" i="5"/>
  <c r="E77" i="5"/>
  <c r="F77" i="5"/>
  <c r="G77" i="5"/>
  <c r="H77" i="5"/>
  <c r="I77" i="5"/>
  <c r="J77" i="5"/>
  <c r="B76" i="5"/>
  <c r="C76" i="5"/>
  <c r="D76" i="5"/>
  <c r="E76" i="5"/>
  <c r="F76" i="5"/>
  <c r="G76" i="5"/>
  <c r="H76" i="5"/>
  <c r="I76" i="5"/>
  <c r="J76" i="5"/>
  <c r="B75" i="5"/>
  <c r="C75" i="5"/>
  <c r="D75" i="5"/>
  <c r="E75" i="5"/>
  <c r="F75" i="5"/>
  <c r="G75" i="5"/>
  <c r="H75" i="5"/>
  <c r="I75" i="5"/>
  <c r="J75" i="5"/>
  <c r="B74" i="5"/>
  <c r="C74" i="5"/>
  <c r="D74" i="5"/>
  <c r="E74" i="5"/>
  <c r="F74" i="5"/>
  <c r="G74" i="5"/>
  <c r="H74" i="5"/>
  <c r="I74" i="5"/>
  <c r="J74" i="5"/>
  <c r="B73" i="5"/>
  <c r="C73" i="5"/>
  <c r="D73" i="5"/>
  <c r="E73" i="5"/>
  <c r="F73" i="5"/>
  <c r="G73" i="5"/>
  <c r="H73" i="5"/>
  <c r="I73" i="5"/>
  <c r="J73" i="5"/>
  <c r="B72" i="5"/>
  <c r="C72" i="5"/>
  <c r="D72" i="5"/>
  <c r="E72" i="5"/>
  <c r="F72" i="5"/>
  <c r="G72" i="5"/>
  <c r="H72" i="5"/>
  <c r="I72" i="5"/>
  <c r="J72" i="5"/>
  <c r="B71" i="5"/>
  <c r="C71" i="5"/>
  <c r="D71" i="5"/>
  <c r="E71" i="5"/>
  <c r="F71" i="5"/>
  <c r="G71" i="5"/>
  <c r="H71" i="5"/>
  <c r="I71" i="5"/>
  <c r="J71" i="5"/>
  <c r="B70" i="5"/>
  <c r="C70" i="5"/>
  <c r="D70" i="5"/>
  <c r="E70" i="5"/>
  <c r="F70" i="5"/>
  <c r="G70" i="5"/>
  <c r="H70" i="5"/>
  <c r="I70" i="5"/>
  <c r="J70" i="5"/>
  <c r="B69" i="5"/>
  <c r="C69" i="5"/>
  <c r="D69" i="5"/>
  <c r="E69" i="5"/>
  <c r="F69" i="5"/>
  <c r="G69" i="5"/>
  <c r="H69" i="5"/>
  <c r="I69" i="5"/>
  <c r="J69" i="5"/>
  <c r="B68" i="5"/>
  <c r="C68" i="5"/>
  <c r="D68" i="5"/>
  <c r="E68" i="5"/>
  <c r="F68" i="5"/>
  <c r="G68" i="5"/>
  <c r="H68" i="5"/>
  <c r="I68" i="5"/>
  <c r="J68" i="5"/>
  <c r="B67" i="5"/>
  <c r="C67" i="5"/>
  <c r="D67" i="5"/>
  <c r="E67" i="5"/>
  <c r="F67" i="5"/>
  <c r="G67" i="5"/>
  <c r="H67" i="5"/>
  <c r="I67" i="5"/>
  <c r="J67" i="5"/>
  <c r="B66" i="5"/>
  <c r="C66" i="5"/>
  <c r="D66" i="5"/>
  <c r="E66" i="5"/>
  <c r="F66" i="5"/>
  <c r="G66" i="5"/>
  <c r="H66" i="5"/>
  <c r="I66" i="5"/>
  <c r="J66" i="5"/>
  <c r="B65" i="5"/>
  <c r="C65" i="5"/>
  <c r="D65" i="5"/>
  <c r="E65" i="5"/>
  <c r="F65" i="5"/>
  <c r="G65" i="5"/>
  <c r="H65" i="5"/>
  <c r="I65" i="5"/>
  <c r="J65" i="5"/>
  <c r="B64" i="5"/>
  <c r="C64" i="5"/>
  <c r="D64" i="5"/>
  <c r="E64" i="5"/>
  <c r="F64" i="5"/>
  <c r="G64" i="5"/>
  <c r="H64" i="5"/>
  <c r="I64" i="5"/>
  <c r="J64" i="5"/>
  <c r="B63" i="5"/>
  <c r="C63" i="5"/>
  <c r="D63" i="5"/>
  <c r="E63" i="5"/>
  <c r="F63" i="5"/>
  <c r="G63" i="5"/>
  <c r="H63" i="5"/>
  <c r="I63" i="5"/>
  <c r="J63" i="5"/>
  <c r="B62" i="5"/>
  <c r="C62" i="5"/>
  <c r="D62" i="5"/>
  <c r="E62" i="5"/>
  <c r="F62" i="5"/>
  <c r="G62" i="5"/>
  <c r="H62" i="5"/>
  <c r="I62" i="5"/>
  <c r="J62" i="5"/>
  <c r="B61" i="5"/>
  <c r="C61" i="5"/>
  <c r="D61" i="5"/>
  <c r="E61" i="5"/>
  <c r="F61" i="5"/>
  <c r="G61" i="5"/>
  <c r="H61" i="5"/>
  <c r="I61" i="5"/>
  <c r="J61" i="5"/>
  <c r="B60" i="5"/>
  <c r="C60" i="5"/>
  <c r="D60" i="5"/>
  <c r="E60" i="5"/>
  <c r="F60" i="5"/>
  <c r="G60" i="5"/>
  <c r="H60" i="5"/>
  <c r="I60" i="5"/>
  <c r="J60" i="5"/>
  <c r="B59" i="5"/>
  <c r="C59" i="5"/>
  <c r="D59" i="5"/>
  <c r="E59" i="5"/>
  <c r="F59" i="5"/>
  <c r="G59" i="5"/>
  <c r="H59" i="5"/>
  <c r="I59" i="5"/>
  <c r="J59" i="5"/>
  <c r="B58" i="5"/>
  <c r="C58" i="5"/>
  <c r="D58" i="5"/>
  <c r="E58" i="5"/>
  <c r="F58" i="5"/>
  <c r="G58" i="5"/>
  <c r="H58" i="5"/>
  <c r="I58" i="5"/>
  <c r="J58" i="5"/>
  <c r="B57" i="5"/>
  <c r="C57" i="5"/>
  <c r="D57" i="5"/>
  <c r="E57" i="5"/>
  <c r="F57" i="5"/>
  <c r="G57" i="5"/>
  <c r="H57" i="5"/>
  <c r="I57" i="5"/>
  <c r="J57" i="5"/>
  <c r="B56" i="5"/>
  <c r="C56" i="5"/>
  <c r="D56" i="5"/>
  <c r="E56" i="5"/>
  <c r="F56" i="5"/>
  <c r="G56" i="5"/>
  <c r="H56" i="5"/>
  <c r="I56" i="5"/>
  <c r="J56" i="5"/>
  <c r="B55" i="5"/>
  <c r="C55" i="5"/>
  <c r="D55" i="5"/>
  <c r="E55" i="5"/>
  <c r="F55" i="5"/>
  <c r="G55" i="5"/>
  <c r="H55" i="5"/>
  <c r="I55" i="5"/>
  <c r="J55" i="5"/>
  <c r="B54" i="5"/>
  <c r="C54" i="5"/>
  <c r="D54" i="5"/>
  <c r="E54" i="5"/>
  <c r="F54" i="5"/>
  <c r="G54" i="5"/>
  <c r="H54" i="5"/>
  <c r="I54" i="5"/>
  <c r="J54" i="5"/>
  <c r="B53" i="5"/>
  <c r="C53" i="5"/>
  <c r="D53" i="5"/>
  <c r="E53" i="5"/>
  <c r="F53" i="5"/>
  <c r="G53" i="5"/>
  <c r="H53" i="5"/>
  <c r="I53" i="5"/>
  <c r="J53" i="5"/>
  <c r="B52" i="5"/>
  <c r="C52" i="5"/>
  <c r="D52" i="5"/>
  <c r="E52" i="5"/>
  <c r="F52" i="5"/>
  <c r="G52" i="5"/>
  <c r="H52" i="5"/>
  <c r="I52" i="5"/>
  <c r="J52" i="5"/>
  <c r="B51" i="5"/>
  <c r="C51" i="5"/>
  <c r="D51" i="5"/>
  <c r="E51" i="5"/>
  <c r="F51" i="5"/>
  <c r="G51" i="5"/>
  <c r="H51" i="5"/>
  <c r="I51" i="5"/>
  <c r="J51" i="5"/>
  <c r="B50" i="5"/>
  <c r="C50" i="5"/>
  <c r="D50" i="5"/>
  <c r="E50" i="5"/>
  <c r="F50" i="5"/>
  <c r="G50" i="5"/>
  <c r="H50" i="5"/>
  <c r="I50" i="5"/>
  <c r="J50" i="5"/>
  <c r="B49" i="5"/>
  <c r="C49" i="5"/>
  <c r="D49" i="5"/>
  <c r="E49" i="5"/>
  <c r="F49" i="5"/>
  <c r="G49" i="5"/>
  <c r="H49" i="5"/>
  <c r="I49" i="5"/>
  <c r="J49" i="5"/>
  <c r="B48" i="5"/>
  <c r="C48" i="5"/>
  <c r="D48" i="5"/>
  <c r="E48" i="5"/>
  <c r="F48" i="5"/>
  <c r="G48" i="5"/>
  <c r="H48" i="5"/>
  <c r="I48" i="5"/>
  <c r="J48" i="5"/>
  <c r="B47" i="5"/>
  <c r="C47" i="5"/>
  <c r="D47" i="5"/>
  <c r="E47" i="5"/>
  <c r="F47" i="5"/>
  <c r="G47" i="5"/>
  <c r="H47" i="5"/>
  <c r="I47" i="5"/>
  <c r="J47" i="5"/>
  <c r="B46" i="5"/>
  <c r="C46" i="5"/>
  <c r="D46" i="5"/>
  <c r="E46" i="5"/>
  <c r="F46" i="5"/>
  <c r="G46" i="5"/>
  <c r="H46" i="5"/>
  <c r="I46" i="5"/>
  <c r="J46" i="5"/>
  <c r="B45" i="5"/>
  <c r="C45" i="5"/>
  <c r="D45" i="5"/>
  <c r="E45" i="5"/>
  <c r="F45" i="5"/>
  <c r="G45" i="5"/>
  <c r="H45" i="5"/>
  <c r="I45" i="5"/>
  <c r="J45" i="5"/>
  <c r="B44" i="5"/>
  <c r="C44" i="5"/>
  <c r="D44" i="5"/>
  <c r="E44" i="5"/>
  <c r="F44" i="5"/>
  <c r="G44" i="5"/>
  <c r="H44" i="5"/>
  <c r="I44" i="5"/>
  <c r="J44" i="5"/>
  <c r="B43" i="5"/>
  <c r="C43" i="5"/>
  <c r="D43" i="5"/>
  <c r="E43" i="5"/>
  <c r="F43" i="5"/>
  <c r="G43" i="5"/>
  <c r="H43" i="5"/>
  <c r="I43" i="5"/>
  <c r="J43" i="5"/>
  <c r="B42" i="5"/>
  <c r="C42" i="5"/>
  <c r="D42" i="5"/>
  <c r="E42" i="5"/>
  <c r="F42" i="5"/>
  <c r="G42" i="5"/>
  <c r="H42" i="5"/>
  <c r="I42" i="5"/>
  <c r="J42" i="5"/>
  <c r="B41" i="5"/>
  <c r="C41" i="5"/>
  <c r="D41" i="5"/>
  <c r="E41" i="5"/>
  <c r="F41" i="5"/>
  <c r="G41" i="5"/>
  <c r="H41" i="5"/>
  <c r="I41" i="5"/>
  <c r="J41" i="5"/>
  <c r="B40" i="5"/>
  <c r="C40" i="5"/>
  <c r="D40" i="5"/>
  <c r="E40" i="5"/>
  <c r="F40" i="5"/>
  <c r="G40" i="5"/>
  <c r="H40" i="5"/>
  <c r="I40" i="5"/>
  <c r="J40" i="5"/>
  <c r="B39" i="5"/>
  <c r="C39" i="5"/>
  <c r="D39" i="5"/>
  <c r="E39" i="5"/>
  <c r="F39" i="5"/>
  <c r="G39" i="5"/>
  <c r="H39" i="5"/>
  <c r="I39" i="5"/>
  <c r="J39" i="5"/>
  <c r="B38" i="5"/>
  <c r="C38" i="5"/>
  <c r="D38" i="5"/>
  <c r="E38" i="5"/>
  <c r="F38" i="5"/>
  <c r="G38" i="5"/>
  <c r="H38" i="5"/>
  <c r="I38" i="5"/>
  <c r="J38" i="5"/>
  <c r="B37" i="5"/>
  <c r="C37" i="5"/>
  <c r="D37" i="5"/>
  <c r="E37" i="5"/>
  <c r="F37" i="5"/>
  <c r="G37" i="5"/>
  <c r="H37" i="5"/>
  <c r="I37" i="5"/>
  <c r="J37" i="5"/>
  <c r="B36" i="5"/>
  <c r="C36" i="5"/>
  <c r="D36" i="5"/>
  <c r="E36" i="5"/>
  <c r="F36" i="5"/>
  <c r="G36" i="5"/>
  <c r="H36" i="5"/>
  <c r="I36" i="5"/>
  <c r="J36" i="5"/>
  <c r="B35" i="5"/>
  <c r="C35" i="5"/>
  <c r="D35" i="5"/>
  <c r="E35" i="5"/>
  <c r="F35" i="5"/>
  <c r="G35" i="5"/>
  <c r="H35" i="5"/>
  <c r="I35" i="5"/>
  <c r="J35" i="5"/>
  <c r="B34" i="5"/>
  <c r="C34" i="5"/>
  <c r="D34" i="5"/>
  <c r="E34" i="5"/>
  <c r="F34" i="5"/>
  <c r="G34" i="5"/>
  <c r="H34" i="5"/>
  <c r="I34" i="5"/>
  <c r="J34" i="5"/>
  <c r="B33" i="5"/>
  <c r="C33" i="5"/>
  <c r="D33" i="5"/>
  <c r="E33" i="5"/>
  <c r="F33" i="5"/>
  <c r="G33" i="5"/>
  <c r="H33" i="5"/>
  <c r="I33" i="5"/>
  <c r="J33" i="5"/>
  <c r="B32" i="5"/>
  <c r="C32" i="5"/>
  <c r="D32" i="5"/>
  <c r="E32" i="5"/>
  <c r="F32" i="5"/>
  <c r="G32" i="5"/>
  <c r="H32" i="5"/>
  <c r="I32" i="5"/>
  <c r="J32" i="5"/>
  <c r="B31" i="5"/>
  <c r="C31" i="5"/>
  <c r="D31" i="5"/>
  <c r="E31" i="5"/>
  <c r="F31" i="5"/>
  <c r="G31" i="5"/>
  <c r="H31" i="5"/>
  <c r="I31" i="5"/>
  <c r="J31" i="5"/>
  <c r="B30" i="5"/>
  <c r="C30" i="5"/>
  <c r="D30" i="5"/>
  <c r="E30" i="5"/>
  <c r="F30" i="5"/>
  <c r="G30" i="5"/>
  <c r="H30" i="5"/>
  <c r="I30" i="5"/>
  <c r="J30" i="5"/>
  <c r="B29" i="5"/>
  <c r="C29" i="5"/>
  <c r="D29" i="5"/>
  <c r="E29" i="5"/>
  <c r="F29" i="5"/>
  <c r="G29" i="5"/>
  <c r="H29" i="5"/>
  <c r="I29" i="5"/>
  <c r="J29" i="5"/>
  <c r="B28" i="5"/>
  <c r="C28" i="5"/>
  <c r="D28" i="5"/>
  <c r="E28" i="5"/>
  <c r="F28" i="5"/>
  <c r="G28" i="5"/>
  <c r="H28" i="5"/>
  <c r="I28" i="5"/>
  <c r="J28" i="5"/>
  <c r="B27" i="5"/>
  <c r="C27" i="5"/>
  <c r="D27" i="5"/>
  <c r="E27" i="5"/>
  <c r="F27" i="5"/>
  <c r="G27" i="5"/>
  <c r="H27" i="5"/>
  <c r="I27" i="5"/>
  <c r="J27" i="5"/>
  <c r="B26" i="5"/>
  <c r="C26" i="5"/>
  <c r="D26" i="5"/>
  <c r="E26" i="5"/>
  <c r="F26" i="5"/>
  <c r="G26" i="5"/>
  <c r="H26" i="5"/>
  <c r="I26" i="5"/>
  <c r="J26" i="5"/>
  <c r="B25" i="5"/>
  <c r="C25" i="5"/>
  <c r="D25" i="5"/>
  <c r="E25" i="5"/>
  <c r="F25" i="5"/>
  <c r="G25" i="5"/>
  <c r="H25" i="5"/>
  <c r="I25" i="5"/>
  <c r="J25" i="5"/>
  <c r="B24" i="5"/>
  <c r="C24" i="5"/>
  <c r="D24" i="5"/>
  <c r="E24" i="5"/>
  <c r="F24" i="5"/>
  <c r="G24" i="5"/>
  <c r="H24" i="5"/>
  <c r="I24" i="5"/>
  <c r="J24" i="5"/>
  <c r="B23" i="5"/>
  <c r="C23" i="5"/>
  <c r="D23" i="5"/>
  <c r="E23" i="5"/>
  <c r="F23" i="5"/>
  <c r="G23" i="5"/>
  <c r="H23" i="5"/>
  <c r="I23" i="5"/>
  <c r="J23" i="5"/>
  <c r="B22" i="5"/>
  <c r="C22" i="5"/>
  <c r="D22" i="5"/>
  <c r="E22" i="5"/>
  <c r="F22" i="5"/>
  <c r="G22" i="5"/>
  <c r="H22" i="5"/>
  <c r="I22" i="5"/>
  <c r="J22" i="5"/>
  <c r="B21" i="5"/>
  <c r="C21" i="5"/>
  <c r="D21" i="5"/>
  <c r="E21" i="5"/>
  <c r="F21" i="5"/>
  <c r="G21" i="5"/>
  <c r="H21" i="5"/>
  <c r="I21" i="5"/>
  <c r="J21" i="5"/>
  <c r="B20" i="5"/>
  <c r="C20" i="5"/>
  <c r="D20" i="5"/>
  <c r="E20" i="5"/>
  <c r="F20" i="5"/>
  <c r="G20" i="5"/>
  <c r="H20" i="5"/>
  <c r="I20" i="5"/>
  <c r="J20" i="5"/>
  <c r="C19" i="5"/>
  <c r="E19" i="5"/>
  <c r="G19" i="5"/>
  <c r="B19" i="5"/>
  <c r="D19" i="5"/>
  <c r="F19" i="5"/>
  <c r="H19" i="5"/>
  <c r="I19" i="5"/>
  <c r="J19" i="5"/>
  <c r="C18" i="5"/>
  <c r="E18" i="5"/>
  <c r="B18" i="5"/>
  <c r="D18" i="5"/>
  <c r="F18" i="5"/>
  <c r="G18" i="5"/>
  <c r="H18" i="5"/>
  <c r="I18" i="5"/>
  <c r="J18" i="5"/>
  <c r="C16" i="5"/>
  <c r="E16" i="5"/>
  <c r="G16" i="5"/>
  <c r="H16" i="5"/>
  <c r="I16" i="5"/>
  <c r="J16" i="5"/>
  <c r="B16" i="5"/>
  <c r="D16" i="5"/>
  <c r="F16" i="5"/>
  <c r="C15" i="5"/>
  <c r="E15" i="5"/>
  <c r="B15" i="5"/>
  <c r="D15" i="5"/>
  <c r="F15" i="5"/>
  <c r="G15" i="5"/>
  <c r="H15" i="5"/>
  <c r="I15" i="5"/>
  <c r="J15" i="5"/>
  <c r="C14" i="5"/>
  <c r="E14" i="5"/>
  <c r="B14" i="5"/>
  <c r="D14" i="5"/>
  <c r="F14" i="5"/>
  <c r="G14" i="5"/>
  <c r="H14" i="5"/>
  <c r="I14" i="5"/>
  <c r="J14" i="5"/>
  <c r="C13" i="5"/>
  <c r="E13" i="5"/>
  <c r="B13" i="5"/>
  <c r="D13" i="5"/>
  <c r="F13" i="5"/>
  <c r="G13" i="5"/>
  <c r="H13" i="5"/>
  <c r="I13" i="5"/>
  <c r="J13" i="5"/>
  <c r="C12" i="5"/>
  <c r="E12" i="5"/>
  <c r="B12" i="5"/>
  <c r="D12" i="5"/>
  <c r="F12" i="5"/>
  <c r="G12" i="5"/>
  <c r="H12" i="5"/>
  <c r="I12" i="5"/>
  <c r="J12" i="5"/>
  <c r="C10" i="5"/>
  <c r="E10" i="5"/>
  <c r="F10" i="5"/>
  <c r="G10" i="5"/>
  <c r="H10" i="5"/>
  <c r="I10" i="5"/>
  <c r="J10" i="5"/>
  <c r="B10" i="5"/>
  <c r="D10" i="5"/>
  <c r="C9" i="5"/>
  <c r="E9" i="5"/>
  <c r="B9" i="5"/>
  <c r="D9" i="5"/>
  <c r="F9" i="5"/>
  <c r="G9" i="5"/>
  <c r="H9" i="5"/>
  <c r="I9" i="5"/>
  <c r="J9" i="5"/>
  <c r="B308" i="5"/>
  <c r="C308" i="5"/>
  <c r="D308" i="5"/>
  <c r="E308" i="5"/>
  <c r="F308" i="5"/>
  <c r="G308" i="5"/>
  <c r="H308" i="5"/>
  <c r="I308" i="5"/>
  <c r="J308" i="5"/>
  <c r="B307" i="5"/>
  <c r="C307" i="5"/>
  <c r="D307" i="5"/>
  <c r="E307" i="5"/>
  <c r="F307" i="5"/>
  <c r="G307" i="5"/>
  <c r="H307" i="5"/>
  <c r="I307" i="5"/>
  <c r="J307" i="5"/>
  <c r="B306" i="5"/>
  <c r="C306" i="5"/>
  <c r="D306" i="5"/>
  <c r="E306" i="5"/>
  <c r="F306" i="5"/>
  <c r="G306" i="5"/>
  <c r="H306" i="5"/>
  <c r="I306" i="5"/>
  <c r="J306" i="5"/>
  <c r="B305" i="5"/>
  <c r="C305" i="5"/>
  <c r="D305" i="5"/>
  <c r="E305" i="5"/>
  <c r="F305" i="5"/>
  <c r="G305" i="5"/>
  <c r="H305" i="5"/>
  <c r="I305" i="5"/>
  <c r="J305" i="5"/>
  <c r="B304" i="5"/>
  <c r="C304" i="5"/>
  <c r="D304" i="5"/>
  <c r="E304" i="5"/>
  <c r="F304" i="5"/>
  <c r="G304" i="5"/>
  <c r="H304" i="5"/>
  <c r="I304" i="5"/>
  <c r="J304" i="5"/>
  <c r="B303" i="5"/>
  <c r="C303" i="5"/>
  <c r="D303" i="5"/>
  <c r="E303" i="5"/>
  <c r="F303" i="5"/>
  <c r="G303" i="5"/>
  <c r="H303" i="5"/>
  <c r="I303" i="5"/>
  <c r="J303" i="5"/>
  <c r="B302" i="5"/>
  <c r="C302" i="5"/>
  <c r="D302" i="5"/>
  <c r="E302" i="5"/>
  <c r="F302" i="5"/>
  <c r="G302" i="5"/>
  <c r="H302" i="5"/>
  <c r="I302" i="5"/>
  <c r="J302" i="5"/>
  <c r="B301" i="5"/>
  <c r="C301" i="5"/>
  <c r="D301" i="5"/>
  <c r="E301" i="5"/>
  <c r="F301" i="5"/>
  <c r="G301" i="5"/>
  <c r="H301" i="5"/>
  <c r="I301" i="5"/>
  <c r="J301" i="5"/>
  <c r="O5" i="3"/>
  <c r="C9" i="2"/>
  <c r="C8" i="2"/>
  <c r="O10" i="3"/>
  <c r="O9" i="3"/>
  <c r="O7" i="3"/>
  <c r="O6" i="3"/>
  <c r="C7" i="2"/>
  <c r="B19" i="2" l="1"/>
  <c r="B33" i="2"/>
  <c r="B24" i="2"/>
  <c r="B28" i="2"/>
  <c r="B20" i="2"/>
  <c r="B31" i="2"/>
  <c r="B35" i="2"/>
  <c r="B17" i="2"/>
  <c r="B34" i="2"/>
  <c r="B18" i="2"/>
  <c r="B32" i="2"/>
  <c r="B36" i="2"/>
  <c r="B22" i="2"/>
  <c r="B23" i="2"/>
  <c r="B26" i="2"/>
  <c r="B21" i="2"/>
  <c r="B27" i="2"/>
  <c r="B25" i="2"/>
  <c r="B29" i="2"/>
  <c r="B30" i="2"/>
  <c r="B39" i="2"/>
  <c r="B37" i="2"/>
  <c r="B38" i="2"/>
  <c r="B40" i="2"/>
  <c r="B41" i="2"/>
  <c r="E11" i="5"/>
  <c r="F11" i="5"/>
  <c r="C19" i="2" l="1"/>
  <c r="E19" i="2"/>
  <c r="H19" i="2" s="1"/>
  <c r="D19" i="2"/>
  <c r="G19" i="2"/>
  <c r="F19" i="2"/>
  <c r="G33" i="2"/>
  <c r="D33" i="2"/>
  <c r="E33" i="2"/>
  <c r="C33" i="2"/>
  <c r="H33" i="2"/>
  <c r="F33" i="2"/>
  <c r="H24" i="2"/>
  <c r="D24" i="2"/>
  <c r="E24" i="2"/>
  <c r="G24" i="2"/>
  <c r="C24" i="2"/>
  <c r="F24" i="2"/>
  <c r="E28" i="2"/>
  <c r="G28" i="2"/>
  <c r="C28" i="2"/>
  <c r="H28" i="2"/>
  <c r="F28" i="2"/>
  <c r="D28" i="2"/>
  <c r="G20" i="2"/>
  <c r="E20" i="2"/>
  <c r="H20" i="2"/>
  <c r="C20" i="2"/>
  <c r="D20" i="2"/>
  <c r="F20" i="2"/>
  <c r="E31" i="2"/>
  <c r="D31" i="2"/>
  <c r="H31" i="2"/>
  <c r="F31" i="2"/>
  <c r="G31" i="2"/>
  <c r="C31" i="2"/>
  <c r="D35" i="2"/>
  <c r="E35" i="2"/>
  <c r="F35" i="2"/>
  <c r="C35" i="2"/>
  <c r="G35" i="2"/>
  <c r="H35" i="2"/>
  <c r="C17" i="2"/>
  <c r="G17" i="2"/>
  <c r="E17" i="2"/>
  <c r="H17" i="2" s="1"/>
  <c r="F17" i="2"/>
  <c r="D17" i="2"/>
  <c r="G34" i="2"/>
  <c r="E34" i="2"/>
  <c r="H34" i="2"/>
  <c r="F34" i="2"/>
  <c r="D34" i="2"/>
  <c r="C34" i="2"/>
  <c r="C18" i="2"/>
  <c r="H18" i="2"/>
  <c r="D18" i="2"/>
  <c r="G18" i="2"/>
  <c r="F18" i="2"/>
  <c r="E18" i="2"/>
  <c r="F32" i="2"/>
  <c r="E32" i="2"/>
  <c r="G32" i="2"/>
  <c r="D32" i="2"/>
  <c r="H32" i="2"/>
  <c r="C32" i="2"/>
  <c r="H36" i="2"/>
  <c r="C36" i="2"/>
  <c r="F36" i="2"/>
  <c r="D36" i="2"/>
  <c r="G36" i="2"/>
  <c r="E36" i="2"/>
  <c r="C22" i="2"/>
  <c r="H22" i="2"/>
  <c r="F22" i="2"/>
  <c r="E22" i="2"/>
  <c r="D22" i="2"/>
  <c r="G22" i="2"/>
  <c r="E23" i="2"/>
  <c r="H23" i="2"/>
  <c r="G23" i="2"/>
  <c r="C23" i="2"/>
  <c r="F23" i="2"/>
  <c r="D23" i="2"/>
  <c r="F26" i="2"/>
  <c r="E26" i="2"/>
  <c r="G26" i="2"/>
  <c r="C26" i="2"/>
  <c r="D26" i="2"/>
  <c r="H26" i="2"/>
  <c r="E21" i="2"/>
  <c r="H21" i="2" s="1"/>
  <c r="C21" i="2"/>
  <c r="G21" i="2"/>
  <c r="F21" i="2"/>
  <c r="D21" i="2"/>
  <c r="E27" i="2"/>
  <c r="H27" i="2"/>
  <c r="G27" i="2"/>
  <c r="F27" i="2"/>
  <c r="C27" i="2"/>
  <c r="D27" i="2"/>
  <c r="F25" i="2"/>
  <c r="G25" i="2"/>
  <c r="D25" i="2"/>
  <c r="C25" i="2"/>
  <c r="H25" i="2"/>
  <c r="E25" i="2"/>
  <c r="H29" i="2"/>
  <c r="G29" i="2"/>
  <c r="E29" i="2"/>
  <c r="D29" i="2"/>
  <c r="C29" i="2"/>
  <c r="F29" i="2"/>
  <c r="E30" i="2"/>
  <c r="F30" i="2"/>
  <c r="D30" i="2"/>
  <c r="G30" i="2"/>
  <c r="H30" i="2"/>
  <c r="C30" i="2"/>
  <c r="C39" i="2"/>
  <c r="D39" i="2"/>
  <c r="E39" i="2"/>
  <c r="F39" i="2"/>
  <c r="G39" i="2"/>
  <c r="H39" i="2"/>
  <c r="E37" i="2"/>
  <c r="H37" i="2"/>
  <c r="G37" i="2"/>
  <c r="C37" i="2"/>
  <c r="D37" i="2"/>
  <c r="F37" i="2"/>
  <c r="C38" i="2"/>
  <c r="D38" i="2"/>
  <c r="E38" i="2"/>
  <c r="F38" i="2"/>
  <c r="G38" i="2"/>
  <c r="H38" i="2"/>
  <c r="C40" i="2"/>
  <c r="D40" i="2"/>
  <c r="E40" i="2"/>
  <c r="F40" i="2"/>
  <c r="G40" i="2"/>
  <c r="H40" i="2"/>
  <c r="C41" i="2"/>
  <c r="D41" i="2"/>
  <c r="E41" i="2"/>
  <c r="F41" i="2"/>
  <c r="G41" i="2"/>
  <c r="H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Neurovia Systems</author>
  </authors>
  <commentList>
    <comment ref="C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Escribe cualquier fecha del mes que quieres revisar (por ejemplo 01/11/2026).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Neurovia Systems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Datos de ejemplo: bórralos (columnas A a I) cuando captures tu catálogo.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Neurovia Systems</author>
  </authors>
  <commentList>
    <comment ref="A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Datos de ejemplo: bórralos (columnas A, B, C, F, J, K y L) antes de capturar los tuyos.</t>
        </r>
      </text>
    </comment>
  </commentList>
</comments>
</file>

<file path=xl/sharedStrings.xml><?xml version="1.0" encoding="utf-8"?>
<sst xmlns="http://schemas.openxmlformats.org/spreadsheetml/2006/main" count="187" uniqueCount="123">
  <si>
    <t>Plantilla de control de inventario</t>
  </si>
  <si>
    <t>Entradas, salidas, existencias, alertas de reorden y kardex por artículo. Gratis, sin macros.</t>
  </si>
  <si>
    <t>Cómo se usa</t>
  </si>
  <si>
    <t>1. En Productos, da de alta cada artículo con una clave única, su costo, su stock mínimo (y máximo, si lo manejas) y la existencia con la que arrancas.</t>
  </si>
  <si>
    <t>2. En Movimientos, captura una fila por cada entrada (compra, devolución de cliente) o salida (venta, consumo, merma), en orden de fecha.</t>
  </si>
  <si>
    <t>3. Las existencias, el valor del inventario y el estado (OK, Reordenar, Agotado) se calculan solos en Productos.</t>
  </si>
  <si>
    <t>4. En Resumen ves los totales del mes y la lista de compras sugerida; en Kardex, el historial completo de un artículo.</t>
  </si>
  <si>
    <t>5. Los datos que trae son de ejemplo: bórralos de Productos (columnas A a I) y de Movimientos (A, B, C, F, J, K y L) antes de empezar.</t>
  </si>
  <si>
    <t>Colores</t>
  </si>
  <si>
    <t>Celdas amarillas: aquí capturas.</t>
  </si>
  <si>
    <t>Celdas grises: fórmulas. No las borres ni escribas encima; si se rompe una, cópiala de la fila de arriba.</t>
  </si>
  <si>
    <t>Buenas prácticas</t>
  </si>
  <si>
    <t>• Las cantidades van siempre en positivo: el tipo (Entrada o Salida) decide si suma o resta.</t>
  </si>
  <si>
    <t>• Haz un conteo físico al menos una vez al mes y registra la diferencia como Entrada o Salida con la referencia "Ajuste por conteo".</t>
  </si>
  <si>
    <t>• Si la Existencia después sale en rojo, se registró una salida mayor a lo que había: revisa ese movimiento.</t>
  </si>
  <si>
    <t>• Capacidad: 500 artículos y 3,000 movimientos. Para más, copia la última fila con fórmulas hacia abajo.</t>
  </si>
  <si>
    <t>Cuándo Excel ya no alcanza</t>
  </si>
  <si>
    <t>Si capturan varias personas a la vez, manejas más de un almacén, necesitas lotes y caducidades o quieres que la venta descuente sola el inventario, una hoja de cálculo empieza a fallar. Ahí conviene un sistema.</t>
  </si>
  <si>
    <t>Guía completa: cómo llevar el inventario en Excel y cuándo cambiar a un sistema</t>
  </si>
  <si>
    <t>Sistema de inventario de Neurovia Systems</t>
  </si>
  <si>
    <t>Plantilla gratuita de Neurovia Systems · Villahermosa, Tabasco · neuroviasystems.com.mx · WhatsApp 993 722 6350</t>
  </si>
  <si>
    <t>Puedes usarla y compartirla libremente; si la publicas en tu sitio, enlaza a la guía de arriba.</t>
  </si>
  <si>
    <t>Resumen del inventario</t>
  </si>
  <si>
    <t>Se actualiza solo con lo que captures en Productos y Movimientos.</t>
  </si>
  <si>
    <t>Mes a revisar</t>
  </si>
  <si>
    <t>Artículos en el catálogo</t>
  </si>
  <si>
    <t>Valor total del inventario</t>
  </si>
  <si>
    <t>Artículos por reordenar</t>
  </si>
  <si>
    <t>Artículos agotados</t>
  </si>
  <si>
    <t>Movimientos de entrada en el mes</t>
  </si>
  <si>
    <t>Movimientos de salida en el mes</t>
  </si>
  <si>
    <t>Valor de las entradas del mes</t>
  </si>
  <si>
    <t>Valor de las salidas del mes</t>
  </si>
  <si>
    <t>Lista de compras sugerida</t>
  </si>
  <si>
    <t>Artículos agotados o en su mínimo. Sugerido = llevarlo al stock máximo (o al doble del mínimo si no capturaste máximo).</t>
  </si>
  <si>
    <t>#</t>
  </si>
  <si>
    <t>Clave</t>
  </si>
  <si>
    <t>Descripción</t>
  </si>
  <si>
    <t>Existencia</t>
  </si>
  <si>
    <t>Mínimo</t>
  </si>
  <si>
    <t>Estado</t>
  </si>
  <si>
    <t>Sugerido comprar</t>
  </si>
  <si>
    <t>Muestra hasta 25 artículos. Si tienes más pendientes, filtra la columna Estado en la hoja Productos.</t>
  </si>
  <si>
    <t>Catálogo y existencias</t>
  </si>
  <si>
    <t>Captura tus artículos en las columnas amarillas. Las grises se calculan solas con los movimientos.</t>
  </si>
  <si>
    <t>Categoría</t>
  </si>
  <si>
    <t>Unidad</t>
  </si>
  <si>
    <t>Ubicación</t>
  </si>
  <si>
    <t>Costo unitario</t>
  </si>
  <si>
    <t>Stock mínimo</t>
  </si>
  <si>
    <t>Stock máximo</t>
  </si>
  <si>
    <t>Existencia inicial</t>
  </si>
  <si>
    <t>Entradas</t>
  </si>
  <si>
    <t>Salidas</t>
  </si>
  <si>
    <t>Existencia actual</t>
  </si>
  <si>
    <t>Valor del inventario</t>
  </si>
  <si>
    <t>n_compra</t>
  </si>
  <si>
    <t>P-001</t>
  </si>
  <si>
    <t>Cemento gris 50 kg</t>
  </si>
  <si>
    <t>Materiales</t>
  </si>
  <si>
    <t>Bulto</t>
  </si>
  <si>
    <t>Bodega A</t>
  </si>
  <si>
    <t>P-002</t>
  </si>
  <si>
    <t>Varilla corrugada 3/8"</t>
  </si>
  <si>
    <t>Acero</t>
  </si>
  <si>
    <t>Pieza</t>
  </si>
  <si>
    <t>Patio</t>
  </si>
  <si>
    <t>P-003</t>
  </si>
  <si>
    <t>Block de concreto 15x20x40</t>
  </si>
  <si>
    <t>P-004</t>
  </si>
  <si>
    <t>Tubo PVC hidráulico 1/2"</t>
  </si>
  <si>
    <t>Plomería</t>
  </si>
  <si>
    <t>Tramo</t>
  </si>
  <si>
    <t>Bodega B</t>
  </si>
  <si>
    <t>P-005</t>
  </si>
  <si>
    <t>Pintura vinílica blanca 19 L</t>
  </si>
  <si>
    <t>Pinturas</t>
  </si>
  <si>
    <t>Cubeta</t>
  </si>
  <si>
    <t>P-006</t>
  </si>
  <si>
    <t>Alambre recocido</t>
  </si>
  <si>
    <t>Kg</t>
  </si>
  <si>
    <t>P-007</t>
  </si>
  <si>
    <t>Cable THW calibre 12</t>
  </si>
  <si>
    <t>Eléctrico</t>
  </si>
  <si>
    <t>Rollo 100 m</t>
  </si>
  <si>
    <t>P-008</t>
  </si>
  <si>
    <t>Tornillo para tablaroca 1"</t>
  </si>
  <si>
    <t>Ferretería</t>
  </si>
  <si>
    <t>Caja 1000</t>
  </si>
  <si>
    <t>Entradas y salidas</t>
  </si>
  <si>
    <t>Una fila por movimiento, en orden de fecha. Tipo: Entrada o Salida. La clave debe existir en Productos.</t>
  </si>
  <si>
    <t>Fecha</t>
  </si>
  <si>
    <t>Tipo</t>
  </si>
  <si>
    <t>Cantidad</t>
  </si>
  <si>
    <t>Importe</t>
  </si>
  <si>
    <t>Existencia después</t>
  </si>
  <si>
    <t>Referencia</t>
  </si>
  <si>
    <t>Responsable</t>
  </si>
  <si>
    <t>Notas</t>
  </si>
  <si>
    <t>n_kardex</t>
  </si>
  <si>
    <t>Entrada</t>
  </si>
  <si>
    <t>Factura A-1182</t>
  </si>
  <si>
    <t>Almacén</t>
  </si>
  <si>
    <t>Salida</t>
  </si>
  <si>
    <t>Pedido 0451</t>
  </si>
  <si>
    <t>Ventas</t>
  </si>
  <si>
    <t>Pedido 0452</t>
  </si>
  <si>
    <t>Factura B-0907</t>
  </si>
  <si>
    <t>Pedido 0458</t>
  </si>
  <si>
    <t>Pedido 0461</t>
  </si>
  <si>
    <t>Pedido 0463</t>
  </si>
  <si>
    <t>Factura C-2210</t>
  </si>
  <si>
    <t>Pedido 0470</t>
  </si>
  <si>
    <t>Pedido 0474</t>
  </si>
  <si>
    <t>Pedido 0480</t>
  </si>
  <si>
    <t>Factura A-1240</t>
  </si>
  <si>
    <t>Pedido 0486</t>
  </si>
  <si>
    <t>Pedido 0491</t>
  </si>
  <si>
    <t>Kardex por artículo</t>
  </si>
  <si>
    <t>Elige una clave en la celda amarilla y verás todos sus movimientos con la existencia después de cada uno.</t>
  </si>
  <si>
    <t>Clave:</t>
  </si>
  <si>
    <t>Existencia inicial:</t>
  </si>
  <si>
    <t>Existencia actual: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</si>
</sst>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mmmm\ yyyy"/>
  </numFmts>
  <fonts count="14" x14ac:knownFonts="1">
    <font>
      <sz val="11"/>
      <color theme="1"/>
      <name val="Calibri"/>
      <family val="2"/>
      <scheme val="minor"/>
    </font>
    <font>
      <b/>
      <sz val="16"/>
      <color rgb="FF1E293B"/>
      <name val="Arial"/>
    </font>
    <font>
      <sz val="9"/>
      <color rgb="FF64748B"/>
      <name val="Arial"/>
    </font>
    <font>
      <b/>
      <sz val="10"/>
      <color rgb="FFFFFFFF"/>
      <name val="Arial"/>
    </font>
    <font>
      <sz val="10"/>
      <color rgb="FF1E293B"/>
      <name val="Arial"/>
    </font>
    <font>
      <b/>
      <sz val="11"/>
      <color rgb="FF1E293B"/>
      <name val="Arial"/>
    </font>
    <font>
      <b/>
      <sz val="10"/>
      <color rgb="FF1E293B"/>
      <name val="Arial"/>
    </font>
    <font>
      <b/>
      <sz val="12"/>
      <color rgb="FF1E293B"/>
      <name val="Arial"/>
    </font>
    <font>
      <b/>
      <sz val="13"/>
      <color rgb="FF1E293B"/>
      <name val="Arial"/>
    </font>
    <font>
      <i/>
      <sz val="8"/>
      <color rgb="FF64748B"/>
      <name val="Arial"/>
    </font>
    <font>
      <b/>
      <sz val="20"/>
      <color rgb="FF1E293B"/>
      <name val="Arial"/>
    </font>
    <font>
      <sz val="11"/>
      <color rgb="FF64748B"/>
      <name val="Arial"/>
    </font>
    <font>
      <b/>
      <sz val="13"/>
      <color rgb="FF2F8FE8"/>
      <name val="Arial"/>
    </font>
    <font>
      <u/>
      <sz val="10"/>
      <color rgb="FF2F8FE8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0" borderId="0" xfId="0" applyFont="1"/>
    <xf numFmtId="0" fontId="11" fillId="0" borderId="0" xfId="0" applyFont="1"/>
    <xf numFmtId="0" fontId="0" fillId="0" borderId="0" xfId="0" applyAlignment="1">
      <alignment vertical="top" wrapText="1"/>
    </xf>
    <xf numFmtId="0" fontId="12" fillId="0" borderId="0" xfId="0" applyFont="1"/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6" fillId="0" borderId="0" xfId="0" applyFont="1"/>
    <xf numFmtId="166" fontId="6" fillId="3" borderId="1" xfId="0" applyNumberFormat="1" applyFont="1" applyFill="1" applyBorder="1"/>
    <xf numFmtId="0" fontId="4" fillId="4" borderId="1" xfId="0" applyFont="1" applyFill="1" applyBorder="1"/>
    <xf numFmtId="1" fontId="7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14" fontId="4" fillId="3" borderId="1" xfId="0" applyNumberFormat="1" applyFont="1" applyFill="1" applyBorder="1"/>
    <xf numFmtId="0" fontId="5" fillId="0" borderId="0" xfId="0" applyFont="1" applyAlignment="1">
      <alignment horizontal="right"/>
    </xf>
    <xf numFmtId="0" fontId="5" fillId="3" borderId="1" xfId="0" applyFont="1" applyFill="1" applyBorder="1"/>
    <xf numFmtId="0" fontId="5" fillId="0" borderId="0" xfId="0" applyFont="1"/>
    <xf numFmtId="0" fontId="6" fillId="0" borderId="0" xfId="0" applyFont="1" applyAlignment="1">
      <alignment horizontal="right"/>
    </xf>
    <xf numFmtId="0" fontId="6" fillId="4" borderId="1" xfId="0" applyFont="1" applyFill="1" applyBorder="1"/>
    <xf numFmtId="14" fontId="4" fillId="4" borderId="1" xfId="0" applyNumberFormat="1" applyFont="1" applyFill="1" applyBorder="1"/>
  </cellXfs>
  <cellStyles count="1">
    <cellStyle name="Normal" xfId="0" builtinId="0"/>
  </cellStyles>
  <dxfs count="8">
    <dxf>
      <font>
        <b/>
        <color rgb="FFB42318"/>
        <name val="Arial"/>
      </font>
      <fill>
        <patternFill patternType="solid">
          <fgColor rgb="FFFDE2E1"/>
        </patternFill>
      </fill>
    </dxf>
    <dxf>
      <font>
        <b/>
        <color rgb="FFB42318"/>
        <name val="Arial"/>
      </font>
    </dxf>
    <dxf>
      <font>
        <color rgb="FF067647"/>
        <name val="Arial"/>
      </font>
    </dxf>
    <dxf>
      <font>
        <b/>
        <color rgb="FFB54708"/>
        <name val="Arial"/>
      </font>
      <fill>
        <patternFill patternType="solid">
          <fgColor rgb="FFFEF0C7"/>
        </patternFill>
      </fill>
    </dxf>
    <dxf>
      <font>
        <b/>
        <color rgb="FFB42318"/>
        <name val="Arial"/>
      </font>
      <fill>
        <patternFill patternType="solid">
          <fgColor rgb="FFFDE2E1"/>
        </patternFill>
      </fill>
    </dxf>
    <dxf>
      <font>
        <b/>
        <color rgb="FFB54708"/>
        <name val="Arial"/>
      </font>
    </dxf>
    <dxf>
      <font>
        <b/>
        <color rgb="FFB42318"/>
        <name val="Arial"/>
      </font>
    </dxf>
    <dxf>
      <font>
        <b/>
        <sz val="12"/>
        <color rgb="FFB42318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uroviasystems.com.mx/productos/software-de-inventario?utm_source=plantilla-inventario&amp;utm_medium=excel&amp;utm_campaign=plantillas" TargetMode="External"/><Relationship Id="rId1" Type="http://schemas.openxmlformats.org/officeDocument/2006/relationships/hyperlink" Target="https://neuroviasystems.com.mx/guias/plantilla-de-inventario-en-excel?utm_source=plantilla-inventario&amp;utm_medium=excel&amp;utm_campaign=plantilla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8FE8"/>
  </sheetPr>
  <dimension ref="B2:B29"/>
  <sheetViews>
    <sheetView showGridLines="0" tabSelected="1" workbookViewId="0"/>
  </sheetViews>
  <sheetFormatPr baseColWidth="10" defaultColWidth="9.140625" defaultRowHeight="15" x14ac:dyDescent="0.25"/>
  <cols>
    <col min="1" max="1" width="3" customWidth="1"/>
    <col min="2" max="2" width="100" customWidth="1"/>
  </cols>
  <sheetData>
    <row r="2" spans="2:2" ht="26.25" x14ac:dyDescent="0.4">
      <c r="B2" s="1" t="s">
        <v>0</v>
      </c>
    </row>
    <row r="3" spans="2:2" x14ac:dyDescent="0.25">
      <c r="B3" s="2" t="s">
        <v>1</v>
      </c>
    </row>
    <row r="5" spans="2:2" x14ac:dyDescent="0.25">
      <c r="B5" s="3"/>
    </row>
    <row r="6" spans="2:2" ht="16.5" x14ac:dyDescent="0.25">
      <c r="B6" s="4" t="s">
        <v>2</v>
      </c>
    </row>
    <row r="7" spans="2:2" ht="29.1" customHeight="1" x14ac:dyDescent="0.25">
      <c r="B7" s="5" t="s">
        <v>3</v>
      </c>
    </row>
    <row r="8" spans="2:2" ht="29.1" customHeight="1" x14ac:dyDescent="0.25">
      <c r="B8" s="5" t="s">
        <v>4</v>
      </c>
    </row>
    <row r="9" spans="2:2" ht="29.1" customHeight="1" x14ac:dyDescent="0.25">
      <c r="B9" s="5" t="s">
        <v>5</v>
      </c>
    </row>
    <row r="10" spans="2:2" ht="29.1" customHeight="1" x14ac:dyDescent="0.25">
      <c r="B10" s="5" t="s">
        <v>6</v>
      </c>
    </row>
    <row r="11" spans="2:2" ht="29.1" customHeight="1" x14ac:dyDescent="0.25">
      <c r="B11" s="5" t="s">
        <v>7</v>
      </c>
    </row>
    <row r="12" spans="2:2" x14ac:dyDescent="0.25">
      <c r="B12" s="3"/>
    </row>
    <row r="13" spans="2:2" ht="16.5" x14ac:dyDescent="0.25">
      <c r="B13" s="4" t="s">
        <v>8</v>
      </c>
    </row>
    <row r="14" spans="2:2" ht="14.45" customHeight="1" x14ac:dyDescent="0.25">
      <c r="B14" s="6" t="s">
        <v>9</v>
      </c>
    </row>
    <row r="15" spans="2:2" ht="29.1" customHeight="1" x14ac:dyDescent="0.25">
      <c r="B15" s="7" t="s">
        <v>10</v>
      </c>
    </row>
    <row r="16" spans="2:2" x14ac:dyDescent="0.25">
      <c r="B16" s="3"/>
    </row>
    <row r="17" spans="2:2" ht="16.5" x14ac:dyDescent="0.25">
      <c r="B17" s="4" t="s">
        <v>11</v>
      </c>
    </row>
    <row r="18" spans="2:2" ht="29.1" customHeight="1" x14ac:dyDescent="0.25">
      <c r="B18" s="5" t="s">
        <v>12</v>
      </c>
    </row>
    <row r="19" spans="2:2" ht="29.1" customHeight="1" x14ac:dyDescent="0.25">
      <c r="B19" s="5" t="s">
        <v>13</v>
      </c>
    </row>
    <row r="20" spans="2:2" ht="29.1" customHeight="1" x14ac:dyDescent="0.25">
      <c r="B20" s="5" t="s">
        <v>14</v>
      </c>
    </row>
    <row r="21" spans="2:2" ht="29.1" customHeight="1" x14ac:dyDescent="0.25">
      <c r="B21" s="5" t="s">
        <v>15</v>
      </c>
    </row>
    <row r="22" spans="2:2" x14ac:dyDescent="0.25">
      <c r="B22" s="3"/>
    </row>
    <row r="23" spans="2:2" ht="16.5" x14ac:dyDescent="0.25">
      <c r="B23" s="4" t="s">
        <v>16</v>
      </c>
    </row>
    <row r="24" spans="2:2" ht="43.5" customHeight="1" x14ac:dyDescent="0.25">
      <c r="B24" s="5" t="s">
        <v>17</v>
      </c>
    </row>
    <row r="25" spans="2:2" ht="14.45" customHeight="1" x14ac:dyDescent="0.25">
      <c r="B25" s="8" t="s">
        <v>18</v>
      </c>
    </row>
    <row r="26" spans="2:2" ht="14.45" customHeight="1" x14ac:dyDescent="0.25">
      <c r="B26" s="8" t="s">
        <v>19</v>
      </c>
    </row>
    <row r="27" spans="2:2" x14ac:dyDescent="0.25">
      <c r="B27" s="5"/>
    </row>
    <row r="28" spans="2:2" ht="29.1" customHeight="1" x14ac:dyDescent="0.25">
      <c r="B28" s="9" t="s">
        <v>20</v>
      </c>
    </row>
    <row r="29" spans="2:2" ht="29.1" customHeight="1" x14ac:dyDescent="0.25">
      <c r="B29" s="9" t="s">
        <v>21</v>
      </c>
    </row>
  </sheetData>
  <hyperlinks>
    <hyperlink ref="B25" r:id="rId1" xr:uid="{00000000-0004-0000-0000-000000000000}"/>
    <hyperlink ref="B26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67647"/>
  </sheetPr>
  <dimension ref="A1:H42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30" customWidth="1"/>
    <col min="3" max="3" width="18" customWidth="1"/>
    <col min="4" max="4" width="34" customWidth="1"/>
    <col min="5" max="7" width="12" customWidth="1"/>
    <col min="8" max="8" width="14" customWidth="1"/>
  </cols>
  <sheetData>
    <row r="1" spans="1:8" ht="24" customHeight="1" x14ac:dyDescent="0.3">
      <c r="A1" s="10" t="s">
        <v>22</v>
      </c>
    </row>
    <row r="2" spans="1:8" x14ac:dyDescent="0.25">
      <c r="A2" s="11" t="s">
        <v>23</v>
      </c>
    </row>
    <row r="4" spans="1:8" x14ac:dyDescent="0.25">
      <c r="B4" s="12" t="s">
        <v>24</v>
      </c>
      <c r="C4" s="13">
        <v>46296</v>
      </c>
    </row>
    <row r="6" spans="1:8" ht="15.75" x14ac:dyDescent="0.25">
      <c r="B6" s="14" t="s">
        <v>25</v>
      </c>
      <c r="C6" s="15">
        <f>COUNTA(Productos!$A$5:$A$504)</f>
        <v>8</v>
      </c>
    </row>
    <row r="7" spans="1:8" ht="15.75" x14ac:dyDescent="0.25">
      <c r="B7" s="14" t="s">
        <v>26</v>
      </c>
      <c r="C7" s="16">
        <f>SUM(Productos!$M$5:$M$504)</f>
        <v>38581</v>
      </c>
    </row>
    <row r="8" spans="1:8" ht="15.75" x14ac:dyDescent="0.25">
      <c r="B8" s="14" t="s">
        <v>27</v>
      </c>
      <c r="C8" s="15">
        <f>COUNTIF(Productos!$N$5:$N$504,"Reordenar")</f>
        <v>4</v>
      </c>
    </row>
    <row r="9" spans="1:8" ht="15.75" x14ac:dyDescent="0.25">
      <c r="B9" s="14" t="s">
        <v>28</v>
      </c>
      <c r="C9" s="15">
        <f>COUNTIF(Productos!$N$5:$N$504,"Agotado")</f>
        <v>1</v>
      </c>
    </row>
    <row r="10" spans="1:8" ht="15.75" x14ac:dyDescent="0.25">
      <c r="B10" s="14" t="s">
        <v>29</v>
      </c>
      <c r="C10" s="15">
        <f>COUNTIFS(Movimientos!$B$5:$B$3004,"Entrada",Movimientos!$A$5:$A$3004,"&gt;="&amp;DATE(YEAR($C$4),MONTH($C$4),1),Movimientos!$A$5:$A$3004,"&lt;"&amp;EDATE(DATE(YEAR($C$4),MONTH($C$4),1),1))</f>
        <v>4</v>
      </c>
    </row>
    <row r="11" spans="1:8" ht="15.75" x14ac:dyDescent="0.25">
      <c r="B11" s="14" t="s">
        <v>30</v>
      </c>
      <c r="C11" s="15">
        <f>COUNTIFS(Movimientos!$B$5:$B$3004,"Salida",Movimientos!$A$5:$A$3004,"&gt;="&amp;DATE(YEAR($C$4),MONTH($C$4),1),Movimientos!$A$5:$A$3004,"&lt;"&amp;EDATE(DATE(YEAR($C$4),MONTH($C$4),1),1))</f>
        <v>10</v>
      </c>
    </row>
    <row r="12" spans="1:8" ht="15.75" x14ac:dyDescent="0.25">
      <c r="B12" s="14" t="s">
        <v>31</v>
      </c>
      <c r="C12" s="16">
        <f>SUMIFS(Movimientos!$H$5:$H$3004,Movimientos!$B$5:$B$3004,"Entrada",Movimientos!$A$5:$A$3004,"&gt;="&amp;DATE(YEAR($C$4),MONTH($C$4),1),Movimientos!$A$5:$A$3004,"&lt;"&amp;EDATE(DATE(YEAR($C$4),MONTH($C$4),1),1))</f>
        <v>36990</v>
      </c>
    </row>
    <row r="13" spans="1:8" ht="15.75" x14ac:dyDescent="0.25">
      <c r="B13" s="14" t="s">
        <v>32</v>
      </c>
      <c r="C13" s="16">
        <f>SUMIFS(Movimientos!$H$5:$H$3004,Movimientos!$B$5:$B$3004,"Salida",Movimientos!$A$5:$A$3004,"&gt;="&amp;DATE(YEAR($C$4),MONTH($C$4),1),Movimientos!$A$5:$A$3004,"&lt;"&amp;EDATE(DATE(YEAR($C$4),MONTH($C$4),1),1))</f>
        <v>78609</v>
      </c>
    </row>
    <row r="15" spans="1:8" ht="16.5" x14ac:dyDescent="0.25">
      <c r="B15" s="17" t="s">
        <v>33</v>
      </c>
      <c r="D15" s="18" t="s">
        <v>34</v>
      </c>
    </row>
    <row r="16" spans="1:8" ht="25.5" x14ac:dyDescent="0.25">
      <c r="B16" s="19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40</v>
      </c>
      <c r="H16" s="19" t="s">
        <v>41</v>
      </c>
    </row>
    <row r="17" spans="2:8" x14ac:dyDescent="0.25">
      <c r="B17" s="14">
        <f>IF(1&lt;=COUNTIF(Productos!$O$5:$O$504,"&gt;0"),1,"")</f>
        <v>1</v>
      </c>
      <c r="C17" s="14" t="str">
        <f>IF($B17="","",INDEX(Productos!$A$5:$A$504,MATCH($B17,Productos!$O$5:$O$504,0)))</f>
        <v>P-002</v>
      </c>
      <c r="D17" s="14" t="str">
        <f>IF($B17="","",INDEX(Productos!$B$5:$B$504,MATCH($B17,Productos!$O$5:$O$504,0)))</f>
        <v>Varilla corrugada 3/8"</v>
      </c>
      <c r="E17" s="14">
        <f>IF($B17="","",INDEX(Productos!$L$5:$L$504,MATCH($B17,Productos!$O$5:$O$504,0)))</f>
        <v>60</v>
      </c>
      <c r="F17" s="14">
        <f>IF($B17="","",INDEX(Productos!$G$5:$G$504,MATCH($B17,Productos!$O$5:$O$504,0)))</f>
        <v>100</v>
      </c>
      <c r="G17" s="14" t="str">
        <f>IF($B17="","",INDEX(Productos!$N$5:$N$504,MATCH($B17,Productos!$O$5:$O$504,0)))</f>
        <v>Reordenar</v>
      </c>
      <c r="H17" s="14">
        <f>IF($B17="","",MAX(0,IF(N(INDEX(Productos!$H$5:$H$504,MATCH($B17,Productos!$O$5:$O$504,0)))&gt;0,N(INDEX(Productos!$H$5:$H$504,MATCH($B17,Productos!$O$5:$O$504,0))),2*N(F17))-E17))</f>
        <v>240</v>
      </c>
    </row>
    <row r="18" spans="2:8" x14ac:dyDescent="0.25">
      <c r="B18" s="14">
        <f>IF(2&lt;=COUNTIF(Productos!$O$5:$O$504,"&gt;0"),2,"")</f>
        <v>2</v>
      </c>
      <c r="C18" s="14" t="str">
        <f>IF($B18="","",INDEX(Productos!$A$5:$A$504,MATCH($B18,Productos!$O$5:$O$504,0)))</f>
        <v>P-003</v>
      </c>
      <c r="D18" s="14" t="str">
        <f>IF($B18="","",INDEX(Productos!$B$5:$B$504,MATCH($B18,Productos!$O$5:$O$504,0)))</f>
        <v>Block de concreto 15x20x40</v>
      </c>
      <c r="E18" s="14">
        <f>IF($B18="","",INDEX(Productos!$L$5:$L$504,MATCH($B18,Productos!$O$5:$O$504,0)))</f>
        <v>420</v>
      </c>
      <c r="F18" s="14">
        <f>IF($B18="","",INDEX(Productos!$G$5:$G$504,MATCH($B18,Productos!$O$5:$O$504,0)))</f>
        <v>500</v>
      </c>
      <c r="G18" s="14" t="str">
        <f>IF($B18="","",INDEX(Productos!$N$5:$N$504,MATCH($B18,Productos!$O$5:$O$504,0)))</f>
        <v>Reordenar</v>
      </c>
      <c r="H18" s="14">
        <f>IF($B18="","",MAX(0,IF(N(INDEX(Productos!$H$5:$H$504,MATCH($B18,Productos!$O$5:$O$504,0)))&gt;0,N(INDEX(Productos!$H$5:$H$504,MATCH($B18,Productos!$O$5:$O$504,0))),2*N(F18))-E18))</f>
        <v>1580</v>
      </c>
    </row>
    <row r="19" spans="2:8" x14ac:dyDescent="0.25">
      <c r="B19" s="14">
        <f>IF(3&lt;=COUNTIF(Productos!$O$5:$O$504,"&gt;0"),3,"")</f>
        <v>3</v>
      </c>
      <c r="C19" s="14" t="str">
        <f>IF($B19="","",INDEX(Productos!$A$5:$A$504,MATCH($B19,Productos!$O$5:$O$504,0)))</f>
        <v>P-005</v>
      </c>
      <c r="D19" s="14" t="str">
        <f>IF($B19="","",INDEX(Productos!$B$5:$B$504,MATCH($B19,Productos!$O$5:$O$504,0)))</f>
        <v>Pintura vinílica blanca 19 L</v>
      </c>
      <c r="E19" s="14">
        <f>IF($B19="","",INDEX(Productos!$L$5:$L$504,MATCH($B19,Productos!$O$5:$O$504,0)))</f>
        <v>4</v>
      </c>
      <c r="F19" s="14">
        <f>IF($B19="","",INDEX(Productos!$G$5:$G$504,MATCH($B19,Productos!$O$5:$O$504,0)))</f>
        <v>5</v>
      </c>
      <c r="G19" s="14" t="str">
        <f>IF($B19="","",INDEX(Productos!$N$5:$N$504,MATCH($B19,Productos!$O$5:$O$504,0)))</f>
        <v>Reordenar</v>
      </c>
      <c r="H19" s="14">
        <f>IF($B19="","",MAX(0,IF(N(INDEX(Productos!$H$5:$H$504,MATCH($B19,Productos!$O$5:$O$504,0)))&gt;0,N(INDEX(Productos!$H$5:$H$504,MATCH($B19,Productos!$O$5:$O$504,0))),2*N(F19))-E19))</f>
        <v>16</v>
      </c>
    </row>
    <row r="20" spans="2:8" x14ac:dyDescent="0.25">
      <c r="B20" s="14">
        <f>IF(4&lt;=COUNTIF(Productos!$O$5:$O$504,"&gt;0"),4,"")</f>
        <v>4</v>
      </c>
      <c r="C20" s="14" t="str">
        <f>IF($B20="","",INDEX(Productos!$A$5:$A$504,MATCH($B20,Productos!$O$5:$O$504,0)))</f>
        <v>P-006</v>
      </c>
      <c r="D20" s="14" t="str">
        <f>IF($B20="","",INDEX(Productos!$B$5:$B$504,MATCH($B20,Productos!$O$5:$O$504,0)))</f>
        <v>Alambre recocido</v>
      </c>
      <c r="E20" s="14">
        <f>IF($B20="","",INDEX(Productos!$L$5:$L$504,MATCH($B20,Productos!$O$5:$O$504,0)))</f>
        <v>35</v>
      </c>
      <c r="F20" s="14">
        <f>IF($B20="","",INDEX(Productos!$G$5:$G$504,MATCH($B20,Productos!$O$5:$O$504,0)))</f>
        <v>50</v>
      </c>
      <c r="G20" s="14" t="str">
        <f>IF($B20="","",INDEX(Productos!$N$5:$N$504,MATCH($B20,Productos!$O$5:$O$504,0)))</f>
        <v>Reordenar</v>
      </c>
      <c r="H20" s="14">
        <f>IF($B20="","",MAX(0,IF(N(INDEX(Productos!$H$5:$H$504,MATCH($B20,Productos!$O$5:$O$504,0)))&gt;0,N(INDEX(Productos!$H$5:$H$504,MATCH($B20,Productos!$O$5:$O$504,0))),2*N(F20))-E20))</f>
        <v>165</v>
      </c>
    </row>
    <row r="21" spans="2:8" x14ac:dyDescent="0.25">
      <c r="B21" s="14">
        <f>IF(5&lt;=COUNTIF(Productos!$O$5:$O$504,"&gt;0"),5,"")</f>
        <v>5</v>
      </c>
      <c r="C21" s="14" t="str">
        <f>IF($B21="","",INDEX(Productos!$A$5:$A$504,MATCH($B21,Productos!$O$5:$O$504,0)))</f>
        <v>P-007</v>
      </c>
      <c r="D21" s="14" t="str">
        <f>IF($B21="","",INDEX(Productos!$B$5:$B$504,MATCH($B21,Productos!$O$5:$O$504,0)))</f>
        <v>Cable THW calibre 12</v>
      </c>
      <c r="E21" s="14">
        <f>IF($B21="","",INDEX(Productos!$L$5:$L$504,MATCH($B21,Productos!$O$5:$O$504,0)))</f>
        <v>0</v>
      </c>
      <c r="F21" s="14">
        <f>IF($B21="","",INDEX(Productos!$G$5:$G$504,MATCH($B21,Productos!$O$5:$O$504,0)))</f>
        <v>4</v>
      </c>
      <c r="G21" s="14" t="str">
        <f>IF($B21="","",INDEX(Productos!$N$5:$N$504,MATCH($B21,Productos!$O$5:$O$504,0)))</f>
        <v>Agotado</v>
      </c>
      <c r="H21" s="14">
        <f>IF($B21="","",MAX(0,IF(N(INDEX(Productos!$H$5:$H$504,MATCH($B21,Productos!$O$5:$O$504,0)))&gt;0,N(INDEX(Productos!$H$5:$H$504,MATCH($B21,Productos!$O$5:$O$504,0))),2*N(F21))-E21))</f>
        <v>12</v>
      </c>
    </row>
    <row r="22" spans="2:8" x14ac:dyDescent="0.25">
      <c r="B22" s="14" t="str">
        <f>IF(6&lt;=COUNTIF(Productos!$O$5:$O$504,"&gt;0"),6,"")</f>
        <v/>
      </c>
      <c r="C22" s="14" t="str">
        <f>IF($B22="","",INDEX(Productos!$A$5:$A$504,MATCH($B22,Productos!$O$5:$O$504,0)))</f>
        <v/>
      </c>
      <c r="D22" s="14" t="str">
        <f>IF($B22="","",INDEX(Productos!$B$5:$B$504,MATCH($B22,Productos!$O$5:$O$504,0)))</f>
        <v/>
      </c>
      <c r="E22" s="14" t="str">
        <f>IF($B22="","",INDEX(Productos!$L$5:$L$504,MATCH($B22,Productos!$O$5:$O$504,0)))</f>
        <v/>
      </c>
      <c r="F22" s="14" t="str">
        <f>IF($B22="","",INDEX(Productos!$G$5:$G$504,MATCH($B22,Productos!$O$5:$O$504,0)))</f>
        <v/>
      </c>
      <c r="G22" s="14" t="str">
        <f>IF($B22="","",INDEX(Productos!$N$5:$N$504,MATCH($B22,Productos!$O$5:$O$504,0)))</f>
        <v/>
      </c>
      <c r="H22" s="14" t="str">
        <f>IF($B22="","",MAX(0,IF(N(INDEX(Productos!$H$5:$H$504,MATCH($B22,Productos!$O$5:$O$504,0)))&gt;0,N(INDEX(Productos!$H$5:$H$504,MATCH($B22,Productos!$O$5:$O$504,0))),2*N(F22))-E22))</f>
        <v/>
      </c>
    </row>
    <row r="23" spans="2:8" x14ac:dyDescent="0.25">
      <c r="B23" s="14" t="str">
        <f>IF(7&lt;=COUNTIF(Productos!$O$5:$O$504,"&gt;0"),7,"")</f>
        <v/>
      </c>
      <c r="C23" s="14" t="str">
        <f>IF($B23="","",INDEX(Productos!$A$5:$A$504,MATCH($B23,Productos!$O$5:$O$504,0)))</f>
        <v/>
      </c>
      <c r="D23" s="14" t="str">
        <f>IF($B23="","",INDEX(Productos!$B$5:$B$504,MATCH($B23,Productos!$O$5:$O$504,0)))</f>
        <v/>
      </c>
      <c r="E23" s="14" t="str">
        <f>IF($B23="","",INDEX(Productos!$L$5:$L$504,MATCH($B23,Productos!$O$5:$O$504,0)))</f>
        <v/>
      </c>
      <c r="F23" s="14" t="str">
        <f>IF($B23="","",INDEX(Productos!$G$5:$G$504,MATCH($B23,Productos!$O$5:$O$504,0)))</f>
        <v/>
      </c>
      <c r="G23" s="14" t="str">
        <f>IF($B23="","",INDEX(Productos!$N$5:$N$504,MATCH($B23,Productos!$O$5:$O$504,0)))</f>
        <v/>
      </c>
      <c r="H23" s="14" t="str">
        <f>IF($B23="","",MAX(0,IF(N(INDEX(Productos!$H$5:$H$504,MATCH($B23,Productos!$O$5:$O$504,0)))&gt;0,N(INDEX(Productos!$H$5:$H$504,MATCH($B23,Productos!$O$5:$O$504,0))),2*N(F23))-E23))</f>
        <v/>
      </c>
    </row>
    <row r="24" spans="2:8" x14ac:dyDescent="0.25">
      <c r="B24" s="14" t="str">
        <f>IF(8&lt;=COUNTIF(Productos!$O$5:$O$504,"&gt;0"),8,"")</f>
        <v/>
      </c>
      <c r="C24" s="14" t="str">
        <f>IF($B24="","",INDEX(Productos!$A$5:$A$504,MATCH($B24,Productos!$O$5:$O$504,0)))</f>
        <v/>
      </c>
      <c r="D24" s="14" t="str">
        <f>IF($B24="","",INDEX(Productos!$B$5:$B$504,MATCH($B24,Productos!$O$5:$O$504,0)))</f>
        <v/>
      </c>
      <c r="E24" s="14" t="str">
        <f>IF($B24="","",INDEX(Productos!$L$5:$L$504,MATCH($B24,Productos!$O$5:$O$504,0)))</f>
        <v/>
      </c>
      <c r="F24" s="14" t="str">
        <f>IF($B24="","",INDEX(Productos!$G$5:$G$504,MATCH($B24,Productos!$O$5:$O$504,0)))</f>
        <v/>
      </c>
      <c r="G24" s="14" t="str">
        <f>IF($B24="","",INDEX(Productos!$N$5:$N$504,MATCH($B24,Productos!$O$5:$O$504,0)))</f>
        <v/>
      </c>
      <c r="H24" s="14" t="str">
        <f>IF($B24="","",MAX(0,IF(N(INDEX(Productos!$H$5:$H$504,MATCH($B24,Productos!$O$5:$O$504,0)))&gt;0,N(INDEX(Productos!$H$5:$H$504,MATCH($B24,Productos!$O$5:$O$504,0))),2*N(F24))-E24))</f>
        <v/>
      </c>
    </row>
    <row r="25" spans="2:8" x14ac:dyDescent="0.25">
      <c r="B25" s="14" t="str">
        <f>IF(9&lt;=COUNTIF(Productos!$O$5:$O$504,"&gt;0"),9,"")</f>
        <v/>
      </c>
      <c r="C25" s="14" t="str">
        <f>IF($B25="","",INDEX(Productos!$A$5:$A$504,MATCH($B25,Productos!$O$5:$O$504,0)))</f>
        <v/>
      </c>
      <c r="D25" s="14" t="str">
        <f>IF($B25="","",INDEX(Productos!$B$5:$B$504,MATCH($B25,Productos!$O$5:$O$504,0)))</f>
        <v/>
      </c>
      <c r="E25" s="14" t="str">
        <f>IF($B25="","",INDEX(Productos!$L$5:$L$504,MATCH($B25,Productos!$O$5:$O$504,0)))</f>
        <v/>
      </c>
      <c r="F25" s="14" t="str">
        <f>IF($B25="","",INDEX(Productos!$G$5:$G$504,MATCH($B25,Productos!$O$5:$O$504,0)))</f>
        <v/>
      </c>
      <c r="G25" s="14" t="str">
        <f>IF($B25="","",INDEX(Productos!$N$5:$N$504,MATCH($B25,Productos!$O$5:$O$504,0)))</f>
        <v/>
      </c>
      <c r="H25" s="14" t="str">
        <f>IF($B25="","",MAX(0,IF(N(INDEX(Productos!$H$5:$H$504,MATCH($B25,Productos!$O$5:$O$504,0)))&gt;0,N(INDEX(Productos!$H$5:$H$504,MATCH($B25,Productos!$O$5:$O$504,0))),2*N(F25))-E25))</f>
        <v/>
      </c>
    </row>
    <row r="26" spans="2:8" x14ac:dyDescent="0.25">
      <c r="B26" s="14" t="str">
        <f>IF(10&lt;=COUNTIF(Productos!$O$5:$O$504,"&gt;0"),10,"")</f>
        <v/>
      </c>
      <c r="C26" s="14" t="str">
        <f>IF($B26="","",INDEX(Productos!$A$5:$A$504,MATCH($B26,Productos!$O$5:$O$504,0)))</f>
        <v/>
      </c>
      <c r="D26" s="14" t="str">
        <f>IF($B26="","",INDEX(Productos!$B$5:$B$504,MATCH($B26,Productos!$O$5:$O$504,0)))</f>
        <v/>
      </c>
      <c r="E26" s="14" t="str">
        <f>IF($B26="","",INDEX(Productos!$L$5:$L$504,MATCH($B26,Productos!$O$5:$O$504,0)))</f>
        <v/>
      </c>
      <c r="F26" s="14" t="str">
        <f>IF($B26="","",INDEX(Productos!$G$5:$G$504,MATCH($B26,Productos!$O$5:$O$504,0)))</f>
        <v/>
      </c>
      <c r="G26" s="14" t="str">
        <f>IF($B26="","",INDEX(Productos!$N$5:$N$504,MATCH($B26,Productos!$O$5:$O$504,0)))</f>
        <v/>
      </c>
      <c r="H26" s="14" t="str">
        <f>IF($B26="","",MAX(0,IF(N(INDEX(Productos!$H$5:$H$504,MATCH($B26,Productos!$O$5:$O$504,0)))&gt;0,N(INDEX(Productos!$H$5:$H$504,MATCH($B26,Productos!$O$5:$O$504,0))),2*N(F26))-E26))</f>
        <v/>
      </c>
    </row>
    <row r="27" spans="2:8" x14ac:dyDescent="0.25">
      <c r="B27" s="14" t="str">
        <f>IF(11&lt;=COUNTIF(Productos!$O$5:$O$504,"&gt;0"),11,"")</f>
        <v/>
      </c>
      <c r="C27" s="14" t="str">
        <f>IF($B27="","",INDEX(Productos!$A$5:$A$504,MATCH($B27,Productos!$O$5:$O$504,0)))</f>
        <v/>
      </c>
      <c r="D27" s="14" t="str">
        <f>IF($B27="","",INDEX(Productos!$B$5:$B$504,MATCH($B27,Productos!$O$5:$O$504,0)))</f>
        <v/>
      </c>
      <c r="E27" s="14" t="str">
        <f>IF($B27="","",INDEX(Productos!$L$5:$L$504,MATCH($B27,Productos!$O$5:$O$504,0)))</f>
        <v/>
      </c>
      <c r="F27" s="14" t="str">
        <f>IF($B27="","",INDEX(Productos!$G$5:$G$504,MATCH($B27,Productos!$O$5:$O$504,0)))</f>
        <v/>
      </c>
      <c r="G27" s="14" t="str">
        <f>IF($B27="","",INDEX(Productos!$N$5:$N$504,MATCH($B27,Productos!$O$5:$O$504,0)))</f>
        <v/>
      </c>
      <c r="H27" s="14" t="str">
        <f>IF($B27="","",MAX(0,IF(N(INDEX(Productos!$H$5:$H$504,MATCH($B27,Productos!$O$5:$O$504,0)))&gt;0,N(INDEX(Productos!$H$5:$H$504,MATCH($B27,Productos!$O$5:$O$504,0))),2*N(F27))-E27))</f>
        <v/>
      </c>
    </row>
    <row r="28" spans="2:8" x14ac:dyDescent="0.25">
      <c r="B28" s="14" t="str">
        <f>IF(12&lt;=COUNTIF(Productos!$O$5:$O$504,"&gt;0"),12,"")</f>
        <v/>
      </c>
      <c r="C28" s="14" t="str">
        <f>IF($B28="","",INDEX(Productos!$A$5:$A$504,MATCH($B28,Productos!$O$5:$O$504,0)))</f>
        <v/>
      </c>
      <c r="D28" s="14" t="str">
        <f>IF($B28="","",INDEX(Productos!$B$5:$B$504,MATCH($B28,Productos!$O$5:$O$504,0)))</f>
        <v/>
      </c>
      <c r="E28" s="14" t="str">
        <f>IF($B28="","",INDEX(Productos!$L$5:$L$504,MATCH($B28,Productos!$O$5:$O$504,0)))</f>
        <v/>
      </c>
      <c r="F28" s="14" t="str">
        <f>IF($B28="","",INDEX(Productos!$G$5:$G$504,MATCH($B28,Productos!$O$5:$O$504,0)))</f>
        <v/>
      </c>
      <c r="G28" s="14" t="str">
        <f>IF($B28="","",INDEX(Productos!$N$5:$N$504,MATCH($B28,Productos!$O$5:$O$504,0)))</f>
        <v/>
      </c>
      <c r="H28" s="14" t="str">
        <f>IF($B28="","",MAX(0,IF(N(INDEX(Productos!$H$5:$H$504,MATCH($B28,Productos!$O$5:$O$504,0)))&gt;0,N(INDEX(Productos!$H$5:$H$504,MATCH($B28,Productos!$O$5:$O$504,0))),2*N(F28))-E28))</f>
        <v/>
      </c>
    </row>
    <row r="29" spans="2:8" x14ac:dyDescent="0.25">
      <c r="B29" s="14" t="str">
        <f>IF(13&lt;=COUNTIF(Productos!$O$5:$O$504,"&gt;0"),13,"")</f>
        <v/>
      </c>
      <c r="C29" s="14" t="str">
        <f>IF($B29="","",INDEX(Productos!$A$5:$A$504,MATCH($B29,Productos!$O$5:$O$504,0)))</f>
        <v/>
      </c>
      <c r="D29" s="14" t="str">
        <f>IF($B29="","",INDEX(Productos!$B$5:$B$504,MATCH($B29,Productos!$O$5:$O$504,0)))</f>
        <v/>
      </c>
      <c r="E29" s="14" t="str">
        <f>IF($B29="","",INDEX(Productos!$L$5:$L$504,MATCH($B29,Productos!$O$5:$O$504,0)))</f>
        <v/>
      </c>
      <c r="F29" s="14" t="str">
        <f>IF($B29="","",INDEX(Productos!$G$5:$G$504,MATCH($B29,Productos!$O$5:$O$504,0)))</f>
        <v/>
      </c>
      <c r="G29" s="14" t="str">
        <f>IF($B29="","",INDEX(Productos!$N$5:$N$504,MATCH($B29,Productos!$O$5:$O$504,0)))</f>
        <v/>
      </c>
      <c r="H29" s="14" t="str">
        <f>IF($B29="","",MAX(0,IF(N(INDEX(Productos!$H$5:$H$504,MATCH($B29,Productos!$O$5:$O$504,0)))&gt;0,N(INDEX(Productos!$H$5:$H$504,MATCH($B29,Productos!$O$5:$O$504,0))),2*N(F29))-E29))</f>
        <v/>
      </c>
    </row>
    <row r="30" spans="2:8" x14ac:dyDescent="0.25">
      <c r="B30" s="14" t="str">
        <f>IF(14&lt;=COUNTIF(Productos!$O$5:$O$504,"&gt;0"),14,"")</f>
        <v/>
      </c>
      <c r="C30" s="14" t="str">
        <f>IF($B30="","",INDEX(Productos!$A$5:$A$504,MATCH($B30,Productos!$O$5:$O$504,0)))</f>
        <v/>
      </c>
      <c r="D30" s="14" t="str">
        <f>IF($B30="","",INDEX(Productos!$B$5:$B$504,MATCH($B30,Productos!$O$5:$O$504,0)))</f>
        <v/>
      </c>
      <c r="E30" s="14" t="str">
        <f>IF($B30="","",INDEX(Productos!$L$5:$L$504,MATCH($B30,Productos!$O$5:$O$504,0)))</f>
        <v/>
      </c>
      <c r="F30" s="14" t="str">
        <f>IF($B30="","",INDEX(Productos!$G$5:$G$504,MATCH($B30,Productos!$O$5:$O$504,0)))</f>
        <v/>
      </c>
      <c r="G30" s="14" t="str">
        <f>IF($B30="","",INDEX(Productos!$N$5:$N$504,MATCH($B30,Productos!$O$5:$O$504,0)))</f>
        <v/>
      </c>
      <c r="H30" s="14" t="str">
        <f>IF($B30="","",MAX(0,IF(N(INDEX(Productos!$H$5:$H$504,MATCH($B30,Productos!$O$5:$O$504,0)))&gt;0,N(INDEX(Productos!$H$5:$H$504,MATCH($B30,Productos!$O$5:$O$504,0))),2*N(F30))-E30))</f>
        <v/>
      </c>
    </row>
    <row r="31" spans="2:8" x14ac:dyDescent="0.25">
      <c r="B31" s="14" t="str">
        <f>IF(15&lt;=COUNTIF(Productos!$O$5:$O$504,"&gt;0"),15,"")</f>
        <v/>
      </c>
      <c r="C31" s="14" t="str">
        <f>IF($B31="","",INDEX(Productos!$A$5:$A$504,MATCH($B31,Productos!$O$5:$O$504,0)))</f>
        <v/>
      </c>
      <c r="D31" s="14" t="str">
        <f>IF($B31="","",INDEX(Productos!$B$5:$B$504,MATCH($B31,Productos!$O$5:$O$504,0)))</f>
        <v/>
      </c>
      <c r="E31" s="14" t="str">
        <f>IF($B31="","",INDEX(Productos!$L$5:$L$504,MATCH($B31,Productos!$O$5:$O$504,0)))</f>
        <v/>
      </c>
      <c r="F31" s="14" t="str">
        <f>IF($B31="","",INDEX(Productos!$G$5:$G$504,MATCH($B31,Productos!$O$5:$O$504,0)))</f>
        <v/>
      </c>
      <c r="G31" s="14" t="str">
        <f>IF($B31="","",INDEX(Productos!$N$5:$N$504,MATCH($B31,Productos!$O$5:$O$504,0)))</f>
        <v/>
      </c>
      <c r="H31" s="14" t="str">
        <f>IF($B31="","",MAX(0,IF(N(INDEX(Productos!$H$5:$H$504,MATCH($B31,Productos!$O$5:$O$504,0)))&gt;0,N(INDEX(Productos!$H$5:$H$504,MATCH($B31,Productos!$O$5:$O$504,0))),2*N(F31))-E31))</f>
        <v/>
      </c>
    </row>
    <row r="32" spans="2:8" x14ac:dyDescent="0.25">
      <c r="B32" s="14" t="str">
        <f>IF(16&lt;=COUNTIF(Productos!$O$5:$O$504,"&gt;0"),16,"")</f>
        <v/>
      </c>
      <c r="C32" s="14" t="str">
        <f>IF($B32="","",INDEX(Productos!$A$5:$A$504,MATCH($B32,Productos!$O$5:$O$504,0)))</f>
        <v/>
      </c>
      <c r="D32" s="14" t="str">
        <f>IF($B32="","",INDEX(Productos!$B$5:$B$504,MATCH($B32,Productos!$O$5:$O$504,0)))</f>
        <v/>
      </c>
      <c r="E32" s="14" t="str">
        <f>IF($B32="","",INDEX(Productos!$L$5:$L$504,MATCH($B32,Productos!$O$5:$O$504,0)))</f>
        <v/>
      </c>
      <c r="F32" s="14" t="str">
        <f>IF($B32="","",INDEX(Productos!$G$5:$G$504,MATCH($B32,Productos!$O$5:$O$504,0)))</f>
        <v/>
      </c>
      <c r="G32" s="14" t="str">
        <f>IF($B32="","",INDEX(Productos!$N$5:$N$504,MATCH($B32,Productos!$O$5:$O$504,0)))</f>
        <v/>
      </c>
      <c r="H32" s="14" t="str">
        <f>IF($B32="","",MAX(0,IF(N(INDEX(Productos!$H$5:$H$504,MATCH($B32,Productos!$O$5:$O$504,0)))&gt;0,N(INDEX(Productos!$H$5:$H$504,MATCH($B32,Productos!$O$5:$O$504,0))),2*N(F32))-E32))</f>
        <v/>
      </c>
    </row>
    <row r="33" spans="2:8" x14ac:dyDescent="0.25">
      <c r="B33" s="14" t="str">
        <f>IF(17&lt;=COUNTIF(Productos!$O$5:$O$504,"&gt;0"),17,"")</f>
        <v/>
      </c>
      <c r="C33" s="14" t="str">
        <f>IF($B33="","",INDEX(Productos!$A$5:$A$504,MATCH($B33,Productos!$O$5:$O$504,0)))</f>
        <v/>
      </c>
      <c r="D33" s="14" t="str">
        <f>IF($B33="","",INDEX(Productos!$B$5:$B$504,MATCH($B33,Productos!$O$5:$O$504,0)))</f>
        <v/>
      </c>
      <c r="E33" s="14" t="str">
        <f>IF($B33="","",INDEX(Productos!$L$5:$L$504,MATCH($B33,Productos!$O$5:$O$504,0)))</f>
        <v/>
      </c>
      <c r="F33" s="14" t="str">
        <f>IF($B33="","",INDEX(Productos!$G$5:$G$504,MATCH($B33,Productos!$O$5:$O$504,0)))</f>
        <v/>
      </c>
      <c r="G33" s="14" t="str">
        <f>IF($B33="","",INDEX(Productos!$N$5:$N$504,MATCH($B33,Productos!$O$5:$O$504,0)))</f>
        <v/>
      </c>
      <c r="H33" s="14" t="str">
        <f>IF($B33="","",MAX(0,IF(N(INDEX(Productos!$H$5:$H$504,MATCH($B33,Productos!$O$5:$O$504,0)))&gt;0,N(INDEX(Productos!$H$5:$H$504,MATCH($B33,Productos!$O$5:$O$504,0))),2*N(F33))-E33))</f>
        <v/>
      </c>
    </row>
    <row r="34" spans="2:8" x14ac:dyDescent="0.25">
      <c r="B34" s="14" t="str">
        <f>IF(18&lt;=COUNTIF(Productos!$O$5:$O$504,"&gt;0"),18,"")</f>
        <v/>
      </c>
      <c r="C34" s="14" t="str">
        <f>IF($B34="","",INDEX(Productos!$A$5:$A$504,MATCH($B34,Productos!$O$5:$O$504,0)))</f>
        <v/>
      </c>
      <c r="D34" s="14" t="str">
        <f>IF($B34="","",INDEX(Productos!$B$5:$B$504,MATCH($B34,Productos!$O$5:$O$504,0)))</f>
        <v/>
      </c>
      <c r="E34" s="14" t="str">
        <f>IF($B34="","",INDEX(Productos!$L$5:$L$504,MATCH($B34,Productos!$O$5:$O$504,0)))</f>
        <v/>
      </c>
      <c r="F34" s="14" t="str">
        <f>IF($B34="","",INDEX(Productos!$G$5:$G$504,MATCH($B34,Productos!$O$5:$O$504,0)))</f>
        <v/>
      </c>
      <c r="G34" s="14" t="str">
        <f>IF($B34="","",INDEX(Productos!$N$5:$N$504,MATCH($B34,Productos!$O$5:$O$504,0)))</f>
        <v/>
      </c>
      <c r="H34" s="14" t="str">
        <f>IF($B34="","",MAX(0,IF(N(INDEX(Productos!$H$5:$H$504,MATCH($B34,Productos!$O$5:$O$504,0)))&gt;0,N(INDEX(Productos!$H$5:$H$504,MATCH($B34,Productos!$O$5:$O$504,0))),2*N(F34))-E34))</f>
        <v/>
      </c>
    </row>
    <row r="35" spans="2:8" x14ac:dyDescent="0.25">
      <c r="B35" s="14" t="str">
        <f>IF(19&lt;=COUNTIF(Productos!$O$5:$O$504,"&gt;0"),19,"")</f>
        <v/>
      </c>
      <c r="C35" s="14" t="str">
        <f>IF($B35="","",INDEX(Productos!$A$5:$A$504,MATCH($B35,Productos!$O$5:$O$504,0)))</f>
        <v/>
      </c>
      <c r="D35" s="14" t="str">
        <f>IF($B35="","",INDEX(Productos!$B$5:$B$504,MATCH($B35,Productos!$O$5:$O$504,0)))</f>
        <v/>
      </c>
      <c r="E35" s="14" t="str">
        <f>IF($B35="","",INDEX(Productos!$L$5:$L$504,MATCH($B35,Productos!$O$5:$O$504,0)))</f>
        <v/>
      </c>
      <c r="F35" s="14" t="str">
        <f>IF($B35="","",INDEX(Productos!$G$5:$G$504,MATCH($B35,Productos!$O$5:$O$504,0)))</f>
        <v/>
      </c>
      <c r="G35" s="14" t="str">
        <f>IF($B35="","",INDEX(Productos!$N$5:$N$504,MATCH($B35,Productos!$O$5:$O$504,0)))</f>
        <v/>
      </c>
      <c r="H35" s="14" t="str">
        <f>IF($B35="","",MAX(0,IF(N(INDEX(Productos!$H$5:$H$504,MATCH($B35,Productos!$O$5:$O$504,0)))&gt;0,N(INDEX(Productos!$H$5:$H$504,MATCH($B35,Productos!$O$5:$O$504,0))),2*N(F35))-E35))</f>
        <v/>
      </c>
    </row>
    <row r="36" spans="2:8" x14ac:dyDescent="0.25">
      <c r="B36" s="14" t="str">
        <f>IF(20&lt;=COUNTIF(Productos!$O$5:$O$504,"&gt;0"),20,"")</f>
        <v/>
      </c>
      <c r="C36" s="14" t="str">
        <f>IF($B36="","",INDEX(Productos!$A$5:$A$504,MATCH($B36,Productos!$O$5:$O$504,0)))</f>
        <v/>
      </c>
      <c r="D36" s="14" t="str">
        <f>IF($B36="","",INDEX(Productos!$B$5:$B$504,MATCH($B36,Productos!$O$5:$O$504,0)))</f>
        <v/>
      </c>
      <c r="E36" s="14" t="str">
        <f>IF($B36="","",INDEX(Productos!$L$5:$L$504,MATCH($B36,Productos!$O$5:$O$504,0)))</f>
        <v/>
      </c>
      <c r="F36" s="14" t="str">
        <f>IF($B36="","",INDEX(Productos!$G$5:$G$504,MATCH($B36,Productos!$O$5:$O$504,0)))</f>
        <v/>
      </c>
      <c r="G36" s="14" t="str">
        <f>IF($B36="","",INDEX(Productos!$N$5:$N$504,MATCH($B36,Productos!$O$5:$O$504,0)))</f>
        <v/>
      </c>
      <c r="H36" s="14" t="str">
        <f>IF($B36="","",MAX(0,IF(N(INDEX(Productos!$H$5:$H$504,MATCH($B36,Productos!$O$5:$O$504,0)))&gt;0,N(INDEX(Productos!$H$5:$H$504,MATCH($B36,Productos!$O$5:$O$504,0))),2*N(F36))-E36))</f>
        <v/>
      </c>
    </row>
    <row r="37" spans="2:8" x14ac:dyDescent="0.25">
      <c r="B37" s="14" t="str">
        <f>IF(21&lt;=COUNTIF(Productos!$O$5:$O$504,"&gt;0"),21,"")</f>
        <v/>
      </c>
      <c r="C37" s="14" t="str">
        <f>IF($B37="","",INDEX(Productos!$A$5:$A$504,MATCH($B37,Productos!$O$5:$O$504,0)))</f>
        <v/>
      </c>
      <c r="D37" s="14" t="str">
        <f>IF($B37="","",INDEX(Productos!$B$5:$B$504,MATCH($B37,Productos!$O$5:$O$504,0)))</f>
        <v/>
      </c>
      <c r="E37" s="14" t="str">
        <f>IF($B37="","",INDEX(Productos!$L$5:$L$504,MATCH($B37,Productos!$O$5:$O$504,0)))</f>
        <v/>
      </c>
      <c r="F37" s="14" t="str">
        <f>IF($B37="","",INDEX(Productos!$G$5:$G$504,MATCH($B37,Productos!$O$5:$O$504,0)))</f>
        <v/>
      </c>
      <c r="G37" s="14" t="str">
        <f>IF($B37="","",INDEX(Productos!$N$5:$N$504,MATCH($B37,Productos!$O$5:$O$504,0)))</f>
        <v/>
      </c>
      <c r="H37" s="14" t="str">
        <f>IF($B37="","",MAX(0,IF(N(INDEX(Productos!$H$5:$H$504,MATCH($B37,Productos!$O$5:$O$504,0)))&gt;0,N(INDEX(Productos!$H$5:$H$504,MATCH($B37,Productos!$O$5:$O$504,0))),2*N(F37))-E37))</f>
        <v/>
      </c>
    </row>
    <row r="38" spans="2:8" x14ac:dyDescent="0.25">
      <c r="B38" s="14" t="str">
        <f>IF(22&lt;=COUNTIF(Productos!$O$5:$O$504,"&gt;0"),22,"")</f>
        <v/>
      </c>
      <c r="C38" s="14" t="str">
        <f>IF($B38="","",INDEX(Productos!$A$5:$A$504,MATCH($B38,Productos!$O$5:$O$504,0)))</f>
        <v/>
      </c>
      <c r="D38" s="14" t="str">
        <f>IF($B38="","",INDEX(Productos!$B$5:$B$504,MATCH($B38,Productos!$O$5:$O$504,0)))</f>
        <v/>
      </c>
      <c r="E38" s="14" t="str">
        <f>IF($B38="","",INDEX(Productos!$L$5:$L$504,MATCH($B38,Productos!$O$5:$O$504,0)))</f>
        <v/>
      </c>
      <c r="F38" s="14" t="str">
        <f>IF($B38="","",INDEX(Productos!$G$5:$G$504,MATCH($B38,Productos!$O$5:$O$504,0)))</f>
        <v/>
      </c>
      <c r="G38" s="14" t="str">
        <f>IF($B38="","",INDEX(Productos!$N$5:$N$504,MATCH($B38,Productos!$O$5:$O$504,0)))</f>
        <v/>
      </c>
      <c r="H38" s="14" t="str">
        <f>IF($B38="","",MAX(0,IF(N(INDEX(Productos!$H$5:$H$504,MATCH($B38,Productos!$O$5:$O$504,0)))&gt;0,N(INDEX(Productos!$H$5:$H$504,MATCH($B38,Productos!$O$5:$O$504,0))),2*N(F38))-E38))</f>
        <v/>
      </c>
    </row>
    <row r="39" spans="2:8" x14ac:dyDescent="0.25">
      <c r="B39" s="14" t="str">
        <f>IF(23&lt;=COUNTIF(Productos!$O$5:$O$504,"&gt;0"),23,"")</f>
        <v/>
      </c>
      <c r="C39" s="14" t="str">
        <f>IF($B39="","",INDEX(Productos!$A$5:$A$504,MATCH($B39,Productos!$O$5:$O$504,0)))</f>
        <v/>
      </c>
      <c r="D39" s="14" t="str">
        <f>IF($B39="","",INDEX(Productos!$B$5:$B$504,MATCH($B39,Productos!$O$5:$O$504,0)))</f>
        <v/>
      </c>
      <c r="E39" s="14" t="str">
        <f>IF($B39="","",INDEX(Productos!$L$5:$L$504,MATCH($B39,Productos!$O$5:$O$504,0)))</f>
        <v/>
      </c>
      <c r="F39" s="14" t="str">
        <f>IF($B39="","",INDEX(Productos!$G$5:$G$504,MATCH($B39,Productos!$O$5:$O$504,0)))</f>
        <v/>
      </c>
      <c r="G39" s="14" t="str">
        <f>IF($B39="","",INDEX(Productos!$N$5:$N$504,MATCH($B39,Productos!$O$5:$O$504,0)))</f>
        <v/>
      </c>
      <c r="H39" s="14" t="str">
        <f>IF($B39="","",MAX(0,IF(N(INDEX(Productos!$H$5:$H$504,MATCH($B39,Productos!$O$5:$O$504,0)))&gt;0,N(INDEX(Productos!$H$5:$H$504,MATCH($B39,Productos!$O$5:$O$504,0))),2*N(F39))-E39))</f>
        <v/>
      </c>
    </row>
    <row r="40" spans="2:8" x14ac:dyDescent="0.25">
      <c r="B40" s="14" t="str">
        <f>IF(24&lt;=COUNTIF(Productos!$O$5:$O$504,"&gt;0"),24,"")</f>
        <v/>
      </c>
      <c r="C40" s="14" t="str">
        <f>IF($B40="","",INDEX(Productos!$A$5:$A$504,MATCH($B40,Productos!$O$5:$O$504,0)))</f>
        <v/>
      </c>
      <c r="D40" s="14" t="str">
        <f>IF($B40="","",INDEX(Productos!$B$5:$B$504,MATCH($B40,Productos!$O$5:$O$504,0)))</f>
        <v/>
      </c>
      <c r="E40" s="14" t="str">
        <f>IF($B40="","",INDEX(Productos!$L$5:$L$504,MATCH($B40,Productos!$O$5:$O$504,0)))</f>
        <v/>
      </c>
      <c r="F40" s="14" t="str">
        <f>IF($B40="","",INDEX(Productos!$G$5:$G$504,MATCH($B40,Productos!$O$5:$O$504,0)))</f>
        <v/>
      </c>
      <c r="G40" s="14" t="str">
        <f>IF($B40="","",INDEX(Productos!$N$5:$N$504,MATCH($B40,Productos!$O$5:$O$504,0)))</f>
        <v/>
      </c>
      <c r="H40" s="14" t="str">
        <f>IF($B40="","",MAX(0,IF(N(INDEX(Productos!$H$5:$H$504,MATCH($B40,Productos!$O$5:$O$504,0)))&gt;0,N(INDEX(Productos!$H$5:$H$504,MATCH($B40,Productos!$O$5:$O$504,0))),2*N(F40))-E40))</f>
        <v/>
      </c>
    </row>
    <row r="41" spans="2:8" x14ac:dyDescent="0.25">
      <c r="B41" s="14" t="str">
        <f>IF(25&lt;=COUNTIF(Productos!$O$5:$O$504,"&gt;0"),25,"")</f>
        <v/>
      </c>
      <c r="C41" s="14" t="str">
        <f>IF($B41="","",INDEX(Productos!$A$5:$A$504,MATCH($B41,Productos!$O$5:$O$504,0)))</f>
        <v/>
      </c>
      <c r="D41" s="14" t="str">
        <f>IF($B41="","",INDEX(Productos!$B$5:$B$504,MATCH($B41,Productos!$O$5:$O$504,0)))</f>
        <v/>
      </c>
      <c r="E41" s="14" t="str">
        <f>IF($B41="","",INDEX(Productos!$L$5:$L$504,MATCH($B41,Productos!$O$5:$O$504,0)))</f>
        <v/>
      </c>
      <c r="F41" s="14" t="str">
        <f>IF($B41="","",INDEX(Productos!$G$5:$G$504,MATCH($B41,Productos!$O$5:$O$504,0)))</f>
        <v/>
      </c>
      <c r="G41" s="14" t="str">
        <f>IF($B41="","",INDEX(Productos!$N$5:$N$504,MATCH($B41,Productos!$O$5:$O$504,0)))</f>
        <v/>
      </c>
      <c r="H41" s="14" t="str">
        <f>IF($B41="","",MAX(0,IF(N(INDEX(Productos!$H$5:$H$504,MATCH($B41,Productos!$O$5:$O$504,0)))&gt;0,N(INDEX(Productos!$H$5:$H$504,MATCH($B41,Productos!$O$5:$O$504,0))),2*N(F41))-E41))</f>
        <v/>
      </c>
    </row>
    <row r="42" spans="2:8" x14ac:dyDescent="0.25">
      <c r="B42" s="18" t="s">
        <v>42</v>
      </c>
    </row>
  </sheetData>
  <conditionalFormatting sqref="C8:C9">
    <cfRule type="cellIs" dxfId="7" priority="1" operator="greaterThan">
      <formula>0</formula>
    </cfRule>
  </conditionalFormatting>
  <conditionalFormatting sqref="G17:G41">
    <cfRule type="cellIs" dxfId="6" priority="2" operator="equal">
      <formula>"Agotado"</formula>
    </cfRule>
    <cfRule type="cellIs" dxfId="5" priority="3" operator="equal">
      <formula>"Reordenar"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4A3B8"/>
  </sheetPr>
  <dimension ref="A1:O5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1" customWidth="1"/>
    <col min="2" max="2" width="34" customWidth="1"/>
    <col min="3" max="3" width="15" customWidth="1"/>
    <col min="4" max="4" width="12" customWidth="1"/>
    <col min="5" max="6" width="13" customWidth="1"/>
    <col min="7" max="8" width="10" customWidth="1"/>
    <col min="9" max="9" width="11" customWidth="1"/>
    <col min="10" max="11" width="10" customWidth="1"/>
    <col min="12" max="12" width="11" customWidth="1"/>
    <col min="13" max="13" width="15" customWidth="1"/>
    <col min="14" max="14" width="12" customWidth="1"/>
    <col min="15" max="15" width="6" hidden="1" customWidth="1"/>
  </cols>
  <sheetData>
    <row r="1" spans="1:15" ht="24" customHeight="1" x14ac:dyDescent="0.3">
      <c r="A1" s="10" t="s">
        <v>43</v>
      </c>
    </row>
    <row r="2" spans="1:15" x14ac:dyDescent="0.25">
      <c r="A2" s="11" t="s">
        <v>44</v>
      </c>
    </row>
    <row r="4" spans="1:15" ht="30" customHeight="1" x14ac:dyDescent="0.25">
      <c r="A4" s="19" t="s">
        <v>36</v>
      </c>
      <c r="B4" s="19" t="s">
        <v>37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  <c r="K4" s="19" t="s">
        <v>53</v>
      </c>
      <c r="L4" s="19" t="s">
        <v>54</v>
      </c>
      <c r="M4" s="19" t="s">
        <v>55</v>
      </c>
      <c r="N4" s="19" t="s">
        <v>40</v>
      </c>
      <c r="O4" s="19" t="s">
        <v>56</v>
      </c>
    </row>
    <row r="5" spans="1:15" x14ac:dyDescent="0.25">
      <c r="A5" s="20" t="s">
        <v>57</v>
      </c>
      <c r="B5" s="20" t="s">
        <v>58</v>
      </c>
      <c r="C5" s="20" t="s">
        <v>59</v>
      </c>
      <c r="D5" s="20" t="s">
        <v>60</v>
      </c>
      <c r="E5" s="20" t="s">
        <v>61</v>
      </c>
      <c r="F5" s="21">
        <v>215</v>
      </c>
      <c r="G5" s="20">
        <v>40</v>
      </c>
      <c r="H5" s="20">
        <v>120</v>
      </c>
      <c r="I5" s="20">
        <v>80</v>
      </c>
      <c r="J5" s="14">
        <f>IF($A5="","",SUMIFS(Movimientos!$F$5:$F$3004,Movimientos!$C$5:$C$3004,$A5,Movimientos!$B$5:$B$3004,"Entrada"))</f>
        <v>60</v>
      </c>
      <c r="K5" s="14">
        <f>IF($A5="","",SUMIFS(Movimientos!$F$5:$F$3004,Movimientos!$C$5:$C$3004,$A5,Movimientos!$B$5:$B$3004,"Salida"))</f>
        <v>85</v>
      </c>
      <c r="L5" s="14">
        <f t="shared" ref="L5:L68" si="0">IF($A5="","",N(I5)+J5-K5)</f>
        <v>55</v>
      </c>
      <c r="M5" s="22">
        <f t="shared" ref="M5:M68" si="1">IF($A5="","",L5*N(F5))</f>
        <v>11825</v>
      </c>
      <c r="N5" s="23" t="str">
        <f t="shared" ref="N5:N68" si="2">IF($A5="","",IF(L5&lt;=0,"Agotado",IF(AND(N(G5)&gt;0,L5&lt;=G5),"Reordenar","OK")))</f>
        <v>OK</v>
      </c>
      <c r="O5" s="14" t="str">
        <f>IF(OR(N5="Reordenar",N5="Agotado"),COUNTIF($N$5:N5,"Reordenar")+COUNTIF($N$5:N5,"Agotado"),"")</f>
        <v/>
      </c>
    </row>
    <row r="6" spans="1:15" x14ac:dyDescent="0.25">
      <c r="A6" s="20" t="s">
        <v>62</v>
      </c>
      <c r="B6" s="20" t="s">
        <v>63</v>
      </c>
      <c r="C6" s="20" t="s">
        <v>64</v>
      </c>
      <c r="D6" s="20" t="s">
        <v>65</v>
      </c>
      <c r="E6" s="20" t="s">
        <v>66</v>
      </c>
      <c r="F6" s="21">
        <v>168</v>
      </c>
      <c r="G6" s="20">
        <v>100</v>
      </c>
      <c r="H6" s="20">
        <v>300</v>
      </c>
      <c r="I6" s="20">
        <v>150</v>
      </c>
      <c r="J6" s="14">
        <f>IF($A6="","",SUMIFS(Movimientos!$F$5:$F$3004,Movimientos!$C$5:$C$3004,$A6,Movimientos!$B$5:$B$3004,"Entrada"))</f>
        <v>120</v>
      </c>
      <c r="K6" s="14">
        <f>IF($A6="","",SUMIFS(Movimientos!$F$5:$F$3004,Movimientos!$C$5:$C$3004,$A6,Movimientos!$B$5:$B$3004,"Salida"))</f>
        <v>210</v>
      </c>
      <c r="L6" s="14">
        <f t="shared" si="0"/>
        <v>60</v>
      </c>
      <c r="M6" s="22">
        <f t="shared" si="1"/>
        <v>10080</v>
      </c>
      <c r="N6" s="23" t="str">
        <f t="shared" si="2"/>
        <v>Reordenar</v>
      </c>
      <c r="O6" s="14">
        <f>IF(OR(N6="Reordenar",N6="Agotado"),COUNTIF($N$5:N6,"Reordenar")+COUNTIF($N$5:N6,"Agotado"),"")</f>
        <v>1</v>
      </c>
    </row>
    <row r="7" spans="1:15" x14ac:dyDescent="0.25">
      <c r="A7" s="20" t="s">
        <v>67</v>
      </c>
      <c r="B7" s="20" t="s">
        <v>68</v>
      </c>
      <c r="C7" s="20" t="s">
        <v>59</v>
      </c>
      <c r="D7" s="20" t="s">
        <v>65</v>
      </c>
      <c r="E7" s="20" t="s">
        <v>66</v>
      </c>
      <c r="F7" s="21">
        <v>14.5</v>
      </c>
      <c r="G7" s="20">
        <v>500</v>
      </c>
      <c r="H7" s="20">
        <v>2000</v>
      </c>
      <c r="I7" s="20">
        <v>1200</v>
      </c>
      <c r="J7" s="14">
        <f>IF($A7="","",SUMIFS(Movimientos!$F$5:$F$3004,Movimientos!$C$5:$C$3004,$A7,Movimientos!$B$5:$B$3004,"Entrada"))</f>
        <v>0</v>
      </c>
      <c r="K7" s="14">
        <f>IF($A7="","",SUMIFS(Movimientos!$F$5:$F$3004,Movimientos!$C$5:$C$3004,$A7,Movimientos!$B$5:$B$3004,"Salida"))</f>
        <v>780</v>
      </c>
      <c r="L7" s="14">
        <f t="shared" si="0"/>
        <v>420</v>
      </c>
      <c r="M7" s="22">
        <f t="shared" si="1"/>
        <v>6090</v>
      </c>
      <c r="N7" s="23" t="str">
        <f t="shared" si="2"/>
        <v>Reordenar</v>
      </c>
      <c r="O7" s="14">
        <f>IF(OR(N7="Reordenar",N7="Agotado"),COUNTIF($N$5:N7,"Reordenar")+COUNTIF($N$5:N7,"Agotado"),"")</f>
        <v>2</v>
      </c>
    </row>
    <row r="8" spans="1:15" x14ac:dyDescent="0.25">
      <c r="A8" s="20" t="s">
        <v>69</v>
      </c>
      <c r="B8" s="20" t="s">
        <v>70</v>
      </c>
      <c r="C8" s="20" t="s">
        <v>71</v>
      </c>
      <c r="D8" s="20" t="s">
        <v>72</v>
      </c>
      <c r="E8" s="20" t="s">
        <v>73</v>
      </c>
      <c r="F8" s="21">
        <v>62</v>
      </c>
      <c r="G8" s="20">
        <v>30</v>
      </c>
      <c r="H8" s="20">
        <v>100</v>
      </c>
      <c r="I8" s="20">
        <v>45</v>
      </c>
      <c r="J8" s="14">
        <f>IF($A8="","",SUMIFS(Movimientos!$F$5:$F$3004,Movimientos!$C$5:$C$3004,$A8,Movimientos!$B$5:$B$3004,"Entrada"))</f>
        <v>40</v>
      </c>
      <c r="K8" s="14">
        <f>IF($A8="","",SUMIFS(Movimientos!$F$5:$F$3004,Movimientos!$C$5:$C$3004,$A8,Movimientos!$B$5:$B$3004,"Salida"))</f>
        <v>52</v>
      </c>
      <c r="L8" s="14">
        <f t="shared" si="0"/>
        <v>33</v>
      </c>
      <c r="M8" s="22">
        <f t="shared" si="1"/>
        <v>2046</v>
      </c>
      <c r="N8" s="23" t="str">
        <f t="shared" si="2"/>
        <v>OK</v>
      </c>
      <c r="O8" s="14" t="str">
        <f>IF(OR(N8="Reordenar",N8="Agotado"),COUNTIF($N$5:N8,"Reordenar")+COUNTIF($N$5:N8,"Agotado"),"")</f>
        <v/>
      </c>
    </row>
    <row r="9" spans="1:15" x14ac:dyDescent="0.25">
      <c r="A9" s="20" t="s">
        <v>74</v>
      </c>
      <c r="B9" s="20" t="s">
        <v>75</v>
      </c>
      <c r="C9" s="20" t="s">
        <v>76</v>
      </c>
      <c r="D9" s="20" t="s">
        <v>77</v>
      </c>
      <c r="E9" s="20" t="s">
        <v>73</v>
      </c>
      <c r="F9" s="21">
        <v>1150</v>
      </c>
      <c r="G9" s="20">
        <v>5</v>
      </c>
      <c r="H9" s="20">
        <v>20</v>
      </c>
      <c r="I9" s="20">
        <v>8</v>
      </c>
      <c r="J9" s="14">
        <f>IF($A9="","",SUMIFS(Movimientos!$F$5:$F$3004,Movimientos!$C$5:$C$3004,$A9,Movimientos!$B$5:$B$3004,"Entrada"))</f>
        <v>0</v>
      </c>
      <c r="K9" s="14">
        <f>IF($A9="","",SUMIFS(Movimientos!$F$5:$F$3004,Movimientos!$C$5:$C$3004,$A9,Movimientos!$B$5:$B$3004,"Salida"))</f>
        <v>4</v>
      </c>
      <c r="L9" s="14">
        <f t="shared" si="0"/>
        <v>4</v>
      </c>
      <c r="M9" s="22">
        <f t="shared" si="1"/>
        <v>4600</v>
      </c>
      <c r="N9" s="23" t="str">
        <f t="shared" si="2"/>
        <v>Reordenar</v>
      </c>
      <c r="O9" s="14">
        <f>IF(OR(N9="Reordenar",N9="Agotado"),COUNTIF($N$5:N9,"Reordenar")+COUNTIF($N$5:N9,"Agotado"),"")</f>
        <v>3</v>
      </c>
    </row>
    <row r="10" spans="1:15" x14ac:dyDescent="0.25">
      <c r="A10" s="20" t="s">
        <v>78</v>
      </c>
      <c r="B10" s="20" t="s">
        <v>79</v>
      </c>
      <c r="C10" s="20" t="s">
        <v>64</v>
      </c>
      <c r="D10" s="20" t="s">
        <v>80</v>
      </c>
      <c r="E10" s="20" t="s">
        <v>61</v>
      </c>
      <c r="F10" s="21">
        <v>38</v>
      </c>
      <c r="G10" s="20">
        <v>50</v>
      </c>
      <c r="H10" s="20">
        <v>200</v>
      </c>
      <c r="I10" s="20">
        <v>60</v>
      </c>
      <c r="J10" s="14">
        <f>IF($A10="","",SUMIFS(Movimientos!$F$5:$F$3004,Movimientos!$C$5:$C$3004,$A10,Movimientos!$B$5:$B$3004,"Entrada"))</f>
        <v>0</v>
      </c>
      <c r="K10" s="14">
        <f>IF($A10="","",SUMIFS(Movimientos!$F$5:$F$3004,Movimientos!$C$5:$C$3004,$A10,Movimientos!$B$5:$B$3004,"Salida"))</f>
        <v>25</v>
      </c>
      <c r="L10" s="14">
        <f t="shared" si="0"/>
        <v>35</v>
      </c>
      <c r="M10" s="22">
        <f t="shared" si="1"/>
        <v>1330</v>
      </c>
      <c r="N10" s="23" t="str">
        <f t="shared" si="2"/>
        <v>Reordenar</v>
      </c>
      <c r="O10" s="14">
        <f>IF(OR(N10="Reordenar",N10="Agotado"),COUNTIF($N$5:N10,"Reordenar")+COUNTIF($N$5:N10,"Agotado"),"")</f>
        <v>4</v>
      </c>
    </row>
    <row r="11" spans="1:15" x14ac:dyDescent="0.25">
      <c r="A11" s="20" t="s">
        <v>81</v>
      </c>
      <c r="B11" s="20" t="s">
        <v>82</v>
      </c>
      <c r="C11" s="20" t="s">
        <v>83</v>
      </c>
      <c r="D11" s="20" t="s">
        <v>84</v>
      </c>
      <c r="E11" s="20" t="s">
        <v>73</v>
      </c>
      <c r="F11" s="21">
        <v>980</v>
      </c>
      <c r="G11" s="20">
        <v>4</v>
      </c>
      <c r="H11" s="20">
        <v>12</v>
      </c>
      <c r="I11" s="20">
        <v>3</v>
      </c>
      <c r="J11" s="14">
        <f>IF($A11="","",SUMIFS(Movimientos!$F$5:$F$3004,Movimientos!$C$5:$C$3004,$A11,Movimientos!$B$5:$B$3004,"Entrada"))</f>
        <v>0</v>
      </c>
      <c r="K11" s="14">
        <f>IF($A11="","",SUMIFS(Movimientos!$F$5:$F$3004,Movimientos!$C$5:$C$3004,$A11,Movimientos!$B$5:$B$3004,"Salida"))</f>
        <v>3</v>
      </c>
      <c r="L11" s="14">
        <f t="shared" si="0"/>
        <v>0</v>
      </c>
      <c r="M11" s="22">
        <f t="shared" si="1"/>
        <v>0</v>
      </c>
      <c r="N11" s="23" t="str">
        <f t="shared" si="2"/>
        <v>Agotado</v>
      </c>
      <c r="O11" s="14">
        <f>IF(OR(N11="Reordenar",N11="Agotado"),COUNTIF($N$5:N11,"Reordenar")+COUNTIF($N$5:N11,"Agotado"),"")</f>
        <v>5</v>
      </c>
    </row>
    <row r="12" spans="1:15" x14ac:dyDescent="0.25">
      <c r="A12" s="20" t="s">
        <v>85</v>
      </c>
      <c r="B12" s="20" t="s">
        <v>86</v>
      </c>
      <c r="C12" s="20" t="s">
        <v>87</v>
      </c>
      <c r="D12" s="20" t="s">
        <v>88</v>
      </c>
      <c r="E12" s="20" t="s">
        <v>61</v>
      </c>
      <c r="F12" s="21">
        <v>145</v>
      </c>
      <c r="G12" s="20">
        <v>10</v>
      </c>
      <c r="H12" s="20">
        <v>40</v>
      </c>
      <c r="I12" s="20">
        <v>22</v>
      </c>
      <c r="J12" s="14">
        <f>IF($A12="","",SUMIFS(Movimientos!$F$5:$F$3004,Movimientos!$C$5:$C$3004,$A12,Movimientos!$B$5:$B$3004,"Entrada"))</f>
        <v>10</v>
      </c>
      <c r="K12" s="14">
        <f>IF($A12="","",SUMIFS(Movimientos!$F$5:$F$3004,Movimientos!$C$5:$C$3004,$A12,Movimientos!$B$5:$B$3004,"Salida"))</f>
        <v>14</v>
      </c>
      <c r="L12" s="14">
        <f t="shared" si="0"/>
        <v>18</v>
      </c>
      <c r="M12" s="22">
        <f t="shared" si="1"/>
        <v>2610</v>
      </c>
      <c r="N12" s="23" t="str">
        <f t="shared" si="2"/>
        <v>OK</v>
      </c>
      <c r="O12" s="14" t="str">
        <f>IF(OR(N12="Reordenar",N12="Agotado"),COUNTIF($N$5:N12,"Reordenar")+COUNTIF($N$5:N12,"Agotado"),"")</f>
        <v/>
      </c>
    </row>
    <row r="13" spans="1:15" x14ac:dyDescent="0.25">
      <c r="A13" s="20"/>
      <c r="B13" s="20"/>
      <c r="C13" s="20"/>
      <c r="D13" s="20"/>
      <c r="E13" s="20"/>
      <c r="F13" s="21"/>
      <c r="G13" s="20"/>
      <c r="H13" s="20"/>
      <c r="I13" s="20"/>
      <c r="J13" s="14" t="str">
        <f>IF($A13="","",SUMIFS(Movimientos!$F$5:$F$3004,Movimientos!$C$5:$C$3004,$A13,Movimientos!$B$5:$B$3004,"Entrada"))</f>
        <v/>
      </c>
      <c r="K13" s="14" t="str">
        <f>IF($A13="","",SUMIFS(Movimientos!$F$5:$F$3004,Movimientos!$C$5:$C$3004,$A13,Movimientos!$B$5:$B$3004,"Salida"))</f>
        <v/>
      </c>
      <c r="L13" s="14" t="str">
        <f t="shared" si="0"/>
        <v/>
      </c>
      <c r="M13" s="22" t="str">
        <f t="shared" si="1"/>
        <v/>
      </c>
      <c r="N13" s="23" t="str">
        <f t="shared" si="2"/>
        <v/>
      </c>
      <c r="O13" s="14" t="str">
        <f>IF(OR(N13="Reordenar",N13="Agotado"),COUNTIF($N$5:N13,"Reordenar")+COUNTIF($N$5:N13,"Agotado"),"")</f>
        <v/>
      </c>
    </row>
    <row r="14" spans="1:15" x14ac:dyDescent="0.25">
      <c r="A14" s="20"/>
      <c r="B14" s="20"/>
      <c r="C14" s="20"/>
      <c r="D14" s="20"/>
      <c r="E14" s="20"/>
      <c r="F14" s="21"/>
      <c r="G14" s="20"/>
      <c r="H14" s="20"/>
      <c r="I14" s="20"/>
      <c r="J14" s="14" t="str">
        <f>IF($A14="","",SUMIFS(Movimientos!$F$5:$F$3004,Movimientos!$C$5:$C$3004,$A14,Movimientos!$B$5:$B$3004,"Entrada"))</f>
        <v/>
      </c>
      <c r="K14" s="14" t="str">
        <f>IF($A14="","",SUMIFS(Movimientos!$F$5:$F$3004,Movimientos!$C$5:$C$3004,$A14,Movimientos!$B$5:$B$3004,"Salida"))</f>
        <v/>
      </c>
      <c r="L14" s="14" t="str">
        <f t="shared" si="0"/>
        <v/>
      </c>
      <c r="M14" s="22" t="str">
        <f t="shared" si="1"/>
        <v/>
      </c>
      <c r="N14" s="23" t="str">
        <f t="shared" si="2"/>
        <v/>
      </c>
      <c r="O14" s="14" t="str">
        <f>IF(OR(N14="Reordenar",N14="Agotado"),COUNTIF($N$5:N14,"Reordenar")+COUNTIF($N$5:N14,"Agotado"),"")</f>
        <v/>
      </c>
    </row>
    <row r="15" spans="1:15" x14ac:dyDescent="0.25">
      <c r="A15" s="20"/>
      <c r="B15" s="20"/>
      <c r="C15" s="20"/>
      <c r="D15" s="20"/>
      <c r="E15" s="20"/>
      <c r="F15" s="21"/>
      <c r="G15" s="20"/>
      <c r="H15" s="20"/>
      <c r="I15" s="20"/>
      <c r="J15" s="14" t="str">
        <f>IF($A15="","",SUMIFS(Movimientos!$F$5:$F$3004,Movimientos!$C$5:$C$3004,$A15,Movimientos!$B$5:$B$3004,"Entrada"))</f>
        <v/>
      </c>
      <c r="K15" s="14" t="str">
        <f>IF($A15="","",SUMIFS(Movimientos!$F$5:$F$3004,Movimientos!$C$5:$C$3004,$A15,Movimientos!$B$5:$B$3004,"Salida"))</f>
        <v/>
      </c>
      <c r="L15" s="14" t="str">
        <f t="shared" si="0"/>
        <v/>
      </c>
      <c r="M15" s="22" t="str">
        <f t="shared" si="1"/>
        <v/>
      </c>
      <c r="N15" s="23" t="str">
        <f t="shared" si="2"/>
        <v/>
      </c>
      <c r="O15" s="14" t="str">
        <f>IF(OR(N15="Reordenar",N15="Agotado"),COUNTIF($N$5:N15,"Reordenar")+COUNTIF($N$5:N15,"Agotado"),"")</f>
        <v/>
      </c>
    </row>
    <row r="16" spans="1:15" x14ac:dyDescent="0.25">
      <c r="A16" s="20"/>
      <c r="B16" s="20"/>
      <c r="C16" s="20"/>
      <c r="D16" s="20"/>
      <c r="E16" s="20"/>
      <c r="F16" s="21"/>
      <c r="G16" s="20"/>
      <c r="H16" s="20"/>
      <c r="I16" s="20"/>
      <c r="J16" s="14" t="str">
        <f>IF($A16="","",SUMIFS(Movimientos!$F$5:$F$3004,Movimientos!$C$5:$C$3004,$A16,Movimientos!$B$5:$B$3004,"Entrada"))</f>
        <v/>
      </c>
      <c r="K16" s="14" t="str">
        <f>IF($A16="","",SUMIFS(Movimientos!$F$5:$F$3004,Movimientos!$C$5:$C$3004,$A16,Movimientos!$B$5:$B$3004,"Salida"))</f>
        <v/>
      </c>
      <c r="L16" s="14" t="str">
        <f t="shared" si="0"/>
        <v/>
      </c>
      <c r="M16" s="22" t="str">
        <f t="shared" si="1"/>
        <v/>
      </c>
      <c r="N16" s="23" t="str">
        <f t="shared" si="2"/>
        <v/>
      </c>
      <c r="O16" s="14" t="str">
        <f>IF(OR(N16="Reordenar",N16="Agotado"),COUNTIF($N$5:N16,"Reordenar")+COUNTIF($N$5:N16,"Agotado"),"")</f>
        <v/>
      </c>
    </row>
    <row r="17" spans="1:15" x14ac:dyDescent="0.25">
      <c r="A17" s="20"/>
      <c r="B17" s="20"/>
      <c r="C17" s="20"/>
      <c r="D17" s="20"/>
      <c r="E17" s="20"/>
      <c r="F17" s="21"/>
      <c r="G17" s="20"/>
      <c r="H17" s="20"/>
      <c r="I17" s="20"/>
      <c r="J17" s="14" t="str">
        <f>IF($A17="","",SUMIFS(Movimientos!$F$5:$F$3004,Movimientos!$C$5:$C$3004,$A17,Movimientos!$B$5:$B$3004,"Entrada"))</f>
        <v/>
      </c>
      <c r="K17" s="14" t="str">
        <f>IF($A17="","",SUMIFS(Movimientos!$F$5:$F$3004,Movimientos!$C$5:$C$3004,$A17,Movimientos!$B$5:$B$3004,"Salida"))</f>
        <v/>
      </c>
      <c r="L17" s="14" t="str">
        <f t="shared" si="0"/>
        <v/>
      </c>
      <c r="M17" s="22" t="str">
        <f t="shared" si="1"/>
        <v/>
      </c>
      <c r="N17" s="23" t="str">
        <f t="shared" si="2"/>
        <v/>
      </c>
      <c r="O17" s="14" t="str">
        <f>IF(OR(N17="Reordenar",N17="Agotado"),COUNTIF($N$5:N17,"Reordenar")+COUNTIF($N$5:N17,"Agotado"),"")</f>
        <v/>
      </c>
    </row>
    <row r="18" spans="1:15" x14ac:dyDescent="0.25">
      <c r="A18" s="20"/>
      <c r="B18" s="20"/>
      <c r="C18" s="20"/>
      <c r="D18" s="20"/>
      <c r="E18" s="20"/>
      <c r="F18" s="21"/>
      <c r="G18" s="20"/>
      <c r="H18" s="20"/>
      <c r="I18" s="20"/>
      <c r="J18" s="14" t="str">
        <f>IF($A18="","",SUMIFS(Movimientos!$F$5:$F$3004,Movimientos!$C$5:$C$3004,$A18,Movimientos!$B$5:$B$3004,"Entrada"))</f>
        <v/>
      </c>
      <c r="K18" s="14" t="str">
        <f>IF($A18="","",SUMIFS(Movimientos!$F$5:$F$3004,Movimientos!$C$5:$C$3004,$A18,Movimientos!$B$5:$B$3004,"Salida"))</f>
        <v/>
      </c>
      <c r="L18" s="14" t="str">
        <f t="shared" si="0"/>
        <v/>
      </c>
      <c r="M18" s="22" t="str">
        <f t="shared" si="1"/>
        <v/>
      </c>
      <c r="N18" s="23" t="str">
        <f t="shared" si="2"/>
        <v/>
      </c>
      <c r="O18" s="14" t="str">
        <f>IF(OR(N18="Reordenar",N18="Agotado"),COUNTIF($N$5:N18,"Reordenar")+COUNTIF($N$5:N18,"Agotado"),"")</f>
        <v/>
      </c>
    </row>
    <row r="19" spans="1:15" x14ac:dyDescent="0.25">
      <c r="A19" s="20"/>
      <c r="B19" s="20"/>
      <c r="C19" s="20"/>
      <c r="D19" s="20"/>
      <c r="E19" s="20"/>
      <c r="F19" s="21"/>
      <c r="G19" s="20"/>
      <c r="H19" s="20"/>
      <c r="I19" s="20"/>
      <c r="J19" s="14" t="str">
        <f>IF($A19="","",SUMIFS(Movimientos!$F$5:$F$3004,Movimientos!$C$5:$C$3004,$A19,Movimientos!$B$5:$B$3004,"Entrada"))</f>
        <v/>
      </c>
      <c r="K19" s="14" t="str">
        <f>IF($A19="","",SUMIFS(Movimientos!$F$5:$F$3004,Movimientos!$C$5:$C$3004,$A19,Movimientos!$B$5:$B$3004,"Salida"))</f>
        <v/>
      </c>
      <c r="L19" s="14" t="str">
        <f t="shared" si="0"/>
        <v/>
      </c>
      <c r="M19" s="22" t="str">
        <f t="shared" si="1"/>
        <v/>
      </c>
      <c r="N19" s="23" t="str">
        <f t="shared" si="2"/>
        <v/>
      </c>
      <c r="O19" s="14" t="str">
        <f>IF(OR(N19="Reordenar",N19="Agotado"),COUNTIF($N$5:N19,"Reordenar")+COUNTIF($N$5:N19,"Agotado"),"")</f>
        <v/>
      </c>
    </row>
    <row r="20" spans="1:15" x14ac:dyDescent="0.25">
      <c r="A20" s="20"/>
      <c r="B20" s="20"/>
      <c r="C20" s="20"/>
      <c r="D20" s="20"/>
      <c r="E20" s="20"/>
      <c r="F20" s="21"/>
      <c r="G20" s="20"/>
      <c r="H20" s="20"/>
      <c r="I20" s="20"/>
      <c r="J20" s="14" t="str">
        <f>IF($A20="","",SUMIFS(Movimientos!$F$5:$F$3004,Movimientos!$C$5:$C$3004,$A20,Movimientos!$B$5:$B$3004,"Entrada"))</f>
        <v/>
      </c>
      <c r="K20" s="14" t="str">
        <f>IF($A20="","",SUMIFS(Movimientos!$F$5:$F$3004,Movimientos!$C$5:$C$3004,$A20,Movimientos!$B$5:$B$3004,"Salida"))</f>
        <v/>
      </c>
      <c r="L20" s="14" t="str">
        <f t="shared" si="0"/>
        <v/>
      </c>
      <c r="M20" s="22" t="str">
        <f t="shared" si="1"/>
        <v/>
      </c>
      <c r="N20" s="23" t="str">
        <f t="shared" si="2"/>
        <v/>
      </c>
      <c r="O20" s="14" t="str">
        <f>IF(OR(N20="Reordenar",N20="Agotado"),COUNTIF($N$5:N20,"Reordenar")+COUNTIF($N$5:N20,"Agotado"),"")</f>
        <v/>
      </c>
    </row>
    <row r="21" spans="1:15" x14ac:dyDescent="0.25">
      <c r="A21" s="20"/>
      <c r="B21" s="20"/>
      <c r="C21" s="20"/>
      <c r="D21" s="20"/>
      <c r="E21" s="20"/>
      <c r="F21" s="21"/>
      <c r="G21" s="20"/>
      <c r="H21" s="20"/>
      <c r="I21" s="20"/>
      <c r="J21" s="14" t="str">
        <f>IF($A21="","",SUMIFS(Movimientos!$F$5:$F$3004,Movimientos!$C$5:$C$3004,$A21,Movimientos!$B$5:$B$3004,"Entrada"))</f>
        <v/>
      </c>
      <c r="K21" s="14" t="str">
        <f>IF($A21="","",SUMIFS(Movimientos!$F$5:$F$3004,Movimientos!$C$5:$C$3004,$A21,Movimientos!$B$5:$B$3004,"Salida"))</f>
        <v/>
      </c>
      <c r="L21" s="14" t="str">
        <f t="shared" si="0"/>
        <v/>
      </c>
      <c r="M21" s="22" t="str">
        <f t="shared" si="1"/>
        <v/>
      </c>
      <c r="N21" s="23" t="str">
        <f t="shared" si="2"/>
        <v/>
      </c>
      <c r="O21" s="14" t="str">
        <f>IF(OR(N21="Reordenar",N21="Agotado"),COUNTIF($N$5:N21,"Reordenar")+COUNTIF($N$5:N21,"Agotado"),"")</f>
        <v/>
      </c>
    </row>
    <row r="22" spans="1:15" x14ac:dyDescent="0.25">
      <c r="A22" s="20"/>
      <c r="B22" s="20"/>
      <c r="C22" s="20"/>
      <c r="D22" s="20"/>
      <c r="E22" s="20"/>
      <c r="F22" s="21"/>
      <c r="G22" s="20"/>
      <c r="H22" s="20"/>
      <c r="I22" s="20"/>
      <c r="J22" s="14" t="str">
        <f>IF($A22="","",SUMIFS(Movimientos!$F$5:$F$3004,Movimientos!$C$5:$C$3004,$A22,Movimientos!$B$5:$B$3004,"Entrada"))</f>
        <v/>
      </c>
      <c r="K22" s="14" t="str">
        <f>IF($A22="","",SUMIFS(Movimientos!$F$5:$F$3004,Movimientos!$C$5:$C$3004,$A22,Movimientos!$B$5:$B$3004,"Salida"))</f>
        <v/>
      </c>
      <c r="L22" s="14" t="str">
        <f t="shared" si="0"/>
        <v/>
      </c>
      <c r="M22" s="22" t="str">
        <f t="shared" si="1"/>
        <v/>
      </c>
      <c r="N22" s="23" t="str">
        <f t="shared" si="2"/>
        <v/>
      </c>
      <c r="O22" s="14" t="str">
        <f>IF(OR(N22="Reordenar",N22="Agotado"),COUNTIF($N$5:N22,"Reordenar")+COUNTIF($N$5:N22,"Agotado"),"")</f>
        <v/>
      </c>
    </row>
    <row r="23" spans="1:15" x14ac:dyDescent="0.25">
      <c r="A23" s="20"/>
      <c r="B23" s="20"/>
      <c r="C23" s="20"/>
      <c r="D23" s="20"/>
      <c r="E23" s="20"/>
      <c r="F23" s="21"/>
      <c r="G23" s="20"/>
      <c r="H23" s="20"/>
      <c r="I23" s="20"/>
      <c r="J23" s="14" t="str">
        <f>IF($A23="","",SUMIFS(Movimientos!$F$5:$F$3004,Movimientos!$C$5:$C$3004,$A23,Movimientos!$B$5:$B$3004,"Entrada"))</f>
        <v/>
      </c>
      <c r="K23" s="14" t="str">
        <f>IF($A23="","",SUMIFS(Movimientos!$F$5:$F$3004,Movimientos!$C$5:$C$3004,$A23,Movimientos!$B$5:$B$3004,"Salida"))</f>
        <v/>
      </c>
      <c r="L23" s="14" t="str">
        <f t="shared" si="0"/>
        <v/>
      </c>
      <c r="M23" s="22" t="str">
        <f t="shared" si="1"/>
        <v/>
      </c>
      <c r="N23" s="23" t="str">
        <f t="shared" si="2"/>
        <v/>
      </c>
      <c r="O23" s="14" t="str">
        <f>IF(OR(N23="Reordenar",N23="Agotado"),COUNTIF($N$5:N23,"Reordenar")+COUNTIF($N$5:N23,"Agotado"),"")</f>
        <v/>
      </c>
    </row>
    <row r="24" spans="1:15" x14ac:dyDescent="0.25">
      <c r="A24" s="20"/>
      <c r="B24" s="20"/>
      <c r="C24" s="20"/>
      <c r="D24" s="20"/>
      <c r="E24" s="20"/>
      <c r="F24" s="21"/>
      <c r="G24" s="20"/>
      <c r="H24" s="20"/>
      <c r="I24" s="20"/>
      <c r="J24" s="14" t="str">
        <f>IF($A24="","",SUMIFS(Movimientos!$F$5:$F$3004,Movimientos!$C$5:$C$3004,$A24,Movimientos!$B$5:$B$3004,"Entrada"))</f>
        <v/>
      </c>
      <c r="K24" s="14" t="str">
        <f>IF($A24="","",SUMIFS(Movimientos!$F$5:$F$3004,Movimientos!$C$5:$C$3004,$A24,Movimientos!$B$5:$B$3004,"Salida"))</f>
        <v/>
      </c>
      <c r="L24" s="14" t="str">
        <f t="shared" si="0"/>
        <v/>
      </c>
      <c r="M24" s="22" t="str">
        <f t="shared" si="1"/>
        <v/>
      </c>
      <c r="N24" s="23" t="str">
        <f t="shared" si="2"/>
        <v/>
      </c>
      <c r="O24" s="14" t="str">
        <f>IF(OR(N24="Reordenar",N24="Agotado"),COUNTIF($N$5:N24,"Reordenar")+COUNTIF($N$5:N24,"Agotado"),"")</f>
        <v/>
      </c>
    </row>
    <row r="25" spans="1:15" x14ac:dyDescent="0.25">
      <c r="A25" s="20"/>
      <c r="B25" s="20"/>
      <c r="C25" s="20"/>
      <c r="D25" s="20"/>
      <c r="E25" s="20"/>
      <c r="F25" s="21"/>
      <c r="G25" s="20"/>
      <c r="H25" s="20"/>
      <c r="I25" s="20"/>
      <c r="J25" s="14" t="str">
        <f>IF($A25="","",SUMIFS(Movimientos!$F$5:$F$3004,Movimientos!$C$5:$C$3004,$A25,Movimientos!$B$5:$B$3004,"Entrada"))</f>
        <v/>
      </c>
      <c r="K25" s="14" t="str">
        <f>IF($A25="","",SUMIFS(Movimientos!$F$5:$F$3004,Movimientos!$C$5:$C$3004,$A25,Movimientos!$B$5:$B$3004,"Salida"))</f>
        <v/>
      </c>
      <c r="L25" s="14" t="str">
        <f t="shared" si="0"/>
        <v/>
      </c>
      <c r="M25" s="22" t="str">
        <f t="shared" si="1"/>
        <v/>
      </c>
      <c r="N25" s="23" t="str">
        <f t="shared" si="2"/>
        <v/>
      </c>
      <c r="O25" s="14" t="str">
        <f>IF(OR(N25="Reordenar",N25="Agotado"),COUNTIF($N$5:N25,"Reordenar")+COUNTIF($N$5:N25,"Agotado"),"")</f>
        <v/>
      </c>
    </row>
    <row r="26" spans="1:15" x14ac:dyDescent="0.25">
      <c r="A26" s="20"/>
      <c r="B26" s="20"/>
      <c r="C26" s="20"/>
      <c r="D26" s="20"/>
      <c r="E26" s="20"/>
      <c r="F26" s="21"/>
      <c r="G26" s="20"/>
      <c r="H26" s="20"/>
      <c r="I26" s="20"/>
      <c r="J26" s="14" t="str">
        <f>IF($A26="","",SUMIFS(Movimientos!$F$5:$F$3004,Movimientos!$C$5:$C$3004,$A26,Movimientos!$B$5:$B$3004,"Entrada"))</f>
        <v/>
      </c>
      <c r="K26" s="14" t="str">
        <f>IF($A26="","",SUMIFS(Movimientos!$F$5:$F$3004,Movimientos!$C$5:$C$3004,$A26,Movimientos!$B$5:$B$3004,"Salida"))</f>
        <v/>
      </c>
      <c r="L26" s="14" t="str">
        <f t="shared" si="0"/>
        <v/>
      </c>
      <c r="M26" s="22" t="str">
        <f t="shared" si="1"/>
        <v/>
      </c>
      <c r="N26" s="23" t="str">
        <f t="shared" si="2"/>
        <v/>
      </c>
      <c r="O26" s="14" t="str">
        <f>IF(OR(N26="Reordenar",N26="Agotado"),COUNTIF($N$5:N26,"Reordenar")+COUNTIF($N$5:N26,"Agotado"),"")</f>
        <v/>
      </c>
    </row>
    <row r="27" spans="1:15" x14ac:dyDescent="0.25">
      <c r="A27" s="20"/>
      <c r="B27" s="20"/>
      <c r="C27" s="20"/>
      <c r="D27" s="20"/>
      <c r="E27" s="20"/>
      <c r="F27" s="21"/>
      <c r="G27" s="20"/>
      <c r="H27" s="20"/>
      <c r="I27" s="20"/>
      <c r="J27" s="14" t="str">
        <f>IF($A27="","",SUMIFS(Movimientos!$F$5:$F$3004,Movimientos!$C$5:$C$3004,$A27,Movimientos!$B$5:$B$3004,"Entrada"))</f>
        <v/>
      </c>
      <c r="K27" s="14" t="str">
        <f>IF($A27="","",SUMIFS(Movimientos!$F$5:$F$3004,Movimientos!$C$5:$C$3004,$A27,Movimientos!$B$5:$B$3004,"Salida"))</f>
        <v/>
      </c>
      <c r="L27" s="14" t="str">
        <f t="shared" si="0"/>
        <v/>
      </c>
      <c r="M27" s="22" t="str">
        <f t="shared" si="1"/>
        <v/>
      </c>
      <c r="N27" s="23" t="str">
        <f t="shared" si="2"/>
        <v/>
      </c>
      <c r="O27" s="14" t="str">
        <f>IF(OR(N27="Reordenar",N27="Agotado"),COUNTIF($N$5:N27,"Reordenar")+COUNTIF($N$5:N27,"Agotado"),"")</f>
        <v/>
      </c>
    </row>
    <row r="28" spans="1:15" x14ac:dyDescent="0.25">
      <c r="A28" s="20"/>
      <c r="B28" s="20"/>
      <c r="C28" s="20"/>
      <c r="D28" s="20"/>
      <c r="E28" s="20"/>
      <c r="F28" s="21"/>
      <c r="G28" s="20"/>
      <c r="H28" s="20"/>
      <c r="I28" s="20"/>
      <c r="J28" s="14" t="str">
        <f>IF($A28="","",SUMIFS(Movimientos!$F$5:$F$3004,Movimientos!$C$5:$C$3004,$A28,Movimientos!$B$5:$B$3004,"Entrada"))</f>
        <v/>
      </c>
      <c r="K28" s="14" t="str">
        <f>IF($A28="","",SUMIFS(Movimientos!$F$5:$F$3004,Movimientos!$C$5:$C$3004,$A28,Movimientos!$B$5:$B$3004,"Salida"))</f>
        <v/>
      </c>
      <c r="L28" s="14" t="str">
        <f t="shared" si="0"/>
        <v/>
      </c>
      <c r="M28" s="22" t="str">
        <f t="shared" si="1"/>
        <v/>
      </c>
      <c r="N28" s="23" t="str">
        <f t="shared" si="2"/>
        <v/>
      </c>
      <c r="O28" s="14" t="str">
        <f>IF(OR(N28="Reordenar",N28="Agotado"),COUNTIF($N$5:N28,"Reordenar")+COUNTIF($N$5:N28,"Agotado"),"")</f>
        <v/>
      </c>
    </row>
    <row r="29" spans="1:15" x14ac:dyDescent="0.25">
      <c r="A29" s="20"/>
      <c r="B29" s="20"/>
      <c r="C29" s="20"/>
      <c r="D29" s="20"/>
      <c r="E29" s="20"/>
      <c r="F29" s="21"/>
      <c r="G29" s="20"/>
      <c r="H29" s="20"/>
      <c r="I29" s="20"/>
      <c r="J29" s="14" t="str">
        <f>IF($A29="","",SUMIFS(Movimientos!$F$5:$F$3004,Movimientos!$C$5:$C$3004,$A29,Movimientos!$B$5:$B$3004,"Entrada"))</f>
        <v/>
      </c>
      <c r="K29" s="14" t="str">
        <f>IF($A29="","",SUMIFS(Movimientos!$F$5:$F$3004,Movimientos!$C$5:$C$3004,$A29,Movimientos!$B$5:$B$3004,"Salida"))</f>
        <v/>
      </c>
      <c r="L29" s="14" t="str">
        <f t="shared" si="0"/>
        <v/>
      </c>
      <c r="M29" s="22" t="str">
        <f t="shared" si="1"/>
        <v/>
      </c>
      <c r="N29" s="23" t="str">
        <f t="shared" si="2"/>
        <v/>
      </c>
      <c r="O29" s="14" t="str">
        <f>IF(OR(N29="Reordenar",N29="Agotado"),COUNTIF($N$5:N29,"Reordenar")+COUNTIF($N$5:N29,"Agotado"),"")</f>
        <v/>
      </c>
    </row>
    <row r="30" spans="1:15" x14ac:dyDescent="0.25">
      <c r="A30" s="20"/>
      <c r="B30" s="20"/>
      <c r="C30" s="20"/>
      <c r="D30" s="20"/>
      <c r="E30" s="20"/>
      <c r="F30" s="21"/>
      <c r="G30" s="20"/>
      <c r="H30" s="20"/>
      <c r="I30" s="20"/>
      <c r="J30" s="14" t="str">
        <f>IF($A30="","",SUMIFS(Movimientos!$F$5:$F$3004,Movimientos!$C$5:$C$3004,$A30,Movimientos!$B$5:$B$3004,"Entrada"))</f>
        <v/>
      </c>
      <c r="K30" s="14" t="str">
        <f>IF($A30="","",SUMIFS(Movimientos!$F$5:$F$3004,Movimientos!$C$5:$C$3004,$A30,Movimientos!$B$5:$B$3004,"Salida"))</f>
        <v/>
      </c>
      <c r="L30" s="14" t="str">
        <f t="shared" si="0"/>
        <v/>
      </c>
      <c r="M30" s="22" t="str">
        <f t="shared" si="1"/>
        <v/>
      </c>
      <c r="N30" s="23" t="str">
        <f t="shared" si="2"/>
        <v/>
      </c>
      <c r="O30" s="14" t="str">
        <f>IF(OR(N30="Reordenar",N30="Agotado"),COUNTIF($N$5:N30,"Reordenar")+COUNTIF($N$5:N30,"Agotado"),"")</f>
        <v/>
      </c>
    </row>
    <row r="31" spans="1:15" x14ac:dyDescent="0.25">
      <c r="A31" s="20"/>
      <c r="B31" s="20"/>
      <c r="C31" s="20"/>
      <c r="D31" s="20"/>
      <c r="E31" s="20"/>
      <c r="F31" s="21"/>
      <c r="G31" s="20"/>
      <c r="H31" s="20"/>
      <c r="I31" s="20"/>
      <c r="J31" s="14" t="str">
        <f>IF($A31="","",SUMIFS(Movimientos!$F$5:$F$3004,Movimientos!$C$5:$C$3004,$A31,Movimientos!$B$5:$B$3004,"Entrada"))</f>
        <v/>
      </c>
      <c r="K31" s="14" t="str">
        <f>IF($A31="","",SUMIFS(Movimientos!$F$5:$F$3004,Movimientos!$C$5:$C$3004,$A31,Movimientos!$B$5:$B$3004,"Salida"))</f>
        <v/>
      </c>
      <c r="L31" s="14" t="str">
        <f t="shared" si="0"/>
        <v/>
      </c>
      <c r="M31" s="22" t="str">
        <f t="shared" si="1"/>
        <v/>
      </c>
      <c r="N31" s="23" t="str">
        <f t="shared" si="2"/>
        <v/>
      </c>
      <c r="O31" s="14" t="str">
        <f>IF(OR(N31="Reordenar",N31="Agotado"),COUNTIF($N$5:N31,"Reordenar")+COUNTIF($N$5:N31,"Agotado"),"")</f>
        <v/>
      </c>
    </row>
    <row r="32" spans="1:15" x14ac:dyDescent="0.25">
      <c r="A32" s="20"/>
      <c r="B32" s="20"/>
      <c r="C32" s="20"/>
      <c r="D32" s="20"/>
      <c r="E32" s="20"/>
      <c r="F32" s="21"/>
      <c r="G32" s="20"/>
      <c r="H32" s="20"/>
      <c r="I32" s="20"/>
      <c r="J32" s="14" t="str">
        <f>IF($A32="","",SUMIFS(Movimientos!$F$5:$F$3004,Movimientos!$C$5:$C$3004,$A32,Movimientos!$B$5:$B$3004,"Entrada"))</f>
        <v/>
      </c>
      <c r="K32" s="14" t="str">
        <f>IF($A32="","",SUMIFS(Movimientos!$F$5:$F$3004,Movimientos!$C$5:$C$3004,$A32,Movimientos!$B$5:$B$3004,"Salida"))</f>
        <v/>
      </c>
      <c r="L32" s="14" t="str">
        <f t="shared" si="0"/>
        <v/>
      </c>
      <c r="M32" s="22" t="str">
        <f t="shared" si="1"/>
        <v/>
      </c>
      <c r="N32" s="23" t="str">
        <f t="shared" si="2"/>
        <v/>
      </c>
      <c r="O32" s="14" t="str">
        <f>IF(OR(N32="Reordenar",N32="Agotado"),COUNTIF($N$5:N32,"Reordenar")+COUNTIF($N$5:N32,"Agotado"),"")</f>
        <v/>
      </c>
    </row>
    <row r="33" spans="1:15" x14ac:dyDescent="0.25">
      <c r="A33" s="20"/>
      <c r="B33" s="20"/>
      <c r="C33" s="20"/>
      <c r="D33" s="20"/>
      <c r="E33" s="20"/>
      <c r="F33" s="21"/>
      <c r="G33" s="20"/>
      <c r="H33" s="20"/>
      <c r="I33" s="20"/>
      <c r="J33" s="14" t="str">
        <f>IF($A33="","",SUMIFS(Movimientos!$F$5:$F$3004,Movimientos!$C$5:$C$3004,$A33,Movimientos!$B$5:$B$3004,"Entrada"))</f>
        <v/>
      </c>
      <c r="K33" s="14" t="str">
        <f>IF($A33="","",SUMIFS(Movimientos!$F$5:$F$3004,Movimientos!$C$5:$C$3004,$A33,Movimientos!$B$5:$B$3004,"Salida"))</f>
        <v/>
      </c>
      <c r="L33" s="14" t="str">
        <f t="shared" si="0"/>
        <v/>
      </c>
      <c r="M33" s="22" t="str">
        <f t="shared" si="1"/>
        <v/>
      </c>
      <c r="N33" s="23" t="str">
        <f t="shared" si="2"/>
        <v/>
      </c>
      <c r="O33" s="14" t="str">
        <f>IF(OR(N33="Reordenar",N33="Agotado"),COUNTIF($N$5:N33,"Reordenar")+COUNTIF($N$5:N33,"Agotado"),"")</f>
        <v/>
      </c>
    </row>
    <row r="34" spans="1:15" x14ac:dyDescent="0.25">
      <c r="A34" s="20"/>
      <c r="B34" s="20"/>
      <c r="C34" s="20"/>
      <c r="D34" s="20"/>
      <c r="E34" s="20"/>
      <c r="F34" s="21"/>
      <c r="G34" s="20"/>
      <c r="H34" s="20"/>
      <c r="I34" s="20"/>
      <c r="J34" s="14" t="str">
        <f>IF($A34="","",SUMIFS(Movimientos!$F$5:$F$3004,Movimientos!$C$5:$C$3004,$A34,Movimientos!$B$5:$B$3004,"Entrada"))</f>
        <v/>
      </c>
      <c r="K34" s="14" t="str">
        <f>IF($A34="","",SUMIFS(Movimientos!$F$5:$F$3004,Movimientos!$C$5:$C$3004,$A34,Movimientos!$B$5:$B$3004,"Salida"))</f>
        <v/>
      </c>
      <c r="L34" s="14" t="str">
        <f t="shared" si="0"/>
        <v/>
      </c>
      <c r="M34" s="22" t="str">
        <f t="shared" si="1"/>
        <v/>
      </c>
      <c r="N34" s="23" t="str">
        <f t="shared" si="2"/>
        <v/>
      </c>
      <c r="O34" s="14" t="str">
        <f>IF(OR(N34="Reordenar",N34="Agotado"),COUNTIF($N$5:N34,"Reordenar")+COUNTIF($N$5:N34,"Agotado"),"")</f>
        <v/>
      </c>
    </row>
    <row r="35" spans="1:15" x14ac:dyDescent="0.25">
      <c r="A35" s="20"/>
      <c r="B35" s="20"/>
      <c r="C35" s="20"/>
      <c r="D35" s="20"/>
      <c r="E35" s="20"/>
      <c r="F35" s="21"/>
      <c r="G35" s="20"/>
      <c r="H35" s="20"/>
      <c r="I35" s="20"/>
      <c r="J35" s="14" t="str">
        <f>IF($A35="","",SUMIFS(Movimientos!$F$5:$F$3004,Movimientos!$C$5:$C$3004,$A35,Movimientos!$B$5:$B$3004,"Entrada"))</f>
        <v/>
      </c>
      <c r="K35" s="14" t="str">
        <f>IF($A35="","",SUMIFS(Movimientos!$F$5:$F$3004,Movimientos!$C$5:$C$3004,$A35,Movimientos!$B$5:$B$3004,"Salida"))</f>
        <v/>
      </c>
      <c r="L35" s="14" t="str">
        <f t="shared" si="0"/>
        <v/>
      </c>
      <c r="M35" s="22" t="str">
        <f t="shared" si="1"/>
        <v/>
      </c>
      <c r="N35" s="23" t="str">
        <f t="shared" si="2"/>
        <v/>
      </c>
      <c r="O35" s="14" t="str">
        <f>IF(OR(N35="Reordenar",N35="Agotado"),COUNTIF($N$5:N35,"Reordenar")+COUNTIF($N$5:N35,"Agotado"),"")</f>
        <v/>
      </c>
    </row>
    <row r="36" spans="1:15" x14ac:dyDescent="0.25">
      <c r="A36" s="20"/>
      <c r="B36" s="20"/>
      <c r="C36" s="20"/>
      <c r="D36" s="20"/>
      <c r="E36" s="20"/>
      <c r="F36" s="21"/>
      <c r="G36" s="20"/>
      <c r="H36" s="20"/>
      <c r="I36" s="20"/>
      <c r="J36" s="14" t="str">
        <f>IF($A36="","",SUMIFS(Movimientos!$F$5:$F$3004,Movimientos!$C$5:$C$3004,$A36,Movimientos!$B$5:$B$3004,"Entrada"))</f>
        <v/>
      </c>
      <c r="K36" s="14" t="str">
        <f>IF($A36="","",SUMIFS(Movimientos!$F$5:$F$3004,Movimientos!$C$5:$C$3004,$A36,Movimientos!$B$5:$B$3004,"Salida"))</f>
        <v/>
      </c>
      <c r="L36" s="14" t="str">
        <f t="shared" si="0"/>
        <v/>
      </c>
      <c r="M36" s="22" t="str">
        <f t="shared" si="1"/>
        <v/>
      </c>
      <c r="N36" s="23" t="str">
        <f t="shared" si="2"/>
        <v/>
      </c>
      <c r="O36" s="14" t="str">
        <f>IF(OR(N36="Reordenar",N36="Agotado"),COUNTIF($N$5:N36,"Reordenar")+COUNTIF($N$5:N36,"Agotado"),"")</f>
        <v/>
      </c>
    </row>
    <row r="37" spans="1:15" x14ac:dyDescent="0.25">
      <c r="A37" s="20"/>
      <c r="B37" s="20"/>
      <c r="C37" s="20"/>
      <c r="D37" s="20"/>
      <c r="E37" s="20"/>
      <c r="F37" s="21"/>
      <c r="G37" s="20"/>
      <c r="H37" s="20"/>
      <c r="I37" s="20"/>
      <c r="J37" s="14" t="str">
        <f>IF($A37="","",SUMIFS(Movimientos!$F$5:$F$3004,Movimientos!$C$5:$C$3004,$A37,Movimientos!$B$5:$B$3004,"Entrada"))</f>
        <v/>
      </c>
      <c r="K37" s="14" t="str">
        <f>IF($A37="","",SUMIFS(Movimientos!$F$5:$F$3004,Movimientos!$C$5:$C$3004,$A37,Movimientos!$B$5:$B$3004,"Salida"))</f>
        <v/>
      </c>
      <c r="L37" s="14" t="str">
        <f t="shared" si="0"/>
        <v/>
      </c>
      <c r="M37" s="22" t="str">
        <f t="shared" si="1"/>
        <v/>
      </c>
      <c r="N37" s="23" t="str">
        <f t="shared" si="2"/>
        <v/>
      </c>
      <c r="O37" s="14" t="str">
        <f>IF(OR(N37="Reordenar",N37="Agotado"),COUNTIF($N$5:N37,"Reordenar")+COUNTIF($N$5:N37,"Agotado"),"")</f>
        <v/>
      </c>
    </row>
    <row r="38" spans="1:15" x14ac:dyDescent="0.25">
      <c r="A38" s="20"/>
      <c r="B38" s="20"/>
      <c r="C38" s="20"/>
      <c r="D38" s="20"/>
      <c r="E38" s="20"/>
      <c r="F38" s="21"/>
      <c r="G38" s="20"/>
      <c r="H38" s="20"/>
      <c r="I38" s="20"/>
      <c r="J38" s="14" t="str">
        <f>IF($A38="","",SUMIFS(Movimientos!$F$5:$F$3004,Movimientos!$C$5:$C$3004,$A38,Movimientos!$B$5:$B$3004,"Entrada"))</f>
        <v/>
      </c>
      <c r="K38" s="14" t="str">
        <f>IF($A38="","",SUMIFS(Movimientos!$F$5:$F$3004,Movimientos!$C$5:$C$3004,$A38,Movimientos!$B$5:$B$3004,"Salida"))</f>
        <v/>
      </c>
      <c r="L38" s="14" t="str">
        <f t="shared" si="0"/>
        <v/>
      </c>
      <c r="M38" s="22" t="str">
        <f t="shared" si="1"/>
        <v/>
      </c>
      <c r="N38" s="23" t="str">
        <f t="shared" si="2"/>
        <v/>
      </c>
      <c r="O38" s="14" t="str">
        <f>IF(OR(N38="Reordenar",N38="Agotado"),COUNTIF($N$5:N38,"Reordenar")+COUNTIF($N$5:N38,"Agotado"),"")</f>
        <v/>
      </c>
    </row>
    <row r="39" spans="1:15" x14ac:dyDescent="0.25">
      <c r="A39" s="20"/>
      <c r="B39" s="20"/>
      <c r="C39" s="20"/>
      <c r="D39" s="20"/>
      <c r="E39" s="20"/>
      <c r="F39" s="21"/>
      <c r="G39" s="20"/>
      <c r="H39" s="20"/>
      <c r="I39" s="20"/>
      <c r="J39" s="14" t="str">
        <f>IF($A39="","",SUMIFS(Movimientos!$F$5:$F$3004,Movimientos!$C$5:$C$3004,$A39,Movimientos!$B$5:$B$3004,"Entrada"))</f>
        <v/>
      </c>
      <c r="K39" s="14" t="str">
        <f>IF($A39="","",SUMIFS(Movimientos!$F$5:$F$3004,Movimientos!$C$5:$C$3004,$A39,Movimientos!$B$5:$B$3004,"Salida"))</f>
        <v/>
      </c>
      <c r="L39" s="14" t="str">
        <f t="shared" si="0"/>
        <v/>
      </c>
      <c r="M39" s="22" t="str">
        <f t="shared" si="1"/>
        <v/>
      </c>
      <c r="N39" s="23" t="str">
        <f t="shared" si="2"/>
        <v/>
      </c>
      <c r="O39" s="14" t="str">
        <f>IF(OR(N39="Reordenar",N39="Agotado"),COUNTIF($N$5:N39,"Reordenar")+COUNTIF($N$5:N39,"Agotado"),"")</f>
        <v/>
      </c>
    </row>
    <row r="40" spans="1:15" x14ac:dyDescent="0.25">
      <c r="A40" s="20"/>
      <c r="B40" s="20"/>
      <c r="C40" s="20"/>
      <c r="D40" s="20"/>
      <c r="E40" s="20"/>
      <c r="F40" s="21"/>
      <c r="G40" s="20"/>
      <c r="H40" s="20"/>
      <c r="I40" s="20"/>
      <c r="J40" s="14" t="str">
        <f>IF($A40="","",SUMIFS(Movimientos!$F$5:$F$3004,Movimientos!$C$5:$C$3004,$A40,Movimientos!$B$5:$B$3004,"Entrada"))</f>
        <v/>
      </c>
      <c r="K40" s="14" t="str">
        <f>IF($A40="","",SUMIFS(Movimientos!$F$5:$F$3004,Movimientos!$C$5:$C$3004,$A40,Movimientos!$B$5:$B$3004,"Salida"))</f>
        <v/>
      </c>
      <c r="L40" s="14" t="str">
        <f t="shared" si="0"/>
        <v/>
      </c>
      <c r="M40" s="22" t="str">
        <f t="shared" si="1"/>
        <v/>
      </c>
      <c r="N40" s="23" t="str">
        <f t="shared" si="2"/>
        <v/>
      </c>
      <c r="O40" s="14" t="str">
        <f>IF(OR(N40="Reordenar",N40="Agotado"),COUNTIF($N$5:N40,"Reordenar")+COUNTIF($N$5:N40,"Agotado"),"")</f>
        <v/>
      </c>
    </row>
    <row r="41" spans="1:15" x14ac:dyDescent="0.25">
      <c r="A41" s="20"/>
      <c r="B41" s="20"/>
      <c r="C41" s="20"/>
      <c r="D41" s="20"/>
      <c r="E41" s="20"/>
      <c r="F41" s="21"/>
      <c r="G41" s="20"/>
      <c r="H41" s="20"/>
      <c r="I41" s="20"/>
      <c r="J41" s="14" t="str">
        <f>IF($A41="","",SUMIFS(Movimientos!$F$5:$F$3004,Movimientos!$C$5:$C$3004,$A41,Movimientos!$B$5:$B$3004,"Entrada"))</f>
        <v/>
      </c>
      <c r="K41" s="14" t="str">
        <f>IF($A41="","",SUMIFS(Movimientos!$F$5:$F$3004,Movimientos!$C$5:$C$3004,$A41,Movimientos!$B$5:$B$3004,"Salida"))</f>
        <v/>
      </c>
      <c r="L41" s="14" t="str">
        <f t="shared" si="0"/>
        <v/>
      </c>
      <c r="M41" s="22" t="str">
        <f t="shared" si="1"/>
        <v/>
      </c>
      <c r="N41" s="23" t="str">
        <f t="shared" si="2"/>
        <v/>
      </c>
      <c r="O41" s="14" t="str">
        <f>IF(OR(N41="Reordenar",N41="Agotado"),COUNTIF($N$5:N41,"Reordenar")+COUNTIF($N$5:N41,"Agotado"),"")</f>
        <v/>
      </c>
    </row>
    <row r="42" spans="1:15" x14ac:dyDescent="0.25">
      <c r="A42" s="20"/>
      <c r="B42" s="20"/>
      <c r="C42" s="20"/>
      <c r="D42" s="20"/>
      <c r="E42" s="20"/>
      <c r="F42" s="21"/>
      <c r="G42" s="20"/>
      <c r="H42" s="20"/>
      <c r="I42" s="20"/>
      <c r="J42" s="14" t="str">
        <f>IF($A42="","",SUMIFS(Movimientos!$F$5:$F$3004,Movimientos!$C$5:$C$3004,$A42,Movimientos!$B$5:$B$3004,"Entrada"))</f>
        <v/>
      </c>
      <c r="K42" s="14" t="str">
        <f>IF($A42="","",SUMIFS(Movimientos!$F$5:$F$3004,Movimientos!$C$5:$C$3004,$A42,Movimientos!$B$5:$B$3004,"Salida"))</f>
        <v/>
      </c>
      <c r="L42" s="14" t="str">
        <f t="shared" si="0"/>
        <v/>
      </c>
      <c r="M42" s="22" t="str">
        <f t="shared" si="1"/>
        <v/>
      </c>
      <c r="N42" s="23" t="str">
        <f t="shared" si="2"/>
        <v/>
      </c>
      <c r="O42" s="14" t="str">
        <f>IF(OR(N42="Reordenar",N42="Agotado"),COUNTIF($N$5:N42,"Reordenar")+COUNTIF($N$5:N42,"Agotado"),"")</f>
        <v/>
      </c>
    </row>
    <row r="43" spans="1:15" x14ac:dyDescent="0.25">
      <c r="A43" s="20"/>
      <c r="B43" s="20"/>
      <c r="C43" s="20"/>
      <c r="D43" s="20"/>
      <c r="E43" s="20"/>
      <c r="F43" s="21"/>
      <c r="G43" s="20"/>
      <c r="H43" s="20"/>
      <c r="I43" s="20"/>
      <c r="J43" s="14" t="str">
        <f>IF($A43="","",SUMIFS(Movimientos!$F$5:$F$3004,Movimientos!$C$5:$C$3004,$A43,Movimientos!$B$5:$B$3004,"Entrada"))</f>
        <v/>
      </c>
      <c r="K43" s="14" t="str">
        <f>IF($A43="","",SUMIFS(Movimientos!$F$5:$F$3004,Movimientos!$C$5:$C$3004,$A43,Movimientos!$B$5:$B$3004,"Salida"))</f>
        <v/>
      </c>
      <c r="L43" s="14" t="str">
        <f t="shared" si="0"/>
        <v/>
      </c>
      <c r="M43" s="22" t="str">
        <f t="shared" si="1"/>
        <v/>
      </c>
      <c r="N43" s="23" t="str">
        <f t="shared" si="2"/>
        <v/>
      </c>
      <c r="O43" s="14" t="str">
        <f>IF(OR(N43="Reordenar",N43="Agotado"),COUNTIF($N$5:N43,"Reordenar")+COUNTIF($N$5:N43,"Agotado"),"")</f>
        <v/>
      </c>
    </row>
    <row r="44" spans="1:15" x14ac:dyDescent="0.25">
      <c r="A44" s="20"/>
      <c r="B44" s="20"/>
      <c r="C44" s="20"/>
      <c r="D44" s="20"/>
      <c r="E44" s="20"/>
      <c r="F44" s="21"/>
      <c r="G44" s="20"/>
      <c r="H44" s="20"/>
      <c r="I44" s="20"/>
      <c r="J44" s="14" t="str">
        <f>IF($A44="","",SUMIFS(Movimientos!$F$5:$F$3004,Movimientos!$C$5:$C$3004,$A44,Movimientos!$B$5:$B$3004,"Entrada"))</f>
        <v/>
      </c>
      <c r="K44" s="14" t="str">
        <f>IF($A44="","",SUMIFS(Movimientos!$F$5:$F$3004,Movimientos!$C$5:$C$3004,$A44,Movimientos!$B$5:$B$3004,"Salida"))</f>
        <v/>
      </c>
      <c r="L44" s="14" t="str">
        <f t="shared" si="0"/>
        <v/>
      </c>
      <c r="M44" s="22" t="str">
        <f t="shared" si="1"/>
        <v/>
      </c>
      <c r="N44" s="23" t="str">
        <f t="shared" si="2"/>
        <v/>
      </c>
      <c r="O44" s="14" t="str">
        <f>IF(OR(N44="Reordenar",N44="Agotado"),COUNTIF($N$5:N44,"Reordenar")+COUNTIF($N$5:N44,"Agotado"),"")</f>
        <v/>
      </c>
    </row>
    <row r="45" spans="1:15" x14ac:dyDescent="0.25">
      <c r="A45" s="20"/>
      <c r="B45" s="20"/>
      <c r="C45" s="20"/>
      <c r="D45" s="20"/>
      <c r="E45" s="20"/>
      <c r="F45" s="21"/>
      <c r="G45" s="20"/>
      <c r="H45" s="20"/>
      <c r="I45" s="20"/>
      <c r="J45" s="14" t="str">
        <f>IF($A45="","",SUMIFS(Movimientos!$F$5:$F$3004,Movimientos!$C$5:$C$3004,$A45,Movimientos!$B$5:$B$3004,"Entrada"))</f>
        <v/>
      </c>
      <c r="K45" s="14" t="str">
        <f>IF($A45="","",SUMIFS(Movimientos!$F$5:$F$3004,Movimientos!$C$5:$C$3004,$A45,Movimientos!$B$5:$B$3004,"Salida"))</f>
        <v/>
      </c>
      <c r="L45" s="14" t="str">
        <f t="shared" si="0"/>
        <v/>
      </c>
      <c r="M45" s="22" t="str">
        <f t="shared" si="1"/>
        <v/>
      </c>
      <c r="N45" s="23" t="str">
        <f t="shared" si="2"/>
        <v/>
      </c>
      <c r="O45" s="14" t="str">
        <f>IF(OR(N45="Reordenar",N45="Agotado"),COUNTIF($N$5:N45,"Reordenar")+COUNTIF($N$5:N45,"Agotado"),"")</f>
        <v/>
      </c>
    </row>
    <row r="46" spans="1:15" x14ac:dyDescent="0.25">
      <c r="A46" s="20"/>
      <c r="B46" s="20"/>
      <c r="C46" s="20"/>
      <c r="D46" s="20"/>
      <c r="E46" s="20"/>
      <c r="F46" s="21"/>
      <c r="G46" s="20"/>
      <c r="H46" s="20"/>
      <c r="I46" s="20"/>
      <c r="J46" s="14" t="str">
        <f>IF($A46="","",SUMIFS(Movimientos!$F$5:$F$3004,Movimientos!$C$5:$C$3004,$A46,Movimientos!$B$5:$B$3004,"Entrada"))</f>
        <v/>
      </c>
      <c r="K46" s="14" t="str">
        <f>IF($A46="","",SUMIFS(Movimientos!$F$5:$F$3004,Movimientos!$C$5:$C$3004,$A46,Movimientos!$B$5:$B$3004,"Salida"))</f>
        <v/>
      </c>
      <c r="L46" s="14" t="str">
        <f t="shared" si="0"/>
        <v/>
      </c>
      <c r="M46" s="22" t="str">
        <f t="shared" si="1"/>
        <v/>
      </c>
      <c r="N46" s="23" t="str">
        <f t="shared" si="2"/>
        <v/>
      </c>
      <c r="O46" s="14" t="str">
        <f>IF(OR(N46="Reordenar",N46="Agotado"),COUNTIF($N$5:N46,"Reordenar")+COUNTIF($N$5:N46,"Agotado"),"")</f>
        <v/>
      </c>
    </row>
    <row r="47" spans="1:15" x14ac:dyDescent="0.25">
      <c r="A47" s="20"/>
      <c r="B47" s="20"/>
      <c r="C47" s="20"/>
      <c r="D47" s="20"/>
      <c r="E47" s="20"/>
      <c r="F47" s="21"/>
      <c r="G47" s="20"/>
      <c r="H47" s="20"/>
      <c r="I47" s="20"/>
      <c r="J47" s="14" t="str">
        <f>IF($A47="","",SUMIFS(Movimientos!$F$5:$F$3004,Movimientos!$C$5:$C$3004,$A47,Movimientos!$B$5:$B$3004,"Entrada"))</f>
        <v/>
      </c>
      <c r="K47" s="14" t="str">
        <f>IF($A47="","",SUMIFS(Movimientos!$F$5:$F$3004,Movimientos!$C$5:$C$3004,$A47,Movimientos!$B$5:$B$3004,"Salida"))</f>
        <v/>
      </c>
      <c r="L47" s="14" t="str">
        <f t="shared" si="0"/>
        <v/>
      </c>
      <c r="M47" s="22" t="str">
        <f t="shared" si="1"/>
        <v/>
      </c>
      <c r="N47" s="23" t="str">
        <f t="shared" si="2"/>
        <v/>
      </c>
      <c r="O47" s="14" t="str">
        <f>IF(OR(N47="Reordenar",N47="Agotado"),COUNTIF($N$5:N47,"Reordenar")+COUNTIF($N$5:N47,"Agotado"),"")</f>
        <v/>
      </c>
    </row>
    <row r="48" spans="1:15" x14ac:dyDescent="0.25">
      <c r="A48" s="20"/>
      <c r="B48" s="20"/>
      <c r="C48" s="20"/>
      <c r="D48" s="20"/>
      <c r="E48" s="20"/>
      <c r="F48" s="21"/>
      <c r="G48" s="20"/>
      <c r="H48" s="20"/>
      <c r="I48" s="20"/>
      <c r="J48" s="14" t="str">
        <f>IF($A48="","",SUMIFS(Movimientos!$F$5:$F$3004,Movimientos!$C$5:$C$3004,$A48,Movimientos!$B$5:$B$3004,"Entrada"))</f>
        <v/>
      </c>
      <c r="K48" s="14" t="str">
        <f>IF($A48="","",SUMIFS(Movimientos!$F$5:$F$3004,Movimientos!$C$5:$C$3004,$A48,Movimientos!$B$5:$B$3004,"Salida"))</f>
        <v/>
      </c>
      <c r="L48" s="14" t="str">
        <f t="shared" si="0"/>
        <v/>
      </c>
      <c r="M48" s="22" t="str">
        <f t="shared" si="1"/>
        <v/>
      </c>
      <c r="N48" s="23" t="str">
        <f t="shared" si="2"/>
        <v/>
      </c>
      <c r="O48" s="14" t="str">
        <f>IF(OR(N48="Reordenar",N48="Agotado"),COUNTIF($N$5:N48,"Reordenar")+COUNTIF($N$5:N48,"Agotado"),"")</f>
        <v/>
      </c>
    </row>
    <row r="49" spans="1:15" x14ac:dyDescent="0.25">
      <c r="A49" s="20"/>
      <c r="B49" s="20"/>
      <c r="C49" s="20"/>
      <c r="D49" s="20"/>
      <c r="E49" s="20"/>
      <c r="F49" s="21"/>
      <c r="G49" s="20"/>
      <c r="H49" s="20"/>
      <c r="I49" s="20"/>
      <c r="J49" s="14" t="str">
        <f>IF($A49="","",SUMIFS(Movimientos!$F$5:$F$3004,Movimientos!$C$5:$C$3004,$A49,Movimientos!$B$5:$B$3004,"Entrada"))</f>
        <v/>
      </c>
      <c r="K49" s="14" t="str">
        <f>IF($A49="","",SUMIFS(Movimientos!$F$5:$F$3004,Movimientos!$C$5:$C$3004,$A49,Movimientos!$B$5:$B$3004,"Salida"))</f>
        <v/>
      </c>
      <c r="L49" s="14" t="str">
        <f t="shared" si="0"/>
        <v/>
      </c>
      <c r="M49" s="22" t="str">
        <f t="shared" si="1"/>
        <v/>
      </c>
      <c r="N49" s="23" t="str">
        <f t="shared" si="2"/>
        <v/>
      </c>
      <c r="O49" s="14" t="str">
        <f>IF(OR(N49="Reordenar",N49="Agotado"),COUNTIF($N$5:N49,"Reordenar")+COUNTIF($N$5:N49,"Agotado"),"")</f>
        <v/>
      </c>
    </row>
    <row r="50" spans="1:15" x14ac:dyDescent="0.25">
      <c r="A50" s="20"/>
      <c r="B50" s="20"/>
      <c r="C50" s="20"/>
      <c r="D50" s="20"/>
      <c r="E50" s="20"/>
      <c r="F50" s="21"/>
      <c r="G50" s="20"/>
      <c r="H50" s="20"/>
      <c r="I50" s="20"/>
      <c r="J50" s="14" t="str">
        <f>IF($A50="","",SUMIFS(Movimientos!$F$5:$F$3004,Movimientos!$C$5:$C$3004,$A50,Movimientos!$B$5:$B$3004,"Entrada"))</f>
        <v/>
      </c>
      <c r="K50" s="14" t="str">
        <f>IF($A50="","",SUMIFS(Movimientos!$F$5:$F$3004,Movimientos!$C$5:$C$3004,$A50,Movimientos!$B$5:$B$3004,"Salida"))</f>
        <v/>
      </c>
      <c r="L50" s="14" t="str">
        <f t="shared" si="0"/>
        <v/>
      </c>
      <c r="M50" s="22" t="str">
        <f t="shared" si="1"/>
        <v/>
      </c>
      <c r="N50" s="23" t="str">
        <f t="shared" si="2"/>
        <v/>
      </c>
      <c r="O50" s="14" t="str">
        <f>IF(OR(N50="Reordenar",N50="Agotado"),COUNTIF($N$5:N50,"Reordenar")+COUNTIF($N$5:N50,"Agotado"),"")</f>
        <v/>
      </c>
    </row>
    <row r="51" spans="1:15" x14ac:dyDescent="0.25">
      <c r="A51" s="20"/>
      <c r="B51" s="20"/>
      <c r="C51" s="20"/>
      <c r="D51" s="20"/>
      <c r="E51" s="20"/>
      <c r="F51" s="21"/>
      <c r="G51" s="20"/>
      <c r="H51" s="20"/>
      <c r="I51" s="20"/>
      <c r="J51" s="14" t="str">
        <f>IF($A51="","",SUMIFS(Movimientos!$F$5:$F$3004,Movimientos!$C$5:$C$3004,$A51,Movimientos!$B$5:$B$3004,"Entrada"))</f>
        <v/>
      </c>
      <c r="K51" s="14" t="str">
        <f>IF($A51="","",SUMIFS(Movimientos!$F$5:$F$3004,Movimientos!$C$5:$C$3004,$A51,Movimientos!$B$5:$B$3004,"Salida"))</f>
        <v/>
      </c>
      <c r="L51" s="14" t="str">
        <f t="shared" si="0"/>
        <v/>
      </c>
      <c r="M51" s="22" t="str">
        <f t="shared" si="1"/>
        <v/>
      </c>
      <c r="N51" s="23" t="str">
        <f t="shared" si="2"/>
        <v/>
      </c>
      <c r="O51" s="14" t="str">
        <f>IF(OR(N51="Reordenar",N51="Agotado"),COUNTIF($N$5:N51,"Reordenar")+COUNTIF($N$5:N51,"Agotado"),"")</f>
        <v/>
      </c>
    </row>
    <row r="52" spans="1:15" x14ac:dyDescent="0.25">
      <c r="A52" s="20"/>
      <c r="B52" s="20"/>
      <c r="C52" s="20"/>
      <c r="D52" s="20"/>
      <c r="E52" s="20"/>
      <c r="F52" s="21"/>
      <c r="G52" s="20"/>
      <c r="H52" s="20"/>
      <c r="I52" s="20"/>
      <c r="J52" s="14" t="str">
        <f>IF($A52="","",SUMIFS(Movimientos!$F$5:$F$3004,Movimientos!$C$5:$C$3004,$A52,Movimientos!$B$5:$B$3004,"Entrada"))</f>
        <v/>
      </c>
      <c r="K52" s="14" t="str">
        <f>IF($A52="","",SUMIFS(Movimientos!$F$5:$F$3004,Movimientos!$C$5:$C$3004,$A52,Movimientos!$B$5:$B$3004,"Salida"))</f>
        <v/>
      </c>
      <c r="L52" s="14" t="str">
        <f t="shared" si="0"/>
        <v/>
      </c>
      <c r="M52" s="22" t="str">
        <f t="shared" si="1"/>
        <v/>
      </c>
      <c r="N52" s="23" t="str">
        <f t="shared" si="2"/>
        <v/>
      </c>
      <c r="O52" s="14" t="str">
        <f>IF(OR(N52="Reordenar",N52="Agotado"),COUNTIF($N$5:N52,"Reordenar")+COUNTIF($N$5:N52,"Agotado"),"")</f>
        <v/>
      </c>
    </row>
    <row r="53" spans="1:15" x14ac:dyDescent="0.25">
      <c r="A53" s="20"/>
      <c r="B53" s="20"/>
      <c r="C53" s="20"/>
      <c r="D53" s="20"/>
      <c r="E53" s="20"/>
      <c r="F53" s="21"/>
      <c r="G53" s="20"/>
      <c r="H53" s="20"/>
      <c r="I53" s="20"/>
      <c r="J53" s="14" t="str">
        <f>IF($A53="","",SUMIFS(Movimientos!$F$5:$F$3004,Movimientos!$C$5:$C$3004,$A53,Movimientos!$B$5:$B$3004,"Entrada"))</f>
        <v/>
      </c>
      <c r="K53" s="14" t="str">
        <f>IF($A53="","",SUMIFS(Movimientos!$F$5:$F$3004,Movimientos!$C$5:$C$3004,$A53,Movimientos!$B$5:$B$3004,"Salida"))</f>
        <v/>
      </c>
      <c r="L53" s="14" t="str">
        <f t="shared" si="0"/>
        <v/>
      </c>
      <c r="M53" s="22" t="str">
        <f t="shared" si="1"/>
        <v/>
      </c>
      <c r="N53" s="23" t="str">
        <f t="shared" si="2"/>
        <v/>
      </c>
      <c r="O53" s="14" t="str">
        <f>IF(OR(N53="Reordenar",N53="Agotado"),COUNTIF($N$5:N53,"Reordenar")+COUNTIF($N$5:N53,"Agotado"),"")</f>
        <v/>
      </c>
    </row>
    <row r="54" spans="1:15" x14ac:dyDescent="0.25">
      <c r="A54" s="20"/>
      <c r="B54" s="20"/>
      <c r="C54" s="20"/>
      <c r="D54" s="20"/>
      <c r="E54" s="20"/>
      <c r="F54" s="21"/>
      <c r="G54" s="20"/>
      <c r="H54" s="20"/>
      <c r="I54" s="20"/>
      <c r="J54" s="14" t="str">
        <f>IF($A54="","",SUMIFS(Movimientos!$F$5:$F$3004,Movimientos!$C$5:$C$3004,$A54,Movimientos!$B$5:$B$3004,"Entrada"))</f>
        <v/>
      </c>
      <c r="K54" s="14" t="str">
        <f>IF($A54="","",SUMIFS(Movimientos!$F$5:$F$3004,Movimientos!$C$5:$C$3004,$A54,Movimientos!$B$5:$B$3004,"Salida"))</f>
        <v/>
      </c>
      <c r="L54" s="14" t="str">
        <f t="shared" si="0"/>
        <v/>
      </c>
      <c r="M54" s="22" t="str">
        <f t="shared" si="1"/>
        <v/>
      </c>
      <c r="N54" s="23" t="str">
        <f t="shared" si="2"/>
        <v/>
      </c>
      <c r="O54" s="14" t="str">
        <f>IF(OR(N54="Reordenar",N54="Agotado"),COUNTIF($N$5:N54,"Reordenar")+COUNTIF($N$5:N54,"Agotado"),"")</f>
        <v/>
      </c>
    </row>
    <row r="55" spans="1:15" x14ac:dyDescent="0.25">
      <c r="A55" s="20"/>
      <c r="B55" s="20"/>
      <c r="C55" s="20"/>
      <c r="D55" s="20"/>
      <c r="E55" s="20"/>
      <c r="F55" s="21"/>
      <c r="G55" s="20"/>
      <c r="H55" s="20"/>
      <c r="I55" s="20"/>
      <c r="J55" s="14" t="str">
        <f>IF($A55="","",SUMIFS(Movimientos!$F$5:$F$3004,Movimientos!$C$5:$C$3004,$A55,Movimientos!$B$5:$B$3004,"Entrada"))</f>
        <v/>
      </c>
      <c r="K55" s="14" t="str">
        <f>IF($A55="","",SUMIFS(Movimientos!$F$5:$F$3004,Movimientos!$C$5:$C$3004,$A55,Movimientos!$B$5:$B$3004,"Salida"))</f>
        <v/>
      </c>
      <c r="L55" s="14" t="str">
        <f t="shared" si="0"/>
        <v/>
      </c>
      <c r="M55" s="22" t="str">
        <f t="shared" si="1"/>
        <v/>
      </c>
      <c r="N55" s="23" t="str">
        <f t="shared" si="2"/>
        <v/>
      </c>
      <c r="O55" s="14" t="str">
        <f>IF(OR(N55="Reordenar",N55="Agotado"),COUNTIF($N$5:N55,"Reordenar")+COUNTIF($N$5:N55,"Agotado"),"")</f>
        <v/>
      </c>
    </row>
    <row r="56" spans="1:15" x14ac:dyDescent="0.25">
      <c r="A56" s="20"/>
      <c r="B56" s="20"/>
      <c r="C56" s="20"/>
      <c r="D56" s="20"/>
      <c r="E56" s="20"/>
      <c r="F56" s="21"/>
      <c r="G56" s="20"/>
      <c r="H56" s="20"/>
      <c r="I56" s="20"/>
      <c r="J56" s="14" t="str">
        <f>IF($A56="","",SUMIFS(Movimientos!$F$5:$F$3004,Movimientos!$C$5:$C$3004,$A56,Movimientos!$B$5:$B$3004,"Entrada"))</f>
        <v/>
      </c>
      <c r="K56" s="14" t="str">
        <f>IF($A56="","",SUMIFS(Movimientos!$F$5:$F$3004,Movimientos!$C$5:$C$3004,$A56,Movimientos!$B$5:$B$3004,"Salida"))</f>
        <v/>
      </c>
      <c r="L56" s="14" t="str">
        <f t="shared" si="0"/>
        <v/>
      </c>
      <c r="M56" s="22" t="str">
        <f t="shared" si="1"/>
        <v/>
      </c>
      <c r="N56" s="23" t="str">
        <f t="shared" si="2"/>
        <v/>
      </c>
      <c r="O56" s="14" t="str">
        <f>IF(OR(N56="Reordenar",N56="Agotado"),COUNTIF($N$5:N56,"Reordenar")+COUNTIF($N$5:N56,"Agotado"),"")</f>
        <v/>
      </c>
    </row>
    <row r="57" spans="1:15" x14ac:dyDescent="0.25">
      <c r="A57" s="20"/>
      <c r="B57" s="20"/>
      <c r="C57" s="20"/>
      <c r="D57" s="20"/>
      <c r="E57" s="20"/>
      <c r="F57" s="21"/>
      <c r="G57" s="20"/>
      <c r="H57" s="20"/>
      <c r="I57" s="20"/>
      <c r="J57" s="14" t="str">
        <f>IF($A57="","",SUMIFS(Movimientos!$F$5:$F$3004,Movimientos!$C$5:$C$3004,$A57,Movimientos!$B$5:$B$3004,"Entrada"))</f>
        <v/>
      </c>
      <c r="K57" s="14" t="str">
        <f>IF($A57="","",SUMIFS(Movimientos!$F$5:$F$3004,Movimientos!$C$5:$C$3004,$A57,Movimientos!$B$5:$B$3004,"Salida"))</f>
        <v/>
      </c>
      <c r="L57" s="14" t="str">
        <f t="shared" si="0"/>
        <v/>
      </c>
      <c r="M57" s="22" t="str">
        <f t="shared" si="1"/>
        <v/>
      </c>
      <c r="N57" s="23" t="str">
        <f t="shared" si="2"/>
        <v/>
      </c>
      <c r="O57" s="14" t="str">
        <f>IF(OR(N57="Reordenar",N57="Agotado"),COUNTIF($N$5:N57,"Reordenar")+COUNTIF($N$5:N57,"Agotado"),"")</f>
        <v/>
      </c>
    </row>
    <row r="58" spans="1:15" x14ac:dyDescent="0.25">
      <c r="A58" s="20"/>
      <c r="B58" s="20"/>
      <c r="C58" s="20"/>
      <c r="D58" s="20"/>
      <c r="E58" s="20"/>
      <c r="F58" s="21"/>
      <c r="G58" s="20"/>
      <c r="H58" s="20"/>
      <c r="I58" s="20"/>
      <c r="J58" s="14" t="str">
        <f>IF($A58="","",SUMIFS(Movimientos!$F$5:$F$3004,Movimientos!$C$5:$C$3004,$A58,Movimientos!$B$5:$B$3004,"Entrada"))</f>
        <v/>
      </c>
      <c r="K58" s="14" t="str">
        <f>IF($A58="","",SUMIFS(Movimientos!$F$5:$F$3004,Movimientos!$C$5:$C$3004,$A58,Movimientos!$B$5:$B$3004,"Salida"))</f>
        <v/>
      </c>
      <c r="L58" s="14" t="str">
        <f t="shared" si="0"/>
        <v/>
      </c>
      <c r="M58" s="22" t="str">
        <f t="shared" si="1"/>
        <v/>
      </c>
      <c r="N58" s="23" t="str">
        <f t="shared" si="2"/>
        <v/>
      </c>
      <c r="O58" s="14" t="str">
        <f>IF(OR(N58="Reordenar",N58="Agotado"),COUNTIF($N$5:N58,"Reordenar")+COUNTIF($N$5:N58,"Agotado"),"")</f>
        <v/>
      </c>
    </row>
    <row r="59" spans="1:15" x14ac:dyDescent="0.25">
      <c r="A59" s="20"/>
      <c r="B59" s="20"/>
      <c r="C59" s="20"/>
      <c r="D59" s="20"/>
      <c r="E59" s="20"/>
      <c r="F59" s="21"/>
      <c r="G59" s="20"/>
      <c r="H59" s="20"/>
      <c r="I59" s="20"/>
      <c r="J59" s="14" t="str">
        <f>IF($A59="","",SUMIFS(Movimientos!$F$5:$F$3004,Movimientos!$C$5:$C$3004,$A59,Movimientos!$B$5:$B$3004,"Entrada"))</f>
        <v/>
      </c>
      <c r="K59" s="14" t="str">
        <f>IF($A59="","",SUMIFS(Movimientos!$F$5:$F$3004,Movimientos!$C$5:$C$3004,$A59,Movimientos!$B$5:$B$3004,"Salida"))</f>
        <v/>
      </c>
      <c r="L59" s="14" t="str">
        <f t="shared" si="0"/>
        <v/>
      </c>
      <c r="M59" s="22" t="str">
        <f t="shared" si="1"/>
        <v/>
      </c>
      <c r="N59" s="23" t="str">
        <f t="shared" si="2"/>
        <v/>
      </c>
      <c r="O59" s="14" t="str">
        <f>IF(OR(N59="Reordenar",N59="Agotado"),COUNTIF($N$5:N59,"Reordenar")+COUNTIF($N$5:N59,"Agotado"),"")</f>
        <v/>
      </c>
    </row>
    <row r="60" spans="1:15" x14ac:dyDescent="0.25">
      <c r="A60" s="20"/>
      <c r="B60" s="20"/>
      <c r="C60" s="20"/>
      <c r="D60" s="20"/>
      <c r="E60" s="20"/>
      <c r="F60" s="21"/>
      <c r="G60" s="20"/>
      <c r="H60" s="20"/>
      <c r="I60" s="20"/>
      <c r="J60" s="14" t="str">
        <f>IF($A60="","",SUMIFS(Movimientos!$F$5:$F$3004,Movimientos!$C$5:$C$3004,$A60,Movimientos!$B$5:$B$3004,"Entrada"))</f>
        <v/>
      </c>
      <c r="K60" s="14" t="str">
        <f>IF($A60="","",SUMIFS(Movimientos!$F$5:$F$3004,Movimientos!$C$5:$C$3004,$A60,Movimientos!$B$5:$B$3004,"Salida"))</f>
        <v/>
      </c>
      <c r="L60" s="14" t="str">
        <f t="shared" si="0"/>
        <v/>
      </c>
      <c r="M60" s="22" t="str">
        <f t="shared" si="1"/>
        <v/>
      </c>
      <c r="N60" s="23" t="str">
        <f t="shared" si="2"/>
        <v/>
      </c>
      <c r="O60" s="14" t="str">
        <f>IF(OR(N60="Reordenar",N60="Agotado"),COUNTIF($N$5:N60,"Reordenar")+COUNTIF($N$5:N60,"Agotado"),"")</f>
        <v/>
      </c>
    </row>
    <row r="61" spans="1:15" x14ac:dyDescent="0.25">
      <c r="A61" s="20"/>
      <c r="B61" s="20"/>
      <c r="C61" s="20"/>
      <c r="D61" s="20"/>
      <c r="E61" s="20"/>
      <c r="F61" s="21"/>
      <c r="G61" s="20"/>
      <c r="H61" s="20"/>
      <c r="I61" s="20"/>
      <c r="J61" s="14" t="str">
        <f>IF($A61="","",SUMIFS(Movimientos!$F$5:$F$3004,Movimientos!$C$5:$C$3004,$A61,Movimientos!$B$5:$B$3004,"Entrada"))</f>
        <v/>
      </c>
      <c r="K61" s="14" t="str">
        <f>IF($A61="","",SUMIFS(Movimientos!$F$5:$F$3004,Movimientos!$C$5:$C$3004,$A61,Movimientos!$B$5:$B$3004,"Salida"))</f>
        <v/>
      </c>
      <c r="L61" s="14" t="str">
        <f t="shared" si="0"/>
        <v/>
      </c>
      <c r="M61" s="22" t="str">
        <f t="shared" si="1"/>
        <v/>
      </c>
      <c r="N61" s="23" t="str">
        <f t="shared" si="2"/>
        <v/>
      </c>
      <c r="O61" s="14" t="str">
        <f>IF(OR(N61="Reordenar",N61="Agotado"),COUNTIF($N$5:N61,"Reordenar")+COUNTIF($N$5:N61,"Agotado"),"")</f>
        <v/>
      </c>
    </row>
    <row r="62" spans="1:15" x14ac:dyDescent="0.25">
      <c r="A62" s="20"/>
      <c r="B62" s="20"/>
      <c r="C62" s="20"/>
      <c r="D62" s="20"/>
      <c r="E62" s="20"/>
      <c r="F62" s="21"/>
      <c r="G62" s="20"/>
      <c r="H62" s="20"/>
      <c r="I62" s="20"/>
      <c r="J62" s="14" t="str">
        <f>IF($A62="","",SUMIFS(Movimientos!$F$5:$F$3004,Movimientos!$C$5:$C$3004,$A62,Movimientos!$B$5:$B$3004,"Entrada"))</f>
        <v/>
      </c>
      <c r="K62" s="14" t="str">
        <f>IF($A62="","",SUMIFS(Movimientos!$F$5:$F$3004,Movimientos!$C$5:$C$3004,$A62,Movimientos!$B$5:$B$3004,"Salida"))</f>
        <v/>
      </c>
      <c r="L62" s="14" t="str">
        <f t="shared" si="0"/>
        <v/>
      </c>
      <c r="M62" s="22" t="str">
        <f t="shared" si="1"/>
        <v/>
      </c>
      <c r="N62" s="23" t="str">
        <f t="shared" si="2"/>
        <v/>
      </c>
      <c r="O62" s="14" t="str">
        <f>IF(OR(N62="Reordenar",N62="Agotado"),COUNTIF($N$5:N62,"Reordenar")+COUNTIF($N$5:N62,"Agotado"),"")</f>
        <v/>
      </c>
    </row>
    <row r="63" spans="1:15" x14ac:dyDescent="0.25">
      <c r="A63" s="20"/>
      <c r="B63" s="20"/>
      <c r="C63" s="20"/>
      <c r="D63" s="20"/>
      <c r="E63" s="20"/>
      <c r="F63" s="21"/>
      <c r="G63" s="20"/>
      <c r="H63" s="20"/>
      <c r="I63" s="20"/>
      <c r="J63" s="14" t="str">
        <f>IF($A63="","",SUMIFS(Movimientos!$F$5:$F$3004,Movimientos!$C$5:$C$3004,$A63,Movimientos!$B$5:$B$3004,"Entrada"))</f>
        <v/>
      </c>
      <c r="K63" s="14" t="str">
        <f>IF($A63="","",SUMIFS(Movimientos!$F$5:$F$3004,Movimientos!$C$5:$C$3004,$A63,Movimientos!$B$5:$B$3004,"Salida"))</f>
        <v/>
      </c>
      <c r="L63" s="14" t="str">
        <f t="shared" si="0"/>
        <v/>
      </c>
      <c r="M63" s="22" t="str">
        <f t="shared" si="1"/>
        <v/>
      </c>
      <c r="N63" s="23" t="str">
        <f t="shared" si="2"/>
        <v/>
      </c>
      <c r="O63" s="14" t="str">
        <f>IF(OR(N63="Reordenar",N63="Agotado"),COUNTIF($N$5:N63,"Reordenar")+COUNTIF($N$5:N63,"Agotado"),"")</f>
        <v/>
      </c>
    </row>
    <row r="64" spans="1:15" x14ac:dyDescent="0.25">
      <c r="A64" s="20"/>
      <c r="B64" s="20"/>
      <c r="C64" s="20"/>
      <c r="D64" s="20"/>
      <c r="E64" s="20"/>
      <c r="F64" s="21"/>
      <c r="G64" s="20"/>
      <c r="H64" s="20"/>
      <c r="I64" s="20"/>
      <c r="J64" s="14" t="str">
        <f>IF($A64="","",SUMIFS(Movimientos!$F$5:$F$3004,Movimientos!$C$5:$C$3004,$A64,Movimientos!$B$5:$B$3004,"Entrada"))</f>
        <v/>
      </c>
      <c r="K64" s="14" t="str">
        <f>IF($A64="","",SUMIFS(Movimientos!$F$5:$F$3004,Movimientos!$C$5:$C$3004,$A64,Movimientos!$B$5:$B$3004,"Salida"))</f>
        <v/>
      </c>
      <c r="L64" s="14" t="str">
        <f t="shared" si="0"/>
        <v/>
      </c>
      <c r="M64" s="22" t="str">
        <f t="shared" si="1"/>
        <v/>
      </c>
      <c r="N64" s="23" t="str">
        <f t="shared" si="2"/>
        <v/>
      </c>
      <c r="O64" s="14" t="str">
        <f>IF(OR(N64="Reordenar",N64="Agotado"),COUNTIF($N$5:N64,"Reordenar")+COUNTIF($N$5:N64,"Agotado"),"")</f>
        <v/>
      </c>
    </row>
    <row r="65" spans="1:15" x14ac:dyDescent="0.25">
      <c r="A65" s="20"/>
      <c r="B65" s="20"/>
      <c r="C65" s="20"/>
      <c r="D65" s="20"/>
      <c r="E65" s="20"/>
      <c r="F65" s="21"/>
      <c r="G65" s="20"/>
      <c r="H65" s="20"/>
      <c r="I65" s="20"/>
      <c r="J65" s="14" t="str">
        <f>IF($A65="","",SUMIFS(Movimientos!$F$5:$F$3004,Movimientos!$C$5:$C$3004,$A65,Movimientos!$B$5:$B$3004,"Entrada"))</f>
        <v/>
      </c>
      <c r="K65" s="14" t="str">
        <f>IF($A65="","",SUMIFS(Movimientos!$F$5:$F$3004,Movimientos!$C$5:$C$3004,$A65,Movimientos!$B$5:$B$3004,"Salida"))</f>
        <v/>
      </c>
      <c r="L65" s="14" t="str">
        <f t="shared" si="0"/>
        <v/>
      </c>
      <c r="M65" s="22" t="str">
        <f t="shared" si="1"/>
        <v/>
      </c>
      <c r="N65" s="23" t="str">
        <f t="shared" si="2"/>
        <v/>
      </c>
      <c r="O65" s="14" t="str">
        <f>IF(OR(N65="Reordenar",N65="Agotado"),COUNTIF($N$5:N65,"Reordenar")+COUNTIF($N$5:N65,"Agotado"),"")</f>
        <v/>
      </c>
    </row>
    <row r="66" spans="1:15" x14ac:dyDescent="0.25">
      <c r="A66" s="20"/>
      <c r="B66" s="20"/>
      <c r="C66" s="20"/>
      <c r="D66" s="20"/>
      <c r="E66" s="20"/>
      <c r="F66" s="21"/>
      <c r="G66" s="20"/>
      <c r="H66" s="20"/>
      <c r="I66" s="20"/>
      <c r="J66" s="14" t="str">
        <f>IF($A66="","",SUMIFS(Movimientos!$F$5:$F$3004,Movimientos!$C$5:$C$3004,$A66,Movimientos!$B$5:$B$3004,"Entrada"))</f>
        <v/>
      </c>
      <c r="K66" s="14" t="str">
        <f>IF($A66="","",SUMIFS(Movimientos!$F$5:$F$3004,Movimientos!$C$5:$C$3004,$A66,Movimientos!$B$5:$B$3004,"Salida"))</f>
        <v/>
      </c>
      <c r="L66" s="14" t="str">
        <f t="shared" si="0"/>
        <v/>
      </c>
      <c r="M66" s="22" t="str">
        <f t="shared" si="1"/>
        <v/>
      </c>
      <c r="N66" s="23" t="str">
        <f t="shared" si="2"/>
        <v/>
      </c>
      <c r="O66" s="14" t="str">
        <f>IF(OR(N66="Reordenar",N66="Agotado"),COUNTIF($N$5:N66,"Reordenar")+COUNTIF($N$5:N66,"Agotado"),"")</f>
        <v/>
      </c>
    </row>
    <row r="67" spans="1:15" x14ac:dyDescent="0.25">
      <c r="A67" s="20"/>
      <c r="B67" s="20"/>
      <c r="C67" s="20"/>
      <c r="D67" s="20"/>
      <c r="E67" s="20"/>
      <c r="F67" s="21"/>
      <c r="G67" s="20"/>
      <c r="H67" s="20"/>
      <c r="I67" s="20"/>
      <c r="J67" s="14" t="str">
        <f>IF($A67="","",SUMIFS(Movimientos!$F$5:$F$3004,Movimientos!$C$5:$C$3004,$A67,Movimientos!$B$5:$B$3004,"Entrada"))</f>
        <v/>
      </c>
      <c r="K67" s="14" t="str">
        <f>IF($A67="","",SUMIFS(Movimientos!$F$5:$F$3004,Movimientos!$C$5:$C$3004,$A67,Movimientos!$B$5:$B$3004,"Salida"))</f>
        <v/>
      </c>
      <c r="L67" s="14" t="str">
        <f t="shared" si="0"/>
        <v/>
      </c>
      <c r="M67" s="22" t="str">
        <f t="shared" si="1"/>
        <v/>
      </c>
      <c r="N67" s="23" t="str">
        <f t="shared" si="2"/>
        <v/>
      </c>
      <c r="O67" s="14" t="str">
        <f>IF(OR(N67="Reordenar",N67="Agotado"),COUNTIF($N$5:N67,"Reordenar")+COUNTIF($N$5:N67,"Agotado"),"")</f>
        <v/>
      </c>
    </row>
    <row r="68" spans="1:15" x14ac:dyDescent="0.25">
      <c r="A68" s="20"/>
      <c r="B68" s="20"/>
      <c r="C68" s="20"/>
      <c r="D68" s="20"/>
      <c r="E68" s="20"/>
      <c r="F68" s="21"/>
      <c r="G68" s="20"/>
      <c r="H68" s="20"/>
      <c r="I68" s="20"/>
      <c r="J68" s="14" t="str">
        <f>IF($A68="","",SUMIFS(Movimientos!$F$5:$F$3004,Movimientos!$C$5:$C$3004,$A68,Movimientos!$B$5:$B$3004,"Entrada"))</f>
        <v/>
      </c>
      <c r="K68" s="14" t="str">
        <f>IF($A68="","",SUMIFS(Movimientos!$F$5:$F$3004,Movimientos!$C$5:$C$3004,$A68,Movimientos!$B$5:$B$3004,"Salida"))</f>
        <v/>
      </c>
      <c r="L68" s="14" t="str">
        <f t="shared" si="0"/>
        <v/>
      </c>
      <c r="M68" s="22" t="str">
        <f t="shared" si="1"/>
        <v/>
      </c>
      <c r="N68" s="23" t="str">
        <f t="shared" si="2"/>
        <v/>
      </c>
      <c r="O68" s="14" t="str">
        <f>IF(OR(N68="Reordenar",N68="Agotado"),COUNTIF($N$5:N68,"Reordenar")+COUNTIF($N$5:N68,"Agotado"),"")</f>
        <v/>
      </c>
    </row>
    <row r="69" spans="1:15" x14ac:dyDescent="0.25">
      <c r="A69" s="20"/>
      <c r="B69" s="20"/>
      <c r="C69" s="20"/>
      <c r="D69" s="20"/>
      <c r="E69" s="20"/>
      <c r="F69" s="21"/>
      <c r="G69" s="20"/>
      <c r="H69" s="20"/>
      <c r="I69" s="20"/>
      <c r="J69" s="14" t="str">
        <f>IF($A69="","",SUMIFS(Movimientos!$F$5:$F$3004,Movimientos!$C$5:$C$3004,$A69,Movimientos!$B$5:$B$3004,"Entrada"))</f>
        <v/>
      </c>
      <c r="K69" s="14" t="str">
        <f>IF($A69="","",SUMIFS(Movimientos!$F$5:$F$3004,Movimientos!$C$5:$C$3004,$A69,Movimientos!$B$5:$B$3004,"Salida"))</f>
        <v/>
      </c>
      <c r="L69" s="14" t="str">
        <f t="shared" ref="L69:L132" si="3">IF($A69="","",N(I69)+J69-K69)</f>
        <v/>
      </c>
      <c r="M69" s="22" t="str">
        <f t="shared" ref="M69:M132" si="4">IF($A69="","",L69*N(F69))</f>
        <v/>
      </c>
      <c r="N69" s="23" t="str">
        <f t="shared" ref="N69:N132" si="5">IF($A69="","",IF(L69&lt;=0,"Agotado",IF(AND(N(G69)&gt;0,L69&lt;=G69),"Reordenar","OK")))</f>
        <v/>
      </c>
      <c r="O69" s="14" t="str">
        <f>IF(OR(N69="Reordenar",N69="Agotado"),COUNTIF($N$5:N69,"Reordenar")+COUNTIF($N$5:N69,"Agotado"),"")</f>
        <v/>
      </c>
    </row>
    <row r="70" spans="1:15" x14ac:dyDescent="0.25">
      <c r="A70" s="20"/>
      <c r="B70" s="20"/>
      <c r="C70" s="20"/>
      <c r="D70" s="20"/>
      <c r="E70" s="20"/>
      <c r="F70" s="21"/>
      <c r="G70" s="20"/>
      <c r="H70" s="20"/>
      <c r="I70" s="20"/>
      <c r="J70" s="14" t="str">
        <f>IF($A70="","",SUMIFS(Movimientos!$F$5:$F$3004,Movimientos!$C$5:$C$3004,$A70,Movimientos!$B$5:$B$3004,"Entrada"))</f>
        <v/>
      </c>
      <c r="K70" s="14" t="str">
        <f>IF($A70="","",SUMIFS(Movimientos!$F$5:$F$3004,Movimientos!$C$5:$C$3004,$A70,Movimientos!$B$5:$B$3004,"Salida"))</f>
        <v/>
      </c>
      <c r="L70" s="14" t="str">
        <f t="shared" si="3"/>
        <v/>
      </c>
      <c r="M70" s="22" t="str">
        <f t="shared" si="4"/>
        <v/>
      </c>
      <c r="N70" s="23" t="str">
        <f t="shared" si="5"/>
        <v/>
      </c>
      <c r="O70" s="14" t="str">
        <f>IF(OR(N70="Reordenar",N70="Agotado"),COUNTIF($N$5:N70,"Reordenar")+COUNTIF($N$5:N70,"Agotado"),"")</f>
        <v/>
      </c>
    </row>
    <row r="71" spans="1:15" x14ac:dyDescent="0.25">
      <c r="A71" s="20"/>
      <c r="B71" s="20"/>
      <c r="C71" s="20"/>
      <c r="D71" s="20"/>
      <c r="E71" s="20"/>
      <c r="F71" s="21"/>
      <c r="G71" s="20"/>
      <c r="H71" s="20"/>
      <c r="I71" s="20"/>
      <c r="J71" s="14" t="str">
        <f>IF($A71="","",SUMIFS(Movimientos!$F$5:$F$3004,Movimientos!$C$5:$C$3004,$A71,Movimientos!$B$5:$B$3004,"Entrada"))</f>
        <v/>
      </c>
      <c r="K71" s="14" t="str">
        <f>IF($A71="","",SUMIFS(Movimientos!$F$5:$F$3004,Movimientos!$C$5:$C$3004,$A71,Movimientos!$B$5:$B$3004,"Salida"))</f>
        <v/>
      </c>
      <c r="L71" s="14" t="str">
        <f t="shared" si="3"/>
        <v/>
      </c>
      <c r="M71" s="22" t="str">
        <f t="shared" si="4"/>
        <v/>
      </c>
      <c r="N71" s="23" t="str">
        <f t="shared" si="5"/>
        <v/>
      </c>
      <c r="O71" s="14" t="str">
        <f>IF(OR(N71="Reordenar",N71="Agotado"),COUNTIF($N$5:N71,"Reordenar")+COUNTIF($N$5:N71,"Agotado"),"")</f>
        <v/>
      </c>
    </row>
    <row r="72" spans="1:15" x14ac:dyDescent="0.25">
      <c r="A72" s="20"/>
      <c r="B72" s="20"/>
      <c r="C72" s="20"/>
      <c r="D72" s="20"/>
      <c r="E72" s="20"/>
      <c r="F72" s="21"/>
      <c r="G72" s="20"/>
      <c r="H72" s="20"/>
      <c r="I72" s="20"/>
      <c r="J72" s="14" t="str">
        <f>IF($A72="","",SUMIFS(Movimientos!$F$5:$F$3004,Movimientos!$C$5:$C$3004,$A72,Movimientos!$B$5:$B$3004,"Entrada"))</f>
        <v/>
      </c>
      <c r="K72" s="14" t="str">
        <f>IF($A72="","",SUMIFS(Movimientos!$F$5:$F$3004,Movimientos!$C$5:$C$3004,$A72,Movimientos!$B$5:$B$3004,"Salida"))</f>
        <v/>
      </c>
      <c r="L72" s="14" t="str">
        <f t="shared" si="3"/>
        <v/>
      </c>
      <c r="M72" s="22" t="str">
        <f t="shared" si="4"/>
        <v/>
      </c>
      <c r="N72" s="23" t="str">
        <f t="shared" si="5"/>
        <v/>
      </c>
      <c r="O72" s="14" t="str">
        <f>IF(OR(N72="Reordenar",N72="Agotado"),COUNTIF($N$5:N72,"Reordenar")+COUNTIF($N$5:N72,"Agotado"),"")</f>
        <v/>
      </c>
    </row>
    <row r="73" spans="1:15" x14ac:dyDescent="0.25">
      <c r="A73" s="20"/>
      <c r="B73" s="20"/>
      <c r="C73" s="20"/>
      <c r="D73" s="20"/>
      <c r="E73" s="20"/>
      <c r="F73" s="21"/>
      <c r="G73" s="20"/>
      <c r="H73" s="20"/>
      <c r="I73" s="20"/>
      <c r="J73" s="14" t="str">
        <f>IF($A73="","",SUMIFS(Movimientos!$F$5:$F$3004,Movimientos!$C$5:$C$3004,$A73,Movimientos!$B$5:$B$3004,"Entrada"))</f>
        <v/>
      </c>
      <c r="K73" s="14" t="str">
        <f>IF($A73="","",SUMIFS(Movimientos!$F$5:$F$3004,Movimientos!$C$5:$C$3004,$A73,Movimientos!$B$5:$B$3004,"Salida"))</f>
        <v/>
      </c>
      <c r="L73" s="14" t="str">
        <f t="shared" si="3"/>
        <v/>
      </c>
      <c r="M73" s="22" t="str">
        <f t="shared" si="4"/>
        <v/>
      </c>
      <c r="N73" s="23" t="str">
        <f t="shared" si="5"/>
        <v/>
      </c>
      <c r="O73" s="14" t="str">
        <f>IF(OR(N73="Reordenar",N73="Agotado"),COUNTIF($N$5:N73,"Reordenar")+COUNTIF($N$5:N73,"Agotado"),"")</f>
        <v/>
      </c>
    </row>
    <row r="74" spans="1:15" x14ac:dyDescent="0.25">
      <c r="A74" s="20"/>
      <c r="B74" s="20"/>
      <c r="C74" s="20"/>
      <c r="D74" s="20"/>
      <c r="E74" s="20"/>
      <c r="F74" s="21"/>
      <c r="G74" s="20"/>
      <c r="H74" s="20"/>
      <c r="I74" s="20"/>
      <c r="J74" s="14" t="str">
        <f>IF($A74="","",SUMIFS(Movimientos!$F$5:$F$3004,Movimientos!$C$5:$C$3004,$A74,Movimientos!$B$5:$B$3004,"Entrada"))</f>
        <v/>
      </c>
      <c r="K74" s="14" t="str">
        <f>IF($A74="","",SUMIFS(Movimientos!$F$5:$F$3004,Movimientos!$C$5:$C$3004,$A74,Movimientos!$B$5:$B$3004,"Salida"))</f>
        <v/>
      </c>
      <c r="L74" s="14" t="str">
        <f t="shared" si="3"/>
        <v/>
      </c>
      <c r="M74" s="22" t="str">
        <f t="shared" si="4"/>
        <v/>
      </c>
      <c r="N74" s="23" t="str">
        <f t="shared" si="5"/>
        <v/>
      </c>
      <c r="O74" s="14" t="str">
        <f>IF(OR(N74="Reordenar",N74="Agotado"),COUNTIF($N$5:N74,"Reordenar")+COUNTIF($N$5:N74,"Agotado"),"")</f>
        <v/>
      </c>
    </row>
    <row r="75" spans="1:15" x14ac:dyDescent="0.25">
      <c r="A75" s="20"/>
      <c r="B75" s="20"/>
      <c r="C75" s="20"/>
      <c r="D75" s="20"/>
      <c r="E75" s="20"/>
      <c r="F75" s="21"/>
      <c r="G75" s="20"/>
      <c r="H75" s="20"/>
      <c r="I75" s="20"/>
      <c r="J75" s="14" t="str">
        <f>IF($A75="","",SUMIFS(Movimientos!$F$5:$F$3004,Movimientos!$C$5:$C$3004,$A75,Movimientos!$B$5:$B$3004,"Entrada"))</f>
        <v/>
      </c>
      <c r="K75" s="14" t="str">
        <f>IF($A75="","",SUMIFS(Movimientos!$F$5:$F$3004,Movimientos!$C$5:$C$3004,$A75,Movimientos!$B$5:$B$3004,"Salida"))</f>
        <v/>
      </c>
      <c r="L75" s="14" t="str">
        <f t="shared" si="3"/>
        <v/>
      </c>
      <c r="M75" s="22" t="str">
        <f t="shared" si="4"/>
        <v/>
      </c>
      <c r="N75" s="23" t="str">
        <f t="shared" si="5"/>
        <v/>
      </c>
      <c r="O75" s="14" t="str">
        <f>IF(OR(N75="Reordenar",N75="Agotado"),COUNTIF($N$5:N75,"Reordenar")+COUNTIF($N$5:N75,"Agotado"),"")</f>
        <v/>
      </c>
    </row>
    <row r="76" spans="1:15" x14ac:dyDescent="0.25">
      <c r="A76" s="20"/>
      <c r="B76" s="20"/>
      <c r="C76" s="20"/>
      <c r="D76" s="20"/>
      <c r="E76" s="20"/>
      <c r="F76" s="21"/>
      <c r="G76" s="20"/>
      <c r="H76" s="20"/>
      <c r="I76" s="20"/>
      <c r="J76" s="14" t="str">
        <f>IF($A76="","",SUMIFS(Movimientos!$F$5:$F$3004,Movimientos!$C$5:$C$3004,$A76,Movimientos!$B$5:$B$3004,"Entrada"))</f>
        <v/>
      </c>
      <c r="K76" s="14" t="str">
        <f>IF($A76="","",SUMIFS(Movimientos!$F$5:$F$3004,Movimientos!$C$5:$C$3004,$A76,Movimientos!$B$5:$B$3004,"Salida"))</f>
        <v/>
      </c>
      <c r="L76" s="14" t="str">
        <f t="shared" si="3"/>
        <v/>
      </c>
      <c r="M76" s="22" t="str">
        <f t="shared" si="4"/>
        <v/>
      </c>
      <c r="N76" s="23" t="str">
        <f t="shared" si="5"/>
        <v/>
      </c>
      <c r="O76" s="14" t="str">
        <f>IF(OR(N76="Reordenar",N76="Agotado"),COUNTIF($N$5:N76,"Reordenar")+COUNTIF($N$5:N76,"Agotado"),"")</f>
        <v/>
      </c>
    </row>
    <row r="77" spans="1:15" x14ac:dyDescent="0.25">
      <c r="A77" s="20"/>
      <c r="B77" s="20"/>
      <c r="C77" s="20"/>
      <c r="D77" s="20"/>
      <c r="E77" s="20"/>
      <c r="F77" s="21"/>
      <c r="G77" s="20"/>
      <c r="H77" s="20"/>
      <c r="I77" s="20"/>
      <c r="J77" s="14" t="str">
        <f>IF($A77="","",SUMIFS(Movimientos!$F$5:$F$3004,Movimientos!$C$5:$C$3004,$A77,Movimientos!$B$5:$B$3004,"Entrada"))</f>
        <v/>
      </c>
      <c r="K77" s="14" t="str">
        <f>IF($A77="","",SUMIFS(Movimientos!$F$5:$F$3004,Movimientos!$C$5:$C$3004,$A77,Movimientos!$B$5:$B$3004,"Salida"))</f>
        <v/>
      </c>
      <c r="L77" s="14" t="str">
        <f t="shared" si="3"/>
        <v/>
      </c>
      <c r="M77" s="22" t="str">
        <f t="shared" si="4"/>
        <v/>
      </c>
      <c r="N77" s="23" t="str">
        <f t="shared" si="5"/>
        <v/>
      </c>
      <c r="O77" s="14" t="str">
        <f>IF(OR(N77="Reordenar",N77="Agotado"),COUNTIF($N$5:N77,"Reordenar")+COUNTIF($N$5:N77,"Agotado"),"")</f>
        <v/>
      </c>
    </row>
    <row r="78" spans="1:15" x14ac:dyDescent="0.25">
      <c r="A78" s="20"/>
      <c r="B78" s="20"/>
      <c r="C78" s="20"/>
      <c r="D78" s="20"/>
      <c r="E78" s="20"/>
      <c r="F78" s="21"/>
      <c r="G78" s="20"/>
      <c r="H78" s="20"/>
      <c r="I78" s="20"/>
      <c r="J78" s="14" t="str">
        <f>IF($A78="","",SUMIFS(Movimientos!$F$5:$F$3004,Movimientos!$C$5:$C$3004,$A78,Movimientos!$B$5:$B$3004,"Entrada"))</f>
        <v/>
      </c>
      <c r="K78" s="14" t="str">
        <f>IF($A78="","",SUMIFS(Movimientos!$F$5:$F$3004,Movimientos!$C$5:$C$3004,$A78,Movimientos!$B$5:$B$3004,"Salida"))</f>
        <v/>
      </c>
      <c r="L78" s="14" t="str">
        <f t="shared" si="3"/>
        <v/>
      </c>
      <c r="M78" s="22" t="str">
        <f t="shared" si="4"/>
        <v/>
      </c>
      <c r="N78" s="23" t="str">
        <f t="shared" si="5"/>
        <v/>
      </c>
      <c r="O78" s="14" t="str">
        <f>IF(OR(N78="Reordenar",N78="Agotado"),COUNTIF($N$5:N78,"Reordenar")+COUNTIF($N$5:N78,"Agotado"),"")</f>
        <v/>
      </c>
    </row>
    <row r="79" spans="1:15" x14ac:dyDescent="0.25">
      <c r="A79" s="20"/>
      <c r="B79" s="20"/>
      <c r="C79" s="20"/>
      <c r="D79" s="20"/>
      <c r="E79" s="20"/>
      <c r="F79" s="21"/>
      <c r="G79" s="20"/>
      <c r="H79" s="20"/>
      <c r="I79" s="20"/>
      <c r="J79" s="14" t="str">
        <f>IF($A79="","",SUMIFS(Movimientos!$F$5:$F$3004,Movimientos!$C$5:$C$3004,$A79,Movimientos!$B$5:$B$3004,"Entrada"))</f>
        <v/>
      </c>
      <c r="K79" s="14" t="str">
        <f>IF($A79="","",SUMIFS(Movimientos!$F$5:$F$3004,Movimientos!$C$5:$C$3004,$A79,Movimientos!$B$5:$B$3004,"Salida"))</f>
        <v/>
      </c>
      <c r="L79" s="14" t="str">
        <f t="shared" si="3"/>
        <v/>
      </c>
      <c r="M79" s="22" t="str">
        <f t="shared" si="4"/>
        <v/>
      </c>
      <c r="N79" s="23" t="str">
        <f t="shared" si="5"/>
        <v/>
      </c>
      <c r="O79" s="14" t="str">
        <f>IF(OR(N79="Reordenar",N79="Agotado"),COUNTIF($N$5:N79,"Reordenar")+COUNTIF($N$5:N79,"Agotado"),"")</f>
        <v/>
      </c>
    </row>
    <row r="80" spans="1:15" x14ac:dyDescent="0.25">
      <c r="A80" s="20"/>
      <c r="B80" s="20"/>
      <c r="C80" s="20"/>
      <c r="D80" s="20"/>
      <c r="E80" s="20"/>
      <c r="F80" s="21"/>
      <c r="G80" s="20"/>
      <c r="H80" s="20"/>
      <c r="I80" s="20"/>
      <c r="J80" s="14" t="str">
        <f>IF($A80="","",SUMIFS(Movimientos!$F$5:$F$3004,Movimientos!$C$5:$C$3004,$A80,Movimientos!$B$5:$B$3004,"Entrada"))</f>
        <v/>
      </c>
      <c r="K80" s="14" t="str">
        <f>IF($A80="","",SUMIFS(Movimientos!$F$5:$F$3004,Movimientos!$C$5:$C$3004,$A80,Movimientos!$B$5:$B$3004,"Salida"))</f>
        <v/>
      </c>
      <c r="L80" s="14" t="str">
        <f t="shared" si="3"/>
        <v/>
      </c>
      <c r="M80" s="22" t="str">
        <f t="shared" si="4"/>
        <v/>
      </c>
      <c r="N80" s="23" t="str">
        <f t="shared" si="5"/>
        <v/>
      </c>
      <c r="O80" s="14" t="str">
        <f>IF(OR(N80="Reordenar",N80="Agotado"),COUNTIF($N$5:N80,"Reordenar")+COUNTIF($N$5:N80,"Agotado"),"")</f>
        <v/>
      </c>
    </row>
    <row r="81" spans="1:15" x14ac:dyDescent="0.25">
      <c r="A81" s="20"/>
      <c r="B81" s="20"/>
      <c r="C81" s="20"/>
      <c r="D81" s="20"/>
      <c r="E81" s="20"/>
      <c r="F81" s="21"/>
      <c r="G81" s="20"/>
      <c r="H81" s="20"/>
      <c r="I81" s="20"/>
      <c r="J81" s="14" t="str">
        <f>IF($A81="","",SUMIFS(Movimientos!$F$5:$F$3004,Movimientos!$C$5:$C$3004,$A81,Movimientos!$B$5:$B$3004,"Entrada"))</f>
        <v/>
      </c>
      <c r="K81" s="14" t="str">
        <f>IF($A81="","",SUMIFS(Movimientos!$F$5:$F$3004,Movimientos!$C$5:$C$3004,$A81,Movimientos!$B$5:$B$3004,"Salida"))</f>
        <v/>
      </c>
      <c r="L81" s="14" t="str">
        <f t="shared" si="3"/>
        <v/>
      </c>
      <c r="M81" s="22" t="str">
        <f t="shared" si="4"/>
        <v/>
      </c>
      <c r="N81" s="23" t="str">
        <f t="shared" si="5"/>
        <v/>
      </c>
      <c r="O81" s="14" t="str">
        <f>IF(OR(N81="Reordenar",N81="Agotado"),COUNTIF($N$5:N81,"Reordenar")+COUNTIF($N$5:N81,"Agotado"),"")</f>
        <v/>
      </c>
    </row>
    <row r="82" spans="1:15" x14ac:dyDescent="0.25">
      <c r="A82" s="20"/>
      <c r="B82" s="20"/>
      <c r="C82" s="20"/>
      <c r="D82" s="20"/>
      <c r="E82" s="20"/>
      <c r="F82" s="21"/>
      <c r="G82" s="20"/>
      <c r="H82" s="20"/>
      <c r="I82" s="20"/>
      <c r="J82" s="14" t="str">
        <f>IF($A82="","",SUMIFS(Movimientos!$F$5:$F$3004,Movimientos!$C$5:$C$3004,$A82,Movimientos!$B$5:$B$3004,"Entrada"))</f>
        <v/>
      </c>
      <c r="K82" s="14" t="str">
        <f>IF($A82="","",SUMIFS(Movimientos!$F$5:$F$3004,Movimientos!$C$5:$C$3004,$A82,Movimientos!$B$5:$B$3004,"Salida"))</f>
        <v/>
      </c>
      <c r="L82" s="14" t="str">
        <f t="shared" si="3"/>
        <v/>
      </c>
      <c r="M82" s="22" t="str">
        <f t="shared" si="4"/>
        <v/>
      </c>
      <c r="N82" s="23" t="str">
        <f t="shared" si="5"/>
        <v/>
      </c>
      <c r="O82" s="14" t="str">
        <f>IF(OR(N82="Reordenar",N82="Agotado"),COUNTIF($N$5:N82,"Reordenar")+COUNTIF($N$5:N82,"Agotado"),"")</f>
        <v/>
      </c>
    </row>
    <row r="83" spans="1:15" x14ac:dyDescent="0.25">
      <c r="A83" s="20"/>
      <c r="B83" s="20"/>
      <c r="C83" s="20"/>
      <c r="D83" s="20"/>
      <c r="E83" s="20"/>
      <c r="F83" s="21"/>
      <c r="G83" s="20"/>
      <c r="H83" s="20"/>
      <c r="I83" s="20"/>
      <c r="J83" s="14" t="str">
        <f>IF($A83="","",SUMIFS(Movimientos!$F$5:$F$3004,Movimientos!$C$5:$C$3004,$A83,Movimientos!$B$5:$B$3004,"Entrada"))</f>
        <v/>
      </c>
      <c r="K83" s="14" t="str">
        <f>IF($A83="","",SUMIFS(Movimientos!$F$5:$F$3004,Movimientos!$C$5:$C$3004,$A83,Movimientos!$B$5:$B$3004,"Salida"))</f>
        <v/>
      </c>
      <c r="L83" s="14" t="str">
        <f t="shared" si="3"/>
        <v/>
      </c>
      <c r="M83" s="22" t="str">
        <f t="shared" si="4"/>
        <v/>
      </c>
      <c r="N83" s="23" t="str">
        <f t="shared" si="5"/>
        <v/>
      </c>
      <c r="O83" s="14" t="str">
        <f>IF(OR(N83="Reordenar",N83="Agotado"),COUNTIF($N$5:N83,"Reordenar")+COUNTIF($N$5:N83,"Agotado"),"")</f>
        <v/>
      </c>
    </row>
    <row r="84" spans="1:15" x14ac:dyDescent="0.25">
      <c r="A84" s="20"/>
      <c r="B84" s="20"/>
      <c r="C84" s="20"/>
      <c r="D84" s="20"/>
      <c r="E84" s="20"/>
      <c r="F84" s="21"/>
      <c r="G84" s="20"/>
      <c r="H84" s="20"/>
      <c r="I84" s="20"/>
      <c r="J84" s="14" t="str">
        <f>IF($A84="","",SUMIFS(Movimientos!$F$5:$F$3004,Movimientos!$C$5:$C$3004,$A84,Movimientos!$B$5:$B$3004,"Entrada"))</f>
        <v/>
      </c>
      <c r="K84" s="14" t="str">
        <f>IF($A84="","",SUMIFS(Movimientos!$F$5:$F$3004,Movimientos!$C$5:$C$3004,$A84,Movimientos!$B$5:$B$3004,"Salida"))</f>
        <v/>
      </c>
      <c r="L84" s="14" t="str">
        <f t="shared" si="3"/>
        <v/>
      </c>
      <c r="M84" s="22" t="str">
        <f t="shared" si="4"/>
        <v/>
      </c>
      <c r="N84" s="23" t="str">
        <f t="shared" si="5"/>
        <v/>
      </c>
      <c r="O84" s="14" t="str">
        <f>IF(OR(N84="Reordenar",N84="Agotado"),COUNTIF($N$5:N84,"Reordenar")+COUNTIF($N$5:N84,"Agotado"),"")</f>
        <v/>
      </c>
    </row>
    <row r="85" spans="1:15" x14ac:dyDescent="0.25">
      <c r="A85" s="20"/>
      <c r="B85" s="20"/>
      <c r="C85" s="20"/>
      <c r="D85" s="20"/>
      <c r="E85" s="20"/>
      <c r="F85" s="21"/>
      <c r="G85" s="20"/>
      <c r="H85" s="20"/>
      <c r="I85" s="20"/>
      <c r="J85" s="14" t="str">
        <f>IF($A85="","",SUMIFS(Movimientos!$F$5:$F$3004,Movimientos!$C$5:$C$3004,$A85,Movimientos!$B$5:$B$3004,"Entrada"))</f>
        <v/>
      </c>
      <c r="K85" s="14" t="str">
        <f>IF($A85="","",SUMIFS(Movimientos!$F$5:$F$3004,Movimientos!$C$5:$C$3004,$A85,Movimientos!$B$5:$B$3004,"Salida"))</f>
        <v/>
      </c>
      <c r="L85" s="14" t="str">
        <f t="shared" si="3"/>
        <v/>
      </c>
      <c r="M85" s="22" t="str">
        <f t="shared" si="4"/>
        <v/>
      </c>
      <c r="N85" s="23" t="str">
        <f t="shared" si="5"/>
        <v/>
      </c>
      <c r="O85" s="14" t="str">
        <f>IF(OR(N85="Reordenar",N85="Agotado"),COUNTIF($N$5:N85,"Reordenar")+COUNTIF($N$5:N85,"Agotado"),"")</f>
        <v/>
      </c>
    </row>
    <row r="86" spans="1:15" x14ac:dyDescent="0.25">
      <c r="A86" s="20"/>
      <c r="B86" s="20"/>
      <c r="C86" s="20"/>
      <c r="D86" s="20"/>
      <c r="E86" s="20"/>
      <c r="F86" s="21"/>
      <c r="G86" s="20"/>
      <c r="H86" s="20"/>
      <c r="I86" s="20"/>
      <c r="J86" s="14" t="str">
        <f>IF($A86="","",SUMIFS(Movimientos!$F$5:$F$3004,Movimientos!$C$5:$C$3004,$A86,Movimientos!$B$5:$B$3004,"Entrada"))</f>
        <v/>
      </c>
      <c r="K86" s="14" t="str">
        <f>IF($A86="","",SUMIFS(Movimientos!$F$5:$F$3004,Movimientos!$C$5:$C$3004,$A86,Movimientos!$B$5:$B$3004,"Salida"))</f>
        <v/>
      </c>
      <c r="L86" s="14" t="str">
        <f t="shared" si="3"/>
        <v/>
      </c>
      <c r="M86" s="22" t="str">
        <f t="shared" si="4"/>
        <v/>
      </c>
      <c r="N86" s="23" t="str">
        <f t="shared" si="5"/>
        <v/>
      </c>
      <c r="O86" s="14" t="str">
        <f>IF(OR(N86="Reordenar",N86="Agotado"),COUNTIF($N$5:N86,"Reordenar")+COUNTIF($N$5:N86,"Agotado"),"")</f>
        <v/>
      </c>
    </row>
    <row r="87" spans="1:15" x14ac:dyDescent="0.25">
      <c r="A87" s="20"/>
      <c r="B87" s="20"/>
      <c r="C87" s="20"/>
      <c r="D87" s="20"/>
      <c r="E87" s="20"/>
      <c r="F87" s="21"/>
      <c r="G87" s="20"/>
      <c r="H87" s="20"/>
      <c r="I87" s="20"/>
      <c r="J87" s="14" t="str">
        <f>IF($A87="","",SUMIFS(Movimientos!$F$5:$F$3004,Movimientos!$C$5:$C$3004,$A87,Movimientos!$B$5:$B$3004,"Entrada"))</f>
        <v/>
      </c>
      <c r="K87" s="14" t="str">
        <f>IF($A87="","",SUMIFS(Movimientos!$F$5:$F$3004,Movimientos!$C$5:$C$3004,$A87,Movimientos!$B$5:$B$3004,"Salida"))</f>
        <v/>
      </c>
      <c r="L87" s="14" t="str">
        <f t="shared" si="3"/>
        <v/>
      </c>
      <c r="M87" s="22" t="str">
        <f t="shared" si="4"/>
        <v/>
      </c>
      <c r="N87" s="23" t="str">
        <f t="shared" si="5"/>
        <v/>
      </c>
      <c r="O87" s="14" t="str">
        <f>IF(OR(N87="Reordenar",N87="Agotado"),COUNTIF($N$5:N87,"Reordenar")+COUNTIF($N$5:N87,"Agotado"),"")</f>
        <v/>
      </c>
    </row>
    <row r="88" spans="1:15" x14ac:dyDescent="0.25">
      <c r="A88" s="20"/>
      <c r="B88" s="20"/>
      <c r="C88" s="20"/>
      <c r="D88" s="20"/>
      <c r="E88" s="20"/>
      <c r="F88" s="21"/>
      <c r="G88" s="20"/>
      <c r="H88" s="20"/>
      <c r="I88" s="20"/>
      <c r="J88" s="14" t="str">
        <f>IF($A88="","",SUMIFS(Movimientos!$F$5:$F$3004,Movimientos!$C$5:$C$3004,$A88,Movimientos!$B$5:$B$3004,"Entrada"))</f>
        <v/>
      </c>
      <c r="K88" s="14" t="str">
        <f>IF($A88="","",SUMIFS(Movimientos!$F$5:$F$3004,Movimientos!$C$5:$C$3004,$A88,Movimientos!$B$5:$B$3004,"Salida"))</f>
        <v/>
      </c>
      <c r="L88" s="14" t="str">
        <f t="shared" si="3"/>
        <v/>
      </c>
      <c r="M88" s="22" t="str">
        <f t="shared" si="4"/>
        <v/>
      </c>
      <c r="N88" s="23" t="str">
        <f t="shared" si="5"/>
        <v/>
      </c>
      <c r="O88" s="14" t="str">
        <f>IF(OR(N88="Reordenar",N88="Agotado"),COUNTIF($N$5:N88,"Reordenar")+COUNTIF($N$5:N88,"Agotado"),"")</f>
        <v/>
      </c>
    </row>
    <row r="89" spans="1:15" x14ac:dyDescent="0.25">
      <c r="A89" s="20"/>
      <c r="B89" s="20"/>
      <c r="C89" s="20"/>
      <c r="D89" s="20"/>
      <c r="E89" s="20"/>
      <c r="F89" s="21"/>
      <c r="G89" s="20"/>
      <c r="H89" s="20"/>
      <c r="I89" s="20"/>
      <c r="J89" s="14" t="str">
        <f>IF($A89="","",SUMIFS(Movimientos!$F$5:$F$3004,Movimientos!$C$5:$C$3004,$A89,Movimientos!$B$5:$B$3004,"Entrada"))</f>
        <v/>
      </c>
      <c r="K89" s="14" t="str">
        <f>IF($A89="","",SUMIFS(Movimientos!$F$5:$F$3004,Movimientos!$C$5:$C$3004,$A89,Movimientos!$B$5:$B$3004,"Salida"))</f>
        <v/>
      </c>
      <c r="L89" s="14" t="str">
        <f t="shared" si="3"/>
        <v/>
      </c>
      <c r="M89" s="22" t="str">
        <f t="shared" si="4"/>
        <v/>
      </c>
      <c r="N89" s="23" t="str">
        <f t="shared" si="5"/>
        <v/>
      </c>
      <c r="O89" s="14" t="str">
        <f>IF(OR(N89="Reordenar",N89="Agotado"),COUNTIF($N$5:N89,"Reordenar")+COUNTIF($N$5:N89,"Agotado"),"")</f>
        <v/>
      </c>
    </row>
    <row r="90" spans="1:15" x14ac:dyDescent="0.25">
      <c r="A90" s="20"/>
      <c r="B90" s="20"/>
      <c r="C90" s="20"/>
      <c r="D90" s="20"/>
      <c r="E90" s="20"/>
      <c r="F90" s="21"/>
      <c r="G90" s="20"/>
      <c r="H90" s="20"/>
      <c r="I90" s="20"/>
      <c r="J90" s="14" t="str">
        <f>IF($A90="","",SUMIFS(Movimientos!$F$5:$F$3004,Movimientos!$C$5:$C$3004,$A90,Movimientos!$B$5:$B$3004,"Entrada"))</f>
        <v/>
      </c>
      <c r="K90" s="14" t="str">
        <f>IF($A90="","",SUMIFS(Movimientos!$F$5:$F$3004,Movimientos!$C$5:$C$3004,$A90,Movimientos!$B$5:$B$3004,"Salida"))</f>
        <v/>
      </c>
      <c r="L90" s="14" t="str">
        <f t="shared" si="3"/>
        <v/>
      </c>
      <c r="M90" s="22" t="str">
        <f t="shared" si="4"/>
        <v/>
      </c>
      <c r="N90" s="23" t="str">
        <f t="shared" si="5"/>
        <v/>
      </c>
      <c r="O90" s="14" t="str">
        <f>IF(OR(N90="Reordenar",N90="Agotado"),COUNTIF($N$5:N90,"Reordenar")+COUNTIF($N$5:N90,"Agotado"),"")</f>
        <v/>
      </c>
    </row>
    <row r="91" spans="1:15" x14ac:dyDescent="0.25">
      <c r="A91" s="20"/>
      <c r="B91" s="20"/>
      <c r="C91" s="20"/>
      <c r="D91" s="20"/>
      <c r="E91" s="20"/>
      <c r="F91" s="21"/>
      <c r="G91" s="20"/>
      <c r="H91" s="20"/>
      <c r="I91" s="20"/>
      <c r="J91" s="14" t="str">
        <f>IF($A91="","",SUMIFS(Movimientos!$F$5:$F$3004,Movimientos!$C$5:$C$3004,$A91,Movimientos!$B$5:$B$3004,"Entrada"))</f>
        <v/>
      </c>
      <c r="K91" s="14" t="str">
        <f>IF($A91="","",SUMIFS(Movimientos!$F$5:$F$3004,Movimientos!$C$5:$C$3004,$A91,Movimientos!$B$5:$B$3004,"Salida"))</f>
        <v/>
      </c>
      <c r="L91" s="14" t="str">
        <f t="shared" si="3"/>
        <v/>
      </c>
      <c r="M91" s="22" t="str">
        <f t="shared" si="4"/>
        <v/>
      </c>
      <c r="N91" s="23" t="str">
        <f t="shared" si="5"/>
        <v/>
      </c>
      <c r="O91" s="14" t="str">
        <f>IF(OR(N91="Reordenar",N91="Agotado"),COUNTIF($N$5:N91,"Reordenar")+COUNTIF($N$5:N91,"Agotado"),"")</f>
        <v/>
      </c>
    </row>
    <row r="92" spans="1:15" x14ac:dyDescent="0.25">
      <c r="A92" s="20"/>
      <c r="B92" s="20"/>
      <c r="C92" s="20"/>
      <c r="D92" s="20"/>
      <c r="E92" s="20"/>
      <c r="F92" s="21"/>
      <c r="G92" s="20"/>
      <c r="H92" s="20"/>
      <c r="I92" s="20"/>
      <c r="J92" s="14" t="str">
        <f>IF($A92="","",SUMIFS(Movimientos!$F$5:$F$3004,Movimientos!$C$5:$C$3004,$A92,Movimientos!$B$5:$B$3004,"Entrada"))</f>
        <v/>
      </c>
      <c r="K92" s="14" t="str">
        <f>IF($A92="","",SUMIFS(Movimientos!$F$5:$F$3004,Movimientos!$C$5:$C$3004,$A92,Movimientos!$B$5:$B$3004,"Salida"))</f>
        <v/>
      </c>
      <c r="L92" s="14" t="str">
        <f t="shared" si="3"/>
        <v/>
      </c>
      <c r="M92" s="22" t="str">
        <f t="shared" si="4"/>
        <v/>
      </c>
      <c r="N92" s="23" t="str">
        <f t="shared" si="5"/>
        <v/>
      </c>
      <c r="O92" s="14" t="str">
        <f>IF(OR(N92="Reordenar",N92="Agotado"),COUNTIF($N$5:N92,"Reordenar")+COUNTIF($N$5:N92,"Agotado"),"")</f>
        <v/>
      </c>
    </row>
    <row r="93" spans="1:15" x14ac:dyDescent="0.25">
      <c r="A93" s="20"/>
      <c r="B93" s="20"/>
      <c r="C93" s="20"/>
      <c r="D93" s="20"/>
      <c r="E93" s="20"/>
      <c r="F93" s="21"/>
      <c r="G93" s="20"/>
      <c r="H93" s="20"/>
      <c r="I93" s="20"/>
      <c r="J93" s="14" t="str">
        <f>IF($A93="","",SUMIFS(Movimientos!$F$5:$F$3004,Movimientos!$C$5:$C$3004,$A93,Movimientos!$B$5:$B$3004,"Entrada"))</f>
        <v/>
      </c>
      <c r="K93" s="14" t="str">
        <f>IF($A93="","",SUMIFS(Movimientos!$F$5:$F$3004,Movimientos!$C$5:$C$3004,$A93,Movimientos!$B$5:$B$3004,"Salida"))</f>
        <v/>
      </c>
      <c r="L93" s="14" t="str">
        <f t="shared" si="3"/>
        <v/>
      </c>
      <c r="M93" s="22" t="str">
        <f t="shared" si="4"/>
        <v/>
      </c>
      <c r="N93" s="23" t="str">
        <f t="shared" si="5"/>
        <v/>
      </c>
      <c r="O93" s="14" t="str">
        <f>IF(OR(N93="Reordenar",N93="Agotado"),COUNTIF($N$5:N93,"Reordenar")+COUNTIF($N$5:N93,"Agotado"),"")</f>
        <v/>
      </c>
    </row>
    <row r="94" spans="1:15" x14ac:dyDescent="0.25">
      <c r="A94" s="20"/>
      <c r="B94" s="20"/>
      <c r="C94" s="20"/>
      <c r="D94" s="20"/>
      <c r="E94" s="20"/>
      <c r="F94" s="21"/>
      <c r="G94" s="20"/>
      <c r="H94" s="20"/>
      <c r="I94" s="20"/>
      <c r="J94" s="14" t="str">
        <f>IF($A94="","",SUMIFS(Movimientos!$F$5:$F$3004,Movimientos!$C$5:$C$3004,$A94,Movimientos!$B$5:$B$3004,"Entrada"))</f>
        <v/>
      </c>
      <c r="K94" s="14" t="str">
        <f>IF($A94="","",SUMIFS(Movimientos!$F$5:$F$3004,Movimientos!$C$5:$C$3004,$A94,Movimientos!$B$5:$B$3004,"Salida"))</f>
        <v/>
      </c>
      <c r="L94" s="14" t="str">
        <f t="shared" si="3"/>
        <v/>
      </c>
      <c r="M94" s="22" t="str">
        <f t="shared" si="4"/>
        <v/>
      </c>
      <c r="N94" s="23" t="str">
        <f t="shared" si="5"/>
        <v/>
      </c>
      <c r="O94" s="14" t="str">
        <f>IF(OR(N94="Reordenar",N94="Agotado"),COUNTIF($N$5:N94,"Reordenar")+COUNTIF($N$5:N94,"Agotado"),"")</f>
        <v/>
      </c>
    </row>
    <row r="95" spans="1:15" x14ac:dyDescent="0.25">
      <c r="A95" s="20"/>
      <c r="B95" s="20"/>
      <c r="C95" s="20"/>
      <c r="D95" s="20"/>
      <c r="E95" s="20"/>
      <c r="F95" s="21"/>
      <c r="G95" s="20"/>
      <c r="H95" s="20"/>
      <c r="I95" s="20"/>
      <c r="J95" s="14" t="str">
        <f>IF($A95="","",SUMIFS(Movimientos!$F$5:$F$3004,Movimientos!$C$5:$C$3004,$A95,Movimientos!$B$5:$B$3004,"Entrada"))</f>
        <v/>
      </c>
      <c r="K95" s="14" t="str">
        <f>IF($A95="","",SUMIFS(Movimientos!$F$5:$F$3004,Movimientos!$C$5:$C$3004,$A95,Movimientos!$B$5:$B$3004,"Salida"))</f>
        <v/>
      </c>
      <c r="L95" s="14" t="str">
        <f t="shared" si="3"/>
        <v/>
      </c>
      <c r="M95" s="22" t="str">
        <f t="shared" si="4"/>
        <v/>
      </c>
      <c r="N95" s="23" t="str">
        <f t="shared" si="5"/>
        <v/>
      </c>
      <c r="O95" s="14" t="str">
        <f>IF(OR(N95="Reordenar",N95="Agotado"),COUNTIF($N$5:N95,"Reordenar")+COUNTIF($N$5:N95,"Agotado"),"")</f>
        <v/>
      </c>
    </row>
    <row r="96" spans="1:15" x14ac:dyDescent="0.25">
      <c r="A96" s="20"/>
      <c r="B96" s="20"/>
      <c r="C96" s="20"/>
      <c r="D96" s="20"/>
      <c r="E96" s="20"/>
      <c r="F96" s="21"/>
      <c r="G96" s="20"/>
      <c r="H96" s="20"/>
      <c r="I96" s="20"/>
      <c r="J96" s="14" t="str">
        <f>IF($A96="","",SUMIFS(Movimientos!$F$5:$F$3004,Movimientos!$C$5:$C$3004,$A96,Movimientos!$B$5:$B$3004,"Entrada"))</f>
        <v/>
      </c>
      <c r="K96" s="14" t="str">
        <f>IF($A96="","",SUMIFS(Movimientos!$F$5:$F$3004,Movimientos!$C$5:$C$3004,$A96,Movimientos!$B$5:$B$3004,"Salida"))</f>
        <v/>
      </c>
      <c r="L96" s="14" t="str">
        <f t="shared" si="3"/>
        <v/>
      </c>
      <c r="M96" s="22" t="str">
        <f t="shared" si="4"/>
        <v/>
      </c>
      <c r="N96" s="23" t="str">
        <f t="shared" si="5"/>
        <v/>
      </c>
      <c r="O96" s="14" t="str">
        <f>IF(OR(N96="Reordenar",N96="Agotado"),COUNTIF($N$5:N96,"Reordenar")+COUNTIF($N$5:N96,"Agotado"),"")</f>
        <v/>
      </c>
    </row>
    <row r="97" spans="1:15" x14ac:dyDescent="0.25">
      <c r="A97" s="20"/>
      <c r="B97" s="20"/>
      <c r="C97" s="20"/>
      <c r="D97" s="20"/>
      <c r="E97" s="20"/>
      <c r="F97" s="21"/>
      <c r="G97" s="20"/>
      <c r="H97" s="20"/>
      <c r="I97" s="20"/>
      <c r="J97" s="14" t="str">
        <f>IF($A97="","",SUMIFS(Movimientos!$F$5:$F$3004,Movimientos!$C$5:$C$3004,$A97,Movimientos!$B$5:$B$3004,"Entrada"))</f>
        <v/>
      </c>
      <c r="K97" s="14" t="str">
        <f>IF($A97="","",SUMIFS(Movimientos!$F$5:$F$3004,Movimientos!$C$5:$C$3004,$A97,Movimientos!$B$5:$B$3004,"Salida"))</f>
        <v/>
      </c>
      <c r="L97" s="14" t="str">
        <f t="shared" si="3"/>
        <v/>
      </c>
      <c r="M97" s="22" t="str">
        <f t="shared" si="4"/>
        <v/>
      </c>
      <c r="N97" s="23" t="str">
        <f t="shared" si="5"/>
        <v/>
      </c>
      <c r="O97" s="14" t="str">
        <f>IF(OR(N97="Reordenar",N97="Agotado"),COUNTIF($N$5:N97,"Reordenar")+COUNTIF($N$5:N97,"Agotado"),"")</f>
        <v/>
      </c>
    </row>
    <row r="98" spans="1:15" x14ac:dyDescent="0.25">
      <c r="A98" s="20"/>
      <c r="B98" s="20"/>
      <c r="C98" s="20"/>
      <c r="D98" s="20"/>
      <c r="E98" s="20"/>
      <c r="F98" s="21"/>
      <c r="G98" s="20"/>
      <c r="H98" s="20"/>
      <c r="I98" s="20"/>
      <c r="J98" s="14" t="str">
        <f>IF($A98="","",SUMIFS(Movimientos!$F$5:$F$3004,Movimientos!$C$5:$C$3004,$A98,Movimientos!$B$5:$B$3004,"Entrada"))</f>
        <v/>
      </c>
      <c r="K98" s="14" t="str">
        <f>IF($A98="","",SUMIFS(Movimientos!$F$5:$F$3004,Movimientos!$C$5:$C$3004,$A98,Movimientos!$B$5:$B$3004,"Salida"))</f>
        <v/>
      </c>
      <c r="L98" s="14" t="str">
        <f t="shared" si="3"/>
        <v/>
      </c>
      <c r="M98" s="22" t="str">
        <f t="shared" si="4"/>
        <v/>
      </c>
      <c r="N98" s="23" t="str">
        <f t="shared" si="5"/>
        <v/>
      </c>
      <c r="O98" s="14" t="str">
        <f>IF(OR(N98="Reordenar",N98="Agotado"),COUNTIF($N$5:N98,"Reordenar")+COUNTIF($N$5:N98,"Agotado"),"")</f>
        <v/>
      </c>
    </row>
    <row r="99" spans="1:15" x14ac:dyDescent="0.25">
      <c r="A99" s="20"/>
      <c r="B99" s="20"/>
      <c r="C99" s="20"/>
      <c r="D99" s="20"/>
      <c r="E99" s="20"/>
      <c r="F99" s="21"/>
      <c r="G99" s="20"/>
      <c r="H99" s="20"/>
      <c r="I99" s="20"/>
      <c r="J99" s="14" t="str">
        <f>IF($A99="","",SUMIFS(Movimientos!$F$5:$F$3004,Movimientos!$C$5:$C$3004,$A99,Movimientos!$B$5:$B$3004,"Entrada"))</f>
        <v/>
      </c>
      <c r="K99" s="14" t="str">
        <f>IF($A99="","",SUMIFS(Movimientos!$F$5:$F$3004,Movimientos!$C$5:$C$3004,$A99,Movimientos!$B$5:$B$3004,"Salida"))</f>
        <v/>
      </c>
      <c r="L99" s="14" t="str">
        <f t="shared" si="3"/>
        <v/>
      </c>
      <c r="M99" s="22" t="str">
        <f t="shared" si="4"/>
        <v/>
      </c>
      <c r="N99" s="23" t="str">
        <f t="shared" si="5"/>
        <v/>
      </c>
      <c r="O99" s="14" t="str">
        <f>IF(OR(N99="Reordenar",N99="Agotado"),COUNTIF($N$5:N99,"Reordenar")+COUNTIF($N$5:N99,"Agotado"),"")</f>
        <v/>
      </c>
    </row>
    <row r="100" spans="1:15" x14ac:dyDescent="0.25">
      <c r="A100" s="20"/>
      <c r="B100" s="20"/>
      <c r="C100" s="20"/>
      <c r="D100" s="20"/>
      <c r="E100" s="20"/>
      <c r="F100" s="21"/>
      <c r="G100" s="20"/>
      <c r="H100" s="20"/>
      <c r="I100" s="20"/>
      <c r="J100" s="14" t="str">
        <f>IF($A100="","",SUMIFS(Movimientos!$F$5:$F$3004,Movimientos!$C$5:$C$3004,$A100,Movimientos!$B$5:$B$3004,"Entrada"))</f>
        <v/>
      </c>
      <c r="K100" s="14" t="str">
        <f>IF($A100="","",SUMIFS(Movimientos!$F$5:$F$3004,Movimientos!$C$5:$C$3004,$A100,Movimientos!$B$5:$B$3004,"Salida"))</f>
        <v/>
      </c>
      <c r="L100" s="14" t="str">
        <f t="shared" si="3"/>
        <v/>
      </c>
      <c r="M100" s="22" t="str">
        <f t="shared" si="4"/>
        <v/>
      </c>
      <c r="N100" s="23" t="str">
        <f t="shared" si="5"/>
        <v/>
      </c>
      <c r="O100" s="14" t="str">
        <f>IF(OR(N100="Reordenar",N100="Agotado"),COUNTIF($N$5:N100,"Reordenar")+COUNTIF($N$5:N100,"Agotado"),"")</f>
        <v/>
      </c>
    </row>
    <row r="101" spans="1:15" x14ac:dyDescent="0.25">
      <c r="A101" s="20"/>
      <c r="B101" s="20"/>
      <c r="C101" s="20"/>
      <c r="D101" s="20"/>
      <c r="E101" s="20"/>
      <c r="F101" s="21"/>
      <c r="G101" s="20"/>
      <c r="H101" s="20"/>
      <c r="I101" s="20"/>
      <c r="J101" s="14" t="str">
        <f>IF($A101="","",SUMIFS(Movimientos!$F$5:$F$3004,Movimientos!$C$5:$C$3004,$A101,Movimientos!$B$5:$B$3004,"Entrada"))</f>
        <v/>
      </c>
      <c r="K101" s="14" t="str">
        <f>IF($A101="","",SUMIFS(Movimientos!$F$5:$F$3004,Movimientos!$C$5:$C$3004,$A101,Movimientos!$B$5:$B$3004,"Salida"))</f>
        <v/>
      </c>
      <c r="L101" s="14" t="str">
        <f t="shared" si="3"/>
        <v/>
      </c>
      <c r="M101" s="22" t="str">
        <f t="shared" si="4"/>
        <v/>
      </c>
      <c r="N101" s="23" t="str">
        <f t="shared" si="5"/>
        <v/>
      </c>
      <c r="O101" s="14" t="str">
        <f>IF(OR(N101="Reordenar",N101="Agotado"),COUNTIF($N$5:N101,"Reordenar")+COUNTIF($N$5:N101,"Agotado"),"")</f>
        <v/>
      </c>
    </row>
    <row r="102" spans="1:15" x14ac:dyDescent="0.25">
      <c r="A102" s="20"/>
      <c r="B102" s="20"/>
      <c r="C102" s="20"/>
      <c r="D102" s="20"/>
      <c r="E102" s="20"/>
      <c r="F102" s="21"/>
      <c r="G102" s="20"/>
      <c r="H102" s="20"/>
      <c r="I102" s="20"/>
      <c r="J102" s="14" t="str">
        <f>IF($A102="","",SUMIFS(Movimientos!$F$5:$F$3004,Movimientos!$C$5:$C$3004,$A102,Movimientos!$B$5:$B$3004,"Entrada"))</f>
        <v/>
      </c>
      <c r="K102" s="14" t="str">
        <f>IF($A102="","",SUMIFS(Movimientos!$F$5:$F$3004,Movimientos!$C$5:$C$3004,$A102,Movimientos!$B$5:$B$3004,"Salida"))</f>
        <v/>
      </c>
      <c r="L102" s="14" t="str">
        <f t="shared" si="3"/>
        <v/>
      </c>
      <c r="M102" s="22" t="str">
        <f t="shared" si="4"/>
        <v/>
      </c>
      <c r="N102" s="23" t="str">
        <f t="shared" si="5"/>
        <v/>
      </c>
      <c r="O102" s="14" t="str">
        <f>IF(OR(N102="Reordenar",N102="Agotado"),COUNTIF($N$5:N102,"Reordenar")+COUNTIF($N$5:N102,"Agotado"),"")</f>
        <v/>
      </c>
    </row>
    <row r="103" spans="1:15" x14ac:dyDescent="0.25">
      <c r="A103" s="20"/>
      <c r="B103" s="20"/>
      <c r="C103" s="20"/>
      <c r="D103" s="20"/>
      <c r="E103" s="20"/>
      <c r="F103" s="21"/>
      <c r="G103" s="20"/>
      <c r="H103" s="20"/>
      <c r="I103" s="20"/>
      <c r="J103" s="14" t="str">
        <f>IF($A103="","",SUMIFS(Movimientos!$F$5:$F$3004,Movimientos!$C$5:$C$3004,$A103,Movimientos!$B$5:$B$3004,"Entrada"))</f>
        <v/>
      </c>
      <c r="K103" s="14" t="str">
        <f>IF($A103="","",SUMIFS(Movimientos!$F$5:$F$3004,Movimientos!$C$5:$C$3004,$A103,Movimientos!$B$5:$B$3004,"Salida"))</f>
        <v/>
      </c>
      <c r="L103" s="14" t="str">
        <f t="shared" si="3"/>
        <v/>
      </c>
      <c r="M103" s="22" t="str">
        <f t="shared" si="4"/>
        <v/>
      </c>
      <c r="N103" s="23" t="str">
        <f t="shared" si="5"/>
        <v/>
      </c>
      <c r="O103" s="14" t="str">
        <f>IF(OR(N103="Reordenar",N103="Agotado"),COUNTIF($N$5:N103,"Reordenar")+COUNTIF($N$5:N103,"Agotado"),"")</f>
        <v/>
      </c>
    </row>
    <row r="104" spans="1:15" x14ac:dyDescent="0.25">
      <c r="A104" s="20"/>
      <c r="B104" s="20"/>
      <c r="C104" s="20"/>
      <c r="D104" s="20"/>
      <c r="E104" s="20"/>
      <c r="F104" s="21"/>
      <c r="G104" s="20"/>
      <c r="H104" s="20"/>
      <c r="I104" s="20"/>
      <c r="J104" s="14" t="str">
        <f>IF($A104="","",SUMIFS(Movimientos!$F$5:$F$3004,Movimientos!$C$5:$C$3004,$A104,Movimientos!$B$5:$B$3004,"Entrada"))</f>
        <v/>
      </c>
      <c r="K104" s="14" t="str">
        <f>IF($A104="","",SUMIFS(Movimientos!$F$5:$F$3004,Movimientos!$C$5:$C$3004,$A104,Movimientos!$B$5:$B$3004,"Salida"))</f>
        <v/>
      </c>
      <c r="L104" s="14" t="str">
        <f t="shared" si="3"/>
        <v/>
      </c>
      <c r="M104" s="22" t="str">
        <f t="shared" si="4"/>
        <v/>
      </c>
      <c r="N104" s="23" t="str">
        <f t="shared" si="5"/>
        <v/>
      </c>
      <c r="O104" s="14" t="str">
        <f>IF(OR(N104="Reordenar",N104="Agotado"),COUNTIF($N$5:N104,"Reordenar")+COUNTIF($N$5:N104,"Agotado"),"")</f>
        <v/>
      </c>
    </row>
    <row r="105" spans="1:15" x14ac:dyDescent="0.25">
      <c r="A105" s="20"/>
      <c r="B105" s="20"/>
      <c r="C105" s="20"/>
      <c r="D105" s="20"/>
      <c r="E105" s="20"/>
      <c r="F105" s="21"/>
      <c r="G105" s="20"/>
      <c r="H105" s="20"/>
      <c r="I105" s="20"/>
      <c r="J105" s="14" t="str">
        <f>IF($A105="","",SUMIFS(Movimientos!$F$5:$F$3004,Movimientos!$C$5:$C$3004,$A105,Movimientos!$B$5:$B$3004,"Entrada"))</f>
        <v/>
      </c>
      <c r="K105" s="14" t="str">
        <f>IF($A105="","",SUMIFS(Movimientos!$F$5:$F$3004,Movimientos!$C$5:$C$3004,$A105,Movimientos!$B$5:$B$3004,"Salida"))</f>
        <v/>
      </c>
      <c r="L105" s="14" t="str">
        <f t="shared" si="3"/>
        <v/>
      </c>
      <c r="M105" s="22" t="str">
        <f t="shared" si="4"/>
        <v/>
      </c>
      <c r="N105" s="23" t="str">
        <f t="shared" si="5"/>
        <v/>
      </c>
      <c r="O105" s="14" t="str">
        <f>IF(OR(N105="Reordenar",N105="Agotado"),COUNTIF($N$5:N105,"Reordenar")+COUNTIF($N$5:N105,"Agotado"),"")</f>
        <v/>
      </c>
    </row>
    <row r="106" spans="1:15" x14ac:dyDescent="0.25">
      <c r="A106" s="20"/>
      <c r="B106" s="20"/>
      <c r="C106" s="20"/>
      <c r="D106" s="20"/>
      <c r="E106" s="20"/>
      <c r="F106" s="21"/>
      <c r="G106" s="20"/>
      <c r="H106" s="20"/>
      <c r="I106" s="20"/>
      <c r="J106" s="14" t="str">
        <f>IF($A106="","",SUMIFS(Movimientos!$F$5:$F$3004,Movimientos!$C$5:$C$3004,$A106,Movimientos!$B$5:$B$3004,"Entrada"))</f>
        <v/>
      </c>
      <c r="K106" s="14" t="str">
        <f>IF($A106="","",SUMIFS(Movimientos!$F$5:$F$3004,Movimientos!$C$5:$C$3004,$A106,Movimientos!$B$5:$B$3004,"Salida"))</f>
        <v/>
      </c>
      <c r="L106" s="14" t="str">
        <f t="shared" si="3"/>
        <v/>
      </c>
      <c r="M106" s="22" t="str">
        <f t="shared" si="4"/>
        <v/>
      </c>
      <c r="N106" s="23" t="str">
        <f t="shared" si="5"/>
        <v/>
      </c>
      <c r="O106" s="14" t="str">
        <f>IF(OR(N106="Reordenar",N106="Agotado"),COUNTIF($N$5:N106,"Reordenar")+COUNTIF($N$5:N106,"Agotado"),"")</f>
        <v/>
      </c>
    </row>
    <row r="107" spans="1:15" x14ac:dyDescent="0.25">
      <c r="A107" s="20"/>
      <c r="B107" s="20"/>
      <c r="C107" s="20"/>
      <c r="D107" s="20"/>
      <c r="E107" s="20"/>
      <c r="F107" s="21"/>
      <c r="G107" s="20"/>
      <c r="H107" s="20"/>
      <c r="I107" s="20"/>
      <c r="J107" s="14" t="str">
        <f>IF($A107="","",SUMIFS(Movimientos!$F$5:$F$3004,Movimientos!$C$5:$C$3004,$A107,Movimientos!$B$5:$B$3004,"Entrada"))</f>
        <v/>
      </c>
      <c r="K107" s="14" t="str">
        <f>IF($A107="","",SUMIFS(Movimientos!$F$5:$F$3004,Movimientos!$C$5:$C$3004,$A107,Movimientos!$B$5:$B$3004,"Salida"))</f>
        <v/>
      </c>
      <c r="L107" s="14" t="str">
        <f t="shared" si="3"/>
        <v/>
      </c>
      <c r="M107" s="22" t="str">
        <f t="shared" si="4"/>
        <v/>
      </c>
      <c r="N107" s="23" t="str">
        <f t="shared" si="5"/>
        <v/>
      </c>
      <c r="O107" s="14" t="str">
        <f>IF(OR(N107="Reordenar",N107="Agotado"),COUNTIF($N$5:N107,"Reordenar")+COUNTIF($N$5:N107,"Agotado"),"")</f>
        <v/>
      </c>
    </row>
    <row r="108" spans="1:15" x14ac:dyDescent="0.25">
      <c r="A108" s="20"/>
      <c r="B108" s="20"/>
      <c r="C108" s="20"/>
      <c r="D108" s="20"/>
      <c r="E108" s="20"/>
      <c r="F108" s="21"/>
      <c r="G108" s="20"/>
      <c r="H108" s="20"/>
      <c r="I108" s="20"/>
      <c r="J108" s="14" t="str">
        <f>IF($A108="","",SUMIFS(Movimientos!$F$5:$F$3004,Movimientos!$C$5:$C$3004,$A108,Movimientos!$B$5:$B$3004,"Entrada"))</f>
        <v/>
      </c>
      <c r="K108" s="14" t="str">
        <f>IF($A108="","",SUMIFS(Movimientos!$F$5:$F$3004,Movimientos!$C$5:$C$3004,$A108,Movimientos!$B$5:$B$3004,"Salida"))</f>
        <v/>
      </c>
      <c r="L108" s="14" t="str">
        <f t="shared" si="3"/>
        <v/>
      </c>
      <c r="M108" s="22" t="str">
        <f t="shared" si="4"/>
        <v/>
      </c>
      <c r="N108" s="23" t="str">
        <f t="shared" si="5"/>
        <v/>
      </c>
      <c r="O108" s="14" t="str">
        <f>IF(OR(N108="Reordenar",N108="Agotado"),COUNTIF($N$5:N108,"Reordenar")+COUNTIF($N$5:N108,"Agotado"),"")</f>
        <v/>
      </c>
    </row>
    <row r="109" spans="1:15" x14ac:dyDescent="0.25">
      <c r="A109" s="20"/>
      <c r="B109" s="20"/>
      <c r="C109" s="20"/>
      <c r="D109" s="20"/>
      <c r="E109" s="20"/>
      <c r="F109" s="21"/>
      <c r="G109" s="20"/>
      <c r="H109" s="20"/>
      <c r="I109" s="20"/>
      <c r="J109" s="14" t="str">
        <f>IF($A109="","",SUMIFS(Movimientos!$F$5:$F$3004,Movimientos!$C$5:$C$3004,$A109,Movimientos!$B$5:$B$3004,"Entrada"))</f>
        <v/>
      </c>
      <c r="K109" s="14" t="str">
        <f>IF($A109="","",SUMIFS(Movimientos!$F$5:$F$3004,Movimientos!$C$5:$C$3004,$A109,Movimientos!$B$5:$B$3004,"Salida"))</f>
        <v/>
      </c>
      <c r="L109" s="14" t="str">
        <f t="shared" si="3"/>
        <v/>
      </c>
      <c r="M109" s="22" t="str">
        <f t="shared" si="4"/>
        <v/>
      </c>
      <c r="N109" s="23" t="str">
        <f t="shared" si="5"/>
        <v/>
      </c>
      <c r="O109" s="14" t="str">
        <f>IF(OR(N109="Reordenar",N109="Agotado"),COUNTIF($N$5:N109,"Reordenar")+COUNTIF($N$5:N109,"Agotado"),"")</f>
        <v/>
      </c>
    </row>
    <row r="110" spans="1:15" x14ac:dyDescent="0.25">
      <c r="A110" s="20"/>
      <c r="B110" s="20"/>
      <c r="C110" s="20"/>
      <c r="D110" s="20"/>
      <c r="E110" s="20"/>
      <c r="F110" s="21"/>
      <c r="G110" s="20"/>
      <c r="H110" s="20"/>
      <c r="I110" s="20"/>
      <c r="J110" s="14" t="str">
        <f>IF($A110="","",SUMIFS(Movimientos!$F$5:$F$3004,Movimientos!$C$5:$C$3004,$A110,Movimientos!$B$5:$B$3004,"Entrada"))</f>
        <v/>
      </c>
      <c r="K110" s="14" t="str">
        <f>IF($A110="","",SUMIFS(Movimientos!$F$5:$F$3004,Movimientos!$C$5:$C$3004,$A110,Movimientos!$B$5:$B$3004,"Salida"))</f>
        <v/>
      </c>
      <c r="L110" s="14" t="str">
        <f t="shared" si="3"/>
        <v/>
      </c>
      <c r="M110" s="22" t="str">
        <f t="shared" si="4"/>
        <v/>
      </c>
      <c r="N110" s="23" t="str">
        <f t="shared" si="5"/>
        <v/>
      </c>
      <c r="O110" s="14" t="str">
        <f>IF(OR(N110="Reordenar",N110="Agotado"),COUNTIF($N$5:N110,"Reordenar")+COUNTIF($N$5:N110,"Agotado"),"")</f>
        <v/>
      </c>
    </row>
    <row r="111" spans="1:15" x14ac:dyDescent="0.25">
      <c r="A111" s="20"/>
      <c r="B111" s="20"/>
      <c r="C111" s="20"/>
      <c r="D111" s="20"/>
      <c r="E111" s="20"/>
      <c r="F111" s="21"/>
      <c r="G111" s="20"/>
      <c r="H111" s="20"/>
      <c r="I111" s="20"/>
      <c r="J111" s="14" t="str">
        <f>IF($A111="","",SUMIFS(Movimientos!$F$5:$F$3004,Movimientos!$C$5:$C$3004,$A111,Movimientos!$B$5:$B$3004,"Entrada"))</f>
        <v/>
      </c>
      <c r="K111" s="14" t="str">
        <f>IF($A111="","",SUMIFS(Movimientos!$F$5:$F$3004,Movimientos!$C$5:$C$3004,$A111,Movimientos!$B$5:$B$3004,"Salida"))</f>
        <v/>
      </c>
      <c r="L111" s="14" t="str">
        <f t="shared" si="3"/>
        <v/>
      </c>
      <c r="M111" s="22" t="str">
        <f t="shared" si="4"/>
        <v/>
      </c>
      <c r="N111" s="23" t="str">
        <f t="shared" si="5"/>
        <v/>
      </c>
      <c r="O111" s="14" t="str">
        <f>IF(OR(N111="Reordenar",N111="Agotado"),COUNTIF($N$5:N111,"Reordenar")+COUNTIF($N$5:N111,"Agotado"),"")</f>
        <v/>
      </c>
    </row>
    <row r="112" spans="1:15" x14ac:dyDescent="0.25">
      <c r="A112" s="20"/>
      <c r="B112" s="20"/>
      <c r="C112" s="20"/>
      <c r="D112" s="20"/>
      <c r="E112" s="20"/>
      <c r="F112" s="21"/>
      <c r="G112" s="20"/>
      <c r="H112" s="20"/>
      <c r="I112" s="20"/>
      <c r="J112" s="14" t="str">
        <f>IF($A112="","",SUMIFS(Movimientos!$F$5:$F$3004,Movimientos!$C$5:$C$3004,$A112,Movimientos!$B$5:$B$3004,"Entrada"))</f>
        <v/>
      </c>
      <c r="K112" s="14" t="str">
        <f>IF($A112="","",SUMIFS(Movimientos!$F$5:$F$3004,Movimientos!$C$5:$C$3004,$A112,Movimientos!$B$5:$B$3004,"Salida"))</f>
        <v/>
      </c>
      <c r="L112" s="14" t="str">
        <f t="shared" si="3"/>
        <v/>
      </c>
      <c r="M112" s="22" t="str">
        <f t="shared" si="4"/>
        <v/>
      </c>
      <c r="N112" s="23" t="str">
        <f t="shared" si="5"/>
        <v/>
      </c>
      <c r="O112" s="14" t="str">
        <f>IF(OR(N112="Reordenar",N112="Agotado"),COUNTIF($N$5:N112,"Reordenar")+COUNTIF($N$5:N112,"Agotado"),"")</f>
        <v/>
      </c>
    </row>
    <row r="113" spans="1:15" x14ac:dyDescent="0.25">
      <c r="A113" s="20"/>
      <c r="B113" s="20"/>
      <c r="C113" s="20"/>
      <c r="D113" s="20"/>
      <c r="E113" s="20"/>
      <c r="F113" s="21"/>
      <c r="G113" s="20"/>
      <c r="H113" s="20"/>
      <c r="I113" s="20"/>
      <c r="J113" s="14" t="str">
        <f>IF($A113="","",SUMIFS(Movimientos!$F$5:$F$3004,Movimientos!$C$5:$C$3004,$A113,Movimientos!$B$5:$B$3004,"Entrada"))</f>
        <v/>
      </c>
      <c r="K113" s="14" t="str">
        <f>IF($A113="","",SUMIFS(Movimientos!$F$5:$F$3004,Movimientos!$C$5:$C$3004,$A113,Movimientos!$B$5:$B$3004,"Salida"))</f>
        <v/>
      </c>
      <c r="L113" s="14" t="str">
        <f t="shared" si="3"/>
        <v/>
      </c>
      <c r="M113" s="22" t="str">
        <f t="shared" si="4"/>
        <v/>
      </c>
      <c r="N113" s="23" t="str">
        <f t="shared" si="5"/>
        <v/>
      </c>
      <c r="O113" s="14" t="str">
        <f>IF(OR(N113="Reordenar",N113="Agotado"),COUNTIF($N$5:N113,"Reordenar")+COUNTIF($N$5:N113,"Agotado"),"")</f>
        <v/>
      </c>
    </row>
    <row r="114" spans="1:15" x14ac:dyDescent="0.25">
      <c r="A114" s="20"/>
      <c r="B114" s="20"/>
      <c r="C114" s="20"/>
      <c r="D114" s="20"/>
      <c r="E114" s="20"/>
      <c r="F114" s="21"/>
      <c r="G114" s="20"/>
      <c r="H114" s="20"/>
      <c r="I114" s="20"/>
      <c r="J114" s="14" t="str">
        <f>IF($A114="","",SUMIFS(Movimientos!$F$5:$F$3004,Movimientos!$C$5:$C$3004,$A114,Movimientos!$B$5:$B$3004,"Entrada"))</f>
        <v/>
      </c>
      <c r="K114" s="14" t="str">
        <f>IF($A114="","",SUMIFS(Movimientos!$F$5:$F$3004,Movimientos!$C$5:$C$3004,$A114,Movimientos!$B$5:$B$3004,"Salida"))</f>
        <v/>
      </c>
      <c r="L114" s="14" t="str">
        <f t="shared" si="3"/>
        <v/>
      </c>
      <c r="M114" s="22" t="str">
        <f t="shared" si="4"/>
        <v/>
      </c>
      <c r="N114" s="23" t="str">
        <f t="shared" si="5"/>
        <v/>
      </c>
      <c r="O114" s="14" t="str">
        <f>IF(OR(N114="Reordenar",N114="Agotado"),COUNTIF($N$5:N114,"Reordenar")+COUNTIF($N$5:N114,"Agotado"),"")</f>
        <v/>
      </c>
    </row>
    <row r="115" spans="1:15" x14ac:dyDescent="0.25">
      <c r="A115" s="20"/>
      <c r="B115" s="20"/>
      <c r="C115" s="20"/>
      <c r="D115" s="20"/>
      <c r="E115" s="20"/>
      <c r="F115" s="21"/>
      <c r="G115" s="20"/>
      <c r="H115" s="20"/>
      <c r="I115" s="20"/>
      <c r="J115" s="14" t="str">
        <f>IF($A115="","",SUMIFS(Movimientos!$F$5:$F$3004,Movimientos!$C$5:$C$3004,$A115,Movimientos!$B$5:$B$3004,"Entrada"))</f>
        <v/>
      </c>
      <c r="K115" s="14" t="str">
        <f>IF($A115="","",SUMIFS(Movimientos!$F$5:$F$3004,Movimientos!$C$5:$C$3004,$A115,Movimientos!$B$5:$B$3004,"Salida"))</f>
        <v/>
      </c>
      <c r="L115" s="14" t="str">
        <f t="shared" si="3"/>
        <v/>
      </c>
      <c r="M115" s="22" t="str">
        <f t="shared" si="4"/>
        <v/>
      </c>
      <c r="N115" s="23" t="str">
        <f t="shared" si="5"/>
        <v/>
      </c>
      <c r="O115" s="14" t="str">
        <f>IF(OR(N115="Reordenar",N115="Agotado"),COUNTIF($N$5:N115,"Reordenar")+COUNTIF($N$5:N115,"Agotado"),"")</f>
        <v/>
      </c>
    </row>
    <row r="116" spans="1:15" x14ac:dyDescent="0.25">
      <c r="A116" s="20"/>
      <c r="B116" s="20"/>
      <c r="C116" s="20"/>
      <c r="D116" s="20"/>
      <c r="E116" s="20"/>
      <c r="F116" s="21"/>
      <c r="G116" s="20"/>
      <c r="H116" s="20"/>
      <c r="I116" s="20"/>
      <c r="J116" s="14" t="str">
        <f>IF($A116="","",SUMIFS(Movimientos!$F$5:$F$3004,Movimientos!$C$5:$C$3004,$A116,Movimientos!$B$5:$B$3004,"Entrada"))</f>
        <v/>
      </c>
      <c r="K116" s="14" t="str">
        <f>IF($A116="","",SUMIFS(Movimientos!$F$5:$F$3004,Movimientos!$C$5:$C$3004,$A116,Movimientos!$B$5:$B$3004,"Salida"))</f>
        <v/>
      </c>
      <c r="L116" s="14" t="str">
        <f t="shared" si="3"/>
        <v/>
      </c>
      <c r="M116" s="22" t="str">
        <f t="shared" si="4"/>
        <v/>
      </c>
      <c r="N116" s="23" t="str">
        <f t="shared" si="5"/>
        <v/>
      </c>
      <c r="O116" s="14" t="str">
        <f>IF(OR(N116="Reordenar",N116="Agotado"),COUNTIF($N$5:N116,"Reordenar")+COUNTIF($N$5:N116,"Agotado"),"")</f>
        <v/>
      </c>
    </row>
    <row r="117" spans="1:15" x14ac:dyDescent="0.25">
      <c r="A117" s="20"/>
      <c r="B117" s="20"/>
      <c r="C117" s="20"/>
      <c r="D117" s="20"/>
      <c r="E117" s="20"/>
      <c r="F117" s="21"/>
      <c r="G117" s="20"/>
      <c r="H117" s="20"/>
      <c r="I117" s="20"/>
      <c r="J117" s="14" t="str">
        <f>IF($A117="","",SUMIFS(Movimientos!$F$5:$F$3004,Movimientos!$C$5:$C$3004,$A117,Movimientos!$B$5:$B$3004,"Entrada"))</f>
        <v/>
      </c>
      <c r="K117" s="14" t="str">
        <f>IF($A117="","",SUMIFS(Movimientos!$F$5:$F$3004,Movimientos!$C$5:$C$3004,$A117,Movimientos!$B$5:$B$3004,"Salida"))</f>
        <v/>
      </c>
      <c r="L117" s="14" t="str">
        <f t="shared" si="3"/>
        <v/>
      </c>
      <c r="M117" s="22" t="str">
        <f t="shared" si="4"/>
        <v/>
      </c>
      <c r="N117" s="23" t="str">
        <f t="shared" si="5"/>
        <v/>
      </c>
      <c r="O117" s="14" t="str">
        <f>IF(OR(N117="Reordenar",N117="Agotado"),COUNTIF($N$5:N117,"Reordenar")+COUNTIF($N$5:N117,"Agotado"),"")</f>
        <v/>
      </c>
    </row>
    <row r="118" spans="1:15" x14ac:dyDescent="0.25">
      <c r="A118" s="20"/>
      <c r="B118" s="20"/>
      <c r="C118" s="20"/>
      <c r="D118" s="20"/>
      <c r="E118" s="20"/>
      <c r="F118" s="21"/>
      <c r="G118" s="20"/>
      <c r="H118" s="20"/>
      <c r="I118" s="20"/>
      <c r="J118" s="14" t="str">
        <f>IF($A118="","",SUMIFS(Movimientos!$F$5:$F$3004,Movimientos!$C$5:$C$3004,$A118,Movimientos!$B$5:$B$3004,"Entrada"))</f>
        <v/>
      </c>
      <c r="K118" s="14" t="str">
        <f>IF($A118="","",SUMIFS(Movimientos!$F$5:$F$3004,Movimientos!$C$5:$C$3004,$A118,Movimientos!$B$5:$B$3004,"Salida"))</f>
        <v/>
      </c>
      <c r="L118" s="14" t="str">
        <f t="shared" si="3"/>
        <v/>
      </c>
      <c r="M118" s="22" t="str">
        <f t="shared" si="4"/>
        <v/>
      </c>
      <c r="N118" s="23" t="str">
        <f t="shared" si="5"/>
        <v/>
      </c>
      <c r="O118" s="14" t="str">
        <f>IF(OR(N118="Reordenar",N118="Agotado"),COUNTIF($N$5:N118,"Reordenar")+COUNTIF($N$5:N118,"Agotado"),"")</f>
        <v/>
      </c>
    </row>
    <row r="119" spans="1:15" x14ac:dyDescent="0.25">
      <c r="A119" s="20"/>
      <c r="B119" s="20"/>
      <c r="C119" s="20"/>
      <c r="D119" s="20"/>
      <c r="E119" s="20"/>
      <c r="F119" s="21"/>
      <c r="G119" s="20"/>
      <c r="H119" s="20"/>
      <c r="I119" s="20"/>
      <c r="J119" s="14" t="str">
        <f>IF($A119="","",SUMIFS(Movimientos!$F$5:$F$3004,Movimientos!$C$5:$C$3004,$A119,Movimientos!$B$5:$B$3004,"Entrada"))</f>
        <v/>
      </c>
      <c r="K119" s="14" t="str">
        <f>IF($A119="","",SUMIFS(Movimientos!$F$5:$F$3004,Movimientos!$C$5:$C$3004,$A119,Movimientos!$B$5:$B$3004,"Salida"))</f>
        <v/>
      </c>
      <c r="L119" s="14" t="str">
        <f t="shared" si="3"/>
        <v/>
      </c>
      <c r="M119" s="22" t="str">
        <f t="shared" si="4"/>
        <v/>
      </c>
      <c r="N119" s="23" t="str">
        <f t="shared" si="5"/>
        <v/>
      </c>
      <c r="O119" s="14" t="str">
        <f>IF(OR(N119="Reordenar",N119="Agotado"),COUNTIF($N$5:N119,"Reordenar")+COUNTIF($N$5:N119,"Agotado"),"")</f>
        <v/>
      </c>
    </row>
    <row r="120" spans="1:15" x14ac:dyDescent="0.25">
      <c r="A120" s="20"/>
      <c r="B120" s="20"/>
      <c r="C120" s="20"/>
      <c r="D120" s="20"/>
      <c r="E120" s="20"/>
      <c r="F120" s="21"/>
      <c r="G120" s="20"/>
      <c r="H120" s="20"/>
      <c r="I120" s="20"/>
      <c r="J120" s="14" t="str">
        <f>IF($A120="","",SUMIFS(Movimientos!$F$5:$F$3004,Movimientos!$C$5:$C$3004,$A120,Movimientos!$B$5:$B$3004,"Entrada"))</f>
        <v/>
      </c>
      <c r="K120" s="14" t="str">
        <f>IF($A120="","",SUMIFS(Movimientos!$F$5:$F$3004,Movimientos!$C$5:$C$3004,$A120,Movimientos!$B$5:$B$3004,"Salida"))</f>
        <v/>
      </c>
      <c r="L120" s="14" t="str">
        <f t="shared" si="3"/>
        <v/>
      </c>
      <c r="M120" s="22" t="str">
        <f t="shared" si="4"/>
        <v/>
      </c>
      <c r="N120" s="23" t="str">
        <f t="shared" si="5"/>
        <v/>
      </c>
      <c r="O120" s="14" t="str">
        <f>IF(OR(N120="Reordenar",N120="Agotado"),COUNTIF($N$5:N120,"Reordenar")+COUNTIF($N$5:N120,"Agotado"),"")</f>
        <v/>
      </c>
    </row>
    <row r="121" spans="1:15" x14ac:dyDescent="0.25">
      <c r="A121" s="20"/>
      <c r="B121" s="20"/>
      <c r="C121" s="20"/>
      <c r="D121" s="20"/>
      <c r="E121" s="20"/>
      <c r="F121" s="21"/>
      <c r="G121" s="20"/>
      <c r="H121" s="20"/>
      <c r="I121" s="20"/>
      <c r="J121" s="14" t="str">
        <f>IF($A121="","",SUMIFS(Movimientos!$F$5:$F$3004,Movimientos!$C$5:$C$3004,$A121,Movimientos!$B$5:$B$3004,"Entrada"))</f>
        <v/>
      </c>
      <c r="K121" s="14" t="str">
        <f>IF($A121="","",SUMIFS(Movimientos!$F$5:$F$3004,Movimientos!$C$5:$C$3004,$A121,Movimientos!$B$5:$B$3004,"Salida"))</f>
        <v/>
      </c>
      <c r="L121" s="14" t="str">
        <f t="shared" si="3"/>
        <v/>
      </c>
      <c r="M121" s="22" t="str">
        <f t="shared" si="4"/>
        <v/>
      </c>
      <c r="N121" s="23" t="str">
        <f t="shared" si="5"/>
        <v/>
      </c>
      <c r="O121" s="14" t="str">
        <f>IF(OR(N121="Reordenar",N121="Agotado"),COUNTIF($N$5:N121,"Reordenar")+COUNTIF($N$5:N121,"Agotado"),"")</f>
        <v/>
      </c>
    </row>
    <row r="122" spans="1:15" x14ac:dyDescent="0.25">
      <c r="A122" s="20"/>
      <c r="B122" s="20"/>
      <c r="C122" s="20"/>
      <c r="D122" s="20"/>
      <c r="E122" s="20"/>
      <c r="F122" s="21"/>
      <c r="G122" s="20"/>
      <c r="H122" s="20"/>
      <c r="I122" s="20"/>
      <c r="J122" s="14" t="str">
        <f>IF($A122="","",SUMIFS(Movimientos!$F$5:$F$3004,Movimientos!$C$5:$C$3004,$A122,Movimientos!$B$5:$B$3004,"Entrada"))</f>
        <v/>
      </c>
      <c r="K122" s="14" t="str">
        <f>IF($A122="","",SUMIFS(Movimientos!$F$5:$F$3004,Movimientos!$C$5:$C$3004,$A122,Movimientos!$B$5:$B$3004,"Salida"))</f>
        <v/>
      </c>
      <c r="L122" s="14" t="str">
        <f t="shared" si="3"/>
        <v/>
      </c>
      <c r="M122" s="22" t="str">
        <f t="shared" si="4"/>
        <v/>
      </c>
      <c r="N122" s="23" t="str">
        <f t="shared" si="5"/>
        <v/>
      </c>
      <c r="O122" s="14" t="str">
        <f>IF(OR(N122="Reordenar",N122="Agotado"),COUNTIF($N$5:N122,"Reordenar")+COUNTIF($N$5:N122,"Agotado"),"")</f>
        <v/>
      </c>
    </row>
    <row r="123" spans="1:15" x14ac:dyDescent="0.25">
      <c r="A123" s="20"/>
      <c r="B123" s="20"/>
      <c r="C123" s="20"/>
      <c r="D123" s="20"/>
      <c r="E123" s="20"/>
      <c r="F123" s="21"/>
      <c r="G123" s="20"/>
      <c r="H123" s="20"/>
      <c r="I123" s="20"/>
      <c r="J123" s="14" t="str">
        <f>IF($A123="","",SUMIFS(Movimientos!$F$5:$F$3004,Movimientos!$C$5:$C$3004,$A123,Movimientos!$B$5:$B$3004,"Entrada"))</f>
        <v/>
      </c>
      <c r="K123" s="14" t="str">
        <f>IF($A123="","",SUMIFS(Movimientos!$F$5:$F$3004,Movimientos!$C$5:$C$3004,$A123,Movimientos!$B$5:$B$3004,"Salida"))</f>
        <v/>
      </c>
      <c r="L123" s="14" t="str">
        <f t="shared" si="3"/>
        <v/>
      </c>
      <c r="M123" s="22" t="str">
        <f t="shared" si="4"/>
        <v/>
      </c>
      <c r="N123" s="23" t="str">
        <f t="shared" si="5"/>
        <v/>
      </c>
      <c r="O123" s="14" t="str">
        <f>IF(OR(N123="Reordenar",N123="Agotado"),COUNTIF($N$5:N123,"Reordenar")+COUNTIF($N$5:N123,"Agotado"),"")</f>
        <v/>
      </c>
    </row>
    <row r="124" spans="1:15" x14ac:dyDescent="0.25">
      <c r="A124" s="20"/>
      <c r="B124" s="20"/>
      <c r="C124" s="20"/>
      <c r="D124" s="20"/>
      <c r="E124" s="20"/>
      <c r="F124" s="21"/>
      <c r="G124" s="20"/>
      <c r="H124" s="20"/>
      <c r="I124" s="20"/>
      <c r="J124" s="14" t="str">
        <f>IF($A124="","",SUMIFS(Movimientos!$F$5:$F$3004,Movimientos!$C$5:$C$3004,$A124,Movimientos!$B$5:$B$3004,"Entrada"))</f>
        <v/>
      </c>
      <c r="K124" s="14" t="str">
        <f>IF($A124="","",SUMIFS(Movimientos!$F$5:$F$3004,Movimientos!$C$5:$C$3004,$A124,Movimientos!$B$5:$B$3004,"Salida"))</f>
        <v/>
      </c>
      <c r="L124" s="14" t="str">
        <f t="shared" si="3"/>
        <v/>
      </c>
      <c r="M124" s="22" t="str">
        <f t="shared" si="4"/>
        <v/>
      </c>
      <c r="N124" s="23" t="str">
        <f t="shared" si="5"/>
        <v/>
      </c>
      <c r="O124" s="14" t="str">
        <f>IF(OR(N124="Reordenar",N124="Agotado"),COUNTIF($N$5:N124,"Reordenar")+COUNTIF($N$5:N124,"Agotado"),"")</f>
        <v/>
      </c>
    </row>
    <row r="125" spans="1:15" x14ac:dyDescent="0.25">
      <c r="A125" s="20"/>
      <c r="B125" s="20"/>
      <c r="C125" s="20"/>
      <c r="D125" s="20"/>
      <c r="E125" s="20"/>
      <c r="F125" s="21"/>
      <c r="G125" s="20"/>
      <c r="H125" s="20"/>
      <c r="I125" s="20"/>
      <c r="J125" s="14" t="str">
        <f>IF($A125="","",SUMIFS(Movimientos!$F$5:$F$3004,Movimientos!$C$5:$C$3004,$A125,Movimientos!$B$5:$B$3004,"Entrada"))</f>
        <v/>
      </c>
      <c r="K125" s="14" t="str">
        <f>IF($A125="","",SUMIFS(Movimientos!$F$5:$F$3004,Movimientos!$C$5:$C$3004,$A125,Movimientos!$B$5:$B$3004,"Salida"))</f>
        <v/>
      </c>
      <c r="L125" s="14" t="str">
        <f t="shared" si="3"/>
        <v/>
      </c>
      <c r="M125" s="22" t="str">
        <f t="shared" si="4"/>
        <v/>
      </c>
      <c r="N125" s="23" t="str">
        <f t="shared" si="5"/>
        <v/>
      </c>
      <c r="O125" s="14" t="str">
        <f>IF(OR(N125="Reordenar",N125="Agotado"),COUNTIF($N$5:N125,"Reordenar")+COUNTIF($N$5:N125,"Agotado"),"")</f>
        <v/>
      </c>
    </row>
    <row r="126" spans="1:15" x14ac:dyDescent="0.25">
      <c r="A126" s="20"/>
      <c r="B126" s="20"/>
      <c r="C126" s="20"/>
      <c r="D126" s="20"/>
      <c r="E126" s="20"/>
      <c r="F126" s="21"/>
      <c r="G126" s="20"/>
      <c r="H126" s="20"/>
      <c r="I126" s="20"/>
      <c r="J126" s="14" t="str">
        <f>IF($A126="","",SUMIFS(Movimientos!$F$5:$F$3004,Movimientos!$C$5:$C$3004,$A126,Movimientos!$B$5:$B$3004,"Entrada"))</f>
        <v/>
      </c>
      <c r="K126" s="14" t="str">
        <f>IF($A126="","",SUMIFS(Movimientos!$F$5:$F$3004,Movimientos!$C$5:$C$3004,$A126,Movimientos!$B$5:$B$3004,"Salida"))</f>
        <v/>
      </c>
      <c r="L126" s="14" t="str">
        <f t="shared" si="3"/>
        <v/>
      </c>
      <c r="M126" s="22" t="str">
        <f t="shared" si="4"/>
        <v/>
      </c>
      <c r="N126" s="23" t="str">
        <f t="shared" si="5"/>
        <v/>
      </c>
      <c r="O126" s="14" t="str">
        <f>IF(OR(N126="Reordenar",N126="Agotado"),COUNTIF($N$5:N126,"Reordenar")+COUNTIF($N$5:N126,"Agotado"),"")</f>
        <v/>
      </c>
    </row>
    <row r="127" spans="1:15" x14ac:dyDescent="0.25">
      <c r="A127" s="20"/>
      <c r="B127" s="20"/>
      <c r="C127" s="20"/>
      <c r="D127" s="20"/>
      <c r="E127" s="20"/>
      <c r="F127" s="21"/>
      <c r="G127" s="20"/>
      <c r="H127" s="20"/>
      <c r="I127" s="20"/>
      <c r="J127" s="14" t="str">
        <f>IF($A127="","",SUMIFS(Movimientos!$F$5:$F$3004,Movimientos!$C$5:$C$3004,$A127,Movimientos!$B$5:$B$3004,"Entrada"))</f>
        <v/>
      </c>
      <c r="K127" s="14" t="str">
        <f>IF($A127="","",SUMIFS(Movimientos!$F$5:$F$3004,Movimientos!$C$5:$C$3004,$A127,Movimientos!$B$5:$B$3004,"Salida"))</f>
        <v/>
      </c>
      <c r="L127" s="14" t="str">
        <f t="shared" si="3"/>
        <v/>
      </c>
      <c r="M127" s="22" t="str">
        <f t="shared" si="4"/>
        <v/>
      </c>
      <c r="N127" s="23" t="str">
        <f t="shared" si="5"/>
        <v/>
      </c>
      <c r="O127" s="14" t="str">
        <f>IF(OR(N127="Reordenar",N127="Agotado"),COUNTIF($N$5:N127,"Reordenar")+COUNTIF($N$5:N127,"Agotado"),"")</f>
        <v/>
      </c>
    </row>
    <row r="128" spans="1:15" x14ac:dyDescent="0.25">
      <c r="A128" s="20"/>
      <c r="B128" s="20"/>
      <c r="C128" s="20"/>
      <c r="D128" s="20"/>
      <c r="E128" s="20"/>
      <c r="F128" s="21"/>
      <c r="G128" s="20"/>
      <c r="H128" s="20"/>
      <c r="I128" s="20"/>
      <c r="J128" s="14" t="str">
        <f>IF($A128="","",SUMIFS(Movimientos!$F$5:$F$3004,Movimientos!$C$5:$C$3004,$A128,Movimientos!$B$5:$B$3004,"Entrada"))</f>
        <v/>
      </c>
      <c r="K128" s="14" t="str">
        <f>IF($A128="","",SUMIFS(Movimientos!$F$5:$F$3004,Movimientos!$C$5:$C$3004,$A128,Movimientos!$B$5:$B$3004,"Salida"))</f>
        <v/>
      </c>
      <c r="L128" s="14" t="str">
        <f t="shared" si="3"/>
        <v/>
      </c>
      <c r="M128" s="22" t="str">
        <f t="shared" si="4"/>
        <v/>
      </c>
      <c r="N128" s="23" t="str">
        <f t="shared" si="5"/>
        <v/>
      </c>
      <c r="O128" s="14" t="str">
        <f>IF(OR(N128="Reordenar",N128="Agotado"),COUNTIF($N$5:N128,"Reordenar")+COUNTIF($N$5:N128,"Agotado"),"")</f>
        <v/>
      </c>
    </row>
    <row r="129" spans="1:15" x14ac:dyDescent="0.25">
      <c r="A129" s="20"/>
      <c r="B129" s="20"/>
      <c r="C129" s="20"/>
      <c r="D129" s="20"/>
      <c r="E129" s="20"/>
      <c r="F129" s="21"/>
      <c r="G129" s="20"/>
      <c r="H129" s="20"/>
      <c r="I129" s="20"/>
      <c r="J129" s="14" t="str">
        <f>IF($A129="","",SUMIFS(Movimientos!$F$5:$F$3004,Movimientos!$C$5:$C$3004,$A129,Movimientos!$B$5:$B$3004,"Entrada"))</f>
        <v/>
      </c>
      <c r="K129" s="14" t="str">
        <f>IF($A129="","",SUMIFS(Movimientos!$F$5:$F$3004,Movimientos!$C$5:$C$3004,$A129,Movimientos!$B$5:$B$3004,"Salida"))</f>
        <v/>
      </c>
      <c r="L129" s="14" t="str">
        <f t="shared" si="3"/>
        <v/>
      </c>
      <c r="M129" s="22" t="str">
        <f t="shared" si="4"/>
        <v/>
      </c>
      <c r="N129" s="23" t="str">
        <f t="shared" si="5"/>
        <v/>
      </c>
      <c r="O129" s="14" t="str">
        <f>IF(OR(N129="Reordenar",N129="Agotado"),COUNTIF($N$5:N129,"Reordenar")+COUNTIF($N$5:N129,"Agotado"),"")</f>
        <v/>
      </c>
    </row>
    <row r="130" spans="1:15" x14ac:dyDescent="0.25">
      <c r="A130" s="20"/>
      <c r="B130" s="20"/>
      <c r="C130" s="20"/>
      <c r="D130" s="20"/>
      <c r="E130" s="20"/>
      <c r="F130" s="21"/>
      <c r="G130" s="20"/>
      <c r="H130" s="20"/>
      <c r="I130" s="20"/>
      <c r="J130" s="14" t="str">
        <f>IF($A130="","",SUMIFS(Movimientos!$F$5:$F$3004,Movimientos!$C$5:$C$3004,$A130,Movimientos!$B$5:$B$3004,"Entrada"))</f>
        <v/>
      </c>
      <c r="K130" s="14" t="str">
        <f>IF($A130="","",SUMIFS(Movimientos!$F$5:$F$3004,Movimientos!$C$5:$C$3004,$A130,Movimientos!$B$5:$B$3004,"Salida"))</f>
        <v/>
      </c>
      <c r="L130" s="14" t="str">
        <f t="shared" si="3"/>
        <v/>
      </c>
      <c r="M130" s="22" t="str">
        <f t="shared" si="4"/>
        <v/>
      </c>
      <c r="N130" s="23" t="str">
        <f t="shared" si="5"/>
        <v/>
      </c>
      <c r="O130" s="14" t="str">
        <f>IF(OR(N130="Reordenar",N130="Agotado"),COUNTIF($N$5:N130,"Reordenar")+COUNTIF($N$5:N130,"Agotado"),"")</f>
        <v/>
      </c>
    </row>
    <row r="131" spans="1:15" x14ac:dyDescent="0.25">
      <c r="A131" s="20"/>
      <c r="B131" s="20"/>
      <c r="C131" s="20"/>
      <c r="D131" s="20"/>
      <c r="E131" s="20"/>
      <c r="F131" s="21"/>
      <c r="G131" s="20"/>
      <c r="H131" s="20"/>
      <c r="I131" s="20"/>
      <c r="J131" s="14" t="str">
        <f>IF($A131="","",SUMIFS(Movimientos!$F$5:$F$3004,Movimientos!$C$5:$C$3004,$A131,Movimientos!$B$5:$B$3004,"Entrada"))</f>
        <v/>
      </c>
      <c r="K131" s="14" t="str">
        <f>IF($A131="","",SUMIFS(Movimientos!$F$5:$F$3004,Movimientos!$C$5:$C$3004,$A131,Movimientos!$B$5:$B$3004,"Salida"))</f>
        <v/>
      </c>
      <c r="L131" s="14" t="str">
        <f t="shared" si="3"/>
        <v/>
      </c>
      <c r="M131" s="22" t="str">
        <f t="shared" si="4"/>
        <v/>
      </c>
      <c r="N131" s="23" t="str">
        <f t="shared" si="5"/>
        <v/>
      </c>
      <c r="O131" s="14" t="str">
        <f>IF(OR(N131="Reordenar",N131="Agotado"),COUNTIF($N$5:N131,"Reordenar")+COUNTIF($N$5:N131,"Agotado"),"")</f>
        <v/>
      </c>
    </row>
    <row r="132" spans="1:15" x14ac:dyDescent="0.25">
      <c r="A132" s="20"/>
      <c r="B132" s="20"/>
      <c r="C132" s="20"/>
      <c r="D132" s="20"/>
      <c r="E132" s="20"/>
      <c r="F132" s="21"/>
      <c r="G132" s="20"/>
      <c r="H132" s="20"/>
      <c r="I132" s="20"/>
      <c r="J132" s="14" t="str">
        <f>IF($A132="","",SUMIFS(Movimientos!$F$5:$F$3004,Movimientos!$C$5:$C$3004,$A132,Movimientos!$B$5:$B$3004,"Entrada"))</f>
        <v/>
      </c>
      <c r="K132" s="14" t="str">
        <f>IF($A132="","",SUMIFS(Movimientos!$F$5:$F$3004,Movimientos!$C$5:$C$3004,$A132,Movimientos!$B$5:$B$3004,"Salida"))</f>
        <v/>
      </c>
      <c r="L132" s="14" t="str">
        <f t="shared" si="3"/>
        <v/>
      </c>
      <c r="M132" s="22" t="str">
        <f t="shared" si="4"/>
        <v/>
      </c>
      <c r="N132" s="23" t="str">
        <f t="shared" si="5"/>
        <v/>
      </c>
      <c r="O132" s="14" t="str">
        <f>IF(OR(N132="Reordenar",N132="Agotado"),COUNTIF($N$5:N132,"Reordenar")+COUNTIF($N$5:N132,"Agotado"),"")</f>
        <v/>
      </c>
    </row>
    <row r="133" spans="1:15" x14ac:dyDescent="0.25">
      <c r="A133" s="20"/>
      <c r="B133" s="20"/>
      <c r="C133" s="20"/>
      <c r="D133" s="20"/>
      <c r="E133" s="20"/>
      <c r="F133" s="21"/>
      <c r="G133" s="20"/>
      <c r="H133" s="20"/>
      <c r="I133" s="20"/>
      <c r="J133" s="14" t="str">
        <f>IF($A133="","",SUMIFS(Movimientos!$F$5:$F$3004,Movimientos!$C$5:$C$3004,$A133,Movimientos!$B$5:$B$3004,"Entrada"))</f>
        <v/>
      </c>
      <c r="K133" s="14" t="str">
        <f>IF($A133="","",SUMIFS(Movimientos!$F$5:$F$3004,Movimientos!$C$5:$C$3004,$A133,Movimientos!$B$5:$B$3004,"Salida"))</f>
        <v/>
      </c>
      <c r="L133" s="14" t="str">
        <f t="shared" ref="L133:L196" si="6">IF($A133="","",N(I133)+J133-K133)</f>
        <v/>
      </c>
      <c r="M133" s="22" t="str">
        <f t="shared" ref="M133:M196" si="7">IF($A133="","",L133*N(F133))</f>
        <v/>
      </c>
      <c r="N133" s="23" t="str">
        <f t="shared" ref="N133:N196" si="8">IF($A133="","",IF(L133&lt;=0,"Agotado",IF(AND(N(G133)&gt;0,L133&lt;=G133),"Reordenar","OK")))</f>
        <v/>
      </c>
      <c r="O133" s="14" t="str">
        <f>IF(OR(N133="Reordenar",N133="Agotado"),COUNTIF($N$5:N133,"Reordenar")+COUNTIF($N$5:N133,"Agotado"),"")</f>
        <v/>
      </c>
    </row>
    <row r="134" spans="1:15" x14ac:dyDescent="0.25">
      <c r="A134" s="20"/>
      <c r="B134" s="20"/>
      <c r="C134" s="20"/>
      <c r="D134" s="20"/>
      <c r="E134" s="20"/>
      <c r="F134" s="21"/>
      <c r="G134" s="20"/>
      <c r="H134" s="20"/>
      <c r="I134" s="20"/>
      <c r="J134" s="14" t="str">
        <f>IF($A134="","",SUMIFS(Movimientos!$F$5:$F$3004,Movimientos!$C$5:$C$3004,$A134,Movimientos!$B$5:$B$3004,"Entrada"))</f>
        <v/>
      </c>
      <c r="K134" s="14" t="str">
        <f>IF($A134="","",SUMIFS(Movimientos!$F$5:$F$3004,Movimientos!$C$5:$C$3004,$A134,Movimientos!$B$5:$B$3004,"Salida"))</f>
        <v/>
      </c>
      <c r="L134" s="14" t="str">
        <f t="shared" si="6"/>
        <v/>
      </c>
      <c r="M134" s="22" t="str">
        <f t="shared" si="7"/>
        <v/>
      </c>
      <c r="N134" s="23" t="str">
        <f t="shared" si="8"/>
        <v/>
      </c>
      <c r="O134" s="14" t="str">
        <f>IF(OR(N134="Reordenar",N134="Agotado"),COUNTIF($N$5:N134,"Reordenar")+COUNTIF($N$5:N134,"Agotado"),"")</f>
        <v/>
      </c>
    </row>
    <row r="135" spans="1:15" x14ac:dyDescent="0.25">
      <c r="A135" s="20"/>
      <c r="B135" s="20"/>
      <c r="C135" s="20"/>
      <c r="D135" s="20"/>
      <c r="E135" s="20"/>
      <c r="F135" s="21"/>
      <c r="G135" s="20"/>
      <c r="H135" s="20"/>
      <c r="I135" s="20"/>
      <c r="J135" s="14" t="str">
        <f>IF($A135="","",SUMIFS(Movimientos!$F$5:$F$3004,Movimientos!$C$5:$C$3004,$A135,Movimientos!$B$5:$B$3004,"Entrada"))</f>
        <v/>
      </c>
      <c r="K135" s="14" t="str">
        <f>IF($A135="","",SUMIFS(Movimientos!$F$5:$F$3004,Movimientos!$C$5:$C$3004,$A135,Movimientos!$B$5:$B$3004,"Salida"))</f>
        <v/>
      </c>
      <c r="L135" s="14" t="str">
        <f t="shared" si="6"/>
        <v/>
      </c>
      <c r="M135" s="22" t="str">
        <f t="shared" si="7"/>
        <v/>
      </c>
      <c r="N135" s="23" t="str">
        <f t="shared" si="8"/>
        <v/>
      </c>
      <c r="O135" s="14" t="str">
        <f>IF(OR(N135="Reordenar",N135="Agotado"),COUNTIF($N$5:N135,"Reordenar")+COUNTIF($N$5:N135,"Agotado"),"")</f>
        <v/>
      </c>
    </row>
    <row r="136" spans="1:15" x14ac:dyDescent="0.25">
      <c r="A136" s="20"/>
      <c r="B136" s="20"/>
      <c r="C136" s="20"/>
      <c r="D136" s="20"/>
      <c r="E136" s="20"/>
      <c r="F136" s="21"/>
      <c r="G136" s="20"/>
      <c r="H136" s="20"/>
      <c r="I136" s="20"/>
      <c r="J136" s="14" t="str">
        <f>IF($A136="","",SUMIFS(Movimientos!$F$5:$F$3004,Movimientos!$C$5:$C$3004,$A136,Movimientos!$B$5:$B$3004,"Entrada"))</f>
        <v/>
      </c>
      <c r="K136" s="14" t="str">
        <f>IF($A136="","",SUMIFS(Movimientos!$F$5:$F$3004,Movimientos!$C$5:$C$3004,$A136,Movimientos!$B$5:$B$3004,"Salida"))</f>
        <v/>
      </c>
      <c r="L136" s="14" t="str">
        <f t="shared" si="6"/>
        <v/>
      </c>
      <c r="M136" s="22" t="str">
        <f t="shared" si="7"/>
        <v/>
      </c>
      <c r="N136" s="23" t="str">
        <f t="shared" si="8"/>
        <v/>
      </c>
      <c r="O136" s="14" t="str">
        <f>IF(OR(N136="Reordenar",N136="Agotado"),COUNTIF($N$5:N136,"Reordenar")+COUNTIF($N$5:N136,"Agotado"),"")</f>
        <v/>
      </c>
    </row>
    <row r="137" spans="1:15" x14ac:dyDescent="0.25">
      <c r="A137" s="20"/>
      <c r="B137" s="20"/>
      <c r="C137" s="20"/>
      <c r="D137" s="20"/>
      <c r="E137" s="20"/>
      <c r="F137" s="21"/>
      <c r="G137" s="20"/>
      <c r="H137" s="20"/>
      <c r="I137" s="20"/>
      <c r="J137" s="14" t="str">
        <f>IF($A137="","",SUMIFS(Movimientos!$F$5:$F$3004,Movimientos!$C$5:$C$3004,$A137,Movimientos!$B$5:$B$3004,"Entrada"))</f>
        <v/>
      </c>
      <c r="K137" s="14" t="str">
        <f>IF($A137="","",SUMIFS(Movimientos!$F$5:$F$3004,Movimientos!$C$5:$C$3004,$A137,Movimientos!$B$5:$B$3004,"Salida"))</f>
        <v/>
      </c>
      <c r="L137" s="14" t="str">
        <f t="shared" si="6"/>
        <v/>
      </c>
      <c r="M137" s="22" t="str">
        <f t="shared" si="7"/>
        <v/>
      </c>
      <c r="N137" s="23" t="str">
        <f t="shared" si="8"/>
        <v/>
      </c>
      <c r="O137" s="14" t="str">
        <f>IF(OR(N137="Reordenar",N137="Agotado"),COUNTIF($N$5:N137,"Reordenar")+COUNTIF($N$5:N137,"Agotado"),"")</f>
        <v/>
      </c>
    </row>
    <row r="138" spans="1:15" x14ac:dyDescent="0.25">
      <c r="A138" s="20"/>
      <c r="B138" s="20"/>
      <c r="C138" s="20"/>
      <c r="D138" s="20"/>
      <c r="E138" s="20"/>
      <c r="F138" s="21"/>
      <c r="G138" s="20"/>
      <c r="H138" s="20"/>
      <c r="I138" s="20"/>
      <c r="J138" s="14" t="str">
        <f>IF($A138="","",SUMIFS(Movimientos!$F$5:$F$3004,Movimientos!$C$5:$C$3004,$A138,Movimientos!$B$5:$B$3004,"Entrada"))</f>
        <v/>
      </c>
      <c r="K138" s="14" t="str">
        <f>IF($A138="","",SUMIFS(Movimientos!$F$5:$F$3004,Movimientos!$C$5:$C$3004,$A138,Movimientos!$B$5:$B$3004,"Salida"))</f>
        <v/>
      </c>
      <c r="L138" s="14" t="str">
        <f t="shared" si="6"/>
        <v/>
      </c>
      <c r="M138" s="22" t="str">
        <f t="shared" si="7"/>
        <v/>
      </c>
      <c r="N138" s="23" t="str">
        <f t="shared" si="8"/>
        <v/>
      </c>
      <c r="O138" s="14" t="str">
        <f>IF(OR(N138="Reordenar",N138="Agotado"),COUNTIF($N$5:N138,"Reordenar")+COUNTIF($N$5:N138,"Agotado"),"")</f>
        <v/>
      </c>
    </row>
    <row r="139" spans="1:15" x14ac:dyDescent="0.25">
      <c r="A139" s="20"/>
      <c r="B139" s="20"/>
      <c r="C139" s="20"/>
      <c r="D139" s="20"/>
      <c r="E139" s="20"/>
      <c r="F139" s="21"/>
      <c r="G139" s="20"/>
      <c r="H139" s="20"/>
      <c r="I139" s="20"/>
      <c r="J139" s="14" t="str">
        <f>IF($A139="","",SUMIFS(Movimientos!$F$5:$F$3004,Movimientos!$C$5:$C$3004,$A139,Movimientos!$B$5:$B$3004,"Entrada"))</f>
        <v/>
      </c>
      <c r="K139" s="14" t="str">
        <f>IF($A139="","",SUMIFS(Movimientos!$F$5:$F$3004,Movimientos!$C$5:$C$3004,$A139,Movimientos!$B$5:$B$3004,"Salida"))</f>
        <v/>
      </c>
      <c r="L139" s="14" t="str">
        <f t="shared" si="6"/>
        <v/>
      </c>
      <c r="M139" s="22" t="str">
        <f t="shared" si="7"/>
        <v/>
      </c>
      <c r="N139" s="23" t="str">
        <f t="shared" si="8"/>
        <v/>
      </c>
      <c r="O139" s="14" t="str">
        <f>IF(OR(N139="Reordenar",N139="Agotado"),COUNTIF($N$5:N139,"Reordenar")+COUNTIF($N$5:N139,"Agotado"),"")</f>
        <v/>
      </c>
    </row>
    <row r="140" spans="1:15" x14ac:dyDescent="0.25">
      <c r="A140" s="20"/>
      <c r="B140" s="20"/>
      <c r="C140" s="20"/>
      <c r="D140" s="20"/>
      <c r="E140" s="20"/>
      <c r="F140" s="21"/>
      <c r="G140" s="20"/>
      <c r="H140" s="20"/>
      <c r="I140" s="20"/>
      <c r="J140" s="14" t="str">
        <f>IF($A140="","",SUMIFS(Movimientos!$F$5:$F$3004,Movimientos!$C$5:$C$3004,$A140,Movimientos!$B$5:$B$3004,"Entrada"))</f>
        <v/>
      </c>
      <c r="K140" s="14" t="str">
        <f>IF($A140="","",SUMIFS(Movimientos!$F$5:$F$3004,Movimientos!$C$5:$C$3004,$A140,Movimientos!$B$5:$B$3004,"Salida"))</f>
        <v/>
      </c>
      <c r="L140" s="14" t="str">
        <f t="shared" si="6"/>
        <v/>
      </c>
      <c r="M140" s="22" t="str">
        <f t="shared" si="7"/>
        <v/>
      </c>
      <c r="N140" s="23" t="str">
        <f t="shared" si="8"/>
        <v/>
      </c>
      <c r="O140" s="14" t="str">
        <f>IF(OR(N140="Reordenar",N140="Agotado"),COUNTIF($N$5:N140,"Reordenar")+COUNTIF($N$5:N140,"Agotado"),"")</f>
        <v/>
      </c>
    </row>
    <row r="141" spans="1:15" x14ac:dyDescent="0.25">
      <c r="A141" s="20"/>
      <c r="B141" s="20"/>
      <c r="C141" s="20"/>
      <c r="D141" s="20"/>
      <c r="E141" s="20"/>
      <c r="F141" s="21"/>
      <c r="G141" s="20"/>
      <c r="H141" s="20"/>
      <c r="I141" s="20"/>
      <c r="J141" s="14" t="str">
        <f>IF($A141="","",SUMIFS(Movimientos!$F$5:$F$3004,Movimientos!$C$5:$C$3004,$A141,Movimientos!$B$5:$B$3004,"Entrada"))</f>
        <v/>
      </c>
      <c r="K141" s="14" t="str">
        <f>IF($A141="","",SUMIFS(Movimientos!$F$5:$F$3004,Movimientos!$C$5:$C$3004,$A141,Movimientos!$B$5:$B$3004,"Salida"))</f>
        <v/>
      </c>
      <c r="L141" s="14" t="str">
        <f t="shared" si="6"/>
        <v/>
      </c>
      <c r="M141" s="22" t="str">
        <f t="shared" si="7"/>
        <v/>
      </c>
      <c r="N141" s="23" t="str">
        <f t="shared" si="8"/>
        <v/>
      </c>
      <c r="O141" s="14" t="str">
        <f>IF(OR(N141="Reordenar",N141="Agotado"),COUNTIF($N$5:N141,"Reordenar")+COUNTIF($N$5:N141,"Agotado"),"")</f>
        <v/>
      </c>
    </row>
    <row r="142" spans="1:15" x14ac:dyDescent="0.25">
      <c r="A142" s="20"/>
      <c r="B142" s="20"/>
      <c r="C142" s="20"/>
      <c r="D142" s="20"/>
      <c r="E142" s="20"/>
      <c r="F142" s="21"/>
      <c r="G142" s="20"/>
      <c r="H142" s="20"/>
      <c r="I142" s="20"/>
      <c r="J142" s="14" t="str">
        <f>IF($A142="","",SUMIFS(Movimientos!$F$5:$F$3004,Movimientos!$C$5:$C$3004,$A142,Movimientos!$B$5:$B$3004,"Entrada"))</f>
        <v/>
      </c>
      <c r="K142" s="14" t="str">
        <f>IF($A142="","",SUMIFS(Movimientos!$F$5:$F$3004,Movimientos!$C$5:$C$3004,$A142,Movimientos!$B$5:$B$3004,"Salida"))</f>
        <v/>
      </c>
      <c r="L142" s="14" t="str">
        <f t="shared" si="6"/>
        <v/>
      </c>
      <c r="M142" s="22" t="str">
        <f t="shared" si="7"/>
        <v/>
      </c>
      <c r="N142" s="23" t="str">
        <f t="shared" si="8"/>
        <v/>
      </c>
      <c r="O142" s="14" t="str">
        <f>IF(OR(N142="Reordenar",N142="Agotado"),COUNTIF($N$5:N142,"Reordenar")+COUNTIF($N$5:N142,"Agotado"),"")</f>
        <v/>
      </c>
    </row>
    <row r="143" spans="1:15" x14ac:dyDescent="0.25">
      <c r="A143" s="20"/>
      <c r="B143" s="20"/>
      <c r="C143" s="20"/>
      <c r="D143" s="20"/>
      <c r="E143" s="20"/>
      <c r="F143" s="21"/>
      <c r="G143" s="20"/>
      <c r="H143" s="20"/>
      <c r="I143" s="20"/>
      <c r="J143" s="14" t="str">
        <f>IF($A143="","",SUMIFS(Movimientos!$F$5:$F$3004,Movimientos!$C$5:$C$3004,$A143,Movimientos!$B$5:$B$3004,"Entrada"))</f>
        <v/>
      </c>
      <c r="K143" s="14" t="str">
        <f>IF($A143="","",SUMIFS(Movimientos!$F$5:$F$3004,Movimientos!$C$5:$C$3004,$A143,Movimientos!$B$5:$B$3004,"Salida"))</f>
        <v/>
      </c>
      <c r="L143" s="14" t="str">
        <f t="shared" si="6"/>
        <v/>
      </c>
      <c r="M143" s="22" t="str">
        <f t="shared" si="7"/>
        <v/>
      </c>
      <c r="N143" s="23" t="str">
        <f t="shared" si="8"/>
        <v/>
      </c>
      <c r="O143" s="14" t="str">
        <f>IF(OR(N143="Reordenar",N143="Agotado"),COUNTIF($N$5:N143,"Reordenar")+COUNTIF($N$5:N143,"Agotado"),"")</f>
        <v/>
      </c>
    </row>
    <row r="144" spans="1:15" x14ac:dyDescent="0.25">
      <c r="A144" s="20"/>
      <c r="B144" s="20"/>
      <c r="C144" s="20"/>
      <c r="D144" s="20"/>
      <c r="E144" s="20"/>
      <c r="F144" s="21"/>
      <c r="G144" s="20"/>
      <c r="H144" s="20"/>
      <c r="I144" s="20"/>
      <c r="J144" s="14" t="str">
        <f>IF($A144="","",SUMIFS(Movimientos!$F$5:$F$3004,Movimientos!$C$5:$C$3004,$A144,Movimientos!$B$5:$B$3004,"Entrada"))</f>
        <v/>
      </c>
      <c r="K144" s="14" t="str">
        <f>IF($A144="","",SUMIFS(Movimientos!$F$5:$F$3004,Movimientos!$C$5:$C$3004,$A144,Movimientos!$B$5:$B$3004,"Salida"))</f>
        <v/>
      </c>
      <c r="L144" s="14" t="str">
        <f t="shared" si="6"/>
        <v/>
      </c>
      <c r="M144" s="22" t="str">
        <f t="shared" si="7"/>
        <v/>
      </c>
      <c r="N144" s="23" t="str">
        <f t="shared" si="8"/>
        <v/>
      </c>
      <c r="O144" s="14" t="str">
        <f>IF(OR(N144="Reordenar",N144="Agotado"),COUNTIF($N$5:N144,"Reordenar")+COUNTIF($N$5:N144,"Agotado"),"")</f>
        <v/>
      </c>
    </row>
    <row r="145" spans="1:15" x14ac:dyDescent="0.25">
      <c r="A145" s="20"/>
      <c r="B145" s="20"/>
      <c r="C145" s="20"/>
      <c r="D145" s="20"/>
      <c r="E145" s="20"/>
      <c r="F145" s="21"/>
      <c r="G145" s="20"/>
      <c r="H145" s="20"/>
      <c r="I145" s="20"/>
      <c r="J145" s="14" t="str">
        <f>IF($A145="","",SUMIFS(Movimientos!$F$5:$F$3004,Movimientos!$C$5:$C$3004,$A145,Movimientos!$B$5:$B$3004,"Entrada"))</f>
        <v/>
      </c>
      <c r="K145" s="14" t="str">
        <f>IF($A145="","",SUMIFS(Movimientos!$F$5:$F$3004,Movimientos!$C$5:$C$3004,$A145,Movimientos!$B$5:$B$3004,"Salida"))</f>
        <v/>
      </c>
      <c r="L145" s="14" t="str">
        <f t="shared" si="6"/>
        <v/>
      </c>
      <c r="M145" s="22" t="str">
        <f t="shared" si="7"/>
        <v/>
      </c>
      <c r="N145" s="23" t="str">
        <f t="shared" si="8"/>
        <v/>
      </c>
      <c r="O145" s="14" t="str">
        <f>IF(OR(N145="Reordenar",N145="Agotado"),COUNTIF($N$5:N145,"Reordenar")+COUNTIF($N$5:N145,"Agotado"),"")</f>
        <v/>
      </c>
    </row>
    <row r="146" spans="1:15" x14ac:dyDescent="0.25">
      <c r="A146" s="20"/>
      <c r="B146" s="20"/>
      <c r="C146" s="20"/>
      <c r="D146" s="20"/>
      <c r="E146" s="20"/>
      <c r="F146" s="21"/>
      <c r="G146" s="20"/>
      <c r="H146" s="20"/>
      <c r="I146" s="20"/>
      <c r="J146" s="14" t="str">
        <f>IF($A146="","",SUMIFS(Movimientos!$F$5:$F$3004,Movimientos!$C$5:$C$3004,$A146,Movimientos!$B$5:$B$3004,"Entrada"))</f>
        <v/>
      </c>
      <c r="K146" s="14" t="str">
        <f>IF($A146="","",SUMIFS(Movimientos!$F$5:$F$3004,Movimientos!$C$5:$C$3004,$A146,Movimientos!$B$5:$B$3004,"Salida"))</f>
        <v/>
      </c>
      <c r="L146" s="14" t="str">
        <f t="shared" si="6"/>
        <v/>
      </c>
      <c r="M146" s="22" t="str">
        <f t="shared" si="7"/>
        <v/>
      </c>
      <c r="N146" s="23" t="str">
        <f t="shared" si="8"/>
        <v/>
      </c>
      <c r="O146" s="14" t="str">
        <f>IF(OR(N146="Reordenar",N146="Agotado"),COUNTIF($N$5:N146,"Reordenar")+COUNTIF($N$5:N146,"Agotado"),"")</f>
        <v/>
      </c>
    </row>
    <row r="147" spans="1:15" x14ac:dyDescent="0.25">
      <c r="A147" s="20"/>
      <c r="B147" s="20"/>
      <c r="C147" s="20"/>
      <c r="D147" s="20"/>
      <c r="E147" s="20"/>
      <c r="F147" s="21"/>
      <c r="G147" s="20"/>
      <c r="H147" s="20"/>
      <c r="I147" s="20"/>
      <c r="J147" s="14" t="str">
        <f>IF($A147="","",SUMIFS(Movimientos!$F$5:$F$3004,Movimientos!$C$5:$C$3004,$A147,Movimientos!$B$5:$B$3004,"Entrada"))</f>
        <v/>
      </c>
      <c r="K147" s="14" t="str">
        <f>IF($A147="","",SUMIFS(Movimientos!$F$5:$F$3004,Movimientos!$C$5:$C$3004,$A147,Movimientos!$B$5:$B$3004,"Salida"))</f>
        <v/>
      </c>
      <c r="L147" s="14" t="str">
        <f t="shared" si="6"/>
        <v/>
      </c>
      <c r="M147" s="22" t="str">
        <f t="shared" si="7"/>
        <v/>
      </c>
      <c r="N147" s="23" t="str">
        <f t="shared" si="8"/>
        <v/>
      </c>
      <c r="O147" s="14" t="str">
        <f>IF(OR(N147="Reordenar",N147="Agotado"),COUNTIF($N$5:N147,"Reordenar")+COUNTIF($N$5:N147,"Agotado"),"")</f>
        <v/>
      </c>
    </row>
    <row r="148" spans="1:15" x14ac:dyDescent="0.25">
      <c r="A148" s="20"/>
      <c r="B148" s="20"/>
      <c r="C148" s="20"/>
      <c r="D148" s="20"/>
      <c r="E148" s="20"/>
      <c r="F148" s="21"/>
      <c r="G148" s="20"/>
      <c r="H148" s="20"/>
      <c r="I148" s="20"/>
      <c r="J148" s="14" t="str">
        <f>IF($A148="","",SUMIFS(Movimientos!$F$5:$F$3004,Movimientos!$C$5:$C$3004,$A148,Movimientos!$B$5:$B$3004,"Entrada"))</f>
        <v/>
      </c>
      <c r="K148" s="14" t="str">
        <f>IF($A148="","",SUMIFS(Movimientos!$F$5:$F$3004,Movimientos!$C$5:$C$3004,$A148,Movimientos!$B$5:$B$3004,"Salida"))</f>
        <v/>
      </c>
      <c r="L148" s="14" t="str">
        <f t="shared" si="6"/>
        <v/>
      </c>
      <c r="M148" s="22" t="str">
        <f t="shared" si="7"/>
        <v/>
      </c>
      <c r="N148" s="23" t="str">
        <f t="shared" si="8"/>
        <v/>
      </c>
      <c r="O148" s="14" t="str">
        <f>IF(OR(N148="Reordenar",N148="Agotado"),COUNTIF($N$5:N148,"Reordenar")+COUNTIF($N$5:N148,"Agotado"),"")</f>
        <v/>
      </c>
    </row>
    <row r="149" spans="1:15" x14ac:dyDescent="0.25">
      <c r="A149" s="20"/>
      <c r="B149" s="20"/>
      <c r="C149" s="20"/>
      <c r="D149" s="20"/>
      <c r="E149" s="20"/>
      <c r="F149" s="21"/>
      <c r="G149" s="20"/>
      <c r="H149" s="20"/>
      <c r="I149" s="20"/>
      <c r="J149" s="14" t="str">
        <f>IF($A149="","",SUMIFS(Movimientos!$F$5:$F$3004,Movimientos!$C$5:$C$3004,$A149,Movimientos!$B$5:$B$3004,"Entrada"))</f>
        <v/>
      </c>
      <c r="K149" s="14" t="str">
        <f>IF($A149="","",SUMIFS(Movimientos!$F$5:$F$3004,Movimientos!$C$5:$C$3004,$A149,Movimientos!$B$5:$B$3004,"Salida"))</f>
        <v/>
      </c>
      <c r="L149" s="14" t="str">
        <f t="shared" si="6"/>
        <v/>
      </c>
      <c r="M149" s="22" t="str">
        <f t="shared" si="7"/>
        <v/>
      </c>
      <c r="N149" s="23" t="str">
        <f t="shared" si="8"/>
        <v/>
      </c>
      <c r="O149" s="14" t="str">
        <f>IF(OR(N149="Reordenar",N149="Agotado"),COUNTIF($N$5:N149,"Reordenar")+COUNTIF($N$5:N149,"Agotado"),"")</f>
        <v/>
      </c>
    </row>
    <row r="150" spans="1:15" x14ac:dyDescent="0.25">
      <c r="A150" s="20"/>
      <c r="B150" s="20"/>
      <c r="C150" s="20"/>
      <c r="D150" s="20"/>
      <c r="E150" s="20"/>
      <c r="F150" s="21"/>
      <c r="G150" s="20"/>
      <c r="H150" s="20"/>
      <c r="I150" s="20"/>
      <c r="J150" s="14" t="str">
        <f>IF($A150="","",SUMIFS(Movimientos!$F$5:$F$3004,Movimientos!$C$5:$C$3004,$A150,Movimientos!$B$5:$B$3004,"Entrada"))</f>
        <v/>
      </c>
      <c r="K150" s="14" t="str">
        <f>IF($A150="","",SUMIFS(Movimientos!$F$5:$F$3004,Movimientos!$C$5:$C$3004,$A150,Movimientos!$B$5:$B$3004,"Salida"))</f>
        <v/>
      </c>
      <c r="L150" s="14" t="str">
        <f t="shared" si="6"/>
        <v/>
      </c>
      <c r="M150" s="22" t="str">
        <f t="shared" si="7"/>
        <v/>
      </c>
      <c r="N150" s="23" t="str">
        <f t="shared" si="8"/>
        <v/>
      </c>
      <c r="O150" s="14" t="str">
        <f>IF(OR(N150="Reordenar",N150="Agotado"),COUNTIF($N$5:N150,"Reordenar")+COUNTIF($N$5:N150,"Agotado"),"")</f>
        <v/>
      </c>
    </row>
    <row r="151" spans="1:15" x14ac:dyDescent="0.25">
      <c r="A151" s="20"/>
      <c r="B151" s="20"/>
      <c r="C151" s="20"/>
      <c r="D151" s="20"/>
      <c r="E151" s="20"/>
      <c r="F151" s="21"/>
      <c r="G151" s="20"/>
      <c r="H151" s="20"/>
      <c r="I151" s="20"/>
      <c r="J151" s="14" t="str">
        <f>IF($A151="","",SUMIFS(Movimientos!$F$5:$F$3004,Movimientos!$C$5:$C$3004,$A151,Movimientos!$B$5:$B$3004,"Entrada"))</f>
        <v/>
      </c>
      <c r="K151" s="14" t="str">
        <f>IF($A151="","",SUMIFS(Movimientos!$F$5:$F$3004,Movimientos!$C$5:$C$3004,$A151,Movimientos!$B$5:$B$3004,"Salida"))</f>
        <v/>
      </c>
      <c r="L151" s="14" t="str">
        <f t="shared" si="6"/>
        <v/>
      </c>
      <c r="M151" s="22" t="str">
        <f t="shared" si="7"/>
        <v/>
      </c>
      <c r="N151" s="23" t="str">
        <f t="shared" si="8"/>
        <v/>
      </c>
      <c r="O151" s="14" t="str">
        <f>IF(OR(N151="Reordenar",N151="Agotado"),COUNTIF($N$5:N151,"Reordenar")+COUNTIF($N$5:N151,"Agotado"),"")</f>
        <v/>
      </c>
    </row>
    <row r="152" spans="1:15" x14ac:dyDescent="0.25">
      <c r="A152" s="20"/>
      <c r="B152" s="20"/>
      <c r="C152" s="20"/>
      <c r="D152" s="20"/>
      <c r="E152" s="20"/>
      <c r="F152" s="21"/>
      <c r="G152" s="20"/>
      <c r="H152" s="20"/>
      <c r="I152" s="20"/>
      <c r="J152" s="14" t="str">
        <f>IF($A152="","",SUMIFS(Movimientos!$F$5:$F$3004,Movimientos!$C$5:$C$3004,$A152,Movimientos!$B$5:$B$3004,"Entrada"))</f>
        <v/>
      </c>
      <c r="K152" s="14" t="str">
        <f>IF($A152="","",SUMIFS(Movimientos!$F$5:$F$3004,Movimientos!$C$5:$C$3004,$A152,Movimientos!$B$5:$B$3004,"Salida"))</f>
        <v/>
      </c>
      <c r="L152" s="14" t="str">
        <f t="shared" si="6"/>
        <v/>
      </c>
      <c r="M152" s="22" t="str">
        <f t="shared" si="7"/>
        <v/>
      </c>
      <c r="N152" s="23" t="str">
        <f t="shared" si="8"/>
        <v/>
      </c>
      <c r="O152" s="14" t="str">
        <f>IF(OR(N152="Reordenar",N152="Agotado"),COUNTIF($N$5:N152,"Reordenar")+COUNTIF($N$5:N152,"Agotado"),"")</f>
        <v/>
      </c>
    </row>
    <row r="153" spans="1:15" x14ac:dyDescent="0.25">
      <c r="A153" s="20"/>
      <c r="B153" s="20"/>
      <c r="C153" s="20"/>
      <c r="D153" s="20"/>
      <c r="E153" s="20"/>
      <c r="F153" s="21"/>
      <c r="G153" s="20"/>
      <c r="H153" s="20"/>
      <c r="I153" s="20"/>
      <c r="J153" s="14" t="str">
        <f>IF($A153="","",SUMIFS(Movimientos!$F$5:$F$3004,Movimientos!$C$5:$C$3004,$A153,Movimientos!$B$5:$B$3004,"Entrada"))</f>
        <v/>
      </c>
      <c r="K153" s="14" t="str">
        <f>IF($A153="","",SUMIFS(Movimientos!$F$5:$F$3004,Movimientos!$C$5:$C$3004,$A153,Movimientos!$B$5:$B$3004,"Salida"))</f>
        <v/>
      </c>
      <c r="L153" s="14" t="str">
        <f t="shared" si="6"/>
        <v/>
      </c>
      <c r="M153" s="22" t="str">
        <f t="shared" si="7"/>
        <v/>
      </c>
      <c r="N153" s="23" t="str">
        <f t="shared" si="8"/>
        <v/>
      </c>
      <c r="O153" s="14" t="str">
        <f>IF(OR(N153="Reordenar",N153="Agotado"),COUNTIF($N$5:N153,"Reordenar")+COUNTIF($N$5:N153,"Agotado"),"")</f>
        <v/>
      </c>
    </row>
    <row r="154" spans="1:15" x14ac:dyDescent="0.25">
      <c r="A154" s="20"/>
      <c r="B154" s="20"/>
      <c r="C154" s="20"/>
      <c r="D154" s="20"/>
      <c r="E154" s="20"/>
      <c r="F154" s="21"/>
      <c r="G154" s="20"/>
      <c r="H154" s="20"/>
      <c r="I154" s="20"/>
      <c r="J154" s="14" t="str">
        <f>IF($A154="","",SUMIFS(Movimientos!$F$5:$F$3004,Movimientos!$C$5:$C$3004,$A154,Movimientos!$B$5:$B$3004,"Entrada"))</f>
        <v/>
      </c>
      <c r="K154" s="14" t="str">
        <f>IF($A154="","",SUMIFS(Movimientos!$F$5:$F$3004,Movimientos!$C$5:$C$3004,$A154,Movimientos!$B$5:$B$3004,"Salida"))</f>
        <v/>
      </c>
      <c r="L154" s="14" t="str">
        <f t="shared" si="6"/>
        <v/>
      </c>
      <c r="M154" s="22" t="str">
        <f t="shared" si="7"/>
        <v/>
      </c>
      <c r="N154" s="23" t="str">
        <f t="shared" si="8"/>
        <v/>
      </c>
      <c r="O154" s="14" t="str">
        <f>IF(OR(N154="Reordenar",N154="Agotado"),COUNTIF($N$5:N154,"Reordenar")+COUNTIF($N$5:N154,"Agotado"),"")</f>
        <v/>
      </c>
    </row>
    <row r="155" spans="1:15" x14ac:dyDescent="0.25">
      <c r="A155" s="20"/>
      <c r="B155" s="20"/>
      <c r="C155" s="20"/>
      <c r="D155" s="20"/>
      <c r="E155" s="20"/>
      <c r="F155" s="21"/>
      <c r="G155" s="20"/>
      <c r="H155" s="20"/>
      <c r="I155" s="20"/>
      <c r="J155" s="14" t="str">
        <f>IF($A155="","",SUMIFS(Movimientos!$F$5:$F$3004,Movimientos!$C$5:$C$3004,$A155,Movimientos!$B$5:$B$3004,"Entrada"))</f>
        <v/>
      </c>
      <c r="K155" s="14" t="str">
        <f>IF($A155="","",SUMIFS(Movimientos!$F$5:$F$3004,Movimientos!$C$5:$C$3004,$A155,Movimientos!$B$5:$B$3004,"Salida"))</f>
        <v/>
      </c>
      <c r="L155" s="14" t="str">
        <f t="shared" si="6"/>
        <v/>
      </c>
      <c r="M155" s="22" t="str">
        <f t="shared" si="7"/>
        <v/>
      </c>
      <c r="N155" s="23" t="str">
        <f t="shared" si="8"/>
        <v/>
      </c>
      <c r="O155" s="14" t="str">
        <f>IF(OR(N155="Reordenar",N155="Agotado"),COUNTIF($N$5:N155,"Reordenar")+COUNTIF($N$5:N155,"Agotado"),"")</f>
        <v/>
      </c>
    </row>
    <row r="156" spans="1:15" x14ac:dyDescent="0.25">
      <c r="A156" s="20"/>
      <c r="B156" s="20"/>
      <c r="C156" s="20"/>
      <c r="D156" s="20"/>
      <c r="E156" s="20"/>
      <c r="F156" s="21"/>
      <c r="G156" s="20"/>
      <c r="H156" s="20"/>
      <c r="I156" s="20"/>
      <c r="J156" s="14" t="str">
        <f>IF($A156="","",SUMIFS(Movimientos!$F$5:$F$3004,Movimientos!$C$5:$C$3004,$A156,Movimientos!$B$5:$B$3004,"Entrada"))</f>
        <v/>
      </c>
      <c r="K156" s="14" t="str">
        <f>IF($A156="","",SUMIFS(Movimientos!$F$5:$F$3004,Movimientos!$C$5:$C$3004,$A156,Movimientos!$B$5:$B$3004,"Salida"))</f>
        <v/>
      </c>
      <c r="L156" s="14" t="str">
        <f t="shared" si="6"/>
        <v/>
      </c>
      <c r="M156" s="22" t="str">
        <f t="shared" si="7"/>
        <v/>
      </c>
      <c r="N156" s="23" t="str">
        <f t="shared" si="8"/>
        <v/>
      </c>
      <c r="O156" s="14" t="str">
        <f>IF(OR(N156="Reordenar",N156="Agotado"),COUNTIF($N$5:N156,"Reordenar")+COUNTIF($N$5:N156,"Agotado"),"")</f>
        <v/>
      </c>
    </row>
    <row r="157" spans="1:15" x14ac:dyDescent="0.25">
      <c r="A157" s="20"/>
      <c r="B157" s="20"/>
      <c r="C157" s="20"/>
      <c r="D157" s="20"/>
      <c r="E157" s="20"/>
      <c r="F157" s="21"/>
      <c r="G157" s="20"/>
      <c r="H157" s="20"/>
      <c r="I157" s="20"/>
      <c r="J157" s="14" t="str">
        <f>IF($A157="","",SUMIFS(Movimientos!$F$5:$F$3004,Movimientos!$C$5:$C$3004,$A157,Movimientos!$B$5:$B$3004,"Entrada"))</f>
        <v/>
      </c>
      <c r="K157" s="14" t="str">
        <f>IF($A157="","",SUMIFS(Movimientos!$F$5:$F$3004,Movimientos!$C$5:$C$3004,$A157,Movimientos!$B$5:$B$3004,"Salida"))</f>
        <v/>
      </c>
      <c r="L157" s="14" t="str">
        <f t="shared" si="6"/>
        <v/>
      </c>
      <c r="M157" s="22" t="str">
        <f t="shared" si="7"/>
        <v/>
      </c>
      <c r="N157" s="23" t="str">
        <f t="shared" si="8"/>
        <v/>
      </c>
      <c r="O157" s="14" t="str">
        <f>IF(OR(N157="Reordenar",N157="Agotado"),COUNTIF($N$5:N157,"Reordenar")+COUNTIF($N$5:N157,"Agotado"),"")</f>
        <v/>
      </c>
    </row>
    <row r="158" spans="1:15" x14ac:dyDescent="0.25">
      <c r="A158" s="20"/>
      <c r="B158" s="20"/>
      <c r="C158" s="20"/>
      <c r="D158" s="20"/>
      <c r="E158" s="20"/>
      <c r="F158" s="21"/>
      <c r="G158" s="20"/>
      <c r="H158" s="20"/>
      <c r="I158" s="20"/>
      <c r="J158" s="14" t="str">
        <f>IF($A158="","",SUMIFS(Movimientos!$F$5:$F$3004,Movimientos!$C$5:$C$3004,$A158,Movimientos!$B$5:$B$3004,"Entrada"))</f>
        <v/>
      </c>
      <c r="K158" s="14" t="str">
        <f>IF($A158="","",SUMIFS(Movimientos!$F$5:$F$3004,Movimientos!$C$5:$C$3004,$A158,Movimientos!$B$5:$B$3004,"Salida"))</f>
        <v/>
      </c>
      <c r="L158" s="14" t="str">
        <f t="shared" si="6"/>
        <v/>
      </c>
      <c r="M158" s="22" t="str">
        <f t="shared" si="7"/>
        <v/>
      </c>
      <c r="N158" s="23" t="str">
        <f t="shared" si="8"/>
        <v/>
      </c>
      <c r="O158" s="14" t="str">
        <f>IF(OR(N158="Reordenar",N158="Agotado"),COUNTIF($N$5:N158,"Reordenar")+COUNTIF($N$5:N158,"Agotado"),"")</f>
        <v/>
      </c>
    </row>
    <row r="159" spans="1:15" x14ac:dyDescent="0.25">
      <c r="A159" s="20"/>
      <c r="B159" s="20"/>
      <c r="C159" s="20"/>
      <c r="D159" s="20"/>
      <c r="E159" s="20"/>
      <c r="F159" s="21"/>
      <c r="G159" s="20"/>
      <c r="H159" s="20"/>
      <c r="I159" s="20"/>
      <c r="J159" s="14" t="str">
        <f>IF($A159="","",SUMIFS(Movimientos!$F$5:$F$3004,Movimientos!$C$5:$C$3004,$A159,Movimientos!$B$5:$B$3004,"Entrada"))</f>
        <v/>
      </c>
      <c r="K159" s="14" t="str">
        <f>IF($A159="","",SUMIFS(Movimientos!$F$5:$F$3004,Movimientos!$C$5:$C$3004,$A159,Movimientos!$B$5:$B$3004,"Salida"))</f>
        <v/>
      </c>
      <c r="L159" s="14" t="str">
        <f t="shared" si="6"/>
        <v/>
      </c>
      <c r="M159" s="22" t="str">
        <f t="shared" si="7"/>
        <v/>
      </c>
      <c r="N159" s="23" t="str">
        <f t="shared" si="8"/>
        <v/>
      </c>
      <c r="O159" s="14" t="str">
        <f>IF(OR(N159="Reordenar",N159="Agotado"),COUNTIF($N$5:N159,"Reordenar")+COUNTIF($N$5:N159,"Agotado"),"")</f>
        <v/>
      </c>
    </row>
    <row r="160" spans="1:15" x14ac:dyDescent="0.25">
      <c r="A160" s="20"/>
      <c r="B160" s="20"/>
      <c r="C160" s="20"/>
      <c r="D160" s="20"/>
      <c r="E160" s="20"/>
      <c r="F160" s="21"/>
      <c r="G160" s="20"/>
      <c r="H160" s="20"/>
      <c r="I160" s="20"/>
      <c r="J160" s="14" t="str">
        <f>IF($A160="","",SUMIFS(Movimientos!$F$5:$F$3004,Movimientos!$C$5:$C$3004,$A160,Movimientos!$B$5:$B$3004,"Entrada"))</f>
        <v/>
      </c>
      <c r="K160" s="14" t="str">
        <f>IF($A160="","",SUMIFS(Movimientos!$F$5:$F$3004,Movimientos!$C$5:$C$3004,$A160,Movimientos!$B$5:$B$3004,"Salida"))</f>
        <v/>
      </c>
      <c r="L160" s="14" t="str">
        <f t="shared" si="6"/>
        <v/>
      </c>
      <c r="M160" s="22" t="str">
        <f t="shared" si="7"/>
        <v/>
      </c>
      <c r="N160" s="23" t="str">
        <f t="shared" si="8"/>
        <v/>
      </c>
      <c r="O160" s="14" t="str">
        <f>IF(OR(N160="Reordenar",N160="Agotado"),COUNTIF($N$5:N160,"Reordenar")+COUNTIF($N$5:N160,"Agotado"),"")</f>
        <v/>
      </c>
    </row>
    <row r="161" spans="1:15" x14ac:dyDescent="0.25">
      <c r="A161" s="20"/>
      <c r="B161" s="20"/>
      <c r="C161" s="20"/>
      <c r="D161" s="20"/>
      <c r="E161" s="20"/>
      <c r="F161" s="21"/>
      <c r="G161" s="20"/>
      <c r="H161" s="20"/>
      <c r="I161" s="20"/>
      <c r="J161" s="14" t="str">
        <f>IF($A161="","",SUMIFS(Movimientos!$F$5:$F$3004,Movimientos!$C$5:$C$3004,$A161,Movimientos!$B$5:$B$3004,"Entrada"))</f>
        <v/>
      </c>
      <c r="K161" s="14" t="str">
        <f>IF($A161="","",SUMIFS(Movimientos!$F$5:$F$3004,Movimientos!$C$5:$C$3004,$A161,Movimientos!$B$5:$B$3004,"Salida"))</f>
        <v/>
      </c>
      <c r="L161" s="14" t="str">
        <f t="shared" si="6"/>
        <v/>
      </c>
      <c r="M161" s="22" t="str">
        <f t="shared" si="7"/>
        <v/>
      </c>
      <c r="N161" s="23" t="str">
        <f t="shared" si="8"/>
        <v/>
      </c>
      <c r="O161" s="14" t="str">
        <f>IF(OR(N161="Reordenar",N161="Agotado"),COUNTIF($N$5:N161,"Reordenar")+COUNTIF($N$5:N161,"Agotado"),"")</f>
        <v/>
      </c>
    </row>
    <row r="162" spans="1:15" x14ac:dyDescent="0.25">
      <c r="A162" s="20"/>
      <c r="B162" s="20"/>
      <c r="C162" s="20"/>
      <c r="D162" s="20"/>
      <c r="E162" s="20"/>
      <c r="F162" s="21"/>
      <c r="G162" s="20"/>
      <c r="H162" s="20"/>
      <c r="I162" s="20"/>
      <c r="J162" s="14" t="str">
        <f>IF($A162="","",SUMIFS(Movimientos!$F$5:$F$3004,Movimientos!$C$5:$C$3004,$A162,Movimientos!$B$5:$B$3004,"Entrada"))</f>
        <v/>
      </c>
      <c r="K162" s="14" t="str">
        <f>IF($A162="","",SUMIFS(Movimientos!$F$5:$F$3004,Movimientos!$C$5:$C$3004,$A162,Movimientos!$B$5:$B$3004,"Salida"))</f>
        <v/>
      </c>
      <c r="L162" s="14" t="str">
        <f t="shared" si="6"/>
        <v/>
      </c>
      <c r="M162" s="22" t="str">
        <f t="shared" si="7"/>
        <v/>
      </c>
      <c r="N162" s="23" t="str">
        <f t="shared" si="8"/>
        <v/>
      </c>
      <c r="O162" s="14" t="str">
        <f>IF(OR(N162="Reordenar",N162="Agotado"),COUNTIF($N$5:N162,"Reordenar")+COUNTIF($N$5:N162,"Agotado"),"")</f>
        <v/>
      </c>
    </row>
    <row r="163" spans="1:15" x14ac:dyDescent="0.25">
      <c r="A163" s="20"/>
      <c r="B163" s="20"/>
      <c r="C163" s="20"/>
      <c r="D163" s="20"/>
      <c r="E163" s="20"/>
      <c r="F163" s="21"/>
      <c r="G163" s="20"/>
      <c r="H163" s="20"/>
      <c r="I163" s="20"/>
      <c r="J163" s="14" t="str">
        <f>IF($A163="","",SUMIFS(Movimientos!$F$5:$F$3004,Movimientos!$C$5:$C$3004,$A163,Movimientos!$B$5:$B$3004,"Entrada"))</f>
        <v/>
      </c>
      <c r="K163" s="14" t="str">
        <f>IF($A163="","",SUMIFS(Movimientos!$F$5:$F$3004,Movimientos!$C$5:$C$3004,$A163,Movimientos!$B$5:$B$3004,"Salida"))</f>
        <v/>
      </c>
      <c r="L163" s="14" t="str">
        <f t="shared" si="6"/>
        <v/>
      </c>
      <c r="M163" s="22" t="str">
        <f t="shared" si="7"/>
        <v/>
      </c>
      <c r="N163" s="23" t="str">
        <f t="shared" si="8"/>
        <v/>
      </c>
      <c r="O163" s="14" t="str">
        <f>IF(OR(N163="Reordenar",N163="Agotado"),COUNTIF($N$5:N163,"Reordenar")+COUNTIF($N$5:N163,"Agotado"),"")</f>
        <v/>
      </c>
    </row>
    <row r="164" spans="1:15" x14ac:dyDescent="0.25">
      <c r="A164" s="20"/>
      <c r="B164" s="20"/>
      <c r="C164" s="20"/>
      <c r="D164" s="20"/>
      <c r="E164" s="20"/>
      <c r="F164" s="21"/>
      <c r="G164" s="20"/>
      <c r="H164" s="20"/>
      <c r="I164" s="20"/>
      <c r="J164" s="14" t="str">
        <f>IF($A164="","",SUMIFS(Movimientos!$F$5:$F$3004,Movimientos!$C$5:$C$3004,$A164,Movimientos!$B$5:$B$3004,"Entrada"))</f>
        <v/>
      </c>
      <c r="K164" s="14" t="str">
        <f>IF($A164="","",SUMIFS(Movimientos!$F$5:$F$3004,Movimientos!$C$5:$C$3004,$A164,Movimientos!$B$5:$B$3004,"Salida"))</f>
        <v/>
      </c>
      <c r="L164" s="14" t="str">
        <f t="shared" si="6"/>
        <v/>
      </c>
      <c r="M164" s="22" t="str">
        <f t="shared" si="7"/>
        <v/>
      </c>
      <c r="N164" s="23" t="str">
        <f t="shared" si="8"/>
        <v/>
      </c>
      <c r="O164" s="14" t="str">
        <f>IF(OR(N164="Reordenar",N164="Agotado"),COUNTIF($N$5:N164,"Reordenar")+COUNTIF($N$5:N164,"Agotado"),"")</f>
        <v/>
      </c>
    </row>
    <row r="165" spans="1:15" x14ac:dyDescent="0.25">
      <c r="A165" s="20"/>
      <c r="B165" s="20"/>
      <c r="C165" s="20"/>
      <c r="D165" s="20"/>
      <c r="E165" s="20"/>
      <c r="F165" s="21"/>
      <c r="G165" s="20"/>
      <c r="H165" s="20"/>
      <c r="I165" s="20"/>
      <c r="J165" s="14" t="str">
        <f>IF($A165="","",SUMIFS(Movimientos!$F$5:$F$3004,Movimientos!$C$5:$C$3004,$A165,Movimientos!$B$5:$B$3004,"Entrada"))</f>
        <v/>
      </c>
      <c r="K165" s="14" t="str">
        <f>IF($A165="","",SUMIFS(Movimientos!$F$5:$F$3004,Movimientos!$C$5:$C$3004,$A165,Movimientos!$B$5:$B$3004,"Salida"))</f>
        <v/>
      </c>
      <c r="L165" s="14" t="str">
        <f t="shared" si="6"/>
        <v/>
      </c>
      <c r="M165" s="22" t="str">
        <f t="shared" si="7"/>
        <v/>
      </c>
      <c r="N165" s="23" t="str">
        <f t="shared" si="8"/>
        <v/>
      </c>
      <c r="O165" s="14" t="str">
        <f>IF(OR(N165="Reordenar",N165="Agotado"),COUNTIF($N$5:N165,"Reordenar")+COUNTIF($N$5:N165,"Agotado"),"")</f>
        <v/>
      </c>
    </row>
    <row r="166" spans="1:15" x14ac:dyDescent="0.25">
      <c r="A166" s="20"/>
      <c r="B166" s="20"/>
      <c r="C166" s="20"/>
      <c r="D166" s="20"/>
      <c r="E166" s="20"/>
      <c r="F166" s="21"/>
      <c r="G166" s="20"/>
      <c r="H166" s="20"/>
      <c r="I166" s="20"/>
      <c r="J166" s="14" t="str">
        <f>IF($A166="","",SUMIFS(Movimientos!$F$5:$F$3004,Movimientos!$C$5:$C$3004,$A166,Movimientos!$B$5:$B$3004,"Entrada"))</f>
        <v/>
      </c>
      <c r="K166" s="14" t="str">
        <f>IF($A166="","",SUMIFS(Movimientos!$F$5:$F$3004,Movimientos!$C$5:$C$3004,$A166,Movimientos!$B$5:$B$3004,"Salida"))</f>
        <v/>
      </c>
      <c r="L166" s="14" t="str">
        <f t="shared" si="6"/>
        <v/>
      </c>
      <c r="M166" s="22" t="str">
        <f t="shared" si="7"/>
        <v/>
      </c>
      <c r="N166" s="23" t="str">
        <f t="shared" si="8"/>
        <v/>
      </c>
      <c r="O166" s="14" t="str">
        <f>IF(OR(N166="Reordenar",N166="Agotado"),COUNTIF($N$5:N166,"Reordenar")+COUNTIF($N$5:N166,"Agotado"),"")</f>
        <v/>
      </c>
    </row>
    <row r="167" spans="1:15" x14ac:dyDescent="0.25">
      <c r="A167" s="20"/>
      <c r="B167" s="20"/>
      <c r="C167" s="20"/>
      <c r="D167" s="20"/>
      <c r="E167" s="20"/>
      <c r="F167" s="21"/>
      <c r="G167" s="20"/>
      <c r="H167" s="20"/>
      <c r="I167" s="20"/>
      <c r="J167" s="14" t="str">
        <f>IF($A167="","",SUMIFS(Movimientos!$F$5:$F$3004,Movimientos!$C$5:$C$3004,$A167,Movimientos!$B$5:$B$3004,"Entrada"))</f>
        <v/>
      </c>
      <c r="K167" s="14" t="str">
        <f>IF($A167="","",SUMIFS(Movimientos!$F$5:$F$3004,Movimientos!$C$5:$C$3004,$A167,Movimientos!$B$5:$B$3004,"Salida"))</f>
        <v/>
      </c>
      <c r="L167" s="14" t="str">
        <f t="shared" si="6"/>
        <v/>
      </c>
      <c r="M167" s="22" t="str">
        <f t="shared" si="7"/>
        <v/>
      </c>
      <c r="N167" s="23" t="str">
        <f t="shared" si="8"/>
        <v/>
      </c>
      <c r="O167" s="14" t="str">
        <f>IF(OR(N167="Reordenar",N167="Agotado"),COUNTIF($N$5:N167,"Reordenar")+COUNTIF($N$5:N167,"Agotado"),"")</f>
        <v/>
      </c>
    </row>
    <row r="168" spans="1:15" x14ac:dyDescent="0.25">
      <c r="A168" s="20"/>
      <c r="B168" s="20"/>
      <c r="C168" s="20"/>
      <c r="D168" s="20"/>
      <c r="E168" s="20"/>
      <c r="F168" s="21"/>
      <c r="G168" s="20"/>
      <c r="H168" s="20"/>
      <c r="I168" s="20"/>
      <c r="J168" s="14" t="str">
        <f>IF($A168="","",SUMIFS(Movimientos!$F$5:$F$3004,Movimientos!$C$5:$C$3004,$A168,Movimientos!$B$5:$B$3004,"Entrada"))</f>
        <v/>
      </c>
      <c r="K168" s="14" t="str">
        <f>IF($A168="","",SUMIFS(Movimientos!$F$5:$F$3004,Movimientos!$C$5:$C$3004,$A168,Movimientos!$B$5:$B$3004,"Salida"))</f>
        <v/>
      </c>
      <c r="L168" s="14" t="str">
        <f t="shared" si="6"/>
        <v/>
      </c>
      <c r="M168" s="22" t="str">
        <f t="shared" si="7"/>
        <v/>
      </c>
      <c r="N168" s="23" t="str">
        <f t="shared" si="8"/>
        <v/>
      </c>
      <c r="O168" s="14" t="str">
        <f>IF(OR(N168="Reordenar",N168="Agotado"),COUNTIF($N$5:N168,"Reordenar")+COUNTIF($N$5:N168,"Agotado"),"")</f>
        <v/>
      </c>
    </row>
    <row r="169" spans="1:15" x14ac:dyDescent="0.25">
      <c r="A169" s="20"/>
      <c r="B169" s="20"/>
      <c r="C169" s="20"/>
      <c r="D169" s="20"/>
      <c r="E169" s="20"/>
      <c r="F169" s="21"/>
      <c r="G169" s="20"/>
      <c r="H169" s="20"/>
      <c r="I169" s="20"/>
      <c r="J169" s="14" t="str">
        <f>IF($A169="","",SUMIFS(Movimientos!$F$5:$F$3004,Movimientos!$C$5:$C$3004,$A169,Movimientos!$B$5:$B$3004,"Entrada"))</f>
        <v/>
      </c>
      <c r="K169" s="14" t="str">
        <f>IF($A169="","",SUMIFS(Movimientos!$F$5:$F$3004,Movimientos!$C$5:$C$3004,$A169,Movimientos!$B$5:$B$3004,"Salida"))</f>
        <v/>
      </c>
      <c r="L169" s="14" t="str">
        <f t="shared" si="6"/>
        <v/>
      </c>
      <c r="M169" s="22" t="str">
        <f t="shared" si="7"/>
        <v/>
      </c>
      <c r="N169" s="23" t="str">
        <f t="shared" si="8"/>
        <v/>
      </c>
      <c r="O169" s="14" t="str">
        <f>IF(OR(N169="Reordenar",N169="Agotado"),COUNTIF($N$5:N169,"Reordenar")+COUNTIF($N$5:N169,"Agotado"),"")</f>
        <v/>
      </c>
    </row>
    <row r="170" spans="1:15" x14ac:dyDescent="0.25">
      <c r="A170" s="20"/>
      <c r="B170" s="20"/>
      <c r="C170" s="20"/>
      <c r="D170" s="20"/>
      <c r="E170" s="20"/>
      <c r="F170" s="21"/>
      <c r="G170" s="20"/>
      <c r="H170" s="20"/>
      <c r="I170" s="20"/>
      <c r="J170" s="14" t="str">
        <f>IF($A170="","",SUMIFS(Movimientos!$F$5:$F$3004,Movimientos!$C$5:$C$3004,$A170,Movimientos!$B$5:$B$3004,"Entrada"))</f>
        <v/>
      </c>
      <c r="K170" s="14" t="str">
        <f>IF($A170="","",SUMIFS(Movimientos!$F$5:$F$3004,Movimientos!$C$5:$C$3004,$A170,Movimientos!$B$5:$B$3004,"Salida"))</f>
        <v/>
      </c>
      <c r="L170" s="14" t="str">
        <f t="shared" si="6"/>
        <v/>
      </c>
      <c r="M170" s="22" t="str">
        <f t="shared" si="7"/>
        <v/>
      </c>
      <c r="N170" s="23" t="str">
        <f t="shared" si="8"/>
        <v/>
      </c>
      <c r="O170" s="14" t="str">
        <f>IF(OR(N170="Reordenar",N170="Agotado"),COUNTIF($N$5:N170,"Reordenar")+COUNTIF($N$5:N170,"Agotado"),"")</f>
        <v/>
      </c>
    </row>
    <row r="171" spans="1:15" x14ac:dyDescent="0.25">
      <c r="A171" s="20"/>
      <c r="B171" s="20"/>
      <c r="C171" s="20"/>
      <c r="D171" s="20"/>
      <c r="E171" s="20"/>
      <c r="F171" s="21"/>
      <c r="G171" s="20"/>
      <c r="H171" s="20"/>
      <c r="I171" s="20"/>
      <c r="J171" s="14" t="str">
        <f>IF($A171="","",SUMIFS(Movimientos!$F$5:$F$3004,Movimientos!$C$5:$C$3004,$A171,Movimientos!$B$5:$B$3004,"Entrada"))</f>
        <v/>
      </c>
      <c r="K171" s="14" t="str">
        <f>IF($A171="","",SUMIFS(Movimientos!$F$5:$F$3004,Movimientos!$C$5:$C$3004,$A171,Movimientos!$B$5:$B$3004,"Salida"))</f>
        <v/>
      </c>
      <c r="L171" s="14" t="str">
        <f t="shared" si="6"/>
        <v/>
      </c>
      <c r="M171" s="22" t="str">
        <f t="shared" si="7"/>
        <v/>
      </c>
      <c r="N171" s="23" t="str">
        <f t="shared" si="8"/>
        <v/>
      </c>
      <c r="O171" s="14" t="str">
        <f>IF(OR(N171="Reordenar",N171="Agotado"),COUNTIF($N$5:N171,"Reordenar")+COUNTIF($N$5:N171,"Agotado"),"")</f>
        <v/>
      </c>
    </row>
    <row r="172" spans="1:15" x14ac:dyDescent="0.25">
      <c r="A172" s="20"/>
      <c r="B172" s="20"/>
      <c r="C172" s="20"/>
      <c r="D172" s="20"/>
      <c r="E172" s="20"/>
      <c r="F172" s="21"/>
      <c r="G172" s="20"/>
      <c r="H172" s="20"/>
      <c r="I172" s="20"/>
      <c r="J172" s="14" t="str">
        <f>IF($A172="","",SUMIFS(Movimientos!$F$5:$F$3004,Movimientos!$C$5:$C$3004,$A172,Movimientos!$B$5:$B$3004,"Entrada"))</f>
        <v/>
      </c>
      <c r="K172" s="14" t="str">
        <f>IF($A172="","",SUMIFS(Movimientos!$F$5:$F$3004,Movimientos!$C$5:$C$3004,$A172,Movimientos!$B$5:$B$3004,"Salida"))</f>
        <v/>
      </c>
      <c r="L172" s="14" t="str">
        <f t="shared" si="6"/>
        <v/>
      </c>
      <c r="M172" s="22" t="str">
        <f t="shared" si="7"/>
        <v/>
      </c>
      <c r="N172" s="23" t="str">
        <f t="shared" si="8"/>
        <v/>
      </c>
      <c r="O172" s="14" t="str">
        <f>IF(OR(N172="Reordenar",N172="Agotado"),COUNTIF($N$5:N172,"Reordenar")+COUNTIF($N$5:N172,"Agotado"),"")</f>
        <v/>
      </c>
    </row>
    <row r="173" spans="1:15" x14ac:dyDescent="0.25">
      <c r="A173" s="20"/>
      <c r="B173" s="20"/>
      <c r="C173" s="20"/>
      <c r="D173" s="20"/>
      <c r="E173" s="20"/>
      <c r="F173" s="21"/>
      <c r="G173" s="20"/>
      <c r="H173" s="20"/>
      <c r="I173" s="20"/>
      <c r="J173" s="14" t="str">
        <f>IF($A173="","",SUMIFS(Movimientos!$F$5:$F$3004,Movimientos!$C$5:$C$3004,$A173,Movimientos!$B$5:$B$3004,"Entrada"))</f>
        <v/>
      </c>
      <c r="K173" s="14" t="str">
        <f>IF($A173="","",SUMIFS(Movimientos!$F$5:$F$3004,Movimientos!$C$5:$C$3004,$A173,Movimientos!$B$5:$B$3004,"Salida"))</f>
        <v/>
      </c>
      <c r="L173" s="14" t="str">
        <f t="shared" si="6"/>
        <v/>
      </c>
      <c r="M173" s="22" t="str">
        <f t="shared" si="7"/>
        <v/>
      </c>
      <c r="N173" s="23" t="str">
        <f t="shared" si="8"/>
        <v/>
      </c>
      <c r="O173" s="14" t="str">
        <f>IF(OR(N173="Reordenar",N173="Agotado"),COUNTIF($N$5:N173,"Reordenar")+COUNTIF($N$5:N173,"Agotado"),"")</f>
        <v/>
      </c>
    </row>
    <row r="174" spans="1:15" x14ac:dyDescent="0.25">
      <c r="A174" s="20"/>
      <c r="B174" s="20"/>
      <c r="C174" s="20"/>
      <c r="D174" s="20"/>
      <c r="E174" s="20"/>
      <c r="F174" s="21"/>
      <c r="G174" s="20"/>
      <c r="H174" s="20"/>
      <c r="I174" s="20"/>
      <c r="J174" s="14" t="str">
        <f>IF($A174="","",SUMIFS(Movimientos!$F$5:$F$3004,Movimientos!$C$5:$C$3004,$A174,Movimientos!$B$5:$B$3004,"Entrada"))</f>
        <v/>
      </c>
      <c r="K174" s="14" t="str">
        <f>IF($A174="","",SUMIFS(Movimientos!$F$5:$F$3004,Movimientos!$C$5:$C$3004,$A174,Movimientos!$B$5:$B$3004,"Salida"))</f>
        <v/>
      </c>
      <c r="L174" s="14" t="str">
        <f t="shared" si="6"/>
        <v/>
      </c>
      <c r="M174" s="22" t="str">
        <f t="shared" si="7"/>
        <v/>
      </c>
      <c r="N174" s="23" t="str">
        <f t="shared" si="8"/>
        <v/>
      </c>
      <c r="O174" s="14" t="str">
        <f>IF(OR(N174="Reordenar",N174="Agotado"),COUNTIF($N$5:N174,"Reordenar")+COUNTIF($N$5:N174,"Agotado"),"")</f>
        <v/>
      </c>
    </row>
    <row r="175" spans="1:15" x14ac:dyDescent="0.25">
      <c r="A175" s="20"/>
      <c r="B175" s="20"/>
      <c r="C175" s="20"/>
      <c r="D175" s="20"/>
      <c r="E175" s="20"/>
      <c r="F175" s="21"/>
      <c r="G175" s="20"/>
      <c r="H175" s="20"/>
      <c r="I175" s="20"/>
      <c r="J175" s="14" t="str">
        <f>IF($A175="","",SUMIFS(Movimientos!$F$5:$F$3004,Movimientos!$C$5:$C$3004,$A175,Movimientos!$B$5:$B$3004,"Entrada"))</f>
        <v/>
      </c>
      <c r="K175" s="14" t="str">
        <f>IF($A175="","",SUMIFS(Movimientos!$F$5:$F$3004,Movimientos!$C$5:$C$3004,$A175,Movimientos!$B$5:$B$3004,"Salida"))</f>
        <v/>
      </c>
      <c r="L175" s="14" t="str">
        <f t="shared" si="6"/>
        <v/>
      </c>
      <c r="M175" s="22" t="str">
        <f t="shared" si="7"/>
        <v/>
      </c>
      <c r="N175" s="23" t="str">
        <f t="shared" si="8"/>
        <v/>
      </c>
      <c r="O175" s="14" t="str">
        <f>IF(OR(N175="Reordenar",N175="Agotado"),COUNTIF($N$5:N175,"Reordenar")+COUNTIF($N$5:N175,"Agotado"),"")</f>
        <v/>
      </c>
    </row>
    <row r="176" spans="1:15" x14ac:dyDescent="0.25">
      <c r="A176" s="20"/>
      <c r="B176" s="20"/>
      <c r="C176" s="20"/>
      <c r="D176" s="20"/>
      <c r="E176" s="20"/>
      <c r="F176" s="21"/>
      <c r="G176" s="20"/>
      <c r="H176" s="20"/>
      <c r="I176" s="20"/>
      <c r="J176" s="14" t="str">
        <f>IF($A176="","",SUMIFS(Movimientos!$F$5:$F$3004,Movimientos!$C$5:$C$3004,$A176,Movimientos!$B$5:$B$3004,"Entrada"))</f>
        <v/>
      </c>
      <c r="K176" s="14" t="str">
        <f>IF($A176="","",SUMIFS(Movimientos!$F$5:$F$3004,Movimientos!$C$5:$C$3004,$A176,Movimientos!$B$5:$B$3004,"Salida"))</f>
        <v/>
      </c>
      <c r="L176" s="14" t="str">
        <f t="shared" si="6"/>
        <v/>
      </c>
      <c r="M176" s="22" t="str">
        <f t="shared" si="7"/>
        <v/>
      </c>
      <c r="N176" s="23" t="str">
        <f t="shared" si="8"/>
        <v/>
      </c>
      <c r="O176" s="14" t="str">
        <f>IF(OR(N176="Reordenar",N176="Agotado"),COUNTIF($N$5:N176,"Reordenar")+COUNTIF($N$5:N176,"Agotado"),"")</f>
        <v/>
      </c>
    </row>
    <row r="177" spans="1:15" x14ac:dyDescent="0.25">
      <c r="A177" s="20"/>
      <c r="B177" s="20"/>
      <c r="C177" s="20"/>
      <c r="D177" s="20"/>
      <c r="E177" s="20"/>
      <c r="F177" s="21"/>
      <c r="G177" s="20"/>
      <c r="H177" s="20"/>
      <c r="I177" s="20"/>
      <c r="J177" s="14" t="str">
        <f>IF($A177="","",SUMIFS(Movimientos!$F$5:$F$3004,Movimientos!$C$5:$C$3004,$A177,Movimientos!$B$5:$B$3004,"Entrada"))</f>
        <v/>
      </c>
      <c r="K177" s="14" t="str">
        <f>IF($A177="","",SUMIFS(Movimientos!$F$5:$F$3004,Movimientos!$C$5:$C$3004,$A177,Movimientos!$B$5:$B$3004,"Salida"))</f>
        <v/>
      </c>
      <c r="L177" s="14" t="str">
        <f t="shared" si="6"/>
        <v/>
      </c>
      <c r="M177" s="22" t="str">
        <f t="shared" si="7"/>
        <v/>
      </c>
      <c r="N177" s="23" t="str">
        <f t="shared" si="8"/>
        <v/>
      </c>
      <c r="O177" s="14" t="str">
        <f>IF(OR(N177="Reordenar",N177="Agotado"),COUNTIF($N$5:N177,"Reordenar")+COUNTIF($N$5:N177,"Agotado"),"")</f>
        <v/>
      </c>
    </row>
    <row r="178" spans="1:15" x14ac:dyDescent="0.25">
      <c r="A178" s="20"/>
      <c r="B178" s="20"/>
      <c r="C178" s="20"/>
      <c r="D178" s="20"/>
      <c r="E178" s="20"/>
      <c r="F178" s="21"/>
      <c r="G178" s="20"/>
      <c r="H178" s="20"/>
      <c r="I178" s="20"/>
      <c r="J178" s="14" t="str">
        <f>IF($A178="","",SUMIFS(Movimientos!$F$5:$F$3004,Movimientos!$C$5:$C$3004,$A178,Movimientos!$B$5:$B$3004,"Entrada"))</f>
        <v/>
      </c>
      <c r="K178" s="14" t="str">
        <f>IF($A178="","",SUMIFS(Movimientos!$F$5:$F$3004,Movimientos!$C$5:$C$3004,$A178,Movimientos!$B$5:$B$3004,"Salida"))</f>
        <v/>
      </c>
      <c r="L178" s="14" t="str">
        <f t="shared" si="6"/>
        <v/>
      </c>
      <c r="M178" s="22" t="str">
        <f t="shared" si="7"/>
        <v/>
      </c>
      <c r="N178" s="23" t="str">
        <f t="shared" si="8"/>
        <v/>
      </c>
      <c r="O178" s="14" t="str">
        <f>IF(OR(N178="Reordenar",N178="Agotado"),COUNTIF($N$5:N178,"Reordenar")+COUNTIF($N$5:N178,"Agotado"),"")</f>
        <v/>
      </c>
    </row>
    <row r="179" spans="1:15" x14ac:dyDescent="0.25">
      <c r="A179" s="20"/>
      <c r="B179" s="20"/>
      <c r="C179" s="20"/>
      <c r="D179" s="20"/>
      <c r="E179" s="20"/>
      <c r="F179" s="21"/>
      <c r="G179" s="20"/>
      <c r="H179" s="20"/>
      <c r="I179" s="20"/>
      <c r="J179" s="14" t="str">
        <f>IF($A179="","",SUMIFS(Movimientos!$F$5:$F$3004,Movimientos!$C$5:$C$3004,$A179,Movimientos!$B$5:$B$3004,"Entrada"))</f>
        <v/>
      </c>
      <c r="K179" s="14" t="str">
        <f>IF($A179="","",SUMIFS(Movimientos!$F$5:$F$3004,Movimientos!$C$5:$C$3004,$A179,Movimientos!$B$5:$B$3004,"Salida"))</f>
        <v/>
      </c>
      <c r="L179" s="14" t="str">
        <f t="shared" si="6"/>
        <v/>
      </c>
      <c r="M179" s="22" t="str">
        <f t="shared" si="7"/>
        <v/>
      </c>
      <c r="N179" s="23" t="str">
        <f t="shared" si="8"/>
        <v/>
      </c>
      <c r="O179" s="14" t="str">
        <f>IF(OR(N179="Reordenar",N179="Agotado"),COUNTIF($N$5:N179,"Reordenar")+COUNTIF($N$5:N179,"Agotado"),"")</f>
        <v/>
      </c>
    </row>
    <row r="180" spans="1:15" x14ac:dyDescent="0.25">
      <c r="A180" s="20"/>
      <c r="B180" s="20"/>
      <c r="C180" s="20"/>
      <c r="D180" s="20"/>
      <c r="E180" s="20"/>
      <c r="F180" s="21"/>
      <c r="G180" s="20"/>
      <c r="H180" s="20"/>
      <c r="I180" s="20"/>
      <c r="J180" s="14" t="str">
        <f>IF($A180="","",SUMIFS(Movimientos!$F$5:$F$3004,Movimientos!$C$5:$C$3004,$A180,Movimientos!$B$5:$B$3004,"Entrada"))</f>
        <v/>
      </c>
      <c r="K180" s="14" t="str">
        <f>IF($A180="","",SUMIFS(Movimientos!$F$5:$F$3004,Movimientos!$C$5:$C$3004,$A180,Movimientos!$B$5:$B$3004,"Salida"))</f>
        <v/>
      </c>
      <c r="L180" s="14" t="str">
        <f t="shared" si="6"/>
        <v/>
      </c>
      <c r="M180" s="22" t="str">
        <f t="shared" si="7"/>
        <v/>
      </c>
      <c r="N180" s="23" t="str">
        <f t="shared" si="8"/>
        <v/>
      </c>
      <c r="O180" s="14" t="str">
        <f>IF(OR(N180="Reordenar",N180="Agotado"),COUNTIF($N$5:N180,"Reordenar")+COUNTIF($N$5:N180,"Agotado"),"")</f>
        <v/>
      </c>
    </row>
    <row r="181" spans="1:15" x14ac:dyDescent="0.25">
      <c r="A181" s="20"/>
      <c r="B181" s="20"/>
      <c r="C181" s="20"/>
      <c r="D181" s="20"/>
      <c r="E181" s="20"/>
      <c r="F181" s="21"/>
      <c r="G181" s="20"/>
      <c r="H181" s="20"/>
      <c r="I181" s="20"/>
      <c r="J181" s="14" t="str">
        <f>IF($A181="","",SUMIFS(Movimientos!$F$5:$F$3004,Movimientos!$C$5:$C$3004,$A181,Movimientos!$B$5:$B$3004,"Entrada"))</f>
        <v/>
      </c>
      <c r="K181" s="14" t="str">
        <f>IF($A181="","",SUMIFS(Movimientos!$F$5:$F$3004,Movimientos!$C$5:$C$3004,$A181,Movimientos!$B$5:$B$3004,"Salida"))</f>
        <v/>
      </c>
      <c r="L181" s="14" t="str">
        <f t="shared" si="6"/>
        <v/>
      </c>
      <c r="M181" s="22" t="str">
        <f t="shared" si="7"/>
        <v/>
      </c>
      <c r="N181" s="23" t="str">
        <f t="shared" si="8"/>
        <v/>
      </c>
      <c r="O181" s="14" t="str">
        <f>IF(OR(N181="Reordenar",N181="Agotado"),COUNTIF($N$5:N181,"Reordenar")+COUNTIF($N$5:N181,"Agotado"),"")</f>
        <v/>
      </c>
    </row>
    <row r="182" spans="1:15" x14ac:dyDescent="0.25">
      <c r="A182" s="20"/>
      <c r="B182" s="20"/>
      <c r="C182" s="20"/>
      <c r="D182" s="20"/>
      <c r="E182" s="20"/>
      <c r="F182" s="21"/>
      <c r="G182" s="20"/>
      <c r="H182" s="20"/>
      <c r="I182" s="20"/>
      <c r="J182" s="14" t="str">
        <f>IF($A182="","",SUMIFS(Movimientos!$F$5:$F$3004,Movimientos!$C$5:$C$3004,$A182,Movimientos!$B$5:$B$3004,"Entrada"))</f>
        <v/>
      </c>
      <c r="K182" s="14" t="str">
        <f>IF($A182="","",SUMIFS(Movimientos!$F$5:$F$3004,Movimientos!$C$5:$C$3004,$A182,Movimientos!$B$5:$B$3004,"Salida"))</f>
        <v/>
      </c>
      <c r="L182" s="14" t="str">
        <f t="shared" si="6"/>
        <v/>
      </c>
      <c r="M182" s="22" t="str">
        <f t="shared" si="7"/>
        <v/>
      </c>
      <c r="N182" s="23" t="str">
        <f t="shared" si="8"/>
        <v/>
      </c>
      <c r="O182" s="14" t="str">
        <f>IF(OR(N182="Reordenar",N182="Agotado"),COUNTIF($N$5:N182,"Reordenar")+COUNTIF($N$5:N182,"Agotado"),"")</f>
        <v/>
      </c>
    </row>
    <row r="183" spans="1:15" x14ac:dyDescent="0.25">
      <c r="A183" s="20"/>
      <c r="B183" s="20"/>
      <c r="C183" s="20"/>
      <c r="D183" s="20"/>
      <c r="E183" s="20"/>
      <c r="F183" s="21"/>
      <c r="G183" s="20"/>
      <c r="H183" s="20"/>
      <c r="I183" s="20"/>
      <c r="J183" s="14" t="str">
        <f>IF($A183="","",SUMIFS(Movimientos!$F$5:$F$3004,Movimientos!$C$5:$C$3004,$A183,Movimientos!$B$5:$B$3004,"Entrada"))</f>
        <v/>
      </c>
      <c r="K183" s="14" t="str">
        <f>IF($A183="","",SUMIFS(Movimientos!$F$5:$F$3004,Movimientos!$C$5:$C$3004,$A183,Movimientos!$B$5:$B$3004,"Salida"))</f>
        <v/>
      </c>
      <c r="L183" s="14" t="str">
        <f t="shared" si="6"/>
        <v/>
      </c>
      <c r="M183" s="22" t="str">
        <f t="shared" si="7"/>
        <v/>
      </c>
      <c r="N183" s="23" t="str">
        <f t="shared" si="8"/>
        <v/>
      </c>
      <c r="O183" s="14" t="str">
        <f>IF(OR(N183="Reordenar",N183="Agotado"),COUNTIF($N$5:N183,"Reordenar")+COUNTIF($N$5:N183,"Agotado"),"")</f>
        <v/>
      </c>
    </row>
    <row r="184" spans="1:15" x14ac:dyDescent="0.25">
      <c r="A184" s="20"/>
      <c r="B184" s="20"/>
      <c r="C184" s="20"/>
      <c r="D184" s="20"/>
      <c r="E184" s="20"/>
      <c r="F184" s="21"/>
      <c r="G184" s="20"/>
      <c r="H184" s="20"/>
      <c r="I184" s="20"/>
      <c r="J184" s="14" t="str">
        <f>IF($A184="","",SUMIFS(Movimientos!$F$5:$F$3004,Movimientos!$C$5:$C$3004,$A184,Movimientos!$B$5:$B$3004,"Entrada"))</f>
        <v/>
      </c>
      <c r="K184" s="14" t="str">
        <f>IF($A184="","",SUMIFS(Movimientos!$F$5:$F$3004,Movimientos!$C$5:$C$3004,$A184,Movimientos!$B$5:$B$3004,"Salida"))</f>
        <v/>
      </c>
      <c r="L184" s="14" t="str">
        <f t="shared" si="6"/>
        <v/>
      </c>
      <c r="M184" s="22" t="str">
        <f t="shared" si="7"/>
        <v/>
      </c>
      <c r="N184" s="23" t="str">
        <f t="shared" si="8"/>
        <v/>
      </c>
      <c r="O184" s="14" t="str">
        <f>IF(OR(N184="Reordenar",N184="Agotado"),COUNTIF($N$5:N184,"Reordenar")+COUNTIF($N$5:N184,"Agotado"),"")</f>
        <v/>
      </c>
    </row>
    <row r="185" spans="1:15" x14ac:dyDescent="0.25">
      <c r="A185" s="20"/>
      <c r="B185" s="20"/>
      <c r="C185" s="20"/>
      <c r="D185" s="20"/>
      <c r="E185" s="20"/>
      <c r="F185" s="21"/>
      <c r="G185" s="20"/>
      <c r="H185" s="20"/>
      <c r="I185" s="20"/>
      <c r="J185" s="14" t="str">
        <f>IF($A185="","",SUMIFS(Movimientos!$F$5:$F$3004,Movimientos!$C$5:$C$3004,$A185,Movimientos!$B$5:$B$3004,"Entrada"))</f>
        <v/>
      </c>
      <c r="K185" s="14" t="str">
        <f>IF($A185="","",SUMIFS(Movimientos!$F$5:$F$3004,Movimientos!$C$5:$C$3004,$A185,Movimientos!$B$5:$B$3004,"Salida"))</f>
        <v/>
      </c>
      <c r="L185" s="14" t="str">
        <f t="shared" si="6"/>
        <v/>
      </c>
      <c r="M185" s="22" t="str">
        <f t="shared" si="7"/>
        <v/>
      </c>
      <c r="N185" s="23" t="str">
        <f t="shared" si="8"/>
        <v/>
      </c>
      <c r="O185" s="14" t="str">
        <f>IF(OR(N185="Reordenar",N185="Agotado"),COUNTIF($N$5:N185,"Reordenar")+COUNTIF($N$5:N185,"Agotado"),"")</f>
        <v/>
      </c>
    </row>
    <row r="186" spans="1:15" x14ac:dyDescent="0.25">
      <c r="A186" s="20"/>
      <c r="B186" s="20"/>
      <c r="C186" s="20"/>
      <c r="D186" s="20"/>
      <c r="E186" s="20"/>
      <c r="F186" s="21"/>
      <c r="G186" s="20"/>
      <c r="H186" s="20"/>
      <c r="I186" s="20"/>
      <c r="J186" s="14" t="str">
        <f>IF($A186="","",SUMIFS(Movimientos!$F$5:$F$3004,Movimientos!$C$5:$C$3004,$A186,Movimientos!$B$5:$B$3004,"Entrada"))</f>
        <v/>
      </c>
      <c r="K186" s="14" t="str">
        <f>IF($A186="","",SUMIFS(Movimientos!$F$5:$F$3004,Movimientos!$C$5:$C$3004,$A186,Movimientos!$B$5:$B$3004,"Salida"))</f>
        <v/>
      </c>
      <c r="L186" s="14" t="str">
        <f t="shared" si="6"/>
        <v/>
      </c>
      <c r="M186" s="22" t="str">
        <f t="shared" si="7"/>
        <v/>
      </c>
      <c r="N186" s="23" t="str">
        <f t="shared" si="8"/>
        <v/>
      </c>
      <c r="O186" s="14" t="str">
        <f>IF(OR(N186="Reordenar",N186="Agotado"),COUNTIF($N$5:N186,"Reordenar")+COUNTIF($N$5:N186,"Agotado"),"")</f>
        <v/>
      </c>
    </row>
    <row r="187" spans="1:15" x14ac:dyDescent="0.25">
      <c r="A187" s="20"/>
      <c r="B187" s="20"/>
      <c r="C187" s="20"/>
      <c r="D187" s="20"/>
      <c r="E187" s="20"/>
      <c r="F187" s="21"/>
      <c r="G187" s="20"/>
      <c r="H187" s="20"/>
      <c r="I187" s="20"/>
      <c r="J187" s="14" t="str">
        <f>IF($A187="","",SUMIFS(Movimientos!$F$5:$F$3004,Movimientos!$C$5:$C$3004,$A187,Movimientos!$B$5:$B$3004,"Entrada"))</f>
        <v/>
      </c>
      <c r="K187" s="14" t="str">
        <f>IF($A187="","",SUMIFS(Movimientos!$F$5:$F$3004,Movimientos!$C$5:$C$3004,$A187,Movimientos!$B$5:$B$3004,"Salida"))</f>
        <v/>
      </c>
      <c r="L187" s="14" t="str">
        <f t="shared" si="6"/>
        <v/>
      </c>
      <c r="M187" s="22" t="str">
        <f t="shared" si="7"/>
        <v/>
      </c>
      <c r="N187" s="23" t="str">
        <f t="shared" si="8"/>
        <v/>
      </c>
      <c r="O187" s="14" t="str">
        <f>IF(OR(N187="Reordenar",N187="Agotado"),COUNTIF($N$5:N187,"Reordenar")+COUNTIF($N$5:N187,"Agotado"),"")</f>
        <v/>
      </c>
    </row>
    <row r="188" spans="1:15" x14ac:dyDescent="0.25">
      <c r="A188" s="20"/>
      <c r="B188" s="20"/>
      <c r="C188" s="20"/>
      <c r="D188" s="20"/>
      <c r="E188" s="20"/>
      <c r="F188" s="21"/>
      <c r="G188" s="20"/>
      <c r="H188" s="20"/>
      <c r="I188" s="20"/>
      <c r="J188" s="14" t="str">
        <f>IF($A188="","",SUMIFS(Movimientos!$F$5:$F$3004,Movimientos!$C$5:$C$3004,$A188,Movimientos!$B$5:$B$3004,"Entrada"))</f>
        <v/>
      </c>
      <c r="K188" s="14" t="str">
        <f>IF($A188="","",SUMIFS(Movimientos!$F$5:$F$3004,Movimientos!$C$5:$C$3004,$A188,Movimientos!$B$5:$B$3004,"Salida"))</f>
        <v/>
      </c>
      <c r="L188" s="14" t="str">
        <f t="shared" si="6"/>
        <v/>
      </c>
      <c r="M188" s="22" t="str">
        <f t="shared" si="7"/>
        <v/>
      </c>
      <c r="N188" s="23" t="str">
        <f t="shared" si="8"/>
        <v/>
      </c>
      <c r="O188" s="14" t="str">
        <f>IF(OR(N188="Reordenar",N188="Agotado"),COUNTIF($N$5:N188,"Reordenar")+COUNTIF($N$5:N188,"Agotado"),"")</f>
        <v/>
      </c>
    </row>
    <row r="189" spans="1:15" x14ac:dyDescent="0.25">
      <c r="A189" s="20"/>
      <c r="B189" s="20"/>
      <c r="C189" s="20"/>
      <c r="D189" s="20"/>
      <c r="E189" s="20"/>
      <c r="F189" s="21"/>
      <c r="G189" s="20"/>
      <c r="H189" s="20"/>
      <c r="I189" s="20"/>
      <c r="J189" s="14" t="str">
        <f>IF($A189="","",SUMIFS(Movimientos!$F$5:$F$3004,Movimientos!$C$5:$C$3004,$A189,Movimientos!$B$5:$B$3004,"Entrada"))</f>
        <v/>
      </c>
      <c r="K189" s="14" t="str">
        <f>IF($A189="","",SUMIFS(Movimientos!$F$5:$F$3004,Movimientos!$C$5:$C$3004,$A189,Movimientos!$B$5:$B$3004,"Salida"))</f>
        <v/>
      </c>
      <c r="L189" s="14" t="str">
        <f t="shared" si="6"/>
        <v/>
      </c>
      <c r="M189" s="22" t="str">
        <f t="shared" si="7"/>
        <v/>
      </c>
      <c r="N189" s="23" t="str">
        <f t="shared" si="8"/>
        <v/>
      </c>
      <c r="O189" s="14" t="str">
        <f>IF(OR(N189="Reordenar",N189="Agotado"),COUNTIF($N$5:N189,"Reordenar")+COUNTIF($N$5:N189,"Agotado"),"")</f>
        <v/>
      </c>
    </row>
    <row r="190" spans="1:15" x14ac:dyDescent="0.25">
      <c r="A190" s="20"/>
      <c r="B190" s="20"/>
      <c r="C190" s="20"/>
      <c r="D190" s="20"/>
      <c r="E190" s="20"/>
      <c r="F190" s="21"/>
      <c r="G190" s="20"/>
      <c r="H190" s="20"/>
      <c r="I190" s="20"/>
      <c r="J190" s="14" t="str">
        <f>IF($A190="","",SUMIFS(Movimientos!$F$5:$F$3004,Movimientos!$C$5:$C$3004,$A190,Movimientos!$B$5:$B$3004,"Entrada"))</f>
        <v/>
      </c>
      <c r="K190" s="14" t="str">
        <f>IF($A190="","",SUMIFS(Movimientos!$F$5:$F$3004,Movimientos!$C$5:$C$3004,$A190,Movimientos!$B$5:$B$3004,"Salida"))</f>
        <v/>
      </c>
      <c r="L190" s="14" t="str">
        <f t="shared" si="6"/>
        <v/>
      </c>
      <c r="M190" s="22" t="str">
        <f t="shared" si="7"/>
        <v/>
      </c>
      <c r="N190" s="23" t="str">
        <f t="shared" si="8"/>
        <v/>
      </c>
      <c r="O190" s="14" t="str">
        <f>IF(OR(N190="Reordenar",N190="Agotado"),COUNTIF($N$5:N190,"Reordenar")+COUNTIF($N$5:N190,"Agotado"),"")</f>
        <v/>
      </c>
    </row>
    <row r="191" spans="1:15" x14ac:dyDescent="0.25">
      <c r="A191" s="20"/>
      <c r="B191" s="20"/>
      <c r="C191" s="20"/>
      <c r="D191" s="20"/>
      <c r="E191" s="20"/>
      <c r="F191" s="21"/>
      <c r="G191" s="20"/>
      <c r="H191" s="20"/>
      <c r="I191" s="20"/>
      <c r="J191" s="14" t="str">
        <f>IF($A191="","",SUMIFS(Movimientos!$F$5:$F$3004,Movimientos!$C$5:$C$3004,$A191,Movimientos!$B$5:$B$3004,"Entrada"))</f>
        <v/>
      </c>
      <c r="K191" s="14" t="str">
        <f>IF($A191="","",SUMIFS(Movimientos!$F$5:$F$3004,Movimientos!$C$5:$C$3004,$A191,Movimientos!$B$5:$B$3004,"Salida"))</f>
        <v/>
      </c>
      <c r="L191" s="14" t="str">
        <f t="shared" si="6"/>
        <v/>
      </c>
      <c r="M191" s="22" t="str">
        <f t="shared" si="7"/>
        <v/>
      </c>
      <c r="N191" s="23" t="str">
        <f t="shared" si="8"/>
        <v/>
      </c>
      <c r="O191" s="14" t="str">
        <f>IF(OR(N191="Reordenar",N191="Agotado"),COUNTIF($N$5:N191,"Reordenar")+COUNTIF($N$5:N191,"Agotado"),"")</f>
        <v/>
      </c>
    </row>
    <row r="192" spans="1:15" x14ac:dyDescent="0.25">
      <c r="A192" s="20"/>
      <c r="B192" s="20"/>
      <c r="C192" s="20"/>
      <c r="D192" s="20"/>
      <c r="E192" s="20"/>
      <c r="F192" s="21"/>
      <c r="G192" s="20"/>
      <c r="H192" s="20"/>
      <c r="I192" s="20"/>
      <c r="J192" s="14" t="str">
        <f>IF($A192="","",SUMIFS(Movimientos!$F$5:$F$3004,Movimientos!$C$5:$C$3004,$A192,Movimientos!$B$5:$B$3004,"Entrada"))</f>
        <v/>
      </c>
      <c r="K192" s="14" t="str">
        <f>IF($A192="","",SUMIFS(Movimientos!$F$5:$F$3004,Movimientos!$C$5:$C$3004,$A192,Movimientos!$B$5:$B$3004,"Salida"))</f>
        <v/>
      </c>
      <c r="L192" s="14" t="str">
        <f t="shared" si="6"/>
        <v/>
      </c>
      <c r="M192" s="22" t="str">
        <f t="shared" si="7"/>
        <v/>
      </c>
      <c r="N192" s="23" t="str">
        <f t="shared" si="8"/>
        <v/>
      </c>
      <c r="O192" s="14" t="str">
        <f>IF(OR(N192="Reordenar",N192="Agotado"),COUNTIF($N$5:N192,"Reordenar")+COUNTIF($N$5:N192,"Agotado"),"")</f>
        <v/>
      </c>
    </row>
    <row r="193" spans="1:15" x14ac:dyDescent="0.25">
      <c r="A193" s="20"/>
      <c r="B193" s="20"/>
      <c r="C193" s="20"/>
      <c r="D193" s="20"/>
      <c r="E193" s="20"/>
      <c r="F193" s="21"/>
      <c r="G193" s="20"/>
      <c r="H193" s="20"/>
      <c r="I193" s="20"/>
      <c r="J193" s="14" t="str">
        <f>IF($A193="","",SUMIFS(Movimientos!$F$5:$F$3004,Movimientos!$C$5:$C$3004,$A193,Movimientos!$B$5:$B$3004,"Entrada"))</f>
        <v/>
      </c>
      <c r="K193" s="14" t="str">
        <f>IF($A193="","",SUMIFS(Movimientos!$F$5:$F$3004,Movimientos!$C$5:$C$3004,$A193,Movimientos!$B$5:$B$3004,"Salida"))</f>
        <v/>
      </c>
      <c r="L193" s="14" t="str">
        <f t="shared" si="6"/>
        <v/>
      </c>
      <c r="M193" s="22" t="str">
        <f t="shared" si="7"/>
        <v/>
      </c>
      <c r="N193" s="23" t="str">
        <f t="shared" si="8"/>
        <v/>
      </c>
      <c r="O193" s="14" t="str">
        <f>IF(OR(N193="Reordenar",N193="Agotado"),COUNTIF($N$5:N193,"Reordenar")+COUNTIF($N$5:N193,"Agotado"),"")</f>
        <v/>
      </c>
    </row>
    <row r="194" spans="1:15" x14ac:dyDescent="0.25">
      <c r="A194" s="20"/>
      <c r="B194" s="20"/>
      <c r="C194" s="20"/>
      <c r="D194" s="20"/>
      <c r="E194" s="20"/>
      <c r="F194" s="21"/>
      <c r="G194" s="20"/>
      <c r="H194" s="20"/>
      <c r="I194" s="20"/>
      <c r="J194" s="14" t="str">
        <f>IF($A194="","",SUMIFS(Movimientos!$F$5:$F$3004,Movimientos!$C$5:$C$3004,$A194,Movimientos!$B$5:$B$3004,"Entrada"))</f>
        <v/>
      </c>
      <c r="K194" s="14" t="str">
        <f>IF($A194="","",SUMIFS(Movimientos!$F$5:$F$3004,Movimientos!$C$5:$C$3004,$A194,Movimientos!$B$5:$B$3004,"Salida"))</f>
        <v/>
      </c>
      <c r="L194" s="14" t="str">
        <f t="shared" si="6"/>
        <v/>
      </c>
      <c r="M194" s="22" t="str">
        <f t="shared" si="7"/>
        <v/>
      </c>
      <c r="N194" s="23" t="str">
        <f t="shared" si="8"/>
        <v/>
      </c>
      <c r="O194" s="14" t="str">
        <f>IF(OR(N194="Reordenar",N194="Agotado"),COUNTIF($N$5:N194,"Reordenar")+COUNTIF($N$5:N194,"Agotado"),"")</f>
        <v/>
      </c>
    </row>
    <row r="195" spans="1:15" x14ac:dyDescent="0.25">
      <c r="A195" s="20"/>
      <c r="B195" s="20"/>
      <c r="C195" s="20"/>
      <c r="D195" s="20"/>
      <c r="E195" s="20"/>
      <c r="F195" s="21"/>
      <c r="G195" s="20"/>
      <c r="H195" s="20"/>
      <c r="I195" s="20"/>
      <c r="J195" s="14" t="str">
        <f>IF($A195="","",SUMIFS(Movimientos!$F$5:$F$3004,Movimientos!$C$5:$C$3004,$A195,Movimientos!$B$5:$B$3004,"Entrada"))</f>
        <v/>
      </c>
      <c r="K195" s="14" t="str">
        <f>IF($A195="","",SUMIFS(Movimientos!$F$5:$F$3004,Movimientos!$C$5:$C$3004,$A195,Movimientos!$B$5:$B$3004,"Salida"))</f>
        <v/>
      </c>
      <c r="L195" s="14" t="str">
        <f t="shared" si="6"/>
        <v/>
      </c>
      <c r="M195" s="22" t="str">
        <f t="shared" si="7"/>
        <v/>
      </c>
      <c r="N195" s="23" t="str">
        <f t="shared" si="8"/>
        <v/>
      </c>
      <c r="O195" s="14" t="str">
        <f>IF(OR(N195="Reordenar",N195="Agotado"),COUNTIF($N$5:N195,"Reordenar")+COUNTIF($N$5:N195,"Agotado"),"")</f>
        <v/>
      </c>
    </row>
    <row r="196" spans="1:15" x14ac:dyDescent="0.25">
      <c r="A196" s="20"/>
      <c r="B196" s="20"/>
      <c r="C196" s="20"/>
      <c r="D196" s="20"/>
      <c r="E196" s="20"/>
      <c r="F196" s="21"/>
      <c r="G196" s="20"/>
      <c r="H196" s="20"/>
      <c r="I196" s="20"/>
      <c r="J196" s="14" t="str">
        <f>IF($A196="","",SUMIFS(Movimientos!$F$5:$F$3004,Movimientos!$C$5:$C$3004,$A196,Movimientos!$B$5:$B$3004,"Entrada"))</f>
        <v/>
      </c>
      <c r="K196" s="14" t="str">
        <f>IF($A196="","",SUMIFS(Movimientos!$F$5:$F$3004,Movimientos!$C$5:$C$3004,$A196,Movimientos!$B$5:$B$3004,"Salida"))</f>
        <v/>
      </c>
      <c r="L196" s="14" t="str">
        <f t="shared" si="6"/>
        <v/>
      </c>
      <c r="M196" s="22" t="str">
        <f t="shared" si="7"/>
        <v/>
      </c>
      <c r="N196" s="23" t="str">
        <f t="shared" si="8"/>
        <v/>
      </c>
      <c r="O196" s="14" t="str">
        <f>IF(OR(N196="Reordenar",N196="Agotado"),COUNTIF($N$5:N196,"Reordenar")+COUNTIF($N$5:N196,"Agotado"),"")</f>
        <v/>
      </c>
    </row>
    <row r="197" spans="1:15" x14ac:dyDescent="0.25">
      <c r="A197" s="20"/>
      <c r="B197" s="20"/>
      <c r="C197" s="20"/>
      <c r="D197" s="20"/>
      <c r="E197" s="20"/>
      <c r="F197" s="21"/>
      <c r="G197" s="20"/>
      <c r="H197" s="20"/>
      <c r="I197" s="20"/>
      <c r="J197" s="14" t="str">
        <f>IF($A197="","",SUMIFS(Movimientos!$F$5:$F$3004,Movimientos!$C$5:$C$3004,$A197,Movimientos!$B$5:$B$3004,"Entrada"))</f>
        <v/>
      </c>
      <c r="K197" s="14" t="str">
        <f>IF($A197="","",SUMIFS(Movimientos!$F$5:$F$3004,Movimientos!$C$5:$C$3004,$A197,Movimientos!$B$5:$B$3004,"Salida"))</f>
        <v/>
      </c>
      <c r="L197" s="14" t="str">
        <f t="shared" ref="L197:L260" si="9">IF($A197="","",N(I197)+J197-K197)</f>
        <v/>
      </c>
      <c r="M197" s="22" t="str">
        <f t="shared" ref="M197:M260" si="10">IF($A197="","",L197*N(F197))</f>
        <v/>
      </c>
      <c r="N197" s="23" t="str">
        <f t="shared" ref="N197:N260" si="11">IF($A197="","",IF(L197&lt;=0,"Agotado",IF(AND(N(G197)&gt;0,L197&lt;=G197),"Reordenar","OK")))</f>
        <v/>
      </c>
      <c r="O197" s="14" t="str">
        <f>IF(OR(N197="Reordenar",N197="Agotado"),COUNTIF($N$5:N197,"Reordenar")+COUNTIF($N$5:N197,"Agotado"),"")</f>
        <v/>
      </c>
    </row>
    <row r="198" spans="1:15" x14ac:dyDescent="0.25">
      <c r="A198" s="20"/>
      <c r="B198" s="20"/>
      <c r="C198" s="20"/>
      <c r="D198" s="20"/>
      <c r="E198" s="20"/>
      <c r="F198" s="21"/>
      <c r="G198" s="20"/>
      <c r="H198" s="20"/>
      <c r="I198" s="20"/>
      <c r="J198" s="14" t="str">
        <f>IF($A198="","",SUMIFS(Movimientos!$F$5:$F$3004,Movimientos!$C$5:$C$3004,$A198,Movimientos!$B$5:$B$3004,"Entrada"))</f>
        <v/>
      </c>
      <c r="K198" s="14" t="str">
        <f>IF($A198="","",SUMIFS(Movimientos!$F$5:$F$3004,Movimientos!$C$5:$C$3004,$A198,Movimientos!$B$5:$B$3004,"Salida"))</f>
        <v/>
      </c>
      <c r="L198" s="14" t="str">
        <f t="shared" si="9"/>
        <v/>
      </c>
      <c r="M198" s="22" t="str">
        <f t="shared" si="10"/>
        <v/>
      </c>
      <c r="N198" s="23" t="str">
        <f t="shared" si="11"/>
        <v/>
      </c>
      <c r="O198" s="14" t="str">
        <f>IF(OR(N198="Reordenar",N198="Agotado"),COUNTIF($N$5:N198,"Reordenar")+COUNTIF($N$5:N198,"Agotado"),"")</f>
        <v/>
      </c>
    </row>
    <row r="199" spans="1:15" x14ac:dyDescent="0.25">
      <c r="A199" s="20"/>
      <c r="B199" s="20"/>
      <c r="C199" s="20"/>
      <c r="D199" s="20"/>
      <c r="E199" s="20"/>
      <c r="F199" s="21"/>
      <c r="G199" s="20"/>
      <c r="H199" s="20"/>
      <c r="I199" s="20"/>
      <c r="J199" s="14" t="str">
        <f>IF($A199="","",SUMIFS(Movimientos!$F$5:$F$3004,Movimientos!$C$5:$C$3004,$A199,Movimientos!$B$5:$B$3004,"Entrada"))</f>
        <v/>
      </c>
      <c r="K199" s="14" t="str">
        <f>IF($A199="","",SUMIFS(Movimientos!$F$5:$F$3004,Movimientos!$C$5:$C$3004,$A199,Movimientos!$B$5:$B$3004,"Salida"))</f>
        <v/>
      </c>
      <c r="L199" s="14" t="str">
        <f t="shared" si="9"/>
        <v/>
      </c>
      <c r="M199" s="22" t="str">
        <f t="shared" si="10"/>
        <v/>
      </c>
      <c r="N199" s="23" t="str">
        <f t="shared" si="11"/>
        <v/>
      </c>
      <c r="O199" s="14" t="str">
        <f>IF(OR(N199="Reordenar",N199="Agotado"),COUNTIF($N$5:N199,"Reordenar")+COUNTIF($N$5:N199,"Agotado"),"")</f>
        <v/>
      </c>
    </row>
    <row r="200" spans="1:15" x14ac:dyDescent="0.25">
      <c r="A200" s="20"/>
      <c r="B200" s="20"/>
      <c r="C200" s="20"/>
      <c r="D200" s="20"/>
      <c r="E200" s="20"/>
      <c r="F200" s="21"/>
      <c r="G200" s="20"/>
      <c r="H200" s="20"/>
      <c r="I200" s="20"/>
      <c r="J200" s="14" t="str">
        <f>IF($A200="","",SUMIFS(Movimientos!$F$5:$F$3004,Movimientos!$C$5:$C$3004,$A200,Movimientos!$B$5:$B$3004,"Entrada"))</f>
        <v/>
      </c>
      <c r="K200" s="14" t="str">
        <f>IF($A200="","",SUMIFS(Movimientos!$F$5:$F$3004,Movimientos!$C$5:$C$3004,$A200,Movimientos!$B$5:$B$3004,"Salida"))</f>
        <v/>
      </c>
      <c r="L200" s="14" t="str">
        <f t="shared" si="9"/>
        <v/>
      </c>
      <c r="M200" s="22" t="str">
        <f t="shared" si="10"/>
        <v/>
      </c>
      <c r="N200" s="23" t="str">
        <f t="shared" si="11"/>
        <v/>
      </c>
      <c r="O200" s="14" t="str">
        <f>IF(OR(N200="Reordenar",N200="Agotado"),COUNTIF($N$5:N200,"Reordenar")+COUNTIF($N$5:N200,"Agotado"),"")</f>
        <v/>
      </c>
    </row>
    <row r="201" spans="1:15" x14ac:dyDescent="0.25">
      <c r="A201" s="20"/>
      <c r="B201" s="20"/>
      <c r="C201" s="20"/>
      <c r="D201" s="20"/>
      <c r="E201" s="20"/>
      <c r="F201" s="21"/>
      <c r="G201" s="20"/>
      <c r="H201" s="20"/>
      <c r="I201" s="20"/>
      <c r="J201" s="14" t="str">
        <f>IF($A201="","",SUMIFS(Movimientos!$F$5:$F$3004,Movimientos!$C$5:$C$3004,$A201,Movimientos!$B$5:$B$3004,"Entrada"))</f>
        <v/>
      </c>
      <c r="K201" s="14" t="str">
        <f>IF($A201="","",SUMIFS(Movimientos!$F$5:$F$3004,Movimientos!$C$5:$C$3004,$A201,Movimientos!$B$5:$B$3004,"Salida"))</f>
        <v/>
      </c>
      <c r="L201" s="14" t="str">
        <f t="shared" si="9"/>
        <v/>
      </c>
      <c r="M201" s="22" t="str">
        <f t="shared" si="10"/>
        <v/>
      </c>
      <c r="N201" s="23" t="str">
        <f t="shared" si="11"/>
        <v/>
      </c>
      <c r="O201" s="14" t="str">
        <f>IF(OR(N201="Reordenar",N201="Agotado"),COUNTIF($N$5:N201,"Reordenar")+COUNTIF($N$5:N201,"Agotado"),"")</f>
        <v/>
      </c>
    </row>
    <row r="202" spans="1:15" x14ac:dyDescent="0.25">
      <c r="A202" s="20"/>
      <c r="B202" s="20"/>
      <c r="C202" s="20"/>
      <c r="D202" s="20"/>
      <c r="E202" s="20"/>
      <c r="F202" s="21"/>
      <c r="G202" s="20"/>
      <c r="H202" s="20"/>
      <c r="I202" s="20"/>
      <c r="J202" s="14" t="str">
        <f>IF($A202="","",SUMIFS(Movimientos!$F$5:$F$3004,Movimientos!$C$5:$C$3004,$A202,Movimientos!$B$5:$B$3004,"Entrada"))</f>
        <v/>
      </c>
      <c r="K202" s="14" t="str">
        <f>IF($A202="","",SUMIFS(Movimientos!$F$5:$F$3004,Movimientos!$C$5:$C$3004,$A202,Movimientos!$B$5:$B$3004,"Salida"))</f>
        <v/>
      </c>
      <c r="L202" s="14" t="str">
        <f t="shared" si="9"/>
        <v/>
      </c>
      <c r="M202" s="22" t="str">
        <f t="shared" si="10"/>
        <v/>
      </c>
      <c r="N202" s="23" t="str">
        <f t="shared" si="11"/>
        <v/>
      </c>
      <c r="O202" s="14" t="str">
        <f>IF(OR(N202="Reordenar",N202="Agotado"),COUNTIF($N$5:N202,"Reordenar")+COUNTIF($N$5:N202,"Agotado"),"")</f>
        <v/>
      </c>
    </row>
    <row r="203" spans="1:15" x14ac:dyDescent="0.25">
      <c r="A203" s="20"/>
      <c r="B203" s="20"/>
      <c r="C203" s="20"/>
      <c r="D203" s="20"/>
      <c r="E203" s="20"/>
      <c r="F203" s="21"/>
      <c r="G203" s="20"/>
      <c r="H203" s="20"/>
      <c r="I203" s="20"/>
      <c r="J203" s="14" t="str">
        <f>IF($A203="","",SUMIFS(Movimientos!$F$5:$F$3004,Movimientos!$C$5:$C$3004,$A203,Movimientos!$B$5:$B$3004,"Entrada"))</f>
        <v/>
      </c>
      <c r="K203" s="14" t="str">
        <f>IF($A203="","",SUMIFS(Movimientos!$F$5:$F$3004,Movimientos!$C$5:$C$3004,$A203,Movimientos!$B$5:$B$3004,"Salida"))</f>
        <v/>
      </c>
      <c r="L203" s="14" t="str">
        <f t="shared" si="9"/>
        <v/>
      </c>
      <c r="M203" s="22" t="str">
        <f t="shared" si="10"/>
        <v/>
      </c>
      <c r="N203" s="23" t="str">
        <f t="shared" si="11"/>
        <v/>
      </c>
      <c r="O203" s="14" t="str">
        <f>IF(OR(N203="Reordenar",N203="Agotado"),COUNTIF($N$5:N203,"Reordenar")+COUNTIF($N$5:N203,"Agotado"),"")</f>
        <v/>
      </c>
    </row>
    <row r="204" spans="1:15" x14ac:dyDescent="0.25">
      <c r="A204" s="20"/>
      <c r="B204" s="20"/>
      <c r="C204" s="20"/>
      <c r="D204" s="20"/>
      <c r="E204" s="20"/>
      <c r="F204" s="21"/>
      <c r="G204" s="20"/>
      <c r="H204" s="20"/>
      <c r="I204" s="20"/>
      <c r="J204" s="14" t="str">
        <f>IF($A204="","",SUMIFS(Movimientos!$F$5:$F$3004,Movimientos!$C$5:$C$3004,$A204,Movimientos!$B$5:$B$3004,"Entrada"))</f>
        <v/>
      </c>
      <c r="K204" s="14" t="str">
        <f>IF($A204="","",SUMIFS(Movimientos!$F$5:$F$3004,Movimientos!$C$5:$C$3004,$A204,Movimientos!$B$5:$B$3004,"Salida"))</f>
        <v/>
      </c>
      <c r="L204" s="14" t="str">
        <f t="shared" si="9"/>
        <v/>
      </c>
      <c r="M204" s="22" t="str">
        <f t="shared" si="10"/>
        <v/>
      </c>
      <c r="N204" s="23" t="str">
        <f t="shared" si="11"/>
        <v/>
      </c>
      <c r="O204" s="14" t="str">
        <f>IF(OR(N204="Reordenar",N204="Agotado"),COUNTIF($N$5:N204,"Reordenar")+COUNTIF($N$5:N204,"Agotado"),"")</f>
        <v/>
      </c>
    </row>
    <row r="205" spans="1:15" x14ac:dyDescent="0.25">
      <c r="A205" s="20"/>
      <c r="B205" s="20"/>
      <c r="C205" s="20"/>
      <c r="D205" s="20"/>
      <c r="E205" s="20"/>
      <c r="F205" s="21"/>
      <c r="G205" s="20"/>
      <c r="H205" s="20"/>
      <c r="I205" s="20"/>
      <c r="J205" s="14" t="str">
        <f>IF($A205="","",SUMIFS(Movimientos!$F$5:$F$3004,Movimientos!$C$5:$C$3004,$A205,Movimientos!$B$5:$B$3004,"Entrada"))</f>
        <v/>
      </c>
      <c r="K205" s="14" t="str">
        <f>IF($A205="","",SUMIFS(Movimientos!$F$5:$F$3004,Movimientos!$C$5:$C$3004,$A205,Movimientos!$B$5:$B$3004,"Salida"))</f>
        <v/>
      </c>
      <c r="L205" s="14" t="str">
        <f t="shared" si="9"/>
        <v/>
      </c>
      <c r="M205" s="22" t="str">
        <f t="shared" si="10"/>
        <v/>
      </c>
      <c r="N205" s="23" t="str">
        <f t="shared" si="11"/>
        <v/>
      </c>
      <c r="O205" s="14" t="str">
        <f>IF(OR(N205="Reordenar",N205="Agotado"),COUNTIF($N$5:N205,"Reordenar")+COUNTIF($N$5:N205,"Agotado"),"")</f>
        <v/>
      </c>
    </row>
    <row r="206" spans="1:15" x14ac:dyDescent="0.25">
      <c r="A206" s="20"/>
      <c r="B206" s="20"/>
      <c r="C206" s="20"/>
      <c r="D206" s="20"/>
      <c r="E206" s="20"/>
      <c r="F206" s="21"/>
      <c r="G206" s="20"/>
      <c r="H206" s="20"/>
      <c r="I206" s="20"/>
      <c r="J206" s="14" t="str">
        <f>IF($A206="","",SUMIFS(Movimientos!$F$5:$F$3004,Movimientos!$C$5:$C$3004,$A206,Movimientos!$B$5:$B$3004,"Entrada"))</f>
        <v/>
      </c>
      <c r="K206" s="14" t="str">
        <f>IF($A206="","",SUMIFS(Movimientos!$F$5:$F$3004,Movimientos!$C$5:$C$3004,$A206,Movimientos!$B$5:$B$3004,"Salida"))</f>
        <v/>
      </c>
      <c r="L206" s="14" t="str">
        <f t="shared" si="9"/>
        <v/>
      </c>
      <c r="M206" s="22" t="str">
        <f t="shared" si="10"/>
        <v/>
      </c>
      <c r="N206" s="23" t="str">
        <f t="shared" si="11"/>
        <v/>
      </c>
      <c r="O206" s="14" t="str">
        <f>IF(OR(N206="Reordenar",N206="Agotado"),COUNTIF($N$5:N206,"Reordenar")+COUNTIF($N$5:N206,"Agotado"),"")</f>
        <v/>
      </c>
    </row>
    <row r="207" spans="1:15" x14ac:dyDescent="0.25">
      <c r="A207" s="20"/>
      <c r="B207" s="20"/>
      <c r="C207" s="20"/>
      <c r="D207" s="20"/>
      <c r="E207" s="20"/>
      <c r="F207" s="21"/>
      <c r="G207" s="20"/>
      <c r="H207" s="20"/>
      <c r="I207" s="20"/>
      <c r="J207" s="14" t="str">
        <f>IF($A207="","",SUMIFS(Movimientos!$F$5:$F$3004,Movimientos!$C$5:$C$3004,$A207,Movimientos!$B$5:$B$3004,"Entrada"))</f>
        <v/>
      </c>
      <c r="K207" s="14" t="str">
        <f>IF($A207="","",SUMIFS(Movimientos!$F$5:$F$3004,Movimientos!$C$5:$C$3004,$A207,Movimientos!$B$5:$B$3004,"Salida"))</f>
        <v/>
      </c>
      <c r="L207" s="14" t="str">
        <f t="shared" si="9"/>
        <v/>
      </c>
      <c r="M207" s="22" t="str">
        <f t="shared" si="10"/>
        <v/>
      </c>
      <c r="N207" s="23" t="str">
        <f t="shared" si="11"/>
        <v/>
      </c>
      <c r="O207" s="14" t="str">
        <f>IF(OR(N207="Reordenar",N207="Agotado"),COUNTIF($N$5:N207,"Reordenar")+COUNTIF($N$5:N207,"Agotado"),"")</f>
        <v/>
      </c>
    </row>
    <row r="208" spans="1:15" x14ac:dyDescent="0.25">
      <c r="A208" s="20"/>
      <c r="B208" s="20"/>
      <c r="C208" s="20"/>
      <c r="D208" s="20"/>
      <c r="E208" s="20"/>
      <c r="F208" s="21"/>
      <c r="G208" s="20"/>
      <c r="H208" s="20"/>
      <c r="I208" s="20"/>
      <c r="J208" s="14" t="str">
        <f>IF($A208="","",SUMIFS(Movimientos!$F$5:$F$3004,Movimientos!$C$5:$C$3004,$A208,Movimientos!$B$5:$B$3004,"Entrada"))</f>
        <v/>
      </c>
      <c r="K208" s="14" t="str">
        <f>IF($A208="","",SUMIFS(Movimientos!$F$5:$F$3004,Movimientos!$C$5:$C$3004,$A208,Movimientos!$B$5:$B$3004,"Salida"))</f>
        <v/>
      </c>
      <c r="L208" s="14" t="str">
        <f t="shared" si="9"/>
        <v/>
      </c>
      <c r="M208" s="22" t="str">
        <f t="shared" si="10"/>
        <v/>
      </c>
      <c r="N208" s="23" t="str">
        <f t="shared" si="11"/>
        <v/>
      </c>
      <c r="O208" s="14" t="str">
        <f>IF(OR(N208="Reordenar",N208="Agotado"),COUNTIF($N$5:N208,"Reordenar")+COUNTIF($N$5:N208,"Agotado"),"")</f>
        <v/>
      </c>
    </row>
    <row r="209" spans="1:15" x14ac:dyDescent="0.25">
      <c r="A209" s="20"/>
      <c r="B209" s="20"/>
      <c r="C209" s="20"/>
      <c r="D209" s="20"/>
      <c r="E209" s="20"/>
      <c r="F209" s="21"/>
      <c r="G209" s="20"/>
      <c r="H209" s="20"/>
      <c r="I209" s="20"/>
      <c r="J209" s="14" t="str">
        <f>IF($A209="","",SUMIFS(Movimientos!$F$5:$F$3004,Movimientos!$C$5:$C$3004,$A209,Movimientos!$B$5:$B$3004,"Entrada"))</f>
        <v/>
      </c>
      <c r="K209" s="14" t="str">
        <f>IF($A209="","",SUMIFS(Movimientos!$F$5:$F$3004,Movimientos!$C$5:$C$3004,$A209,Movimientos!$B$5:$B$3004,"Salida"))</f>
        <v/>
      </c>
      <c r="L209" s="14" t="str">
        <f t="shared" si="9"/>
        <v/>
      </c>
      <c r="M209" s="22" t="str">
        <f t="shared" si="10"/>
        <v/>
      </c>
      <c r="N209" s="23" t="str">
        <f t="shared" si="11"/>
        <v/>
      </c>
      <c r="O209" s="14" t="str">
        <f>IF(OR(N209="Reordenar",N209="Agotado"),COUNTIF($N$5:N209,"Reordenar")+COUNTIF($N$5:N209,"Agotado"),"")</f>
        <v/>
      </c>
    </row>
    <row r="210" spans="1:15" x14ac:dyDescent="0.25">
      <c r="A210" s="20"/>
      <c r="B210" s="20"/>
      <c r="C210" s="20"/>
      <c r="D210" s="20"/>
      <c r="E210" s="20"/>
      <c r="F210" s="21"/>
      <c r="G210" s="20"/>
      <c r="H210" s="20"/>
      <c r="I210" s="20"/>
      <c r="J210" s="14" t="str">
        <f>IF($A210="","",SUMIFS(Movimientos!$F$5:$F$3004,Movimientos!$C$5:$C$3004,$A210,Movimientos!$B$5:$B$3004,"Entrada"))</f>
        <v/>
      </c>
      <c r="K210" s="14" t="str">
        <f>IF($A210="","",SUMIFS(Movimientos!$F$5:$F$3004,Movimientos!$C$5:$C$3004,$A210,Movimientos!$B$5:$B$3004,"Salida"))</f>
        <v/>
      </c>
      <c r="L210" s="14" t="str">
        <f t="shared" si="9"/>
        <v/>
      </c>
      <c r="M210" s="22" t="str">
        <f t="shared" si="10"/>
        <v/>
      </c>
      <c r="N210" s="23" t="str">
        <f t="shared" si="11"/>
        <v/>
      </c>
      <c r="O210" s="14" t="str">
        <f>IF(OR(N210="Reordenar",N210="Agotado"),COUNTIF($N$5:N210,"Reordenar")+COUNTIF($N$5:N210,"Agotado"),"")</f>
        <v/>
      </c>
    </row>
    <row r="211" spans="1:15" x14ac:dyDescent="0.25">
      <c r="A211" s="20"/>
      <c r="B211" s="20"/>
      <c r="C211" s="20"/>
      <c r="D211" s="20"/>
      <c r="E211" s="20"/>
      <c r="F211" s="21"/>
      <c r="G211" s="20"/>
      <c r="H211" s="20"/>
      <c r="I211" s="20"/>
      <c r="J211" s="14" t="str">
        <f>IF($A211="","",SUMIFS(Movimientos!$F$5:$F$3004,Movimientos!$C$5:$C$3004,$A211,Movimientos!$B$5:$B$3004,"Entrada"))</f>
        <v/>
      </c>
      <c r="K211" s="14" t="str">
        <f>IF($A211="","",SUMIFS(Movimientos!$F$5:$F$3004,Movimientos!$C$5:$C$3004,$A211,Movimientos!$B$5:$B$3004,"Salida"))</f>
        <v/>
      </c>
      <c r="L211" s="14" t="str">
        <f t="shared" si="9"/>
        <v/>
      </c>
      <c r="M211" s="22" t="str">
        <f t="shared" si="10"/>
        <v/>
      </c>
      <c r="N211" s="23" t="str">
        <f t="shared" si="11"/>
        <v/>
      </c>
      <c r="O211" s="14" t="str">
        <f>IF(OR(N211="Reordenar",N211="Agotado"),COUNTIF($N$5:N211,"Reordenar")+COUNTIF($N$5:N211,"Agotado"),"")</f>
        <v/>
      </c>
    </row>
    <row r="212" spans="1:15" x14ac:dyDescent="0.25">
      <c r="A212" s="20"/>
      <c r="B212" s="20"/>
      <c r="C212" s="20"/>
      <c r="D212" s="20"/>
      <c r="E212" s="20"/>
      <c r="F212" s="21"/>
      <c r="G212" s="20"/>
      <c r="H212" s="20"/>
      <c r="I212" s="20"/>
      <c r="J212" s="14" t="str">
        <f>IF($A212="","",SUMIFS(Movimientos!$F$5:$F$3004,Movimientos!$C$5:$C$3004,$A212,Movimientos!$B$5:$B$3004,"Entrada"))</f>
        <v/>
      </c>
      <c r="K212" s="14" t="str">
        <f>IF($A212="","",SUMIFS(Movimientos!$F$5:$F$3004,Movimientos!$C$5:$C$3004,$A212,Movimientos!$B$5:$B$3004,"Salida"))</f>
        <v/>
      </c>
      <c r="L212" s="14" t="str">
        <f t="shared" si="9"/>
        <v/>
      </c>
      <c r="M212" s="22" t="str">
        <f t="shared" si="10"/>
        <v/>
      </c>
      <c r="N212" s="23" t="str">
        <f t="shared" si="11"/>
        <v/>
      </c>
      <c r="O212" s="14" t="str">
        <f>IF(OR(N212="Reordenar",N212="Agotado"),COUNTIF($N$5:N212,"Reordenar")+COUNTIF($N$5:N212,"Agotado"),"")</f>
        <v/>
      </c>
    </row>
    <row r="213" spans="1:15" x14ac:dyDescent="0.25">
      <c r="A213" s="20"/>
      <c r="B213" s="20"/>
      <c r="C213" s="20"/>
      <c r="D213" s="20"/>
      <c r="E213" s="20"/>
      <c r="F213" s="21"/>
      <c r="G213" s="20"/>
      <c r="H213" s="20"/>
      <c r="I213" s="20"/>
      <c r="J213" s="14" t="str">
        <f>IF($A213="","",SUMIFS(Movimientos!$F$5:$F$3004,Movimientos!$C$5:$C$3004,$A213,Movimientos!$B$5:$B$3004,"Entrada"))</f>
        <v/>
      </c>
      <c r="K213" s="14" t="str">
        <f>IF($A213="","",SUMIFS(Movimientos!$F$5:$F$3004,Movimientos!$C$5:$C$3004,$A213,Movimientos!$B$5:$B$3004,"Salida"))</f>
        <v/>
      </c>
      <c r="L213" s="14" t="str">
        <f t="shared" si="9"/>
        <v/>
      </c>
      <c r="M213" s="22" t="str">
        <f t="shared" si="10"/>
        <v/>
      </c>
      <c r="N213" s="23" t="str">
        <f t="shared" si="11"/>
        <v/>
      </c>
      <c r="O213" s="14" t="str">
        <f>IF(OR(N213="Reordenar",N213="Agotado"),COUNTIF($N$5:N213,"Reordenar")+COUNTIF($N$5:N213,"Agotado"),"")</f>
        <v/>
      </c>
    </row>
    <row r="214" spans="1:15" x14ac:dyDescent="0.25">
      <c r="A214" s="20"/>
      <c r="B214" s="20"/>
      <c r="C214" s="20"/>
      <c r="D214" s="20"/>
      <c r="E214" s="20"/>
      <c r="F214" s="21"/>
      <c r="G214" s="20"/>
      <c r="H214" s="20"/>
      <c r="I214" s="20"/>
      <c r="J214" s="14" t="str">
        <f>IF($A214="","",SUMIFS(Movimientos!$F$5:$F$3004,Movimientos!$C$5:$C$3004,$A214,Movimientos!$B$5:$B$3004,"Entrada"))</f>
        <v/>
      </c>
      <c r="K214" s="14" t="str">
        <f>IF($A214="","",SUMIFS(Movimientos!$F$5:$F$3004,Movimientos!$C$5:$C$3004,$A214,Movimientos!$B$5:$B$3004,"Salida"))</f>
        <v/>
      </c>
      <c r="L214" s="14" t="str">
        <f t="shared" si="9"/>
        <v/>
      </c>
      <c r="M214" s="22" t="str">
        <f t="shared" si="10"/>
        <v/>
      </c>
      <c r="N214" s="23" t="str">
        <f t="shared" si="11"/>
        <v/>
      </c>
      <c r="O214" s="14" t="str">
        <f>IF(OR(N214="Reordenar",N214="Agotado"),COUNTIF($N$5:N214,"Reordenar")+COUNTIF($N$5:N214,"Agotado"),"")</f>
        <v/>
      </c>
    </row>
    <row r="215" spans="1:15" x14ac:dyDescent="0.25">
      <c r="A215" s="20"/>
      <c r="B215" s="20"/>
      <c r="C215" s="20"/>
      <c r="D215" s="20"/>
      <c r="E215" s="20"/>
      <c r="F215" s="21"/>
      <c r="G215" s="20"/>
      <c r="H215" s="20"/>
      <c r="I215" s="20"/>
      <c r="J215" s="14" t="str">
        <f>IF($A215="","",SUMIFS(Movimientos!$F$5:$F$3004,Movimientos!$C$5:$C$3004,$A215,Movimientos!$B$5:$B$3004,"Entrada"))</f>
        <v/>
      </c>
      <c r="K215" s="14" t="str">
        <f>IF($A215="","",SUMIFS(Movimientos!$F$5:$F$3004,Movimientos!$C$5:$C$3004,$A215,Movimientos!$B$5:$B$3004,"Salida"))</f>
        <v/>
      </c>
      <c r="L215" s="14" t="str">
        <f t="shared" si="9"/>
        <v/>
      </c>
      <c r="M215" s="22" t="str">
        <f t="shared" si="10"/>
        <v/>
      </c>
      <c r="N215" s="23" t="str">
        <f t="shared" si="11"/>
        <v/>
      </c>
      <c r="O215" s="14" t="str">
        <f>IF(OR(N215="Reordenar",N215="Agotado"),COUNTIF($N$5:N215,"Reordenar")+COUNTIF($N$5:N215,"Agotado"),"")</f>
        <v/>
      </c>
    </row>
    <row r="216" spans="1:15" x14ac:dyDescent="0.25">
      <c r="A216" s="20"/>
      <c r="B216" s="20"/>
      <c r="C216" s="20"/>
      <c r="D216" s="20"/>
      <c r="E216" s="20"/>
      <c r="F216" s="21"/>
      <c r="G216" s="20"/>
      <c r="H216" s="20"/>
      <c r="I216" s="20"/>
      <c r="J216" s="14" t="str">
        <f>IF($A216="","",SUMIFS(Movimientos!$F$5:$F$3004,Movimientos!$C$5:$C$3004,$A216,Movimientos!$B$5:$B$3004,"Entrada"))</f>
        <v/>
      </c>
      <c r="K216" s="14" t="str">
        <f>IF($A216="","",SUMIFS(Movimientos!$F$5:$F$3004,Movimientos!$C$5:$C$3004,$A216,Movimientos!$B$5:$B$3004,"Salida"))</f>
        <v/>
      </c>
      <c r="L216" s="14" t="str">
        <f t="shared" si="9"/>
        <v/>
      </c>
      <c r="M216" s="22" t="str">
        <f t="shared" si="10"/>
        <v/>
      </c>
      <c r="N216" s="23" t="str">
        <f t="shared" si="11"/>
        <v/>
      </c>
      <c r="O216" s="14" t="str">
        <f>IF(OR(N216="Reordenar",N216="Agotado"),COUNTIF($N$5:N216,"Reordenar")+COUNTIF($N$5:N216,"Agotado"),"")</f>
        <v/>
      </c>
    </row>
    <row r="217" spans="1:15" x14ac:dyDescent="0.25">
      <c r="A217" s="20"/>
      <c r="B217" s="20"/>
      <c r="C217" s="20"/>
      <c r="D217" s="20"/>
      <c r="E217" s="20"/>
      <c r="F217" s="21"/>
      <c r="G217" s="20"/>
      <c r="H217" s="20"/>
      <c r="I217" s="20"/>
      <c r="J217" s="14" t="str">
        <f>IF($A217="","",SUMIFS(Movimientos!$F$5:$F$3004,Movimientos!$C$5:$C$3004,$A217,Movimientos!$B$5:$B$3004,"Entrada"))</f>
        <v/>
      </c>
      <c r="K217" s="14" t="str">
        <f>IF($A217="","",SUMIFS(Movimientos!$F$5:$F$3004,Movimientos!$C$5:$C$3004,$A217,Movimientos!$B$5:$B$3004,"Salida"))</f>
        <v/>
      </c>
      <c r="L217" s="14" t="str">
        <f t="shared" si="9"/>
        <v/>
      </c>
      <c r="M217" s="22" t="str">
        <f t="shared" si="10"/>
        <v/>
      </c>
      <c r="N217" s="23" t="str">
        <f t="shared" si="11"/>
        <v/>
      </c>
      <c r="O217" s="14" t="str">
        <f>IF(OR(N217="Reordenar",N217="Agotado"),COUNTIF($N$5:N217,"Reordenar")+COUNTIF($N$5:N217,"Agotado"),"")</f>
        <v/>
      </c>
    </row>
    <row r="218" spans="1:15" x14ac:dyDescent="0.25">
      <c r="A218" s="20"/>
      <c r="B218" s="20"/>
      <c r="C218" s="20"/>
      <c r="D218" s="20"/>
      <c r="E218" s="20"/>
      <c r="F218" s="21"/>
      <c r="G218" s="20"/>
      <c r="H218" s="20"/>
      <c r="I218" s="20"/>
      <c r="J218" s="14" t="str">
        <f>IF($A218="","",SUMIFS(Movimientos!$F$5:$F$3004,Movimientos!$C$5:$C$3004,$A218,Movimientos!$B$5:$B$3004,"Entrada"))</f>
        <v/>
      </c>
      <c r="K218" s="14" t="str">
        <f>IF($A218="","",SUMIFS(Movimientos!$F$5:$F$3004,Movimientos!$C$5:$C$3004,$A218,Movimientos!$B$5:$B$3004,"Salida"))</f>
        <v/>
      </c>
      <c r="L218" s="14" t="str">
        <f t="shared" si="9"/>
        <v/>
      </c>
      <c r="M218" s="22" t="str">
        <f t="shared" si="10"/>
        <v/>
      </c>
      <c r="N218" s="23" t="str">
        <f t="shared" si="11"/>
        <v/>
      </c>
      <c r="O218" s="14" t="str">
        <f>IF(OR(N218="Reordenar",N218="Agotado"),COUNTIF($N$5:N218,"Reordenar")+COUNTIF($N$5:N218,"Agotado"),"")</f>
        <v/>
      </c>
    </row>
    <row r="219" spans="1:15" x14ac:dyDescent="0.25">
      <c r="A219" s="20"/>
      <c r="B219" s="20"/>
      <c r="C219" s="20"/>
      <c r="D219" s="20"/>
      <c r="E219" s="20"/>
      <c r="F219" s="21"/>
      <c r="G219" s="20"/>
      <c r="H219" s="20"/>
      <c r="I219" s="20"/>
      <c r="J219" s="14" t="str">
        <f>IF($A219="","",SUMIFS(Movimientos!$F$5:$F$3004,Movimientos!$C$5:$C$3004,$A219,Movimientos!$B$5:$B$3004,"Entrada"))</f>
        <v/>
      </c>
      <c r="K219" s="14" t="str">
        <f>IF($A219="","",SUMIFS(Movimientos!$F$5:$F$3004,Movimientos!$C$5:$C$3004,$A219,Movimientos!$B$5:$B$3004,"Salida"))</f>
        <v/>
      </c>
      <c r="L219" s="14" t="str">
        <f t="shared" si="9"/>
        <v/>
      </c>
      <c r="M219" s="22" t="str">
        <f t="shared" si="10"/>
        <v/>
      </c>
      <c r="N219" s="23" t="str">
        <f t="shared" si="11"/>
        <v/>
      </c>
      <c r="O219" s="14" t="str">
        <f>IF(OR(N219="Reordenar",N219="Agotado"),COUNTIF($N$5:N219,"Reordenar")+COUNTIF($N$5:N219,"Agotado"),"")</f>
        <v/>
      </c>
    </row>
    <row r="220" spans="1:15" x14ac:dyDescent="0.25">
      <c r="A220" s="20"/>
      <c r="B220" s="20"/>
      <c r="C220" s="20"/>
      <c r="D220" s="20"/>
      <c r="E220" s="20"/>
      <c r="F220" s="21"/>
      <c r="G220" s="20"/>
      <c r="H220" s="20"/>
      <c r="I220" s="20"/>
      <c r="J220" s="14" t="str">
        <f>IF($A220="","",SUMIFS(Movimientos!$F$5:$F$3004,Movimientos!$C$5:$C$3004,$A220,Movimientos!$B$5:$B$3004,"Entrada"))</f>
        <v/>
      </c>
      <c r="K220" s="14" t="str">
        <f>IF($A220="","",SUMIFS(Movimientos!$F$5:$F$3004,Movimientos!$C$5:$C$3004,$A220,Movimientos!$B$5:$B$3004,"Salida"))</f>
        <v/>
      </c>
      <c r="L220" s="14" t="str">
        <f t="shared" si="9"/>
        <v/>
      </c>
      <c r="M220" s="22" t="str">
        <f t="shared" si="10"/>
        <v/>
      </c>
      <c r="N220" s="23" t="str">
        <f t="shared" si="11"/>
        <v/>
      </c>
      <c r="O220" s="14" t="str">
        <f>IF(OR(N220="Reordenar",N220="Agotado"),COUNTIF($N$5:N220,"Reordenar")+COUNTIF($N$5:N220,"Agotado"),"")</f>
        <v/>
      </c>
    </row>
    <row r="221" spans="1:15" x14ac:dyDescent="0.25">
      <c r="A221" s="20"/>
      <c r="B221" s="20"/>
      <c r="C221" s="20"/>
      <c r="D221" s="20"/>
      <c r="E221" s="20"/>
      <c r="F221" s="21"/>
      <c r="G221" s="20"/>
      <c r="H221" s="20"/>
      <c r="I221" s="20"/>
      <c r="J221" s="14" t="str">
        <f>IF($A221="","",SUMIFS(Movimientos!$F$5:$F$3004,Movimientos!$C$5:$C$3004,$A221,Movimientos!$B$5:$B$3004,"Entrada"))</f>
        <v/>
      </c>
      <c r="K221" s="14" t="str">
        <f>IF($A221="","",SUMIFS(Movimientos!$F$5:$F$3004,Movimientos!$C$5:$C$3004,$A221,Movimientos!$B$5:$B$3004,"Salida"))</f>
        <v/>
      </c>
      <c r="L221" s="14" t="str">
        <f t="shared" si="9"/>
        <v/>
      </c>
      <c r="M221" s="22" t="str">
        <f t="shared" si="10"/>
        <v/>
      </c>
      <c r="N221" s="23" t="str">
        <f t="shared" si="11"/>
        <v/>
      </c>
      <c r="O221" s="14" t="str">
        <f>IF(OR(N221="Reordenar",N221="Agotado"),COUNTIF($N$5:N221,"Reordenar")+COUNTIF($N$5:N221,"Agotado"),"")</f>
        <v/>
      </c>
    </row>
    <row r="222" spans="1:15" x14ac:dyDescent="0.25">
      <c r="A222" s="20"/>
      <c r="B222" s="20"/>
      <c r="C222" s="20"/>
      <c r="D222" s="20"/>
      <c r="E222" s="20"/>
      <c r="F222" s="21"/>
      <c r="G222" s="20"/>
      <c r="H222" s="20"/>
      <c r="I222" s="20"/>
      <c r="J222" s="14" t="str">
        <f>IF($A222="","",SUMIFS(Movimientos!$F$5:$F$3004,Movimientos!$C$5:$C$3004,$A222,Movimientos!$B$5:$B$3004,"Entrada"))</f>
        <v/>
      </c>
      <c r="K222" s="14" t="str">
        <f>IF($A222="","",SUMIFS(Movimientos!$F$5:$F$3004,Movimientos!$C$5:$C$3004,$A222,Movimientos!$B$5:$B$3004,"Salida"))</f>
        <v/>
      </c>
      <c r="L222" s="14" t="str">
        <f t="shared" si="9"/>
        <v/>
      </c>
      <c r="M222" s="22" t="str">
        <f t="shared" si="10"/>
        <v/>
      </c>
      <c r="N222" s="23" t="str">
        <f t="shared" si="11"/>
        <v/>
      </c>
      <c r="O222" s="14" t="str">
        <f>IF(OR(N222="Reordenar",N222="Agotado"),COUNTIF($N$5:N222,"Reordenar")+COUNTIF($N$5:N222,"Agotado"),"")</f>
        <v/>
      </c>
    </row>
    <row r="223" spans="1:15" x14ac:dyDescent="0.25">
      <c r="A223" s="20"/>
      <c r="B223" s="20"/>
      <c r="C223" s="20"/>
      <c r="D223" s="20"/>
      <c r="E223" s="20"/>
      <c r="F223" s="21"/>
      <c r="G223" s="20"/>
      <c r="H223" s="20"/>
      <c r="I223" s="20"/>
      <c r="J223" s="14" t="str">
        <f>IF($A223="","",SUMIFS(Movimientos!$F$5:$F$3004,Movimientos!$C$5:$C$3004,$A223,Movimientos!$B$5:$B$3004,"Entrada"))</f>
        <v/>
      </c>
      <c r="K223" s="14" t="str">
        <f>IF($A223="","",SUMIFS(Movimientos!$F$5:$F$3004,Movimientos!$C$5:$C$3004,$A223,Movimientos!$B$5:$B$3004,"Salida"))</f>
        <v/>
      </c>
      <c r="L223" s="14" t="str">
        <f t="shared" si="9"/>
        <v/>
      </c>
      <c r="M223" s="22" t="str">
        <f t="shared" si="10"/>
        <v/>
      </c>
      <c r="N223" s="23" t="str">
        <f t="shared" si="11"/>
        <v/>
      </c>
      <c r="O223" s="14" t="str">
        <f>IF(OR(N223="Reordenar",N223="Agotado"),COUNTIF($N$5:N223,"Reordenar")+COUNTIF($N$5:N223,"Agotado"),"")</f>
        <v/>
      </c>
    </row>
    <row r="224" spans="1:15" x14ac:dyDescent="0.25">
      <c r="A224" s="20"/>
      <c r="B224" s="20"/>
      <c r="C224" s="20"/>
      <c r="D224" s="20"/>
      <c r="E224" s="20"/>
      <c r="F224" s="21"/>
      <c r="G224" s="20"/>
      <c r="H224" s="20"/>
      <c r="I224" s="20"/>
      <c r="J224" s="14" t="str">
        <f>IF($A224="","",SUMIFS(Movimientos!$F$5:$F$3004,Movimientos!$C$5:$C$3004,$A224,Movimientos!$B$5:$B$3004,"Entrada"))</f>
        <v/>
      </c>
      <c r="K224" s="14" t="str">
        <f>IF($A224="","",SUMIFS(Movimientos!$F$5:$F$3004,Movimientos!$C$5:$C$3004,$A224,Movimientos!$B$5:$B$3004,"Salida"))</f>
        <v/>
      </c>
      <c r="L224" s="14" t="str">
        <f t="shared" si="9"/>
        <v/>
      </c>
      <c r="M224" s="22" t="str">
        <f t="shared" si="10"/>
        <v/>
      </c>
      <c r="N224" s="23" t="str">
        <f t="shared" si="11"/>
        <v/>
      </c>
      <c r="O224" s="14" t="str">
        <f>IF(OR(N224="Reordenar",N224="Agotado"),COUNTIF($N$5:N224,"Reordenar")+COUNTIF($N$5:N224,"Agotado"),"")</f>
        <v/>
      </c>
    </row>
    <row r="225" spans="1:15" x14ac:dyDescent="0.25">
      <c r="A225" s="20"/>
      <c r="B225" s="20"/>
      <c r="C225" s="20"/>
      <c r="D225" s="20"/>
      <c r="E225" s="20"/>
      <c r="F225" s="21"/>
      <c r="G225" s="20"/>
      <c r="H225" s="20"/>
      <c r="I225" s="20"/>
      <c r="J225" s="14" t="str">
        <f>IF($A225="","",SUMIFS(Movimientos!$F$5:$F$3004,Movimientos!$C$5:$C$3004,$A225,Movimientos!$B$5:$B$3004,"Entrada"))</f>
        <v/>
      </c>
      <c r="K225" s="14" t="str">
        <f>IF($A225="","",SUMIFS(Movimientos!$F$5:$F$3004,Movimientos!$C$5:$C$3004,$A225,Movimientos!$B$5:$B$3004,"Salida"))</f>
        <v/>
      </c>
      <c r="L225" s="14" t="str">
        <f t="shared" si="9"/>
        <v/>
      </c>
      <c r="M225" s="22" t="str">
        <f t="shared" si="10"/>
        <v/>
      </c>
      <c r="N225" s="23" t="str">
        <f t="shared" si="11"/>
        <v/>
      </c>
      <c r="O225" s="14" t="str">
        <f>IF(OR(N225="Reordenar",N225="Agotado"),COUNTIF($N$5:N225,"Reordenar")+COUNTIF($N$5:N225,"Agotado"),"")</f>
        <v/>
      </c>
    </row>
    <row r="226" spans="1:15" x14ac:dyDescent="0.25">
      <c r="A226" s="20"/>
      <c r="B226" s="20"/>
      <c r="C226" s="20"/>
      <c r="D226" s="20"/>
      <c r="E226" s="20"/>
      <c r="F226" s="21"/>
      <c r="G226" s="20"/>
      <c r="H226" s="20"/>
      <c r="I226" s="20"/>
      <c r="J226" s="14" t="str">
        <f>IF($A226="","",SUMIFS(Movimientos!$F$5:$F$3004,Movimientos!$C$5:$C$3004,$A226,Movimientos!$B$5:$B$3004,"Entrada"))</f>
        <v/>
      </c>
      <c r="K226" s="14" t="str">
        <f>IF($A226="","",SUMIFS(Movimientos!$F$5:$F$3004,Movimientos!$C$5:$C$3004,$A226,Movimientos!$B$5:$B$3004,"Salida"))</f>
        <v/>
      </c>
      <c r="L226" s="14" t="str">
        <f t="shared" si="9"/>
        <v/>
      </c>
      <c r="M226" s="22" t="str">
        <f t="shared" si="10"/>
        <v/>
      </c>
      <c r="N226" s="23" t="str">
        <f t="shared" si="11"/>
        <v/>
      </c>
      <c r="O226" s="14" t="str">
        <f>IF(OR(N226="Reordenar",N226="Agotado"),COUNTIF($N$5:N226,"Reordenar")+COUNTIF($N$5:N226,"Agotado"),"")</f>
        <v/>
      </c>
    </row>
    <row r="227" spans="1:15" x14ac:dyDescent="0.25">
      <c r="A227" s="20"/>
      <c r="B227" s="20"/>
      <c r="C227" s="20"/>
      <c r="D227" s="20"/>
      <c r="E227" s="20"/>
      <c r="F227" s="21"/>
      <c r="G227" s="20"/>
      <c r="H227" s="20"/>
      <c r="I227" s="20"/>
      <c r="J227" s="14" t="str">
        <f>IF($A227="","",SUMIFS(Movimientos!$F$5:$F$3004,Movimientos!$C$5:$C$3004,$A227,Movimientos!$B$5:$B$3004,"Entrada"))</f>
        <v/>
      </c>
      <c r="K227" s="14" t="str">
        <f>IF($A227="","",SUMIFS(Movimientos!$F$5:$F$3004,Movimientos!$C$5:$C$3004,$A227,Movimientos!$B$5:$B$3004,"Salida"))</f>
        <v/>
      </c>
      <c r="L227" s="14" t="str">
        <f t="shared" si="9"/>
        <v/>
      </c>
      <c r="M227" s="22" t="str">
        <f t="shared" si="10"/>
        <v/>
      </c>
      <c r="N227" s="23" t="str">
        <f t="shared" si="11"/>
        <v/>
      </c>
      <c r="O227" s="14" t="str">
        <f>IF(OR(N227="Reordenar",N227="Agotado"),COUNTIF($N$5:N227,"Reordenar")+COUNTIF($N$5:N227,"Agotado"),"")</f>
        <v/>
      </c>
    </row>
    <row r="228" spans="1:15" x14ac:dyDescent="0.25">
      <c r="A228" s="20"/>
      <c r="B228" s="20"/>
      <c r="C228" s="20"/>
      <c r="D228" s="20"/>
      <c r="E228" s="20"/>
      <c r="F228" s="21"/>
      <c r="G228" s="20"/>
      <c r="H228" s="20"/>
      <c r="I228" s="20"/>
      <c r="J228" s="14" t="str">
        <f>IF($A228="","",SUMIFS(Movimientos!$F$5:$F$3004,Movimientos!$C$5:$C$3004,$A228,Movimientos!$B$5:$B$3004,"Entrada"))</f>
        <v/>
      </c>
      <c r="K228" s="14" t="str">
        <f>IF($A228="","",SUMIFS(Movimientos!$F$5:$F$3004,Movimientos!$C$5:$C$3004,$A228,Movimientos!$B$5:$B$3004,"Salida"))</f>
        <v/>
      </c>
      <c r="L228" s="14" t="str">
        <f t="shared" si="9"/>
        <v/>
      </c>
      <c r="M228" s="22" t="str">
        <f t="shared" si="10"/>
        <v/>
      </c>
      <c r="N228" s="23" t="str">
        <f t="shared" si="11"/>
        <v/>
      </c>
      <c r="O228" s="14" t="str">
        <f>IF(OR(N228="Reordenar",N228="Agotado"),COUNTIF($N$5:N228,"Reordenar")+COUNTIF($N$5:N228,"Agotado"),"")</f>
        <v/>
      </c>
    </row>
    <row r="229" spans="1:15" x14ac:dyDescent="0.25">
      <c r="A229" s="20"/>
      <c r="B229" s="20"/>
      <c r="C229" s="20"/>
      <c r="D229" s="20"/>
      <c r="E229" s="20"/>
      <c r="F229" s="21"/>
      <c r="G229" s="20"/>
      <c r="H229" s="20"/>
      <c r="I229" s="20"/>
      <c r="J229" s="14" t="str">
        <f>IF($A229="","",SUMIFS(Movimientos!$F$5:$F$3004,Movimientos!$C$5:$C$3004,$A229,Movimientos!$B$5:$B$3004,"Entrada"))</f>
        <v/>
      </c>
      <c r="K229" s="14" t="str">
        <f>IF($A229="","",SUMIFS(Movimientos!$F$5:$F$3004,Movimientos!$C$5:$C$3004,$A229,Movimientos!$B$5:$B$3004,"Salida"))</f>
        <v/>
      </c>
      <c r="L229" s="14" t="str">
        <f t="shared" si="9"/>
        <v/>
      </c>
      <c r="M229" s="22" t="str">
        <f t="shared" si="10"/>
        <v/>
      </c>
      <c r="N229" s="23" t="str">
        <f t="shared" si="11"/>
        <v/>
      </c>
      <c r="O229" s="14" t="str">
        <f>IF(OR(N229="Reordenar",N229="Agotado"),COUNTIF($N$5:N229,"Reordenar")+COUNTIF($N$5:N229,"Agotado"),"")</f>
        <v/>
      </c>
    </row>
    <row r="230" spans="1:15" x14ac:dyDescent="0.25">
      <c r="A230" s="20"/>
      <c r="B230" s="20"/>
      <c r="C230" s="20"/>
      <c r="D230" s="20"/>
      <c r="E230" s="20"/>
      <c r="F230" s="21"/>
      <c r="G230" s="20"/>
      <c r="H230" s="20"/>
      <c r="I230" s="20"/>
      <c r="J230" s="14" t="str">
        <f>IF($A230="","",SUMIFS(Movimientos!$F$5:$F$3004,Movimientos!$C$5:$C$3004,$A230,Movimientos!$B$5:$B$3004,"Entrada"))</f>
        <v/>
      </c>
      <c r="K230" s="14" t="str">
        <f>IF($A230="","",SUMIFS(Movimientos!$F$5:$F$3004,Movimientos!$C$5:$C$3004,$A230,Movimientos!$B$5:$B$3004,"Salida"))</f>
        <v/>
      </c>
      <c r="L230" s="14" t="str">
        <f t="shared" si="9"/>
        <v/>
      </c>
      <c r="M230" s="22" t="str">
        <f t="shared" si="10"/>
        <v/>
      </c>
      <c r="N230" s="23" t="str">
        <f t="shared" si="11"/>
        <v/>
      </c>
      <c r="O230" s="14" t="str">
        <f>IF(OR(N230="Reordenar",N230="Agotado"),COUNTIF($N$5:N230,"Reordenar")+COUNTIF($N$5:N230,"Agotado"),"")</f>
        <v/>
      </c>
    </row>
    <row r="231" spans="1:15" x14ac:dyDescent="0.25">
      <c r="A231" s="20"/>
      <c r="B231" s="20"/>
      <c r="C231" s="20"/>
      <c r="D231" s="20"/>
      <c r="E231" s="20"/>
      <c r="F231" s="21"/>
      <c r="G231" s="20"/>
      <c r="H231" s="20"/>
      <c r="I231" s="20"/>
      <c r="J231" s="14" t="str">
        <f>IF($A231="","",SUMIFS(Movimientos!$F$5:$F$3004,Movimientos!$C$5:$C$3004,$A231,Movimientos!$B$5:$B$3004,"Entrada"))</f>
        <v/>
      </c>
      <c r="K231" s="14" t="str">
        <f>IF($A231="","",SUMIFS(Movimientos!$F$5:$F$3004,Movimientos!$C$5:$C$3004,$A231,Movimientos!$B$5:$B$3004,"Salida"))</f>
        <v/>
      </c>
      <c r="L231" s="14" t="str">
        <f t="shared" si="9"/>
        <v/>
      </c>
      <c r="M231" s="22" t="str">
        <f t="shared" si="10"/>
        <v/>
      </c>
      <c r="N231" s="23" t="str">
        <f t="shared" si="11"/>
        <v/>
      </c>
      <c r="O231" s="14" t="str">
        <f>IF(OR(N231="Reordenar",N231="Agotado"),COUNTIF($N$5:N231,"Reordenar")+COUNTIF($N$5:N231,"Agotado"),"")</f>
        <v/>
      </c>
    </row>
    <row r="232" spans="1:15" x14ac:dyDescent="0.25">
      <c r="A232" s="20"/>
      <c r="B232" s="20"/>
      <c r="C232" s="20"/>
      <c r="D232" s="20"/>
      <c r="E232" s="20"/>
      <c r="F232" s="21"/>
      <c r="G232" s="20"/>
      <c r="H232" s="20"/>
      <c r="I232" s="20"/>
      <c r="J232" s="14" t="str">
        <f>IF($A232="","",SUMIFS(Movimientos!$F$5:$F$3004,Movimientos!$C$5:$C$3004,$A232,Movimientos!$B$5:$B$3004,"Entrada"))</f>
        <v/>
      </c>
      <c r="K232" s="14" t="str">
        <f>IF($A232="","",SUMIFS(Movimientos!$F$5:$F$3004,Movimientos!$C$5:$C$3004,$A232,Movimientos!$B$5:$B$3004,"Salida"))</f>
        <v/>
      </c>
      <c r="L232" s="14" t="str">
        <f t="shared" si="9"/>
        <v/>
      </c>
      <c r="M232" s="22" t="str">
        <f t="shared" si="10"/>
        <v/>
      </c>
      <c r="N232" s="23" t="str">
        <f t="shared" si="11"/>
        <v/>
      </c>
      <c r="O232" s="14" t="str">
        <f>IF(OR(N232="Reordenar",N232="Agotado"),COUNTIF($N$5:N232,"Reordenar")+COUNTIF($N$5:N232,"Agotado"),"")</f>
        <v/>
      </c>
    </row>
    <row r="233" spans="1:15" x14ac:dyDescent="0.25">
      <c r="A233" s="20"/>
      <c r="B233" s="20"/>
      <c r="C233" s="20"/>
      <c r="D233" s="20"/>
      <c r="E233" s="20"/>
      <c r="F233" s="21"/>
      <c r="G233" s="20"/>
      <c r="H233" s="20"/>
      <c r="I233" s="20"/>
      <c r="J233" s="14" t="str">
        <f>IF($A233="","",SUMIFS(Movimientos!$F$5:$F$3004,Movimientos!$C$5:$C$3004,$A233,Movimientos!$B$5:$B$3004,"Entrada"))</f>
        <v/>
      </c>
      <c r="K233" s="14" t="str">
        <f>IF($A233="","",SUMIFS(Movimientos!$F$5:$F$3004,Movimientos!$C$5:$C$3004,$A233,Movimientos!$B$5:$B$3004,"Salida"))</f>
        <v/>
      </c>
      <c r="L233" s="14" t="str">
        <f t="shared" si="9"/>
        <v/>
      </c>
      <c r="M233" s="22" t="str">
        <f t="shared" si="10"/>
        <v/>
      </c>
      <c r="N233" s="23" t="str">
        <f t="shared" si="11"/>
        <v/>
      </c>
      <c r="O233" s="14" t="str">
        <f>IF(OR(N233="Reordenar",N233="Agotado"),COUNTIF($N$5:N233,"Reordenar")+COUNTIF($N$5:N233,"Agotado"),"")</f>
        <v/>
      </c>
    </row>
    <row r="234" spans="1:15" x14ac:dyDescent="0.25">
      <c r="A234" s="20"/>
      <c r="B234" s="20"/>
      <c r="C234" s="20"/>
      <c r="D234" s="20"/>
      <c r="E234" s="20"/>
      <c r="F234" s="21"/>
      <c r="G234" s="20"/>
      <c r="H234" s="20"/>
      <c r="I234" s="20"/>
      <c r="J234" s="14" t="str">
        <f>IF($A234="","",SUMIFS(Movimientos!$F$5:$F$3004,Movimientos!$C$5:$C$3004,$A234,Movimientos!$B$5:$B$3004,"Entrada"))</f>
        <v/>
      </c>
      <c r="K234" s="14" t="str">
        <f>IF($A234="","",SUMIFS(Movimientos!$F$5:$F$3004,Movimientos!$C$5:$C$3004,$A234,Movimientos!$B$5:$B$3004,"Salida"))</f>
        <v/>
      </c>
      <c r="L234" s="14" t="str">
        <f t="shared" si="9"/>
        <v/>
      </c>
      <c r="M234" s="22" t="str">
        <f t="shared" si="10"/>
        <v/>
      </c>
      <c r="N234" s="23" t="str">
        <f t="shared" si="11"/>
        <v/>
      </c>
      <c r="O234" s="14" t="str">
        <f>IF(OR(N234="Reordenar",N234="Agotado"),COUNTIF($N$5:N234,"Reordenar")+COUNTIF($N$5:N234,"Agotado"),"")</f>
        <v/>
      </c>
    </row>
    <row r="235" spans="1:15" x14ac:dyDescent="0.25">
      <c r="A235" s="20"/>
      <c r="B235" s="20"/>
      <c r="C235" s="20"/>
      <c r="D235" s="20"/>
      <c r="E235" s="20"/>
      <c r="F235" s="21"/>
      <c r="G235" s="20"/>
      <c r="H235" s="20"/>
      <c r="I235" s="20"/>
      <c r="J235" s="14" t="str">
        <f>IF($A235="","",SUMIFS(Movimientos!$F$5:$F$3004,Movimientos!$C$5:$C$3004,$A235,Movimientos!$B$5:$B$3004,"Entrada"))</f>
        <v/>
      </c>
      <c r="K235" s="14" t="str">
        <f>IF($A235="","",SUMIFS(Movimientos!$F$5:$F$3004,Movimientos!$C$5:$C$3004,$A235,Movimientos!$B$5:$B$3004,"Salida"))</f>
        <v/>
      </c>
      <c r="L235" s="14" t="str">
        <f t="shared" si="9"/>
        <v/>
      </c>
      <c r="M235" s="22" t="str">
        <f t="shared" si="10"/>
        <v/>
      </c>
      <c r="N235" s="23" t="str">
        <f t="shared" si="11"/>
        <v/>
      </c>
      <c r="O235" s="14" t="str">
        <f>IF(OR(N235="Reordenar",N235="Agotado"),COUNTIF($N$5:N235,"Reordenar")+COUNTIF($N$5:N235,"Agotado"),"")</f>
        <v/>
      </c>
    </row>
    <row r="236" spans="1:15" x14ac:dyDescent="0.25">
      <c r="A236" s="20"/>
      <c r="B236" s="20"/>
      <c r="C236" s="20"/>
      <c r="D236" s="20"/>
      <c r="E236" s="20"/>
      <c r="F236" s="21"/>
      <c r="G236" s="20"/>
      <c r="H236" s="20"/>
      <c r="I236" s="20"/>
      <c r="J236" s="14" t="str">
        <f>IF($A236="","",SUMIFS(Movimientos!$F$5:$F$3004,Movimientos!$C$5:$C$3004,$A236,Movimientos!$B$5:$B$3004,"Entrada"))</f>
        <v/>
      </c>
      <c r="K236" s="14" t="str">
        <f>IF($A236="","",SUMIFS(Movimientos!$F$5:$F$3004,Movimientos!$C$5:$C$3004,$A236,Movimientos!$B$5:$B$3004,"Salida"))</f>
        <v/>
      </c>
      <c r="L236" s="14" t="str">
        <f t="shared" si="9"/>
        <v/>
      </c>
      <c r="M236" s="22" t="str">
        <f t="shared" si="10"/>
        <v/>
      </c>
      <c r="N236" s="23" t="str">
        <f t="shared" si="11"/>
        <v/>
      </c>
      <c r="O236" s="14" t="str">
        <f>IF(OR(N236="Reordenar",N236="Agotado"),COUNTIF($N$5:N236,"Reordenar")+COUNTIF($N$5:N236,"Agotado"),"")</f>
        <v/>
      </c>
    </row>
    <row r="237" spans="1:15" x14ac:dyDescent="0.25">
      <c r="A237" s="20"/>
      <c r="B237" s="20"/>
      <c r="C237" s="20"/>
      <c r="D237" s="20"/>
      <c r="E237" s="20"/>
      <c r="F237" s="21"/>
      <c r="G237" s="20"/>
      <c r="H237" s="20"/>
      <c r="I237" s="20"/>
      <c r="J237" s="14" t="str">
        <f>IF($A237="","",SUMIFS(Movimientos!$F$5:$F$3004,Movimientos!$C$5:$C$3004,$A237,Movimientos!$B$5:$B$3004,"Entrada"))</f>
        <v/>
      </c>
      <c r="K237" s="14" t="str">
        <f>IF($A237="","",SUMIFS(Movimientos!$F$5:$F$3004,Movimientos!$C$5:$C$3004,$A237,Movimientos!$B$5:$B$3004,"Salida"))</f>
        <v/>
      </c>
      <c r="L237" s="14" t="str">
        <f t="shared" si="9"/>
        <v/>
      </c>
      <c r="M237" s="22" t="str">
        <f t="shared" si="10"/>
        <v/>
      </c>
      <c r="N237" s="23" t="str">
        <f t="shared" si="11"/>
        <v/>
      </c>
      <c r="O237" s="14" t="str">
        <f>IF(OR(N237="Reordenar",N237="Agotado"),COUNTIF($N$5:N237,"Reordenar")+COUNTIF($N$5:N237,"Agotado"),"")</f>
        <v/>
      </c>
    </row>
    <row r="238" spans="1:15" x14ac:dyDescent="0.25">
      <c r="A238" s="20"/>
      <c r="B238" s="20"/>
      <c r="C238" s="20"/>
      <c r="D238" s="20"/>
      <c r="E238" s="20"/>
      <c r="F238" s="21"/>
      <c r="G238" s="20"/>
      <c r="H238" s="20"/>
      <c r="I238" s="20"/>
      <c r="J238" s="14" t="str">
        <f>IF($A238="","",SUMIFS(Movimientos!$F$5:$F$3004,Movimientos!$C$5:$C$3004,$A238,Movimientos!$B$5:$B$3004,"Entrada"))</f>
        <v/>
      </c>
      <c r="K238" s="14" t="str">
        <f>IF($A238="","",SUMIFS(Movimientos!$F$5:$F$3004,Movimientos!$C$5:$C$3004,$A238,Movimientos!$B$5:$B$3004,"Salida"))</f>
        <v/>
      </c>
      <c r="L238" s="14" t="str">
        <f t="shared" si="9"/>
        <v/>
      </c>
      <c r="M238" s="22" t="str">
        <f t="shared" si="10"/>
        <v/>
      </c>
      <c r="N238" s="23" t="str">
        <f t="shared" si="11"/>
        <v/>
      </c>
      <c r="O238" s="14" t="str">
        <f>IF(OR(N238="Reordenar",N238="Agotado"),COUNTIF($N$5:N238,"Reordenar")+COUNTIF($N$5:N238,"Agotado"),"")</f>
        <v/>
      </c>
    </row>
    <row r="239" spans="1:15" x14ac:dyDescent="0.25">
      <c r="A239" s="20"/>
      <c r="B239" s="20"/>
      <c r="C239" s="20"/>
      <c r="D239" s="20"/>
      <c r="E239" s="20"/>
      <c r="F239" s="21"/>
      <c r="G239" s="20"/>
      <c r="H239" s="20"/>
      <c r="I239" s="20"/>
      <c r="J239" s="14" t="str">
        <f>IF($A239="","",SUMIFS(Movimientos!$F$5:$F$3004,Movimientos!$C$5:$C$3004,$A239,Movimientos!$B$5:$B$3004,"Entrada"))</f>
        <v/>
      </c>
      <c r="K239" s="14" t="str">
        <f>IF($A239="","",SUMIFS(Movimientos!$F$5:$F$3004,Movimientos!$C$5:$C$3004,$A239,Movimientos!$B$5:$B$3004,"Salida"))</f>
        <v/>
      </c>
      <c r="L239" s="14" t="str">
        <f t="shared" si="9"/>
        <v/>
      </c>
      <c r="M239" s="22" t="str">
        <f t="shared" si="10"/>
        <v/>
      </c>
      <c r="N239" s="23" t="str">
        <f t="shared" si="11"/>
        <v/>
      </c>
      <c r="O239" s="14" t="str">
        <f>IF(OR(N239="Reordenar",N239="Agotado"),COUNTIF($N$5:N239,"Reordenar")+COUNTIF($N$5:N239,"Agotado"),"")</f>
        <v/>
      </c>
    </row>
    <row r="240" spans="1:15" x14ac:dyDescent="0.25">
      <c r="A240" s="20"/>
      <c r="B240" s="20"/>
      <c r="C240" s="20"/>
      <c r="D240" s="20"/>
      <c r="E240" s="20"/>
      <c r="F240" s="21"/>
      <c r="G240" s="20"/>
      <c r="H240" s="20"/>
      <c r="I240" s="20"/>
      <c r="J240" s="14" t="str">
        <f>IF($A240="","",SUMIFS(Movimientos!$F$5:$F$3004,Movimientos!$C$5:$C$3004,$A240,Movimientos!$B$5:$B$3004,"Entrada"))</f>
        <v/>
      </c>
      <c r="K240" s="14" t="str">
        <f>IF($A240="","",SUMIFS(Movimientos!$F$5:$F$3004,Movimientos!$C$5:$C$3004,$A240,Movimientos!$B$5:$B$3004,"Salida"))</f>
        <v/>
      </c>
      <c r="L240" s="14" t="str">
        <f t="shared" si="9"/>
        <v/>
      </c>
      <c r="M240" s="22" t="str">
        <f t="shared" si="10"/>
        <v/>
      </c>
      <c r="N240" s="23" t="str">
        <f t="shared" si="11"/>
        <v/>
      </c>
      <c r="O240" s="14" t="str">
        <f>IF(OR(N240="Reordenar",N240="Agotado"),COUNTIF($N$5:N240,"Reordenar")+COUNTIF($N$5:N240,"Agotado"),"")</f>
        <v/>
      </c>
    </row>
    <row r="241" spans="1:15" x14ac:dyDescent="0.25">
      <c r="A241" s="20"/>
      <c r="B241" s="20"/>
      <c r="C241" s="20"/>
      <c r="D241" s="20"/>
      <c r="E241" s="20"/>
      <c r="F241" s="21"/>
      <c r="G241" s="20"/>
      <c r="H241" s="20"/>
      <c r="I241" s="20"/>
      <c r="J241" s="14" t="str">
        <f>IF($A241="","",SUMIFS(Movimientos!$F$5:$F$3004,Movimientos!$C$5:$C$3004,$A241,Movimientos!$B$5:$B$3004,"Entrada"))</f>
        <v/>
      </c>
      <c r="K241" s="14" t="str">
        <f>IF($A241="","",SUMIFS(Movimientos!$F$5:$F$3004,Movimientos!$C$5:$C$3004,$A241,Movimientos!$B$5:$B$3004,"Salida"))</f>
        <v/>
      </c>
      <c r="L241" s="14" t="str">
        <f t="shared" si="9"/>
        <v/>
      </c>
      <c r="M241" s="22" t="str">
        <f t="shared" si="10"/>
        <v/>
      </c>
      <c r="N241" s="23" t="str">
        <f t="shared" si="11"/>
        <v/>
      </c>
      <c r="O241" s="14" t="str">
        <f>IF(OR(N241="Reordenar",N241="Agotado"),COUNTIF($N$5:N241,"Reordenar")+COUNTIF($N$5:N241,"Agotado"),"")</f>
        <v/>
      </c>
    </row>
    <row r="242" spans="1:15" x14ac:dyDescent="0.25">
      <c r="A242" s="20"/>
      <c r="B242" s="20"/>
      <c r="C242" s="20"/>
      <c r="D242" s="20"/>
      <c r="E242" s="20"/>
      <c r="F242" s="21"/>
      <c r="G242" s="20"/>
      <c r="H242" s="20"/>
      <c r="I242" s="20"/>
      <c r="J242" s="14" t="str">
        <f>IF($A242="","",SUMIFS(Movimientos!$F$5:$F$3004,Movimientos!$C$5:$C$3004,$A242,Movimientos!$B$5:$B$3004,"Entrada"))</f>
        <v/>
      </c>
      <c r="K242" s="14" t="str">
        <f>IF($A242="","",SUMIFS(Movimientos!$F$5:$F$3004,Movimientos!$C$5:$C$3004,$A242,Movimientos!$B$5:$B$3004,"Salida"))</f>
        <v/>
      </c>
      <c r="L242" s="14" t="str">
        <f t="shared" si="9"/>
        <v/>
      </c>
      <c r="M242" s="22" t="str">
        <f t="shared" si="10"/>
        <v/>
      </c>
      <c r="N242" s="23" t="str">
        <f t="shared" si="11"/>
        <v/>
      </c>
      <c r="O242" s="14" t="str">
        <f>IF(OR(N242="Reordenar",N242="Agotado"),COUNTIF($N$5:N242,"Reordenar")+COUNTIF($N$5:N242,"Agotado"),"")</f>
        <v/>
      </c>
    </row>
    <row r="243" spans="1:15" x14ac:dyDescent="0.25">
      <c r="A243" s="20"/>
      <c r="B243" s="20"/>
      <c r="C243" s="20"/>
      <c r="D243" s="20"/>
      <c r="E243" s="20"/>
      <c r="F243" s="21"/>
      <c r="G243" s="20"/>
      <c r="H243" s="20"/>
      <c r="I243" s="20"/>
      <c r="J243" s="14" t="str">
        <f>IF($A243="","",SUMIFS(Movimientos!$F$5:$F$3004,Movimientos!$C$5:$C$3004,$A243,Movimientos!$B$5:$B$3004,"Entrada"))</f>
        <v/>
      </c>
      <c r="K243" s="14" t="str">
        <f>IF($A243="","",SUMIFS(Movimientos!$F$5:$F$3004,Movimientos!$C$5:$C$3004,$A243,Movimientos!$B$5:$B$3004,"Salida"))</f>
        <v/>
      </c>
      <c r="L243" s="14" t="str">
        <f t="shared" si="9"/>
        <v/>
      </c>
      <c r="M243" s="22" t="str">
        <f t="shared" si="10"/>
        <v/>
      </c>
      <c r="N243" s="23" t="str">
        <f t="shared" si="11"/>
        <v/>
      </c>
      <c r="O243" s="14" t="str">
        <f>IF(OR(N243="Reordenar",N243="Agotado"),COUNTIF($N$5:N243,"Reordenar")+COUNTIF($N$5:N243,"Agotado"),"")</f>
        <v/>
      </c>
    </row>
    <row r="244" spans="1:15" x14ac:dyDescent="0.25">
      <c r="A244" s="20"/>
      <c r="B244" s="20"/>
      <c r="C244" s="20"/>
      <c r="D244" s="20"/>
      <c r="E244" s="20"/>
      <c r="F244" s="21"/>
      <c r="G244" s="20"/>
      <c r="H244" s="20"/>
      <c r="I244" s="20"/>
      <c r="J244" s="14" t="str">
        <f>IF($A244="","",SUMIFS(Movimientos!$F$5:$F$3004,Movimientos!$C$5:$C$3004,$A244,Movimientos!$B$5:$B$3004,"Entrada"))</f>
        <v/>
      </c>
      <c r="K244" s="14" t="str">
        <f>IF($A244="","",SUMIFS(Movimientos!$F$5:$F$3004,Movimientos!$C$5:$C$3004,$A244,Movimientos!$B$5:$B$3004,"Salida"))</f>
        <v/>
      </c>
      <c r="L244" s="14" t="str">
        <f t="shared" si="9"/>
        <v/>
      </c>
      <c r="M244" s="22" t="str">
        <f t="shared" si="10"/>
        <v/>
      </c>
      <c r="N244" s="23" t="str">
        <f t="shared" si="11"/>
        <v/>
      </c>
      <c r="O244" s="14" t="str">
        <f>IF(OR(N244="Reordenar",N244="Agotado"),COUNTIF($N$5:N244,"Reordenar")+COUNTIF($N$5:N244,"Agotado"),"")</f>
        <v/>
      </c>
    </row>
    <row r="245" spans="1:15" x14ac:dyDescent="0.25">
      <c r="A245" s="20"/>
      <c r="B245" s="20"/>
      <c r="C245" s="20"/>
      <c r="D245" s="20"/>
      <c r="E245" s="20"/>
      <c r="F245" s="21"/>
      <c r="G245" s="20"/>
      <c r="H245" s="20"/>
      <c r="I245" s="20"/>
      <c r="J245" s="14" t="str">
        <f>IF($A245="","",SUMIFS(Movimientos!$F$5:$F$3004,Movimientos!$C$5:$C$3004,$A245,Movimientos!$B$5:$B$3004,"Entrada"))</f>
        <v/>
      </c>
      <c r="K245" s="14" t="str">
        <f>IF($A245="","",SUMIFS(Movimientos!$F$5:$F$3004,Movimientos!$C$5:$C$3004,$A245,Movimientos!$B$5:$B$3004,"Salida"))</f>
        <v/>
      </c>
      <c r="L245" s="14" t="str">
        <f t="shared" si="9"/>
        <v/>
      </c>
      <c r="M245" s="22" t="str">
        <f t="shared" si="10"/>
        <v/>
      </c>
      <c r="N245" s="23" t="str">
        <f t="shared" si="11"/>
        <v/>
      </c>
      <c r="O245" s="14" t="str">
        <f>IF(OR(N245="Reordenar",N245="Agotado"),COUNTIF($N$5:N245,"Reordenar")+COUNTIF($N$5:N245,"Agotado"),"")</f>
        <v/>
      </c>
    </row>
    <row r="246" spans="1:15" x14ac:dyDescent="0.25">
      <c r="A246" s="20"/>
      <c r="B246" s="20"/>
      <c r="C246" s="20"/>
      <c r="D246" s="20"/>
      <c r="E246" s="20"/>
      <c r="F246" s="21"/>
      <c r="G246" s="20"/>
      <c r="H246" s="20"/>
      <c r="I246" s="20"/>
      <c r="J246" s="14" t="str">
        <f>IF($A246="","",SUMIFS(Movimientos!$F$5:$F$3004,Movimientos!$C$5:$C$3004,$A246,Movimientos!$B$5:$B$3004,"Entrada"))</f>
        <v/>
      </c>
      <c r="K246" s="14" t="str">
        <f>IF($A246="","",SUMIFS(Movimientos!$F$5:$F$3004,Movimientos!$C$5:$C$3004,$A246,Movimientos!$B$5:$B$3004,"Salida"))</f>
        <v/>
      </c>
      <c r="L246" s="14" t="str">
        <f t="shared" si="9"/>
        <v/>
      </c>
      <c r="M246" s="22" t="str">
        <f t="shared" si="10"/>
        <v/>
      </c>
      <c r="N246" s="23" t="str">
        <f t="shared" si="11"/>
        <v/>
      </c>
      <c r="O246" s="14" t="str">
        <f>IF(OR(N246="Reordenar",N246="Agotado"),COUNTIF($N$5:N246,"Reordenar")+COUNTIF($N$5:N246,"Agotado"),"")</f>
        <v/>
      </c>
    </row>
    <row r="247" spans="1:15" x14ac:dyDescent="0.25">
      <c r="A247" s="20"/>
      <c r="B247" s="20"/>
      <c r="C247" s="20"/>
      <c r="D247" s="20"/>
      <c r="E247" s="20"/>
      <c r="F247" s="21"/>
      <c r="G247" s="20"/>
      <c r="H247" s="20"/>
      <c r="I247" s="20"/>
      <c r="J247" s="14" t="str">
        <f>IF($A247="","",SUMIFS(Movimientos!$F$5:$F$3004,Movimientos!$C$5:$C$3004,$A247,Movimientos!$B$5:$B$3004,"Entrada"))</f>
        <v/>
      </c>
      <c r="K247" s="14" t="str">
        <f>IF($A247="","",SUMIFS(Movimientos!$F$5:$F$3004,Movimientos!$C$5:$C$3004,$A247,Movimientos!$B$5:$B$3004,"Salida"))</f>
        <v/>
      </c>
      <c r="L247" s="14" t="str">
        <f t="shared" si="9"/>
        <v/>
      </c>
      <c r="M247" s="22" t="str">
        <f t="shared" si="10"/>
        <v/>
      </c>
      <c r="N247" s="23" t="str">
        <f t="shared" si="11"/>
        <v/>
      </c>
      <c r="O247" s="14" t="str">
        <f>IF(OR(N247="Reordenar",N247="Agotado"),COUNTIF($N$5:N247,"Reordenar")+COUNTIF($N$5:N247,"Agotado"),"")</f>
        <v/>
      </c>
    </row>
    <row r="248" spans="1:15" x14ac:dyDescent="0.25">
      <c r="A248" s="20"/>
      <c r="B248" s="20"/>
      <c r="C248" s="20"/>
      <c r="D248" s="20"/>
      <c r="E248" s="20"/>
      <c r="F248" s="21"/>
      <c r="G248" s="20"/>
      <c r="H248" s="20"/>
      <c r="I248" s="20"/>
      <c r="J248" s="14" t="str">
        <f>IF($A248="","",SUMIFS(Movimientos!$F$5:$F$3004,Movimientos!$C$5:$C$3004,$A248,Movimientos!$B$5:$B$3004,"Entrada"))</f>
        <v/>
      </c>
      <c r="K248" s="14" t="str">
        <f>IF($A248="","",SUMIFS(Movimientos!$F$5:$F$3004,Movimientos!$C$5:$C$3004,$A248,Movimientos!$B$5:$B$3004,"Salida"))</f>
        <v/>
      </c>
      <c r="L248" s="14" t="str">
        <f t="shared" si="9"/>
        <v/>
      </c>
      <c r="M248" s="22" t="str">
        <f t="shared" si="10"/>
        <v/>
      </c>
      <c r="N248" s="23" t="str">
        <f t="shared" si="11"/>
        <v/>
      </c>
      <c r="O248" s="14" t="str">
        <f>IF(OR(N248="Reordenar",N248="Agotado"),COUNTIF($N$5:N248,"Reordenar")+COUNTIF($N$5:N248,"Agotado"),"")</f>
        <v/>
      </c>
    </row>
    <row r="249" spans="1:15" x14ac:dyDescent="0.25">
      <c r="A249" s="20"/>
      <c r="B249" s="20"/>
      <c r="C249" s="20"/>
      <c r="D249" s="20"/>
      <c r="E249" s="20"/>
      <c r="F249" s="21"/>
      <c r="G249" s="20"/>
      <c r="H249" s="20"/>
      <c r="I249" s="20"/>
      <c r="J249" s="14" t="str">
        <f>IF($A249="","",SUMIFS(Movimientos!$F$5:$F$3004,Movimientos!$C$5:$C$3004,$A249,Movimientos!$B$5:$B$3004,"Entrada"))</f>
        <v/>
      </c>
      <c r="K249" s="14" t="str">
        <f>IF($A249="","",SUMIFS(Movimientos!$F$5:$F$3004,Movimientos!$C$5:$C$3004,$A249,Movimientos!$B$5:$B$3004,"Salida"))</f>
        <v/>
      </c>
      <c r="L249" s="14" t="str">
        <f t="shared" si="9"/>
        <v/>
      </c>
      <c r="M249" s="22" t="str">
        <f t="shared" si="10"/>
        <v/>
      </c>
      <c r="N249" s="23" t="str">
        <f t="shared" si="11"/>
        <v/>
      </c>
      <c r="O249" s="14" t="str">
        <f>IF(OR(N249="Reordenar",N249="Agotado"),COUNTIF($N$5:N249,"Reordenar")+COUNTIF($N$5:N249,"Agotado"),"")</f>
        <v/>
      </c>
    </row>
    <row r="250" spans="1:15" x14ac:dyDescent="0.25">
      <c r="A250" s="20"/>
      <c r="B250" s="20"/>
      <c r="C250" s="20"/>
      <c r="D250" s="20"/>
      <c r="E250" s="20"/>
      <c r="F250" s="21"/>
      <c r="G250" s="20"/>
      <c r="H250" s="20"/>
      <c r="I250" s="20"/>
      <c r="J250" s="14" t="str">
        <f>IF($A250="","",SUMIFS(Movimientos!$F$5:$F$3004,Movimientos!$C$5:$C$3004,$A250,Movimientos!$B$5:$B$3004,"Entrada"))</f>
        <v/>
      </c>
      <c r="K250" s="14" t="str">
        <f>IF($A250="","",SUMIFS(Movimientos!$F$5:$F$3004,Movimientos!$C$5:$C$3004,$A250,Movimientos!$B$5:$B$3004,"Salida"))</f>
        <v/>
      </c>
      <c r="L250" s="14" t="str">
        <f t="shared" si="9"/>
        <v/>
      </c>
      <c r="M250" s="22" t="str">
        <f t="shared" si="10"/>
        <v/>
      </c>
      <c r="N250" s="23" t="str">
        <f t="shared" si="11"/>
        <v/>
      </c>
      <c r="O250" s="14" t="str">
        <f>IF(OR(N250="Reordenar",N250="Agotado"),COUNTIF($N$5:N250,"Reordenar")+COUNTIF($N$5:N250,"Agotado"),"")</f>
        <v/>
      </c>
    </row>
    <row r="251" spans="1:15" x14ac:dyDescent="0.25">
      <c r="A251" s="20"/>
      <c r="B251" s="20"/>
      <c r="C251" s="20"/>
      <c r="D251" s="20"/>
      <c r="E251" s="20"/>
      <c r="F251" s="21"/>
      <c r="G251" s="20"/>
      <c r="H251" s="20"/>
      <c r="I251" s="20"/>
      <c r="J251" s="14" t="str">
        <f>IF($A251="","",SUMIFS(Movimientos!$F$5:$F$3004,Movimientos!$C$5:$C$3004,$A251,Movimientos!$B$5:$B$3004,"Entrada"))</f>
        <v/>
      </c>
      <c r="K251" s="14" t="str">
        <f>IF($A251="","",SUMIFS(Movimientos!$F$5:$F$3004,Movimientos!$C$5:$C$3004,$A251,Movimientos!$B$5:$B$3004,"Salida"))</f>
        <v/>
      </c>
      <c r="L251" s="14" t="str">
        <f t="shared" si="9"/>
        <v/>
      </c>
      <c r="M251" s="22" t="str">
        <f t="shared" si="10"/>
        <v/>
      </c>
      <c r="N251" s="23" t="str">
        <f t="shared" si="11"/>
        <v/>
      </c>
      <c r="O251" s="14" t="str">
        <f>IF(OR(N251="Reordenar",N251="Agotado"),COUNTIF($N$5:N251,"Reordenar")+COUNTIF($N$5:N251,"Agotado"),"")</f>
        <v/>
      </c>
    </row>
    <row r="252" spans="1:15" x14ac:dyDescent="0.25">
      <c r="A252" s="20"/>
      <c r="B252" s="20"/>
      <c r="C252" s="20"/>
      <c r="D252" s="20"/>
      <c r="E252" s="20"/>
      <c r="F252" s="21"/>
      <c r="G252" s="20"/>
      <c r="H252" s="20"/>
      <c r="I252" s="20"/>
      <c r="J252" s="14" t="str">
        <f>IF($A252="","",SUMIFS(Movimientos!$F$5:$F$3004,Movimientos!$C$5:$C$3004,$A252,Movimientos!$B$5:$B$3004,"Entrada"))</f>
        <v/>
      </c>
      <c r="K252" s="14" t="str">
        <f>IF($A252="","",SUMIFS(Movimientos!$F$5:$F$3004,Movimientos!$C$5:$C$3004,$A252,Movimientos!$B$5:$B$3004,"Salida"))</f>
        <v/>
      </c>
      <c r="L252" s="14" t="str">
        <f t="shared" si="9"/>
        <v/>
      </c>
      <c r="M252" s="22" t="str">
        <f t="shared" si="10"/>
        <v/>
      </c>
      <c r="N252" s="23" t="str">
        <f t="shared" si="11"/>
        <v/>
      </c>
      <c r="O252" s="14" t="str">
        <f>IF(OR(N252="Reordenar",N252="Agotado"),COUNTIF($N$5:N252,"Reordenar")+COUNTIF($N$5:N252,"Agotado"),"")</f>
        <v/>
      </c>
    </row>
    <row r="253" spans="1:15" x14ac:dyDescent="0.25">
      <c r="A253" s="20"/>
      <c r="B253" s="20"/>
      <c r="C253" s="20"/>
      <c r="D253" s="20"/>
      <c r="E253" s="20"/>
      <c r="F253" s="21"/>
      <c r="G253" s="20"/>
      <c r="H253" s="20"/>
      <c r="I253" s="20"/>
      <c r="J253" s="14" t="str">
        <f>IF($A253="","",SUMIFS(Movimientos!$F$5:$F$3004,Movimientos!$C$5:$C$3004,$A253,Movimientos!$B$5:$B$3004,"Entrada"))</f>
        <v/>
      </c>
      <c r="K253" s="14" t="str">
        <f>IF($A253="","",SUMIFS(Movimientos!$F$5:$F$3004,Movimientos!$C$5:$C$3004,$A253,Movimientos!$B$5:$B$3004,"Salida"))</f>
        <v/>
      </c>
      <c r="L253" s="14" t="str">
        <f t="shared" si="9"/>
        <v/>
      </c>
      <c r="M253" s="22" t="str">
        <f t="shared" si="10"/>
        <v/>
      </c>
      <c r="N253" s="23" t="str">
        <f t="shared" si="11"/>
        <v/>
      </c>
      <c r="O253" s="14" t="str">
        <f>IF(OR(N253="Reordenar",N253="Agotado"),COUNTIF($N$5:N253,"Reordenar")+COUNTIF($N$5:N253,"Agotado"),"")</f>
        <v/>
      </c>
    </row>
    <row r="254" spans="1:15" x14ac:dyDescent="0.25">
      <c r="A254" s="20"/>
      <c r="B254" s="20"/>
      <c r="C254" s="20"/>
      <c r="D254" s="20"/>
      <c r="E254" s="20"/>
      <c r="F254" s="21"/>
      <c r="G254" s="20"/>
      <c r="H254" s="20"/>
      <c r="I254" s="20"/>
      <c r="J254" s="14" t="str">
        <f>IF($A254="","",SUMIFS(Movimientos!$F$5:$F$3004,Movimientos!$C$5:$C$3004,$A254,Movimientos!$B$5:$B$3004,"Entrada"))</f>
        <v/>
      </c>
      <c r="K254" s="14" t="str">
        <f>IF($A254="","",SUMIFS(Movimientos!$F$5:$F$3004,Movimientos!$C$5:$C$3004,$A254,Movimientos!$B$5:$B$3004,"Salida"))</f>
        <v/>
      </c>
      <c r="L254" s="14" t="str">
        <f t="shared" si="9"/>
        <v/>
      </c>
      <c r="M254" s="22" t="str">
        <f t="shared" si="10"/>
        <v/>
      </c>
      <c r="N254" s="23" t="str">
        <f t="shared" si="11"/>
        <v/>
      </c>
      <c r="O254" s="14" t="str">
        <f>IF(OR(N254="Reordenar",N254="Agotado"),COUNTIF($N$5:N254,"Reordenar")+COUNTIF($N$5:N254,"Agotado"),"")</f>
        <v/>
      </c>
    </row>
    <row r="255" spans="1:15" x14ac:dyDescent="0.25">
      <c r="A255" s="20"/>
      <c r="B255" s="20"/>
      <c r="C255" s="20"/>
      <c r="D255" s="20"/>
      <c r="E255" s="20"/>
      <c r="F255" s="21"/>
      <c r="G255" s="20"/>
      <c r="H255" s="20"/>
      <c r="I255" s="20"/>
      <c r="J255" s="14" t="str">
        <f>IF($A255="","",SUMIFS(Movimientos!$F$5:$F$3004,Movimientos!$C$5:$C$3004,$A255,Movimientos!$B$5:$B$3004,"Entrada"))</f>
        <v/>
      </c>
      <c r="K255" s="14" t="str">
        <f>IF($A255="","",SUMIFS(Movimientos!$F$5:$F$3004,Movimientos!$C$5:$C$3004,$A255,Movimientos!$B$5:$B$3004,"Salida"))</f>
        <v/>
      </c>
      <c r="L255" s="14" t="str">
        <f t="shared" si="9"/>
        <v/>
      </c>
      <c r="M255" s="22" t="str">
        <f t="shared" si="10"/>
        <v/>
      </c>
      <c r="N255" s="23" t="str">
        <f t="shared" si="11"/>
        <v/>
      </c>
      <c r="O255" s="14" t="str">
        <f>IF(OR(N255="Reordenar",N255="Agotado"),COUNTIF($N$5:N255,"Reordenar")+COUNTIF($N$5:N255,"Agotado"),"")</f>
        <v/>
      </c>
    </row>
    <row r="256" spans="1:15" x14ac:dyDescent="0.25">
      <c r="A256" s="20"/>
      <c r="B256" s="20"/>
      <c r="C256" s="20"/>
      <c r="D256" s="20"/>
      <c r="E256" s="20"/>
      <c r="F256" s="21"/>
      <c r="G256" s="20"/>
      <c r="H256" s="20"/>
      <c r="I256" s="20"/>
      <c r="J256" s="14" t="str">
        <f>IF($A256="","",SUMIFS(Movimientos!$F$5:$F$3004,Movimientos!$C$5:$C$3004,$A256,Movimientos!$B$5:$B$3004,"Entrada"))</f>
        <v/>
      </c>
      <c r="K256" s="14" t="str">
        <f>IF($A256="","",SUMIFS(Movimientos!$F$5:$F$3004,Movimientos!$C$5:$C$3004,$A256,Movimientos!$B$5:$B$3004,"Salida"))</f>
        <v/>
      </c>
      <c r="L256" s="14" t="str">
        <f t="shared" si="9"/>
        <v/>
      </c>
      <c r="M256" s="22" t="str">
        <f t="shared" si="10"/>
        <v/>
      </c>
      <c r="N256" s="23" t="str">
        <f t="shared" si="11"/>
        <v/>
      </c>
      <c r="O256" s="14" t="str">
        <f>IF(OR(N256="Reordenar",N256="Agotado"),COUNTIF($N$5:N256,"Reordenar")+COUNTIF($N$5:N256,"Agotado"),"")</f>
        <v/>
      </c>
    </row>
    <row r="257" spans="1:15" x14ac:dyDescent="0.25">
      <c r="A257" s="20"/>
      <c r="B257" s="20"/>
      <c r="C257" s="20"/>
      <c r="D257" s="20"/>
      <c r="E257" s="20"/>
      <c r="F257" s="21"/>
      <c r="G257" s="20"/>
      <c r="H257" s="20"/>
      <c r="I257" s="20"/>
      <c r="J257" s="14" t="str">
        <f>IF($A257="","",SUMIFS(Movimientos!$F$5:$F$3004,Movimientos!$C$5:$C$3004,$A257,Movimientos!$B$5:$B$3004,"Entrada"))</f>
        <v/>
      </c>
      <c r="K257" s="14" t="str">
        <f>IF($A257="","",SUMIFS(Movimientos!$F$5:$F$3004,Movimientos!$C$5:$C$3004,$A257,Movimientos!$B$5:$B$3004,"Salida"))</f>
        <v/>
      </c>
      <c r="L257" s="14" t="str">
        <f t="shared" si="9"/>
        <v/>
      </c>
      <c r="M257" s="22" t="str">
        <f t="shared" si="10"/>
        <v/>
      </c>
      <c r="N257" s="23" t="str">
        <f t="shared" si="11"/>
        <v/>
      </c>
      <c r="O257" s="14" t="str">
        <f>IF(OR(N257="Reordenar",N257="Agotado"),COUNTIF($N$5:N257,"Reordenar")+COUNTIF($N$5:N257,"Agotado"),"")</f>
        <v/>
      </c>
    </row>
    <row r="258" spans="1:15" x14ac:dyDescent="0.25">
      <c r="A258" s="20"/>
      <c r="B258" s="20"/>
      <c r="C258" s="20"/>
      <c r="D258" s="20"/>
      <c r="E258" s="20"/>
      <c r="F258" s="21"/>
      <c r="G258" s="20"/>
      <c r="H258" s="20"/>
      <c r="I258" s="20"/>
      <c r="J258" s="14" t="str">
        <f>IF($A258="","",SUMIFS(Movimientos!$F$5:$F$3004,Movimientos!$C$5:$C$3004,$A258,Movimientos!$B$5:$B$3004,"Entrada"))</f>
        <v/>
      </c>
      <c r="K258" s="14" t="str">
        <f>IF($A258="","",SUMIFS(Movimientos!$F$5:$F$3004,Movimientos!$C$5:$C$3004,$A258,Movimientos!$B$5:$B$3004,"Salida"))</f>
        <v/>
      </c>
      <c r="L258" s="14" t="str">
        <f t="shared" si="9"/>
        <v/>
      </c>
      <c r="M258" s="22" t="str">
        <f t="shared" si="10"/>
        <v/>
      </c>
      <c r="N258" s="23" t="str">
        <f t="shared" si="11"/>
        <v/>
      </c>
      <c r="O258" s="14" t="str">
        <f>IF(OR(N258="Reordenar",N258="Agotado"),COUNTIF($N$5:N258,"Reordenar")+COUNTIF($N$5:N258,"Agotado"),"")</f>
        <v/>
      </c>
    </row>
    <row r="259" spans="1:15" x14ac:dyDescent="0.25">
      <c r="A259" s="20"/>
      <c r="B259" s="20"/>
      <c r="C259" s="20"/>
      <c r="D259" s="20"/>
      <c r="E259" s="20"/>
      <c r="F259" s="21"/>
      <c r="G259" s="20"/>
      <c r="H259" s="20"/>
      <c r="I259" s="20"/>
      <c r="J259" s="14" t="str">
        <f>IF($A259="","",SUMIFS(Movimientos!$F$5:$F$3004,Movimientos!$C$5:$C$3004,$A259,Movimientos!$B$5:$B$3004,"Entrada"))</f>
        <v/>
      </c>
      <c r="K259" s="14" t="str">
        <f>IF($A259="","",SUMIFS(Movimientos!$F$5:$F$3004,Movimientos!$C$5:$C$3004,$A259,Movimientos!$B$5:$B$3004,"Salida"))</f>
        <v/>
      </c>
      <c r="L259" s="14" t="str">
        <f t="shared" si="9"/>
        <v/>
      </c>
      <c r="M259" s="22" t="str">
        <f t="shared" si="10"/>
        <v/>
      </c>
      <c r="N259" s="23" t="str">
        <f t="shared" si="11"/>
        <v/>
      </c>
      <c r="O259" s="14" t="str">
        <f>IF(OR(N259="Reordenar",N259="Agotado"),COUNTIF($N$5:N259,"Reordenar")+COUNTIF($N$5:N259,"Agotado"),"")</f>
        <v/>
      </c>
    </row>
    <row r="260" spans="1:15" x14ac:dyDescent="0.25">
      <c r="A260" s="20"/>
      <c r="B260" s="20"/>
      <c r="C260" s="20"/>
      <c r="D260" s="20"/>
      <c r="E260" s="20"/>
      <c r="F260" s="21"/>
      <c r="G260" s="20"/>
      <c r="H260" s="20"/>
      <c r="I260" s="20"/>
      <c r="J260" s="14" t="str">
        <f>IF($A260="","",SUMIFS(Movimientos!$F$5:$F$3004,Movimientos!$C$5:$C$3004,$A260,Movimientos!$B$5:$B$3004,"Entrada"))</f>
        <v/>
      </c>
      <c r="K260" s="14" t="str">
        <f>IF($A260="","",SUMIFS(Movimientos!$F$5:$F$3004,Movimientos!$C$5:$C$3004,$A260,Movimientos!$B$5:$B$3004,"Salida"))</f>
        <v/>
      </c>
      <c r="L260" s="14" t="str">
        <f t="shared" si="9"/>
        <v/>
      </c>
      <c r="M260" s="22" t="str">
        <f t="shared" si="10"/>
        <v/>
      </c>
      <c r="N260" s="23" t="str">
        <f t="shared" si="11"/>
        <v/>
      </c>
      <c r="O260" s="14" t="str">
        <f>IF(OR(N260="Reordenar",N260="Agotado"),COUNTIF($N$5:N260,"Reordenar")+COUNTIF($N$5:N260,"Agotado"),"")</f>
        <v/>
      </c>
    </row>
    <row r="261" spans="1:15" x14ac:dyDescent="0.25">
      <c r="A261" s="20"/>
      <c r="B261" s="20"/>
      <c r="C261" s="20"/>
      <c r="D261" s="20"/>
      <c r="E261" s="20"/>
      <c r="F261" s="21"/>
      <c r="G261" s="20"/>
      <c r="H261" s="20"/>
      <c r="I261" s="20"/>
      <c r="J261" s="14" t="str">
        <f>IF($A261="","",SUMIFS(Movimientos!$F$5:$F$3004,Movimientos!$C$5:$C$3004,$A261,Movimientos!$B$5:$B$3004,"Entrada"))</f>
        <v/>
      </c>
      <c r="K261" s="14" t="str">
        <f>IF($A261="","",SUMIFS(Movimientos!$F$5:$F$3004,Movimientos!$C$5:$C$3004,$A261,Movimientos!$B$5:$B$3004,"Salida"))</f>
        <v/>
      </c>
      <c r="L261" s="14" t="str">
        <f t="shared" ref="L261:L324" si="12">IF($A261="","",N(I261)+J261-K261)</f>
        <v/>
      </c>
      <c r="M261" s="22" t="str">
        <f t="shared" ref="M261:M324" si="13">IF($A261="","",L261*N(F261))</f>
        <v/>
      </c>
      <c r="N261" s="23" t="str">
        <f t="shared" ref="N261:N324" si="14">IF($A261="","",IF(L261&lt;=0,"Agotado",IF(AND(N(G261)&gt;0,L261&lt;=G261),"Reordenar","OK")))</f>
        <v/>
      </c>
      <c r="O261" s="14" t="str">
        <f>IF(OR(N261="Reordenar",N261="Agotado"),COUNTIF($N$5:N261,"Reordenar")+COUNTIF($N$5:N261,"Agotado"),"")</f>
        <v/>
      </c>
    </row>
    <row r="262" spans="1:15" x14ac:dyDescent="0.25">
      <c r="A262" s="20"/>
      <c r="B262" s="20"/>
      <c r="C262" s="20"/>
      <c r="D262" s="20"/>
      <c r="E262" s="20"/>
      <c r="F262" s="21"/>
      <c r="G262" s="20"/>
      <c r="H262" s="20"/>
      <c r="I262" s="20"/>
      <c r="J262" s="14" t="str">
        <f>IF($A262="","",SUMIFS(Movimientos!$F$5:$F$3004,Movimientos!$C$5:$C$3004,$A262,Movimientos!$B$5:$B$3004,"Entrada"))</f>
        <v/>
      </c>
      <c r="K262" s="14" t="str">
        <f>IF($A262="","",SUMIFS(Movimientos!$F$5:$F$3004,Movimientos!$C$5:$C$3004,$A262,Movimientos!$B$5:$B$3004,"Salida"))</f>
        <v/>
      </c>
      <c r="L262" s="14" t="str">
        <f t="shared" si="12"/>
        <v/>
      </c>
      <c r="M262" s="22" t="str">
        <f t="shared" si="13"/>
        <v/>
      </c>
      <c r="N262" s="23" t="str">
        <f t="shared" si="14"/>
        <v/>
      </c>
      <c r="O262" s="14" t="str">
        <f>IF(OR(N262="Reordenar",N262="Agotado"),COUNTIF($N$5:N262,"Reordenar")+COUNTIF($N$5:N262,"Agotado"),"")</f>
        <v/>
      </c>
    </row>
    <row r="263" spans="1:15" x14ac:dyDescent="0.25">
      <c r="A263" s="20"/>
      <c r="B263" s="20"/>
      <c r="C263" s="20"/>
      <c r="D263" s="20"/>
      <c r="E263" s="20"/>
      <c r="F263" s="21"/>
      <c r="G263" s="20"/>
      <c r="H263" s="20"/>
      <c r="I263" s="20"/>
      <c r="J263" s="14" t="str">
        <f>IF($A263="","",SUMIFS(Movimientos!$F$5:$F$3004,Movimientos!$C$5:$C$3004,$A263,Movimientos!$B$5:$B$3004,"Entrada"))</f>
        <v/>
      </c>
      <c r="K263" s="14" t="str">
        <f>IF($A263="","",SUMIFS(Movimientos!$F$5:$F$3004,Movimientos!$C$5:$C$3004,$A263,Movimientos!$B$5:$B$3004,"Salida"))</f>
        <v/>
      </c>
      <c r="L263" s="14" t="str">
        <f t="shared" si="12"/>
        <v/>
      </c>
      <c r="M263" s="22" t="str">
        <f t="shared" si="13"/>
        <v/>
      </c>
      <c r="N263" s="23" t="str">
        <f t="shared" si="14"/>
        <v/>
      </c>
      <c r="O263" s="14" t="str">
        <f>IF(OR(N263="Reordenar",N263="Agotado"),COUNTIF($N$5:N263,"Reordenar")+COUNTIF($N$5:N263,"Agotado"),"")</f>
        <v/>
      </c>
    </row>
    <row r="264" spans="1:15" x14ac:dyDescent="0.25">
      <c r="A264" s="20"/>
      <c r="B264" s="20"/>
      <c r="C264" s="20"/>
      <c r="D264" s="20"/>
      <c r="E264" s="20"/>
      <c r="F264" s="21"/>
      <c r="G264" s="20"/>
      <c r="H264" s="20"/>
      <c r="I264" s="20"/>
      <c r="J264" s="14" t="str">
        <f>IF($A264="","",SUMIFS(Movimientos!$F$5:$F$3004,Movimientos!$C$5:$C$3004,$A264,Movimientos!$B$5:$B$3004,"Entrada"))</f>
        <v/>
      </c>
      <c r="K264" s="14" t="str">
        <f>IF($A264="","",SUMIFS(Movimientos!$F$5:$F$3004,Movimientos!$C$5:$C$3004,$A264,Movimientos!$B$5:$B$3004,"Salida"))</f>
        <v/>
      </c>
      <c r="L264" s="14" t="str">
        <f t="shared" si="12"/>
        <v/>
      </c>
      <c r="M264" s="22" t="str">
        <f t="shared" si="13"/>
        <v/>
      </c>
      <c r="N264" s="23" t="str">
        <f t="shared" si="14"/>
        <v/>
      </c>
      <c r="O264" s="14" t="str">
        <f>IF(OR(N264="Reordenar",N264="Agotado"),COUNTIF($N$5:N264,"Reordenar")+COUNTIF($N$5:N264,"Agotado"),"")</f>
        <v/>
      </c>
    </row>
    <row r="265" spans="1:15" x14ac:dyDescent="0.25">
      <c r="A265" s="20"/>
      <c r="B265" s="20"/>
      <c r="C265" s="20"/>
      <c r="D265" s="20"/>
      <c r="E265" s="20"/>
      <c r="F265" s="21"/>
      <c r="G265" s="20"/>
      <c r="H265" s="20"/>
      <c r="I265" s="20"/>
      <c r="J265" s="14" t="str">
        <f>IF($A265="","",SUMIFS(Movimientos!$F$5:$F$3004,Movimientos!$C$5:$C$3004,$A265,Movimientos!$B$5:$B$3004,"Entrada"))</f>
        <v/>
      </c>
      <c r="K265" s="14" t="str">
        <f>IF($A265="","",SUMIFS(Movimientos!$F$5:$F$3004,Movimientos!$C$5:$C$3004,$A265,Movimientos!$B$5:$B$3004,"Salida"))</f>
        <v/>
      </c>
      <c r="L265" s="14" t="str">
        <f t="shared" si="12"/>
        <v/>
      </c>
      <c r="M265" s="22" t="str">
        <f t="shared" si="13"/>
        <v/>
      </c>
      <c r="N265" s="23" t="str">
        <f t="shared" si="14"/>
        <v/>
      </c>
      <c r="O265" s="14" t="str">
        <f>IF(OR(N265="Reordenar",N265="Agotado"),COUNTIF($N$5:N265,"Reordenar")+COUNTIF($N$5:N265,"Agotado"),"")</f>
        <v/>
      </c>
    </row>
    <row r="266" spans="1:15" x14ac:dyDescent="0.25">
      <c r="A266" s="20"/>
      <c r="B266" s="20"/>
      <c r="C266" s="20"/>
      <c r="D266" s="20"/>
      <c r="E266" s="20"/>
      <c r="F266" s="21"/>
      <c r="G266" s="20"/>
      <c r="H266" s="20"/>
      <c r="I266" s="20"/>
      <c r="J266" s="14" t="str">
        <f>IF($A266="","",SUMIFS(Movimientos!$F$5:$F$3004,Movimientos!$C$5:$C$3004,$A266,Movimientos!$B$5:$B$3004,"Entrada"))</f>
        <v/>
      </c>
      <c r="K266" s="14" t="str">
        <f>IF($A266="","",SUMIFS(Movimientos!$F$5:$F$3004,Movimientos!$C$5:$C$3004,$A266,Movimientos!$B$5:$B$3004,"Salida"))</f>
        <v/>
      </c>
      <c r="L266" s="14" t="str">
        <f t="shared" si="12"/>
        <v/>
      </c>
      <c r="M266" s="22" t="str">
        <f t="shared" si="13"/>
        <v/>
      </c>
      <c r="N266" s="23" t="str">
        <f t="shared" si="14"/>
        <v/>
      </c>
      <c r="O266" s="14" t="str">
        <f>IF(OR(N266="Reordenar",N266="Agotado"),COUNTIF($N$5:N266,"Reordenar")+COUNTIF($N$5:N266,"Agotado"),"")</f>
        <v/>
      </c>
    </row>
    <row r="267" spans="1:15" x14ac:dyDescent="0.25">
      <c r="A267" s="20"/>
      <c r="B267" s="20"/>
      <c r="C267" s="20"/>
      <c r="D267" s="20"/>
      <c r="E267" s="20"/>
      <c r="F267" s="21"/>
      <c r="G267" s="20"/>
      <c r="H267" s="20"/>
      <c r="I267" s="20"/>
      <c r="J267" s="14" t="str">
        <f>IF($A267="","",SUMIFS(Movimientos!$F$5:$F$3004,Movimientos!$C$5:$C$3004,$A267,Movimientos!$B$5:$B$3004,"Entrada"))</f>
        <v/>
      </c>
      <c r="K267" s="14" t="str">
        <f>IF($A267="","",SUMIFS(Movimientos!$F$5:$F$3004,Movimientos!$C$5:$C$3004,$A267,Movimientos!$B$5:$B$3004,"Salida"))</f>
        <v/>
      </c>
      <c r="L267" s="14" t="str">
        <f t="shared" si="12"/>
        <v/>
      </c>
      <c r="M267" s="22" t="str">
        <f t="shared" si="13"/>
        <v/>
      </c>
      <c r="N267" s="23" t="str">
        <f t="shared" si="14"/>
        <v/>
      </c>
      <c r="O267" s="14" t="str">
        <f>IF(OR(N267="Reordenar",N267="Agotado"),COUNTIF($N$5:N267,"Reordenar")+COUNTIF($N$5:N267,"Agotado"),"")</f>
        <v/>
      </c>
    </row>
    <row r="268" spans="1:15" x14ac:dyDescent="0.25">
      <c r="A268" s="20"/>
      <c r="B268" s="20"/>
      <c r="C268" s="20"/>
      <c r="D268" s="20"/>
      <c r="E268" s="20"/>
      <c r="F268" s="21"/>
      <c r="G268" s="20"/>
      <c r="H268" s="20"/>
      <c r="I268" s="20"/>
      <c r="J268" s="14" t="str">
        <f>IF($A268="","",SUMIFS(Movimientos!$F$5:$F$3004,Movimientos!$C$5:$C$3004,$A268,Movimientos!$B$5:$B$3004,"Entrada"))</f>
        <v/>
      </c>
      <c r="K268" s="14" t="str">
        <f>IF($A268="","",SUMIFS(Movimientos!$F$5:$F$3004,Movimientos!$C$5:$C$3004,$A268,Movimientos!$B$5:$B$3004,"Salida"))</f>
        <v/>
      </c>
      <c r="L268" s="14" t="str">
        <f t="shared" si="12"/>
        <v/>
      </c>
      <c r="M268" s="22" t="str">
        <f t="shared" si="13"/>
        <v/>
      </c>
      <c r="N268" s="23" t="str">
        <f t="shared" si="14"/>
        <v/>
      </c>
      <c r="O268" s="14" t="str">
        <f>IF(OR(N268="Reordenar",N268="Agotado"),COUNTIF($N$5:N268,"Reordenar")+COUNTIF($N$5:N268,"Agotado"),"")</f>
        <v/>
      </c>
    </row>
    <row r="269" spans="1:15" x14ac:dyDescent="0.25">
      <c r="A269" s="20"/>
      <c r="B269" s="20"/>
      <c r="C269" s="20"/>
      <c r="D269" s="20"/>
      <c r="E269" s="20"/>
      <c r="F269" s="21"/>
      <c r="G269" s="20"/>
      <c r="H269" s="20"/>
      <c r="I269" s="20"/>
      <c r="J269" s="14" t="str">
        <f>IF($A269="","",SUMIFS(Movimientos!$F$5:$F$3004,Movimientos!$C$5:$C$3004,$A269,Movimientos!$B$5:$B$3004,"Entrada"))</f>
        <v/>
      </c>
      <c r="K269" s="14" t="str">
        <f>IF($A269="","",SUMIFS(Movimientos!$F$5:$F$3004,Movimientos!$C$5:$C$3004,$A269,Movimientos!$B$5:$B$3004,"Salida"))</f>
        <v/>
      </c>
      <c r="L269" s="14" t="str">
        <f t="shared" si="12"/>
        <v/>
      </c>
      <c r="M269" s="22" t="str">
        <f t="shared" si="13"/>
        <v/>
      </c>
      <c r="N269" s="23" t="str">
        <f t="shared" si="14"/>
        <v/>
      </c>
      <c r="O269" s="14" t="str">
        <f>IF(OR(N269="Reordenar",N269="Agotado"),COUNTIF($N$5:N269,"Reordenar")+COUNTIF($N$5:N269,"Agotado"),"")</f>
        <v/>
      </c>
    </row>
    <row r="270" spans="1:15" x14ac:dyDescent="0.25">
      <c r="A270" s="20"/>
      <c r="B270" s="20"/>
      <c r="C270" s="20"/>
      <c r="D270" s="20"/>
      <c r="E270" s="20"/>
      <c r="F270" s="21"/>
      <c r="G270" s="20"/>
      <c r="H270" s="20"/>
      <c r="I270" s="20"/>
      <c r="J270" s="14" t="str">
        <f>IF($A270="","",SUMIFS(Movimientos!$F$5:$F$3004,Movimientos!$C$5:$C$3004,$A270,Movimientos!$B$5:$B$3004,"Entrada"))</f>
        <v/>
      </c>
      <c r="K270" s="14" t="str">
        <f>IF($A270="","",SUMIFS(Movimientos!$F$5:$F$3004,Movimientos!$C$5:$C$3004,$A270,Movimientos!$B$5:$B$3004,"Salida"))</f>
        <v/>
      </c>
      <c r="L270" s="14" t="str">
        <f t="shared" si="12"/>
        <v/>
      </c>
      <c r="M270" s="22" t="str">
        <f t="shared" si="13"/>
        <v/>
      </c>
      <c r="N270" s="23" t="str">
        <f t="shared" si="14"/>
        <v/>
      </c>
      <c r="O270" s="14" t="str">
        <f>IF(OR(N270="Reordenar",N270="Agotado"),COUNTIF($N$5:N270,"Reordenar")+COUNTIF($N$5:N270,"Agotado"),"")</f>
        <v/>
      </c>
    </row>
    <row r="271" spans="1:15" x14ac:dyDescent="0.25">
      <c r="A271" s="20"/>
      <c r="B271" s="20"/>
      <c r="C271" s="20"/>
      <c r="D271" s="20"/>
      <c r="E271" s="20"/>
      <c r="F271" s="21"/>
      <c r="G271" s="20"/>
      <c r="H271" s="20"/>
      <c r="I271" s="20"/>
      <c r="J271" s="14" t="str">
        <f>IF($A271="","",SUMIFS(Movimientos!$F$5:$F$3004,Movimientos!$C$5:$C$3004,$A271,Movimientos!$B$5:$B$3004,"Entrada"))</f>
        <v/>
      </c>
      <c r="K271" s="14" t="str">
        <f>IF($A271="","",SUMIFS(Movimientos!$F$5:$F$3004,Movimientos!$C$5:$C$3004,$A271,Movimientos!$B$5:$B$3004,"Salida"))</f>
        <v/>
      </c>
      <c r="L271" s="14" t="str">
        <f t="shared" si="12"/>
        <v/>
      </c>
      <c r="M271" s="22" t="str">
        <f t="shared" si="13"/>
        <v/>
      </c>
      <c r="N271" s="23" t="str">
        <f t="shared" si="14"/>
        <v/>
      </c>
      <c r="O271" s="14" t="str">
        <f>IF(OR(N271="Reordenar",N271="Agotado"),COUNTIF($N$5:N271,"Reordenar")+COUNTIF($N$5:N271,"Agotado"),"")</f>
        <v/>
      </c>
    </row>
    <row r="272" spans="1:15" x14ac:dyDescent="0.25">
      <c r="A272" s="20"/>
      <c r="B272" s="20"/>
      <c r="C272" s="20"/>
      <c r="D272" s="20"/>
      <c r="E272" s="20"/>
      <c r="F272" s="21"/>
      <c r="G272" s="20"/>
      <c r="H272" s="20"/>
      <c r="I272" s="20"/>
      <c r="J272" s="14" t="str">
        <f>IF($A272="","",SUMIFS(Movimientos!$F$5:$F$3004,Movimientos!$C$5:$C$3004,$A272,Movimientos!$B$5:$B$3004,"Entrada"))</f>
        <v/>
      </c>
      <c r="K272" s="14" t="str">
        <f>IF($A272="","",SUMIFS(Movimientos!$F$5:$F$3004,Movimientos!$C$5:$C$3004,$A272,Movimientos!$B$5:$B$3004,"Salida"))</f>
        <v/>
      </c>
      <c r="L272" s="14" t="str">
        <f t="shared" si="12"/>
        <v/>
      </c>
      <c r="M272" s="22" t="str">
        <f t="shared" si="13"/>
        <v/>
      </c>
      <c r="N272" s="23" t="str">
        <f t="shared" si="14"/>
        <v/>
      </c>
      <c r="O272" s="14" t="str">
        <f>IF(OR(N272="Reordenar",N272="Agotado"),COUNTIF($N$5:N272,"Reordenar")+COUNTIF($N$5:N272,"Agotado"),"")</f>
        <v/>
      </c>
    </row>
    <row r="273" spans="1:15" x14ac:dyDescent="0.25">
      <c r="A273" s="20"/>
      <c r="B273" s="20"/>
      <c r="C273" s="20"/>
      <c r="D273" s="20"/>
      <c r="E273" s="20"/>
      <c r="F273" s="21"/>
      <c r="G273" s="20"/>
      <c r="H273" s="20"/>
      <c r="I273" s="20"/>
      <c r="J273" s="14" t="str">
        <f>IF($A273="","",SUMIFS(Movimientos!$F$5:$F$3004,Movimientos!$C$5:$C$3004,$A273,Movimientos!$B$5:$B$3004,"Entrada"))</f>
        <v/>
      </c>
      <c r="K273" s="14" t="str">
        <f>IF($A273="","",SUMIFS(Movimientos!$F$5:$F$3004,Movimientos!$C$5:$C$3004,$A273,Movimientos!$B$5:$B$3004,"Salida"))</f>
        <v/>
      </c>
      <c r="L273" s="14" t="str">
        <f t="shared" si="12"/>
        <v/>
      </c>
      <c r="M273" s="22" t="str">
        <f t="shared" si="13"/>
        <v/>
      </c>
      <c r="N273" s="23" t="str">
        <f t="shared" si="14"/>
        <v/>
      </c>
      <c r="O273" s="14" t="str">
        <f>IF(OR(N273="Reordenar",N273="Agotado"),COUNTIF($N$5:N273,"Reordenar")+COUNTIF($N$5:N273,"Agotado"),"")</f>
        <v/>
      </c>
    </row>
    <row r="274" spans="1:15" x14ac:dyDescent="0.25">
      <c r="A274" s="20"/>
      <c r="B274" s="20"/>
      <c r="C274" s="20"/>
      <c r="D274" s="20"/>
      <c r="E274" s="20"/>
      <c r="F274" s="21"/>
      <c r="G274" s="20"/>
      <c r="H274" s="20"/>
      <c r="I274" s="20"/>
      <c r="J274" s="14" t="str">
        <f>IF($A274="","",SUMIFS(Movimientos!$F$5:$F$3004,Movimientos!$C$5:$C$3004,$A274,Movimientos!$B$5:$B$3004,"Entrada"))</f>
        <v/>
      </c>
      <c r="K274" s="14" t="str">
        <f>IF($A274="","",SUMIFS(Movimientos!$F$5:$F$3004,Movimientos!$C$5:$C$3004,$A274,Movimientos!$B$5:$B$3004,"Salida"))</f>
        <v/>
      </c>
      <c r="L274" s="14" t="str">
        <f t="shared" si="12"/>
        <v/>
      </c>
      <c r="M274" s="22" t="str">
        <f t="shared" si="13"/>
        <v/>
      </c>
      <c r="N274" s="23" t="str">
        <f t="shared" si="14"/>
        <v/>
      </c>
      <c r="O274" s="14" t="str">
        <f>IF(OR(N274="Reordenar",N274="Agotado"),COUNTIF($N$5:N274,"Reordenar")+COUNTIF($N$5:N274,"Agotado"),"")</f>
        <v/>
      </c>
    </row>
    <row r="275" spans="1:15" x14ac:dyDescent="0.25">
      <c r="A275" s="20"/>
      <c r="B275" s="20"/>
      <c r="C275" s="20"/>
      <c r="D275" s="20"/>
      <c r="E275" s="20"/>
      <c r="F275" s="21"/>
      <c r="G275" s="20"/>
      <c r="H275" s="20"/>
      <c r="I275" s="20"/>
      <c r="J275" s="14" t="str">
        <f>IF($A275="","",SUMIFS(Movimientos!$F$5:$F$3004,Movimientos!$C$5:$C$3004,$A275,Movimientos!$B$5:$B$3004,"Entrada"))</f>
        <v/>
      </c>
      <c r="K275" s="14" t="str">
        <f>IF($A275="","",SUMIFS(Movimientos!$F$5:$F$3004,Movimientos!$C$5:$C$3004,$A275,Movimientos!$B$5:$B$3004,"Salida"))</f>
        <v/>
      </c>
      <c r="L275" s="14" t="str">
        <f t="shared" si="12"/>
        <v/>
      </c>
      <c r="M275" s="22" t="str">
        <f t="shared" si="13"/>
        <v/>
      </c>
      <c r="N275" s="23" t="str">
        <f t="shared" si="14"/>
        <v/>
      </c>
      <c r="O275" s="14" t="str">
        <f>IF(OR(N275="Reordenar",N275="Agotado"),COUNTIF($N$5:N275,"Reordenar")+COUNTIF($N$5:N275,"Agotado"),"")</f>
        <v/>
      </c>
    </row>
    <row r="276" spans="1:15" x14ac:dyDescent="0.25">
      <c r="A276" s="20"/>
      <c r="B276" s="20"/>
      <c r="C276" s="20"/>
      <c r="D276" s="20"/>
      <c r="E276" s="20"/>
      <c r="F276" s="21"/>
      <c r="G276" s="20"/>
      <c r="H276" s="20"/>
      <c r="I276" s="20"/>
      <c r="J276" s="14" t="str">
        <f>IF($A276="","",SUMIFS(Movimientos!$F$5:$F$3004,Movimientos!$C$5:$C$3004,$A276,Movimientos!$B$5:$B$3004,"Entrada"))</f>
        <v/>
      </c>
      <c r="K276" s="14" t="str">
        <f>IF($A276="","",SUMIFS(Movimientos!$F$5:$F$3004,Movimientos!$C$5:$C$3004,$A276,Movimientos!$B$5:$B$3004,"Salida"))</f>
        <v/>
      </c>
      <c r="L276" s="14" t="str">
        <f t="shared" si="12"/>
        <v/>
      </c>
      <c r="M276" s="22" t="str">
        <f t="shared" si="13"/>
        <v/>
      </c>
      <c r="N276" s="23" t="str">
        <f t="shared" si="14"/>
        <v/>
      </c>
      <c r="O276" s="14" t="str">
        <f>IF(OR(N276="Reordenar",N276="Agotado"),COUNTIF($N$5:N276,"Reordenar")+COUNTIF($N$5:N276,"Agotado"),"")</f>
        <v/>
      </c>
    </row>
    <row r="277" spans="1:15" x14ac:dyDescent="0.25">
      <c r="A277" s="20"/>
      <c r="B277" s="20"/>
      <c r="C277" s="20"/>
      <c r="D277" s="20"/>
      <c r="E277" s="20"/>
      <c r="F277" s="21"/>
      <c r="G277" s="20"/>
      <c r="H277" s="20"/>
      <c r="I277" s="20"/>
      <c r="J277" s="14" t="str">
        <f>IF($A277="","",SUMIFS(Movimientos!$F$5:$F$3004,Movimientos!$C$5:$C$3004,$A277,Movimientos!$B$5:$B$3004,"Entrada"))</f>
        <v/>
      </c>
      <c r="K277" s="14" t="str">
        <f>IF($A277="","",SUMIFS(Movimientos!$F$5:$F$3004,Movimientos!$C$5:$C$3004,$A277,Movimientos!$B$5:$B$3004,"Salida"))</f>
        <v/>
      </c>
      <c r="L277" s="14" t="str">
        <f t="shared" si="12"/>
        <v/>
      </c>
      <c r="M277" s="22" t="str">
        <f t="shared" si="13"/>
        <v/>
      </c>
      <c r="N277" s="23" t="str">
        <f t="shared" si="14"/>
        <v/>
      </c>
      <c r="O277" s="14" t="str">
        <f>IF(OR(N277="Reordenar",N277="Agotado"),COUNTIF($N$5:N277,"Reordenar")+COUNTIF($N$5:N277,"Agotado"),"")</f>
        <v/>
      </c>
    </row>
    <row r="278" spans="1:15" x14ac:dyDescent="0.25">
      <c r="A278" s="20"/>
      <c r="B278" s="20"/>
      <c r="C278" s="20"/>
      <c r="D278" s="20"/>
      <c r="E278" s="20"/>
      <c r="F278" s="21"/>
      <c r="G278" s="20"/>
      <c r="H278" s="20"/>
      <c r="I278" s="20"/>
      <c r="J278" s="14" t="str">
        <f>IF($A278="","",SUMIFS(Movimientos!$F$5:$F$3004,Movimientos!$C$5:$C$3004,$A278,Movimientos!$B$5:$B$3004,"Entrada"))</f>
        <v/>
      </c>
      <c r="K278" s="14" t="str">
        <f>IF($A278="","",SUMIFS(Movimientos!$F$5:$F$3004,Movimientos!$C$5:$C$3004,$A278,Movimientos!$B$5:$B$3004,"Salida"))</f>
        <v/>
      </c>
      <c r="L278" s="14" t="str">
        <f t="shared" si="12"/>
        <v/>
      </c>
      <c r="M278" s="22" t="str">
        <f t="shared" si="13"/>
        <v/>
      </c>
      <c r="N278" s="23" t="str">
        <f t="shared" si="14"/>
        <v/>
      </c>
      <c r="O278" s="14" t="str">
        <f>IF(OR(N278="Reordenar",N278="Agotado"),COUNTIF($N$5:N278,"Reordenar")+COUNTIF($N$5:N278,"Agotado"),"")</f>
        <v/>
      </c>
    </row>
    <row r="279" spans="1:15" x14ac:dyDescent="0.25">
      <c r="A279" s="20"/>
      <c r="B279" s="20"/>
      <c r="C279" s="20"/>
      <c r="D279" s="20"/>
      <c r="E279" s="20"/>
      <c r="F279" s="21"/>
      <c r="G279" s="20"/>
      <c r="H279" s="20"/>
      <c r="I279" s="20"/>
      <c r="J279" s="14" t="str">
        <f>IF($A279="","",SUMIFS(Movimientos!$F$5:$F$3004,Movimientos!$C$5:$C$3004,$A279,Movimientos!$B$5:$B$3004,"Entrada"))</f>
        <v/>
      </c>
      <c r="K279" s="14" t="str">
        <f>IF($A279="","",SUMIFS(Movimientos!$F$5:$F$3004,Movimientos!$C$5:$C$3004,$A279,Movimientos!$B$5:$B$3004,"Salida"))</f>
        <v/>
      </c>
      <c r="L279" s="14" t="str">
        <f t="shared" si="12"/>
        <v/>
      </c>
      <c r="M279" s="22" t="str">
        <f t="shared" si="13"/>
        <v/>
      </c>
      <c r="N279" s="23" t="str">
        <f t="shared" si="14"/>
        <v/>
      </c>
      <c r="O279" s="14" t="str">
        <f>IF(OR(N279="Reordenar",N279="Agotado"),COUNTIF($N$5:N279,"Reordenar")+COUNTIF($N$5:N279,"Agotado"),"")</f>
        <v/>
      </c>
    </row>
    <row r="280" spans="1:15" x14ac:dyDescent="0.25">
      <c r="A280" s="20"/>
      <c r="B280" s="20"/>
      <c r="C280" s="20"/>
      <c r="D280" s="20"/>
      <c r="E280" s="20"/>
      <c r="F280" s="21"/>
      <c r="G280" s="20"/>
      <c r="H280" s="20"/>
      <c r="I280" s="20"/>
      <c r="J280" s="14" t="str">
        <f>IF($A280="","",SUMIFS(Movimientos!$F$5:$F$3004,Movimientos!$C$5:$C$3004,$A280,Movimientos!$B$5:$B$3004,"Entrada"))</f>
        <v/>
      </c>
      <c r="K280" s="14" t="str">
        <f>IF($A280="","",SUMIFS(Movimientos!$F$5:$F$3004,Movimientos!$C$5:$C$3004,$A280,Movimientos!$B$5:$B$3004,"Salida"))</f>
        <v/>
      </c>
      <c r="L280" s="14" t="str">
        <f t="shared" si="12"/>
        <v/>
      </c>
      <c r="M280" s="22" t="str">
        <f t="shared" si="13"/>
        <v/>
      </c>
      <c r="N280" s="23" t="str">
        <f t="shared" si="14"/>
        <v/>
      </c>
      <c r="O280" s="14" t="str">
        <f>IF(OR(N280="Reordenar",N280="Agotado"),COUNTIF($N$5:N280,"Reordenar")+COUNTIF($N$5:N280,"Agotado"),"")</f>
        <v/>
      </c>
    </row>
    <row r="281" spans="1:15" x14ac:dyDescent="0.25">
      <c r="A281" s="20"/>
      <c r="B281" s="20"/>
      <c r="C281" s="20"/>
      <c r="D281" s="20"/>
      <c r="E281" s="20"/>
      <c r="F281" s="21"/>
      <c r="G281" s="20"/>
      <c r="H281" s="20"/>
      <c r="I281" s="20"/>
      <c r="J281" s="14" t="str">
        <f>IF($A281="","",SUMIFS(Movimientos!$F$5:$F$3004,Movimientos!$C$5:$C$3004,$A281,Movimientos!$B$5:$B$3004,"Entrada"))</f>
        <v/>
      </c>
      <c r="K281" s="14" t="str">
        <f>IF($A281="","",SUMIFS(Movimientos!$F$5:$F$3004,Movimientos!$C$5:$C$3004,$A281,Movimientos!$B$5:$B$3004,"Salida"))</f>
        <v/>
      </c>
      <c r="L281" s="14" t="str">
        <f t="shared" si="12"/>
        <v/>
      </c>
      <c r="M281" s="22" t="str">
        <f t="shared" si="13"/>
        <v/>
      </c>
      <c r="N281" s="23" t="str">
        <f t="shared" si="14"/>
        <v/>
      </c>
      <c r="O281" s="14" t="str">
        <f>IF(OR(N281="Reordenar",N281="Agotado"),COUNTIF($N$5:N281,"Reordenar")+COUNTIF($N$5:N281,"Agotado"),"")</f>
        <v/>
      </c>
    </row>
    <row r="282" spans="1:15" x14ac:dyDescent="0.25">
      <c r="A282" s="20"/>
      <c r="B282" s="20"/>
      <c r="C282" s="20"/>
      <c r="D282" s="20"/>
      <c r="E282" s="20"/>
      <c r="F282" s="21"/>
      <c r="G282" s="20"/>
      <c r="H282" s="20"/>
      <c r="I282" s="20"/>
      <c r="J282" s="14" t="str">
        <f>IF($A282="","",SUMIFS(Movimientos!$F$5:$F$3004,Movimientos!$C$5:$C$3004,$A282,Movimientos!$B$5:$B$3004,"Entrada"))</f>
        <v/>
      </c>
      <c r="K282" s="14" t="str">
        <f>IF($A282="","",SUMIFS(Movimientos!$F$5:$F$3004,Movimientos!$C$5:$C$3004,$A282,Movimientos!$B$5:$B$3004,"Salida"))</f>
        <v/>
      </c>
      <c r="L282" s="14" t="str">
        <f t="shared" si="12"/>
        <v/>
      </c>
      <c r="M282" s="22" t="str">
        <f t="shared" si="13"/>
        <v/>
      </c>
      <c r="N282" s="23" t="str">
        <f t="shared" si="14"/>
        <v/>
      </c>
      <c r="O282" s="14" t="str">
        <f>IF(OR(N282="Reordenar",N282="Agotado"),COUNTIF($N$5:N282,"Reordenar")+COUNTIF($N$5:N282,"Agotado"),"")</f>
        <v/>
      </c>
    </row>
    <row r="283" spans="1:15" x14ac:dyDescent="0.25">
      <c r="A283" s="20"/>
      <c r="B283" s="20"/>
      <c r="C283" s="20"/>
      <c r="D283" s="20"/>
      <c r="E283" s="20"/>
      <c r="F283" s="21"/>
      <c r="G283" s="20"/>
      <c r="H283" s="20"/>
      <c r="I283" s="20"/>
      <c r="J283" s="14" t="str">
        <f>IF($A283="","",SUMIFS(Movimientos!$F$5:$F$3004,Movimientos!$C$5:$C$3004,$A283,Movimientos!$B$5:$B$3004,"Entrada"))</f>
        <v/>
      </c>
      <c r="K283" s="14" t="str">
        <f>IF($A283="","",SUMIFS(Movimientos!$F$5:$F$3004,Movimientos!$C$5:$C$3004,$A283,Movimientos!$B$5:$B$3004,"Salida"))</f>
        <v/>
      </c>
      <c r="L283" s="14" t="str">
        <f t="shared" si="12"/>
        <v/>
      </c>
      <c r="M283" s="22" t="str">
        <f t="shared" si="13"/>
        <v/>
      </c>
      <c r="N283" s="23" t="str">
        <f t="shared" si="14"/>
        <v/>
      </c>
      <c r="O283" s="14" t="str">
        <f>IF(OR(N283="Reordenar",N283="Agotado"),COUNTIF($N$5:N283,"Reordenar")+COUNTIF($N$5:N283,"Agotado"),"")</f>
        <v/>
      </c>
    </row>
    <row r="284" spans="1:15" x14ac:dyDescent="0.25">
      <c r="A284" s="20"/>
      <c r="B284" s="20"/>
      <c r="C284" s="20"/>
      <c r="D284" s="20"/>
      <c r="E284" s="20"/>
      <c r="F284" s="21"/>
      <c r="G284" s="20"/>
      <c r="H284" s="20"/>
      <c r="I284" s="20"/>
      <c r="J284" s="14" t="str">
        <f>IF($A284="","",SUMIFS(Movimientos!$F$5:$F$3004,Movimientos!$C$5:$C$3004,$A284,Movimientos!$B$5:$B$3004,"Entrada"))</f>
        <v/>
      </c>
      <c r="K284" s="14" t="str">
        <f>IF($A284="","",SUMIFS(Movimientos!$F$5:$F$3004,Movimientos!$C$5:$C$3004,$A284,Movimientos!$B$5:$B$3004,"Salida"))</f>
        <v/>
      </c>
      <c r="L284" s="14" t="str">
        <f t="shared" si="12"/>
        <v/>
      </c>
      <c r="M284" s="22" t="str">
        <f t="shared" si="13"/>
        <v/>
      </c>
      <c r="N284" s="23" t="str">
        <f t="shared" si="14"/>
        <v/>
      </c>
      <c r="O284" s="14" t="str">
        <f>IF(OR(N284="Reordenar",N284="Agotado"),COUNTIF($N$5:N284,"Reordenar")+COUNTIF($N$5:N284,"Agotado"),"")</f>
        <v/>
      </c>
    </row>
    <row r="285" spans="1:15" x14ac:dyDescent="0.25">
      <c r="A285" s="20"/>
      <c r="B285" s="20"/>
      <c r="C285" s="20"/>
      <c r="D285" s="20"/>
      <c r="E285" s="20"/>
      <c r="F285" s="21"/>
      <c r="G285" s="20"/>
      <c r="H285" s="20"/>
      <c r="I285" s="20"/>
      <c r="J285" s="14" t="str">
        <f>IF($A285="","",SUMIFS(Movimientos!$F$5:$F$3004,Movimientos!$C$5:$C$3004,$A285,Movimientos!$B$5:$B$3004,"Entrada"))</f>
        <v/>
      </c>
      <c r="K285" s="14" t="str">
        <f>IF($A285="","",SUMIFS(Movimientos!$F$5:$F$3004,Movimientos!$C$5:$C$3004,$A285,Movimientos!$B$5:$B$3004,"Salida"))</f>
        <v/>
      </c>
      <c r="L285" s="14" t="str">
        <f t="shared" si="12"/>
        <v/>
      </c>
      <c r="M285" s="22" t="str">
        <f t="shared" si="13"/>
        <v/>
      </c>
      <c r="N285" s="23" t="str">
        <f t="shared" si="14"/>
        <v/>
      </c>
      <c r="O285" s="14" t="str">
        <f>IF(OR(N285="Reordenar",N285="Agotado"),COUNTIF($N$5:N285,"Reordenar")+COUNTIF($N$5:N285,"Agotado"),"")</f>
        <v/>
      </c>
    </row>
    <row r="286" spans="1:15" x14ac:dyDescent="0.25">
      <c r="A286" s="20"/>
      <c r="B286" s="20"/>
      <c r="C286" s="20"/>
      <c r="D286" s="20"/>
      <c r="E286" s="20"/>
      <c r="F286" s="21"/>
      <c r="G286" s="20"/>
      <c r="H286" s="20"/>
      <c r="I286" s="20"/>
      <c r="J286" s="14" t="str">
        <f>IF($A286="","",SUMIFS(Movimientos!$F$5:$F$3004,Movimientos!$C$5:$C$3004,$A286,Movimientos!$B$5:$B$3004,"Entrada"))</f>
        <v/>
      </c>
      <c r="K286" s="14" t="str">
        <f>IF($A286="","",SUMIFS(Movimientos!$F$5:$F$3004,Movimientos!$C$5:$C$3004,$A286,Movimientos!$B$5:$B$3004,"Salida"))</f>
        <v/>
      </c>
      <c r="L286" s="14" t="str">
        <f t="shared" si="12"/>
        <v/>
      </c>
      <c r="M286" s="22" t="str">
        <f t="shared" si="13"/>
        <v/>
      </c>
      <c r="N286" s="23" t="str">
        <f t="shared" si="14"/>
        <v/>
      </c>
      <c r="O286" s="14" t="str">
        <f>IF(OR(N286="Reordenar",N286="Agotado"),COUNTIF($N$5:N286,"Reordenar")+COUNTIF($N$5:N286,"Agotado"),"")</f>
        <v/>
      </c>
    </row>
    <row r="287" spans="1:15" x14ac:dyDescent="0.25">
      <c r="A287" s="20"/>
      <c r="B287" s="20"/>
      <c r="C287" s="20"/>
      <c r="D287" s="20"/>
      <c r="E287" s="20"/>
      <c r="F287" s="21"/>
      <c r="G287" s="20"/>
      <c r="H287" s="20"/>
      <c r="I287" s="20"/>
      <c r="J287" s="14" t="str">
        <f>IF($A287="","",SUMIFS(Movimientos!$F$5:$F$3004,Movimientos!$C$5:$C$3004,$A287,Movimientos!$B$5:$B$3004,"Entrada"))</f>
        <v/>
      </c>
      <c r="K287" s="14" t="str">
        <f>IF($A287="","",SUMIFS(Movimientos!$F$5:$F$3004,Movimientos!$C$5:$C$3004,$A287,Movimientos!$B$5:$B$3004,"Salida"))</f>
        <v/>
      </c>
      <c r="L287" s="14" t="str">
        <f t="shared" si="12"/>
        <v/>
      </c>
      <c r="M287" s="22" t="str">
        <f t="shared" si="13"/>
        <v/>
      </c>
      <c r="N287" s="23" t="str">
        <f t="shared" si="14"/>
        <v/>
      </c>
      <c r="O287" s="14" t="str">
        <f>IF(OR(N287="Reordenar",N287="Agotado"),COUNTIF($N$5:N287,"Reordenar")+COUNTIF($N$5:N287,"Agotado"),"")</f>
        <v/>
      </c>
    </row>
    <row r="288" spans="1:15" x14ac:dyDescent="0.25">
      <c r="A288" s="20"/>
      <c r="B288" s="20"/>
      <c r="C288" s="20"/>
      <c r="D288" s="20"/>
      <c r="E288" s="20"/>
      <c r="F288" s="21"/>
      <c r="G288" s="20"/>
      <c r="H288" s="20"/>
      <c r="I288" s="20"/>
      <c r="J288" s="14" t="str">
        <f>IF($A288="","",SUMIFS(Movimientos!$F$5:$F$3004,Movimientos!$C$5:$C$3004,$A288,Movimientos!$B$5:$B$3004,"Entrada"))</f>
        <v/>
      </c>
      <c r="K288" s="14" t="str">
        <f>IF($A288="","",SUMIFS(Movimientos!$F$5:$F$3004,Movimientos!$C$5:$C$3004,$A288,Movimientos!$B$5:$B$3004,"Salida"))</f>
        <v/>
      </c>
      <c r="L288" s="14" t="str">
        <f t="shared" si="12"/>
        <v/>
      </c>
      <c r="M288" s="22" t="str">
        <f t="shared" si="13"/>
        <v/>
      </c>
      <c r="N288" s="23" t="str">
        <f t="shared" si="14"/>
        <v/>
      </c>
      <c r="O288" s="14" t="str">
        <f>IF(OR(N288="Reordenar",N288="Agotado"),COUNTIF($N$5:N288,"Reordenar")+COUNTIF($N$5:N288,"Agotado"),"")</f>
        <v/>
      </c>
    </row>
    <row r="289" spans="1:15" x14ac:dyDescent="0.25">
      <c r="A289" s="20"/>
      <c r="B289" s="20"/>
      <c r="C289" s="20"/>
      <c r="D289" s="20"/>
      <c r="E289" s="20"/>
      <c r="F289" s="21"/>
      <c r="G289" s="20"/>
      <c r="H289" s="20"/>
      <c r="I289" s="20"/>
      <c r="J289" s="14" t="str">
        <f>IF($A289="","",SUMIFS(Movimientos!$F$5:$F$3004,Movimientos!$C$5:$C$3004,$A289,Movimientos!$B$5:$B$3004,"Entrada"))</f>
        <v/>
      </c>
      <c r="K289" s="14" t="str">
        <f>IF($A289="","",SUMIFS(Movimientos!$F$5:$F$3004,Movimientos!$C$5:$C$3004,$A289,Movimientos!$B$5:$B$3004,"Salida"))</f>
        <v/>
      </c>
      <c r="L289" s="14" t="str">
        <f t="shared" si="12"/>
        <v/>
      </c>
      <c r="M289" s="22" t="str">
        <f t="shared" si="13"/>
        <v/>
      </c>
      <c r="N289" s="23" t="str">
        <f t="shared" si="14"/>
        <v/>
      </c>
      <c r="O289" s="14" t="str">
        <f>IF(OR(N289="Reordenar",N289="Agotado"),COUNTIF($N$5:N289,"Reordenar")+COUNTIF($N$5:N289,"Agotado"),"")</f>
        <v/>
      </c>
    </row>
    <row r="290" spans="1:15" x14ac:dyDescent="0.25">
      <c r="A290" s="20"/>
      <c r="B290" s="20"/>
      <c r="C290" s="20"/>
      <c r="D290" s="20"/>
      <c r="E290" s="20"/>
      <c r="F290" s="21"/>
      <c r="G290" s="20"/>
      <c r="H290" s="20"/>
      <c r="I290" s="20"/>
      <c r="J290" s="14" t="str">
        <f>IF($A290="","",SUMIFS(Movimientos!$F$5:$F$3004,Movimientos!$C$5:$C$3004,$A290,Movimientos!$B$5:$B$3004,"Entrada"))</f>
        <v/>
      </c>
      <c r="K290" s="14" t="str">
        <f>IF($A290="","",SUMIFS(Movimientos!$F$5:$F$3004,Movimientos!$C$5:$C$3004,$A290,Movimientos!$B$5:$B$3004,"Salida"))</f>
        <v/>
      </c>
      <c r="L290" s="14" t="str">
        <f t="shared" si="12"/>
        <v/>
      </c>
      <c r="M290" s="22" t="str">
        <f t="shared" si="13"/>
        <v/>
      </c>
      <c r="N290" s="23" t="str">
        <f t="shared" si="14"/>
        <v/>
      </c>
      <c r="O290" s="14" t="str">
        <f>IF(OR(N290="Reordenar",N290="Agotado"),COUNTIF($N$5:N290,"Reordenar")+COUNTIF($N$5:N290,"Agotado"),"")</f>
        <v/>
      </c>
    </row>
    <row r="291" spans="1:15" x14ac:dyDescent="0.25">
      <c r="A291" s="20"/>
      <c r="B291" s="20"/>
      <c r="C291" s="20"/>
      <c r="D291" s="20"/>
      <c r="E291" s="20"/>
      <c r="F291" s="21"/>
      <c r="G291" s="20"/>
      <c r="H291" s="20"/>
      <c r="I291" s="20"/>
      <c r="J291" s="14" t="str">
        <f>IF($A291="","",SUMIFS(Movimientos!$F$5:$F$3004,Movimientos!$C$5:$C$3004,$A291,Movimientos!$B$5:$B$3004,"Entrada"))</f>
        <v/>
      </c>
      <c r="K291" s="14" t="str">
        <f>IF($A291="","",SUMIFS(Movimientos!$F$5:$F$3004,Movimientos!$C$5:$C$3004,$A291,Movimientos!$B$5:$B$3004,"Salida"))</f>
        <v/>
      </c>
      <c r="L291" s="14" t="str">
        <f t="shared" si="12"/>
        <v/>
      </c>
      <c r="M291" s="22" t="str">
        <f t="shared" si="13"/>
        <v/>
      </c>
      <c r="N291" s="23" t="str">
        <f t="shared" si="14"/>
        <v/>
      </c>
      <c r="O291" s="14" t="str">
        <f>IF(OR(N291="Reordenar",N291="Agotado"),COUNTIF($N$5:N291,"Reordenar")+COUNTIF($N$5:N291,"Agotado"),"")</f>
        <v/>
      </c>
    </row>
    <row r="292" spans="1:15" x14ac:dyDescent="0.25">
      <c r="A292" s="20"/>
      <c r="B292" s="20"/>
      <c r="C292" s="20"/>
      <c r="D292" s="20"/>
      <c r="E292" s="20"/>
      <c r="F292" s="21"/>
      <c r="G292" s="20"/>
      <c r="H292" s="20"/>
      <c r="I292" s="20"/>
      <c r="J292" s="14" t="str">
        <f>IF($A292="","",SUMIFS(Movimientos!$F$5:$F$3004,Movimientos!$C$5:$C$3004,$A292,Movimientos!$B$5:$B$3004,"Entrada"))</f>
        <v/>
      </c>
      <c r="K292" s="14" t="str">
        <f>IF($A292="","",SUMIFS(Movimientos!$F$5:$F$3004,Movimientos!$C$5:$C$3004,$A292,Movimientos!$B$5:$B$3004,"Salida"))</f>
        <v/>
      </c>
      <c r="L292" s="14" t="str">
        <f t="shared" si="12"/>
        <v/>
      </c>
      <c r="M292" s="22" t="str">
        <f t="shared" si="13"/>
        <v/>
      </c>
      <c r="N292" s="23" t="str">
        <f t="shared" si="14"/>
        <v/>
      </c>
      <c r="O292" s="14" t="str">
        <f>IF(OR(N292="Reordenar",N292="Agotado"),COUNTIF($N$5:N292,"Reordenar")+COUNTIF($N$5:N292,"Agotado"),"")</f>
        <v/>
      </c>
    </row>
    <row r="293" spans="1:15" x14ac:dyDescent="0.25">
      <c r="A293" s="20"/>
      <c r="B293" s="20"/>
      <c r="C293" s="20"/>
      <c r="D293" s="20"/>
      <c r="E293" s="20"/>
      <c r="F293" s="21"/>
      <c r="G293" s="20"/>
      <c r="H293" s="20"/>
      <c r="I293" s="20"/>
      <c r="J293" s="14" t="str">
        <f>IF($A293="","",SUMIFS(Movimientos!$F$5:$F$3004,Movimientos!$C$5:$C$3004,$A293,Movimientos!$B$5:$B$3004,"Entrada"))</f>
        <v/>
      </c>
      <c r="K293" s="14" t="str">
        <f>IF($A293="","",SUMIFS(Movimientos!$F$5:$F$3004,Movimientos!$C$5:$C$3004,$A293,Movimientos!$B$5:$B$3004,"Salida"))</f>
        <v/>
      </c>
      <c r="L293" s="14" t="str">
        <f t="shared" si="12"/>
        <v/>
      </c>
      <c r="M293" s="22" t="str">
        <f t="shared" si="13"/>
        <v/>
      </c>
      <c r="N293" s="23" t="str">
        <f t="shared" si="14"/>
        <v/>
      </c>
      <c r="O293" s="14" t="str">
        <f>IF(OR(N293="Reordenar",N293="Agotado"),COUNTIF($N$5:N293,"Reordenar")+COUNTIF($N$5:N293,"Agotado"),"")</f>
        <v/>
      </c>
    </row>
    <row r="294" spans="1:15" x14ac:dyDescent="0.25">
      <c r="A294" s="20"/>
      <c r="B294" s="20"/>
      <c r="C294" s="20"/>
      <c r="D294" s="20"/>
      <c r="E294" s="20"/>
      <c r="F294" s="21"/>
      <c r="G294" s="20"/>
      <c r="H294" s="20"/>
      <c r="I294" s="20"/>
      <c r="J294" s="14" t="str">
        <f>IF($A294="","",SUMIFS(Movimientos!$F$5:$F$3004,Movimientos!$C$5:$C$3004,$A294,Movimientos!$B$5:$B$3004,"Entrada"))</f>
        <v/>
      </c>
      <c r="K294" s="14" t="str">
        <f>IF($A294="","",SUMIFS(Movimientos!$F$5:$F$3004,Movimientos!$C$5:$C$3004,$A294,Movimientos!$B$5:$B$3004,"Salida"))</f>
        <v/>
      </c>
      <c r="L294" s="14" t="str">
        <f t="shared" si="12"/>
        <v/>
      </c>
      <c r="M294" s="22" t="str">
        <f t="shared" si="13"/>
        <v/>
      </c>
      <c r="N294" s="23" t="str">
        <f t="shared" si="14"/>
        <v/>
      </c>
      <c r="O294" s="14" t="str">
        <f>IF(OR(N294="Reordenar",N294="Agotado"),COUNTIF($N$5:N294,"Reordenar")+COUNTIF($N$5:N294,"Agotado"),"")</f>
        <v/>
      </c>
    </row>
    <row r="295" spans="1:15" x14ac:dyDescent="0.25">
      <c r="A295" s="20"/>
      <c r="B295" s="20"/>
      <c r="C295" s="20"/>
      <c r="D295" s="20"/>
      <c r="E295" s="20"/>
      <c r="F295" s="21"/>
      <c r="G295" s="20"/>
      <c r="H295" s="20"/>
      <c r="I295" s="20"/>
      <c r="J295" s="14" t="str">
        <f>IF($A295="","",SUMIFS(Movimientos!$F$5:$F$3004,Movimientos!$C$5:$C$3004,$A295,Movimientos!$B$5:$B$3004,"Entrada"))</f>
        <v/>
      </c>
      <c r="K295" s="14" t="str">
        <f>IF($A295="","",SUMIFS(Movimientos!$F$5:$F$3004,Movimientos!$C$5:$C$3004,$A295,Movimientos!$B$5:$B$3004,"Salida"))</f>
        <v/>
      </c>
      <c r="L295" s="14" t="str">
        <f t="shared" si="12"/>
        <v/>
      </c>
      <c r="M295" s="22" t="str">
        <f t="shared" si="13"/>
        <v/>
      </c>
      <c r="N295" s="23" t="str">
        <f t="shared" si="14"/>
        <v/>
      </c>
      <c r="O295" s="14" t="str">
        <f>IF(OR(N295="Reordenar",N295="Agotado"),COUNTIF($N$5:N295,"Reordenar")+COUNTIF($N$5:N295,"Agotado"),"")</f>
        <v/>
      </c>
    </row>
    <row r="296" spans="1:15" x14ac:dyDescent="0.25">
      <c r="A296" s="20"/>
      <c r="B296" s="20"/>
      <c r="C296" s="20"/>
      <c r="D296" s="20"/>
      <c r="E296" s="20"/>
      <c r="F296" s="21"/>
      <c r="G296" s="20"/>
      <c r="H296" s="20"/>
      <c r="I296" s="20"/>
      <c r="J296" s="14" t="str">
        <f>IF($A296="","",SUMIFS(Movimientos!$F$5:$F$3004,Movimientos!$C$5:$C$3004,$A296,Movimientos!$B$5:$B$3004,"Entrada"))</f>
        <v/>
      </c>
      <c r="K296" s="14" t="str">
        <f>IF($A296="","",SUMIFS(Movimientos!$F$5:$F$3004,Movimientos!$C$5:$C$3004,$A296,Movimientos!$B$5:$B$3004,"Salida"))</f>
        <v/>
      </c>
      <c r="L296" s="14" t="str">
        <f t="shared" si="12"/>
        <v/>
      </c>
      <c r="M296" s="22" t="str">
        <f t="shared" si="13"/>
        <v/>
      </c>
      <c r="N296" s="23" t="str">
        <f t="shared" si="14"/>
        <v/>
      </c>
      <c r="O296" s="14" t="str">
        <f>IF(OR(N296="Reordenar",N296="Agotado"),COUNTIF($N$5:N296,"Reordenar")+COUNTIF($N$5:N296,"Agotado"),"")</f>
        <v/>
      </c>
    </row>
    <row r="297" spans="1:15" x14ac:dyDescent="0.25">
      <c r="A297" s="20"/>
      <c r="B297" s="20"/>
      <c r="C297" s="20"/>
      <c r="D297" s="20"/>
      <c r="E297" s="20"/>
      <c r="F297" s="21"/>
      <c r="G297" s="20"/>
      <c r="H297" s="20"/>
      <c r="I297" s="20"/>
      <c r="J297" s="14" t="str">
        <f>IF($A297="","",SUMIFS(Movimientos!$F$5:$F$3004,Movimientos!$C$5:$C$3004,$A297,Movimientos!$B$5:$B$3004,"Entrada"))</f>
        <v/>
      </c>
      <c r="K297" s="14" t="str">
        <f>IF($A297="","",SUMIFS(Movimientos!$F$5:$F$3004,Movimientos!$C$5:$C$3004,$A297,Movimientos!$B$5:$B$3004,"Salida"))</f>
        <v/>
      </c>
      <c r="L297" s="14" t="str">
        <f t="shared" si="12"/>
        <v/>
      </c>
      <c r="M297" s="22" t="str">
        <f t="shared" si="13"/>
        <v/>
      </c>
      <c r="N297" s="23" t="str">
        <f t="shared" si="14"/>
        <v/>
      </c>
      <c r="O297" s="14" t="str">
        <f>IF(OR(N297="Reordenar",N297="Agotado"),COUNTIF($N$5:N297,"Reordenar")+COUNTIF($N$5:N297,"Agotado"),"")</f>
        <v/>
      </c>
    </row>
    <row r="298" spans="1:15" x14ac:dyDescent="0.25">
      <c r="A298" s="20"/>
      <c r="B298" s="20"/>
      <c r="C298" s="20"/>
      <c r="D298" s="20"/>
      <c r="E298" s="20"/>
      <c r="F298" s="21"/>
      <c r="G298" s="20"/>
      <c r="H298" s="20"/>
      <c r="I298" s="20"/>
      <c r="J298" s="14" t="str">
        <f>IF($A298="","",SUMIFS(Movimientos!$F$5:$F$3004,Movimientos!$C$5:$C$3004,$A298,Movimientos!$B$5:$B$3004,"Entrada"))</f>
        <v/>
      </c>
      <c r="K298" s="14" t="str">
        <f>IF($A298="","",SUMIFS(Movimientos!$F$5:$F$3004,Movimientos!$C$5:$C$3004,$A298,Movimientos!$B$5:$B$3004,"Salida"))</f>
        <v/>
      </c>
      <c r="L298" s="14" t="str">
        <f t="shared" si="12"/>
        <v/>
      </c>
      <c r="M298" s="22" t="str">
        <f t="shared" si="13"/>
        <v/>
      </c>
      <c r="N298" s="23" t="str">
        <f t="shared" si="14"/>
        <v/>
      </c>
      <c r="O298" s="14" t="str">
        <f>IF(OR(N298="Reordenar",N298="Agotado"),COUNTIF($N$5:N298,"Reordenar")+COUNTIF($N$5:N298,"Agotado"),"")</f>
        <v/>
      </c>
    </row>
    <row r="299" spans="1:15" x14ac:dyDescent="0.25">
      <c r="A299" s="20"/>
      <c r="B299" s="20"/>
      <c r="C299" s="20"/>
      <c r="D299" s="20"/>
      <c r="E299" s="20"/>
      <c r="F299" s="21"/>
      <c r="G299" s="20"/>
      <c r="H299" s="20"/>
      <c r="I299" s="20"/>
      <c r="J299" s="14" t="str">
        <f>IF($A299="","",SUMIFS(Movimientos!$F$5:$F$3004,Movimientos!$C$5:$C$3004,$A299,Movimientos!$B$5:$B$3004,"Entrada"))</f>
        <v/>
      </c>
      <c r="K299" s="14" t="str">
        <f>IF($A299="","",SUMIFS(Movimientos!$F$5:$F$3004,Movimientos!$C$5:$C$3004,$A299,Movimientos!$B$5:$B$3004,"Salida"))</f>
        <v/>
      </c>
      <c r="L299" s="14" t="str">
        <f t="shared" si="12"/>
        <v/>
      </c>
      <c r="M299" s="22" t="str">
        <f t="shared" si="13"/>
        <v/>
      </c>
      <c r="N299" s="23" t="str">
        <f t="shared" si="14"/>
        <v/>
      </c>
      <c r="O299" s="14" t="str">
        <f>IF(OR(N299="Reordenar",N299="Agotado"),COUNTIF($N$5:N299,"Reordenar")+COUNTIF($N$5:N299,"Agotado"),"")</f>
        <v/>
      </c>
    </row>
    <row r="300" spans="1:15" x14ac:dyDescent="0.25">
      <c r="A300" s="20"/>
      <c r="B300" s="20"/>
      <c r="C300" s="20"/>
      <c r="D300" s="20"/>
      <c r="E300" s="20"/>
      <c r="F300" s="21"/>
      <c r="G300" s="20"/>
      <c r="H300" s="20"/>
      <c r="I300" s="20"/>
      <c r="J300" s="14" t="str">
        <f>IF($A300="","",SUMIFS(Movimientos!$F$5:$F$3004,Movimientos!$C$5:$C$3004,$A300,Movimientos!$B$5:$B$3004,"Entrada"))</f>
        <v/>
      </c>
      <c r="K300" s="14" t="str">
        <f>IF($A300="","",SUMIFS(Movimientos!$F$5:$F$3004,Movimientos!$C$5:$C$3004,$A300,Movimientos!$B$5:$B$3004,"Salida"))</f>
        <v/>
      </c>
      <c r="L300" s="14" t="str">
        <f t="shared" si="12"/>
        <v/>
      </c>
      <c r="M300" s="22" t="str">
        <f t="shared" si="13"/>
        <v/>
      </c>
      <c r="N300" s="23" t="str">
        <f t="shared" si="14"/>
        <v/>
      </c>
      <c r="O300" s="14" t="str">
        <f>IF(OR(N300="Reordenar",N300="Agotado"),COUNTIF($N$5:N300,"Reordenar")+COUNTIF($N$5:N300,"Agotado"),"")</f>
        <v/>
      </c>
    </row>
    <row r="301" spans="1:15" x14ac:dyDescent="0.25">
      <c r="A301" s="20"/>
      <c r="B301" s="20"/>
      <c r="C301" s="20"/>
      <c r="D301" s="20"/>
      <c r="E301" s="20"/>
      <c r="F301" s="21"/>
      <c r="G301" s="20"/>
      <c r="H301" s="20"/>
      <c r="I301" s="20"/>
      <c r="J301" s="14" t="str">
        <f>IF($A301="","",SUMIFS(Movimientos!$F$5:$F$3004,Movimientos!$C$5:$C$3004,$A301,Movimientos!$B$5:$B$3004,"Entrada"))</f>
        <v/>
      </c>
      <c r="K301" s="14" t="str">
        <f>IF($A301="","",SUMIFS(Movimientos!$F$5:$F$3004,Movimientos!$C$5:$C$3004,$A301,Movimientos!$B$5:$B$3004,"Salida"))</f>
        <v/>
      </c>
      <c r="L301" s="14" t="str">
        <f t="shared" si="12"/>
        <v/>
      </c>
      <c r="M301" s="22" t="str">
        <f t="shared" si="13"/>
        <v/>
      </c>
      <c r="N301" s="23" t="str">
        <f t="shared" si="14"/>
        <v/>
      </c>
      <c r="O301" s="14" t="str">
        <f>IF(OR(N301="Reordenar",N301="Agotado"),COUNTIF($N$5:N301,"Reordenar")+COUNTIF($N$5:N301,"Agotado"),"")</f>
        <v/>
      </c>
    </row>
    <row r="302" spans="1:15" x14ac:dyDescent="0.25">
      <c r="A302" s="20"/>
      <c r="B302" s="20"/>
      <c r="C302" s="20"/>
      <c r="D302" s="20"/>
      <c r="E302" s="20"/>
      <c r="F302" s="21"/>
      <c r="G302" s="20"/>
      <c r="H302" s="20"/>
      <c r="I302" s="20"/>
      <c r="J302" s="14" t="str">
        <f>IF($A302="","",SUMIFS(Movimientos!$F$5:$F$3004,Movimientos!$C$5:$C$3004,$A302,Movimientos!$B$5:$B$3004,"Entrada"))</f>
        <v/>
      </c>
      <c r="K302" s="14" t="str">
        <f>IF($A302="","",SUMIFS(Movimientos!$F$5:$F$3004,Movimientos!$C$5:$C$3004,$A302,Movimientos!$B$5:$B$3004,"Salida"))</f>
        <v/>
      </c>
      <c r="L302" s="14" t="str">
        <f t="shared" si="12"/>
        <v/>
      </c>
      <c r="M302" s="22" t="str">
        <f t="shared" si="13"/>
        <v/>
      </c>
      <c r="N302" s="23" t="str">
        <f t="shared" si="14"/>
        <v/>
      </c>
      <c r="O302" s="14" t="str">
        <f>IF(OR(N302="Reordenar",N302="Agotado"),COUNTIF($N$5:N302,"Reordenar")+COUNTIF($N$5:N302,"Agotado"),"")</f>
        <v/>
      </c>
    </row>
    <row r="303" spans="1:15" x14ac:dyDescent="0.25">
      <c r="A303" s="20"/>
      <c r="B303" s="20"/>
      <c r="C303" s="20"/>
      <c r="D303" s="20"/>
      <c r="E303" s="20"/>
      <c r="F303" s="21"/>
      <c r="G303" s="20"/>
      <c r="H303" s="20"/>
      <c r="I303" s="20"/>
      <c r="J303" s="14" t="str">
        <f>IF($A303="","",SUMIFS(Movimientos!$F$5:$F$3004,Movimientos!$C$5:$C$3004,$A303,Movimientos!$B$5:$B$3004,"Entrada"))</f>
        <v/>
      </c>
      <c r="K303" s="14" t="str">
        <f>IF($A303="","",SUMIFS(Movimientos!$F$5:$F$3004,Movimientos!$C$5:$C$3004,$A303,Movimientos!$B$5:$B$3004,"Salida"))</f>
        <v/>
      </c>
      <c r="L303" s="14" t="str">
        <f t="shared" si="12"/>
        <v/>
      </c>
      <c r="M303" s="22" t="str">
        <f t="shared" si="13"/>
        <v/>
      </c>
      <c r="N303" s="23" t="str">
        <f t="shared" si="14"/>
        <v/>
      </c>
      <c r="O303" s="14" t="str">
        <f>IF(OR(N303="Reordenar",N303="Agotado"),COUNTIF($N$5:N303,"Reordenar")+COUNTIF($N$5:N303,"Agotado"),"")</f>
        <v/>
      </c>
    </row>
    <row r="304" spans="1:15" x14ac:dyDescent="0.25">
      <c r="A304" s="20"/>
      <c r="B304" s="20"/>
      <c r="C304" s="20"/>
      <c r="D304" s="20"/>
      <c r="E304" s="20"/>
      <c r="F304" s="21"/>
      <c r="G304" s="20"/>
      <c r="H304" s="20"/>
      <c r="I304" s="20"/>
      <c r="J304" s="14" t="str">
        <f>IF($A304="","",SUMIFS(Movimientos!$F$5:$F$3004,Movimientos!$C$5:$C$3004,$A304,Movimientos!$B$5:$B$3004,"Entrada"))</f>
        <v/>
      </c>
      <c r="K304" s="14" t="str">
        <f>IF($A304="","",SUMIFS(Movimientos!$F$5:$F$3004,Movimientos!$C$5:$C$3004,$A304,Movimientos!$B$5:$B$3004,"Salida"))</f>
        <v/>
      </c>
      <c r="L304" s="14" t="str">
        <f t="shared" si="12"/>
        <v/>
      </c>
      <c r="M304" s="22" t="str">
        <f t="shared" si="13"/>
        <v/>
      </c>
      <c r="N304" s="23" t="str">
        <f t="shared" si="14"/>
        <v/>
      </c>
      <c r="O304" s="14" t="str">
        <f>IF(OR(N304="Reordenar",N304="Agotado"),COUNTIF($N$5:N304,"Reordenar")+COUNTIF($N$5:N304,"Agotado"),"")</f>
        <v/>
      </c>
    </row>
    <row r="305" spans="1:15" x14ac:dyDescent="0.25">
      <c r="A305" s="20"/>
      <c r="B305" s="20"/>
      <c r="C305" s="20"/>
      <c r="D305" s="20"/>
      <c r="E305" s="20"/>
      <c r="F305" s="21"/>
      <c r="G305" s="20"/>
      <c r="H305" s="20"/>
      <c r="I305" s="20"/>
      <c r="J305" s="14" t="str">
        <f>IF($A305="","",SUMIFS(Movimientos!$F$5:$F$3004,Movimientos!$C$5:$C$3004,$A305,Movimientos!$B$5:$B$3004,"Entrada"))</f>
        <v/>
      </c>
      <c r="K305" s="14" t="str">
        <f>IF($A305="","",SUMIFS(Movimientos!$F$5:$F$3004,Movimientos!$C$5:$C$3004,$A305,Movimientos!$B$5:$B$3004,"Salida"))</f>
        <v/>
      </c>
      <c r="L305" s="14" t="str">
        <f t="shared" si="12"/>
        <v/>
      </c>
      <c r="M305" s="22" t="str">
        <f t="shared" si="13"/>
        <v/>
      </c>
      <c r="N305" s="23" t="str">
        <f t="shared" si="14"/>
        <v/>
      </c>
      <c r="O305" s="14" t="str">
        <f>IF(OR(N305="Reordenar",N305="Agotado"),COUNTIF($N$5:N305,"Reordenar")+COUNTIF($N$5:N305,"Agotado"),"")</f>
        <v/>
      </c>
    </row>
    <row r="306" spans="1:15" x14ac:dyDescent="0.25">
      <c r="A306" s="20"/>
      <c r="B306" s="20"/>
      <c r="C306" s="20"/>
      <c r="D306" s="20"/>
      <c r="E306" s="20"/>
      <c r="F306" s="21"/>
      <c r="G306" s="20"/>
      <c r="H306" s="20"/>
      <c r="I306" s="20"/>
      <c r="J306" s="14" t="str">
        <f>IF($A306="","",SUMIFS(Movimientos!$F$5:$F$3004,Movimientos!$C$5:$C$3004,$A306,Movimientos!$B$5:$B$3004,"Entrada"))</f>
        <v/>
      </c>
      <c r="K306" s="14" t="str">
        <f>IF($A306="","",SUMIFS(Movimientos!$F$5:$F$3004,Movimientos!$C$5:$C$3004,$A306,Movimientos!$B$5:$B$3004,"Salida"))</f>
        <v/>
      </c>
      <c r="L306" s="14" t="str">
        <f t="shared" si="12"/>
        <v/>
      </c>
      <c r="M306" s="22" t="str">
        <f t="shared" si="13"/>
        <v/>
      </c>
      <c r="N306" s="23" t="str">
        <f t="shared" si="14"/>
        <v/>
      </c>
      <c r="O306" s="14" t="str">
        <f>IF(OR(N306="Reordenar",N306="Agotado"),COUNTIF($N$5:N306,"Reordenar")+COUNTIF($N$5:N306,"Agotado"),"")</f>
        <v/>
      </c>
    </row>
    <row r="307" spans="1:15" x14ac:dyDescent="0.25">
      <c r="A307" s="20"/>
      <c r="B307" s="20"/>
      <c r="C307" s="20"/>
      <c r="D307" s="20"/>
      <c r="E307" s="20"/>
      <c r="F307" s="21"/>
      <c r="G307" s="20"/>
      <c r="H307" s="20"/>
      <c r="I307" s="20"/>
      <c r="J307" s="14" t="str">
        <f>IF($A307="","",SUMIFS(Movimientos!$F$5:$F$3004,Movimientos!$C$5:$C$3004,$A307,Movimientos!$B$5:$B$3004,"Entrada"))</f>
        <v/>
      </c>
      <c r="K307" s="14" t="str">
        <f>IF($A307="","",SUMIFS(Movimientos!$F$5:$F$3004,Movimientos!$C$5:$C$3004,$A307,Movimientos!$B$5:$B$3004,"Salida"))</f>
        <v/>
      </c>
      <c r="L307" s="14" t="str">
        <f t="shared" si="12"/>
        <v/>
      </c>
      <c r="M307" s="22" t="str">
        <f t="shared" si="13"/>
        <v/>
      </c>
      <c r="N307" s="23" t="str">
        <f t="shared" si="14"/>
        <v/>
      </c>
      <c r="O307" s="14" t="str">
        <f>IF(OR(N307="Reordenar",N307="Agotado"),COUNTIF($N$5:N307,"Reordenar")+COUNTIF($N$5:N307,"Agotado"),"")</f>
        <v/>
      </c>
    </row>
    <row r="308" spans="1:15" x14ac:dyDescent="0.25">
      <c r="A308" s="20"/>
      <c r="B308" s="20"/>
      <c r="C308" s="20"/>
      <c r="D308" s="20"/>
      <c r="E308" s="20"/>
      <c r="F308" s="21"/>
      <c r="G308" s="20"/>
      <c r="H308" s="20"/>
      <c r="I308" s="20"/>
      <c r="J308" s="14" t="str">
        <f>IF($A308="","",SUMIFS(Movimientos!$F$5:$F$3004,Movimientos!$C$5:$C$3004,$A308,Movimientos!$B$5:$B$3004,"Entrada"))</f>
        <v/>
      </c>
      <c r="K308" s="14" t="str">
        <f>IF($A308="","",SUMIFS(Movimientos!$F$5:$F$3004,Movimientos!$C$5:$C$3004,$A308,Movimientos!$B$5:$B$3004,"Salida"))</f>
        <v/>
      </c>
      <c r="L308" s="14" t="str">
        <f t="shared" si="12"/>
        <v/>
      </c>
      <c r="M308" s="22" t="str">
        <f t="shared" si="13"/>
        <v/>
      </c>
      <c r="N308" s="23" t="str">
        <f t="shared" si="14"/>
        <v/>
      </c>
      <c r="O308" s="14" t="str">
        <f>IF(OR(N308="Reordenar",N308="Agotado"),COUNTIF($N$5:N308,"Reordenar")+COUNTIF($N$5:N308,"Agotado"),"")</f>
        <v/>
      </c>
    </row>
    <row r="309" spans="1:15" x14ac:dyDescent="0.25">
      <c r="A309" s="20"/>
      <c r="B309" s="20"/>
      <c r="C309" s="20"/>
      <c r="D309" s="20"/>
      <c r="E309" s="20"/>
      <c r="F309" s="21"/>
      <c r="G309" s="20"/>
      <c r="H309" s="20"/>
      <c r="I309" s="20"/>
      <c r="J309" s="14" t="str">
        <f>IF($A309="","",SUMIFS(Movimientos!$F$5:$F$3004,Movimientos!$C$5:$C$3004,$A309,Movimientos!$B$5:$B$3004,"Entrada"))</f>
        <v/>
      </c>
      <c r="K309" s="14" t="str">
        <f>IF($A309="","",SUMIFS(Movimientos!$F$5:$F$3004,Movimientos!$C$5:$C$3004,$A309,Movimientos!$B$5:$B$3004,"Salida"))</f>
        <v/>
      </c>
      <c r="L309" s="14" t="str">
        <f t="shared" si="12"/>
        <v/>
      </c>
      <c r="M309" s="22" t="str">
        <f t="shared" si="13"/>
        <v/>
      </c>
      <c r="N309" s="23" t="str">
        <f t="shared" si="14"/>
        <v/>
      </c>
      <c r="O309" s="14" t="str">
        <f>IF(OR(N309="Reordenar",N309="Agotado"),COUNTIF($N$5:N309,"Reordenar")+COUNTIF($N$5:N309,"Agotado"),"")</f>
        <v/>
      </c>
    </row>
    <row r="310" spans="1:15" x14ac:dyDescent="0.25">
      <c r="A310" s="20"/>
      <c r="B310" s="20"/>
      <c r="C310" s="20"/>
      <c r="D310" s="20"/>
      <c r="E310" s="20"/>
      <c r="F310" s="21"/>
      <c r="G310" s="20"/>
      <c r="H310" s="20"/>
      <c r="I310" s="20"/>
      <c r="J310" s="14" t="str">
        <f>IF($A310="","",SUMIFS(Movimientos!$F$5:$F$3004,Movimientos!$C$5:$C$3004,$A310,Movimientos!$B$5:$B$3004,"Entrada"))</f>
        <v/>
      </c>
      <c r="K310" s="14" t="str">
        <f>IF($A310="","",SUMIFS(Movimientos!$F$5:$F$3004,Movimientos!$C$5:$C$3004,$A310,Movimientos!$B$5:$B$3004,"Salida"))</f>
        <v/>
      </c>
      <c r="L310" s="14" t="str">
        <f t="shared" si="12"/>
        <v/>
      </c>
      <c r="M310" s="22" t="str">
        <f t="shared" si="13"/>
        <v/>
      </c>
      <c r="N310" s="23" t="str">
        <f t="shared" si="14"/>
        <v/>
      </c>
      <c r="O310" s="14" t="str">
        <f>IF(OR(N310="Reordenar",N310="Agotado"),COUNTIF($N$5:N310,"Reordenar")+COUNTIF($N$5:N310,"Agotado"),"")</f>
        <v/>
      </c>
    </row>
    <row r="311" spans="1:15" x14ac:dyDescent="0.25">
      <c r="A311" s="20"/>
      <c r="B311" s="20"/>
      <c r="C311" s="20"/>
      <c r="D311" s="20"/>
      <c r="E311" s="20"/>
      <c r="F311" s="21"/>
      <c r="G311" s="20"/>
      <c r="H311" s="20"/>
      <c r="I311" s="20"/>
      <c r="J311" s="14" t="str">
        <f>IF($A311="","",SUMIFS(Movimientos!$F$5:$F$3004,Movimientos!$C$5:$C$3004,$A311,Movimientos!$B$5:$B$3004,"Entrada"))</f>
        <v/>
      </c>
      <c r="K311" s="14" t="str">
        <f>IF($A311="","",SUMIFS(Movimientos!$F$5:$F$3004,Movimientos!$C$5:$C$3004,$A311,Movimientos!$B$5:$B$3004,"Salida"))</f>
        <v/>
      </c>
      <c r="L311" s="14" t="str">
        <f t="shared" si="12"/>
        <v/>
      </c>
      <c r="M311" s="22" t="str">
        <f t="shared" si="13"/>
        <v/>
      </c>
      <c r="N311" s="23" t="str">
        <f t="shared" si="14"/>
        <v/>
      </c>
      <c r="O311" s="14" t="str">
        <f>IF(OR(N311="Reordenar",N311="Agotado"),COUNTIF($N$5:N311,"Reordenar")+COUNTIF($N$5:N311,"Agotado"),"")</f>
        <v/>
      </c>
    </row>
    <row r="312" spans="1:15" x14ac:dyDescent="0.25">
      <c r="A312" s="20"/>
      <c r="B312" s="20"/>
      <c r="C312" s="20"/>
      <c r="D312" s="20"/>
      <c r="E312" s="20"/>
      <c r="F312" s="21"/>
      <c r="G312" s="20"/>
      <c r="H312" s="20"/>
      <c r="I312" s="20"/>
      <c r="J312" s="14" t="str">
        <f>IF($A312="","",SUMIFS(Movimientos!$F$5:$F$3004,Movimientos!$C$5:$C$3004,$A312,Movimientos!$B$5:$B$3004,"Entrada"))</f>
        <v/>
      </c>
      <c r="K312" s="14" t="str">
        <f>IF($A312="","",SUMIFS(Movimientos!$F$5:$F$3004,Movimientos!$C$5:$C$3004,$A312,Movimientos!$B$5:$B$3004,"Salida"))</f>
        <v/>
      </c>
      <c r="L312" s="14" t="str">
        <f t="shared" si="12"/>
        <v/>
      </c>
      <c r="M312" s="22" t="str">
        <f t="shared" si="13"/>
        <v/>
      </c>
      <c r="N312" s="23" t="str">
        <f t="shared" si="14"/>
        <v/>
      </c>
      <c r="O312" s="14" t="str">
        <f>IF(OR(N312="Reordenar",N312="Agotado"),COUNTIF($N$5:N312,"Reordenar")+COUNTIF($N$5:N312,"Agotado"),"")</f>
        <v/>
      </c>
    </row>
    <row r="313" spans="1:15" x14ac:dyDescent="0.25">
      <c r="A313" s="20"/>
      <c r="B313" s="20"/>
      <c r="C313" s="20"/>
      <c r="D313" s="20"/>
      <c r="E313" s="20"/>
      <c r="F313" s="21"/>
      <c r="G313" s="20"/>
      <c r="H313" s="20"/>
      <c r="I313" s="20"/>
      <c r="J313" s="14" t="str">
        <f>IF($A313="","",SUMIFS(Movimientos!$F$5:$F$3004,Movimientos!$C$5:$C$3004,$A313,Movimientos!$B$5:$B$3004,"Entrada"))</f>
        <v/>
      </c>
      <c r="K313" s="14" t="str">
        <f>IF($A313="","",SUMIFS(Movimientos!$F$5:$F$3004,Movimientos!$C$5:$C$3004,$A313,Movimientos!$B$5:$B$3004,"Salida"))</f>
        <v/>
      </c>
      <c r="L313" s="14" t="str">
        <f t="shared" si="12"/>
        <v/>
      </c>
      <c r="M313" s="22" t="str">
        <f t="shared" si="13"/>
        <v/>
      </c>
      <c r="N313" s="23" t="str">
        <f t="shared" si="14"/>
        <v/>
      </c>
      <c r="O313" s="14" t="str">
        <f>IF(OR(N313="Reordenar",N313="Agotado"),COUNTIF($N$5:N313,"Reordenar")+COUNTIF($N$5:N313,"Agotado"),"")</f>
        <v/>
      </c>
    </row>
    <row r="314" spans="1:15" x14ac:dyDescent="0.25">
      <c r="A314" s="20"/>
      <c r="B314" s="20"/>
      <c r="C314" s="20"/>
      <c r="D314" s="20"/>
      <c r="E314" s="20"/>
      <c r="F314" s="21"/>
      <c r="G314" s="20"/>
      <c r="H314" s="20"/>
      <c r="I314" s="20"/>
      <c r="J314" s="14" t="str">
        <f>IF($A314="","",SUMIFS(Movimientos!$F$5:$F$3004,Movimientos!$C$5:$C$3004,$A314,Movimientos!$B$5:$B$3004,"Entrada"))</f>
        <v/>
      </c>
      <c r="K314" s="14" t="str">
        <f>IF($A314="","",SUMIFS(Movimientos!$F$5:$F$3004,Movimientos!$C$5:$C$3004,$A314,Movimientos!$B$5:$B$3004,"Salida"))</f>
        <v/>
      </c>
      <c r="L314" s="14" t="str">
        <f t="shared" si="12"/>
        <v/>
      </c>
      <c r="M314" s="22" t="str">
        <f t="shared" si="13"/>
        <v/>
      </c>
      <c r="N314" s="23" t="str">
        <f t="shared" si="14"/>
        <v/>
      </c>
      <c r="O314" s="14" t="str">
        <f>IF(OR(N314="Reordenar",N314="Agotado"),COUNTIF($N$5:N314,"Reordenar")+COUNTIF($N$5:N314,"Agotado"),"")</f>
        <v/>
      </c>
    </row>
    <row r="315" spans="1:15" x14ac:dyDescent="0.25">
      <c r="A315" s="20"/>
      <c r="B315" s="20"/>
      <c r="C315" s="20"/>
      <c r="D315" s="20"/>
      <c r="E315" s="20"/>
      <c r="F315" s="21"/>
      <c r="G315" s="20"/>
      <c r="H315" s="20"/>
      <c r="I315" s="20"/>
      <c r="J315" s="14" t="str">
        <f>IF($A315="","",SUMIFS(Movimientos!$F$5:$F$3004,Movimientos!$C$5:$C$3004,$A315,Movimientos!$B$5:$B$3004,"Entrada"))</f>
        <v/>
      </c>
      <c r="K315" s="14" t="str">
        <f>IF($A315="","",SUMIFS(Movimientos!$F$5:$F$3004,Movimientos!$C$5:$C$3004,$A315,Movimientos!$B$5:$B$3004,"Salida"))</f>
        <v/>
      </c>
      <c r="L315" s="14" t="str">
        <f t="shared" si="12"/>
        <v/>
      </c>
      <c r="M315" s="22" t="str">
        <f t="shared" si="13"/>
        <v/>
      </c>
      <c r="N315" s="23" t="str">
        <f t="shared" si="14"/>
        <v/>
      </c>
      <c r="O315" s="14" t="str">
        <f>IF(OR(N315="Reordenar",N315="Agotado"),COUNTIF($N$5:N315,"Reordenar")+COUNTIF($N$5:N315,"Agotado"),"")</f>
        <v/>
      </c>
    </row>
    <row r="316" spans="1:15" x14ac:dyDescent="0.25">
      <c r="A316" s="20"/>
      <c r="B316" s="20"/>
      <c r="C316" s="20"/>
      <c r="D316" s="20"/>
      <c r="E316" s="20"/>
      <c r="F316" s="21"/>
      <c r="G316" s="20"/>
      <c r="H316" s="20"/>
      <c r="I316" s="20"/>
      <c r="J316" s="14" t="str">
        <f>IF($A316="","",SUMIFS(Movimientos!$F$5:$F$3004,Movimientos!$C$5:$C$3004,$A316,Movimientos!$B$5:$B$3004,"Entrada"))</f>
        <v/>
      </c>
      <c r="K316" s="14" t="str">
        <f>IF($A316="","",SUMIFS(Movimientos!$F$5:$F$3004,Movimientos!$C$5:$C$3004,$A316,Movimientos!$B$5:$B$3004,"Salida"))</f>
        <v/>
      </c>
      <c r="L316" s="14" t="str">
        <f t="shared" si="12"/>
        <v/>
      </c>
      <c r="M316" s="22" t="str">
        <f t="shared" si="13"/>
        <v/>
      </c>
      <c r="N316" s="23" t="str">
        <f t="shared" si="14"/>
        <v/>
      </c>
      <c r="O316" s="14" t="str">
        <f>IF(OR(N316="Reordenar",N316="Agotado"),COUNTIF($N$5:N316,"Reordenar")+COUNTIF($N$5:N316,"Agotado"),"")</f>
        <v/>
      </c>
    </row>
    <row r="317" spans="1:15" x14ac:dyDescent="0.25">
      <c r="A317" s="20"/>
      <c r="B317" s="20"/>
      <c r="C317" s="20"/>
      <c r="D317" s="20"/>
      <c r="E317" s="20"/>
      <c r="F317" s="21"/>
      <c r="G317" s="20"/>
      <c r="H317" s="20"/>
      <c r="I317" s="20"/>
      <c r="J317" s="14" t="str">
        <f>IF($A317="","",SUMIFS(Movimientos!$F$5:$F$3004,Movimientos!$C$5:$C$3004,$A317,Movimientos!$B$5:$B$3004,"Entrada"))</f>
        <v/>
      </c>
      <c r="K317" s="14" t="str">
        <f>IF($A317="","",SUMIFS(Movimientos!$F$5:$F$3004,Movimientos!$C$5:$C$3004,$A317,Movimientos!$B$5:$B$3004,"Salida"))</f>
        <v/>
      </c>
      <c r="L317" s="14" t="str">
        <f t="shared" si="12"/>
        <v/>
      </c>
      <c r="M317" s="22" t="str">
        <f t="shared" si="13"/>
        <v/>
      </c>
      <c r="N317" s="23" t="str">
        <f t="shared" si="14"/>
        <v/>
      </c>
      <c r="O317" s="14" t="str">
        <f>IF(OR(N317="Reordenar",N317="Agotado"),COUNTIF($N$5:N317,"Reordenar")+COUNTIF($N$5:N317,"Agotado"),"")</f>
        <v/>
      </c>
    </row>
    <row r="318" spans="1:15" x14ac:dyDescent="0.25">
      <c r="A318" s="20"/>
      <c r="B318" s="20"/>
      <c r="C318" s="20"/>
      <c r="D318" s="20"/>
      <c r="E318" s="20"/>
      <c r="F318" s="21"/>
      <c r="G318" s="20"/>
      <c r="H318" s="20"/>
      <c r="I318" s="20"/>
      <c r="J318" s="14" t="str">
        <f>IF($A318="","",SUMIFS(Movimientos!$F$5:$F$3004,Movimientos!$C$5:$C$3004,$A318,Movimientos!$B$5:$B$3004,"Entrada"))</f>
        <v/>
      </c>
      <c r="K318" s="14" t="str">
        <f>IF($A318="","",SUMIFS(Movimientos!$F$5:$F$3004,Movimientos!$C$5:$C$3004,$A318,Movimientos!$B$5:$B$3004,"Salida"))</f>
        <v/>
      </c>
      <c r="L318" s="14" t="str">
        <f t="shared" si="12"/>
        <v/>
      </c>
      <c r="M318" s="22" t="str">
        <f t="shared" si="13"/>
        <v/>
      </c>
      <c r="N318" s="23" t="str">
        <f t="shared" si="14"/>
        <v/>
      </c>
      <c r="O318" s="14" t="str">
        <f>IF(OR(N318="Reordenar",N318="Agotado"),COUNTIF($N$5:N318,"Reordenar")+COUNTIF($N$5:N318,"Agotado"),"")</f>
        <v/>
      </c>
    </row>
    <row r="319" spans="1:15" x14ac:dyDescent="0.25">
      <c r="A319" s="20"/>
      <c r="B319" s="20"/>
      <c r="C319" s="20"/>
      <c r="D319" s="20"/>
      <c r="E319" s="20"/>
      <c r="F319" s="21"/>
      <c r="G319" s="20"/>
      <c r="H319" s="20"/>
      <c r="I319" s="20"/>
      <c r="J319" s="14" t="str">
        <f>IF($A319="","",SUMIFS(Movimientos!$F$5:$F$3004,Movimientos!$C$5:$C$3004,$A319,Movimientos!$B$5:$B$3004,"Entrada"))</f>
        <v/>
      </c>
      <c r="K319" s="14" t="str">
        <f>IF($A319="","",SUMIFS(Movimientos!$F$5:$F$3004,Movimientos!$C$5:$C$3004,$A319,Movimientos!$B$5:$B$3004,"Salida"))</f>
        <v/>
      </c>
      <c r="L319" s="14" t="str">
        <f t="shared" si="12"/>
        <v/>
      </c>
      <c r="M319" s="22" t="str">
        <f t="shared" si="13"/>
        <v/>
      </c>
      <c r="N319" s="23" t="str">
        <f t="shared" si="14"/>
        <v/>
      </c>
      <c r="O319" s="14" t="str">
        <f>IF(OR(N319="Reordenar",N319="Agotado"),COUNTIF($N$5:N319,"Reordenar")+COUNTIF($N$5:N319,"Agotado"),"")</f>
        <v/>
      </c>
    </row>
    <row r="320" spans="1:15" x14ac:dyDescent="0.25">
      <c r="A320" s="20"/>
      <c r="B320" s="20"/>
      <c r="C320" s="20"/>
      <c r="D320" s="20"/>
      <c r="E320" s="20"/>
      <c r="F320" s="21"/>
      <c r="G320" s="20"/>
      <c r="H320" s="20"/>
      <c r="I320" s="20"/>
      <c r="J320" s="14" t="str">
        <f>IF($A320="","",SUMIFS(Movimientos!$F$5:$F$3004,Movimientos!$C$5:$C$3004,$A320,Movimientos!$B$5:$B$3004,"Entrada"))</f>
        <v/>
      </c>
      <c r="K320" s="14" t="str">
        <f>IF($A320="","",SUMIFS(Movimientos!$F$5:$F$3004,Movimientos!$C$5:$C$3004,$A320,Movimientos!$B$5:$B$3004,"Salida"))</f>
        <v/>
      </c>
      <c r="L320" s="14" t="str">
        <f t="shared" si="12"/>
        <v/>
      </c>
      <c r="M320" s="22" t="str">
        <f t="shared" si="13"/>
        <v/>
      </c>
      <c r="N320" s="23" t="str">
        <f t="shared" si="14"/>
        <v/>
      </c>
      <c r="O320" s="14" t="str">
        <f>IF(OR(N320="Reordenar",N320="Agotado"),COUNTIF($N$5:N320,"Reordenar")+COUNTIF($N$5:N320,"Agotado"),"")</f>
        <v/>
      </c>
    </row>
    <row r="321" spans="1:15" x14ac:dyDescent="0.25">
      <c r="A321" s="20"/>
      <c r="B321" s="20"/>
      <c r="C321" s="20"/>
      <c r="D321" s="20"/>
      <c r="E321" s="20"/>
      <c r="F321" s="21"/>
      <c r="G321" s="20"/>
      <c r="H321" s="20"/>
      <c r="I321" s="20"/>
      <c r="J321" s="14" t="str">
        <f>IF($A321="","",SUMIFS(Movimientos!$F$5:$F$3004,Movimientos!$C$5:$C$3004,$A321,Movimientos!$B$5:$B$3004,"Entrada"))</f>
        <v/>
      </c>
      <c r="K321" s="14" t="str">
        <f>IF($A321="","",SUMIFS(Movimientos!$F$5:$F$3004,Movimientos!$C$5:$C$3004,$A321,Movimientos!$B$5:$B$3004,"Salida"))</f>
        <v/>
      </c>
      <c r="L321" s="14" t="str">
        <f t="shared" si="12"/>
        <v/>
      </c>
      <c r="M321" s="22" t="str">
        <f t="shared" si="13"/>
        <v/>
      </c>
      <c r="N321" s="23" t="str">
        <f t="shared" si="14"/>
        <v/>
      </c>
      <c r="O321" s="14" t="str">
        <f>IF(OR(N321="Reordenar",N321="Agotado"),COUNTIF($N$5:N321,"Reordenar")+COUNTIF($N$5:N321,"Agotado"),"")</f>
        <v/>
      </c>
    </row>
    <row r="322" spans="1:15" x14ac:dyDescent="0.25">
      <c r="A322" s="20"/>
      <c r="B322" s="20"/>
      <c r="C322" s="20"/>
      <c r="D322" s="20"/>
      <c r="E322" s="20"/>
      <c r="F322" s="21"/>
      <c r="G322" s="20"/>
      <c r="H322" s="20"/>
      <c r="I322" s="20"/>
      <c r="J322" s="14" t="str">
        <f>IF($A322="","",SUMIFS(Movimientos!$F$5:$F$3004,Movimientos!$C$5:$C$3004,$A322,Movimientos!$B$5:$B$3004,"Entrada"))</f>
        <v/>
      </c>
      <c r="K322" s="14" t="str">
        <f>IF($A322="","",SUMIFS(Movimientos!$F$5:$F$3004,Movimientos!$C$5:$C$3004,$A322,Movimientos!$B$5:$B$3004,"Salida"))</f>
        <v/>
      </c>
      <c r="L322" s="14" t="str">
        <f t="shared" si="12"/>
        <v/>
      </c>
      <c r="M322" s="22" t="str">
        <f t="shared" si="13"/>
        <v/>
      </c>
      <c r="N322" s="23" t="str">
        <f t="shared" si="14"/>
        <v/>
      </c>
      <c r="O322" s="14" t="str">
        <f>IF(OR(N322="Reordenar",N322="Agotado"),COUNTIF($N$5:N322,"Reordenar")+COUNTIF($N$5:N322,"Agotado"),"")</f>
        <v/>
      </c>
    </row>
    <row r="323" spans="1:15" x14ac:dyDescent="0.25">
      <c r="A323" s="20"/>
      <c r="B323" s="20"/>
      <c r="C323" s="20"/>
      <c r="D323" s="20"/>
      <c r="E323" s="20"/>
      <c r="F323" s="21"/>
      <c r="G323" s="20"/>
      <c r="H323" s="20"/>
      <c r="I323" s="20"/>
      <c r="J323" s="14" t="str">
        <f>IF($A323="","",SUMIFS(Movimientos!$F$5:$F$3004,Movimientos!$C$5:$C$3004,$A323,Movimientos!$B$5:$B$3004,"Entrada"))</f>
        <v/>
      </c>
      <c r="K323" s="14" t="str">
        <f>IF($A323="","",SUMIFS(Movimientos!$F$5:$F$3004,Movimientos!$C$5:$C$3004,$A323,Movimientos!$B$5:$B$3004,"Salida"))</f>
        <v/>
      </c>
      <c r="L323" s="14" t="str">
        <f t="shared" si="12"/>
        <v/>
      </c>
      <c r="M323" s="22" t="str">
        <f t="shared" si="13"/>
        <v/>
      </c>
      <c r="N323" s="23" t="str">
        <f t="shared" si="14"/>
        <v/>
      </c>
      <c r="O323" s="14" t="str">
        <f>IF(OR(N323="Reordenar",N323="Agotado"),COUNTIF($N$5:N323,"Reordenar")+COUNTIF($N$5:N323,"Agotado"),"")</f>
        <v/>
      </c>
    </row>
    <row r="324" spans="1:15" x14ac:dyDescent="0.25">
      <c r="A324" s="20"/>
      <c r="B324" s="20"/>
      <c r="C324" s="20"/>
      <c r="D324" s="20"/>
      <c r="E324" s="20"/>
      <c r="F324" s="21"/>
      <c r="G324" s="20"/>
      <c r="H324" s="20"/>
      <c r="I324" s="20"/>
      <c r="J324" s="14" t="str">
        <f>IF($A324="","",SUMIFS(Movimientos!$F$5:$F$3004,Movimientos!$C$5:$C$3004,$A324,Movimientos!$B$5:$B$3004,"Entrada"))</f>
        <v/>
      </c>
      <c r="K324" s="14" t="str">
        <f>IF($A324="","",SUMIFS(Movimientos!$F$5:$F$3004,Movimientos!$C$5:$C$3004,$A324,Movimientos!$B$5:$B$3004,"Salida"))</f>
        <v/>
      </c>
      <c r="L324" s="14" t="str">
        <f t="shared" si="12"/>
        <v/>
      </c>
      <c r="M324" s="22" t="str">
        <f t="shared" si="13"/>
        <v/>
      </c>
      <c r="N324" s="23" t="str">
        <f t="shared" si="14"/>
        <v/>
      </c>
      <c r="O324" s="14" t="str">
        <f>IF(OR(N324="Reordenar",N324="Agotado"),COUNTIF($N$5:N324,"Reordenar")+COUNTIF($N$5:N324,"Agotado"),"")</f>
        <v/>
      </c>
    </row>
    <row r="325" spans="1:15" x14ac:dyDescent="0.25">
      <c r="A325" s="20"/>
      <c r="B325" s="20"/>
      <c r="C325" s="20"/>
      <c r="D325" s="20"/>
      <c r="E325" s="20"/>
      <c r="F325" s="21"/>
      <c r="G325" s="20"/>
      <c r="H325" s="20"/>
      <c r="I325" s="20"/>
      <c r="J325" s="14" t="str">
        <f>IF($A325="","",SUMIFS(Movimientos!$F$5:$F$3004,Movimientos!$C$5:$C$3004,$A325,Movimientos!$B$5:$B$3004,"Entrada"))</f>
        <v/>
      </c>
      <c r="K325" s="14" t="str">
        <f>IF($A325="","",SUMIFS(Movimientos!$F$5:$F$3004,Movimientos!$C$5:$C$3004,$A325,Movimientos!$B$5:$B$3004,"Salida"))</f>
        <v/>
      </c>
      <c r="L325" s="14" t="str">
        <f t="shared" ref="L325:L388" si="15">IF($A325="","",N(I325)+J325-K325)</f>
        <v/>
      </c>
      <c r="M325" s="22" t="str">
        <f t="shared" ref="M325:M388" si="16">IF($A325="","",L325*N(F325))</f>
        <v/>
      </c>
      <c r="N325" s="23" t="str">
        <f t="shared" ref="N325:N388" si="17">IF($A325="","",IF(L325&lt;=0,"Agotado",IF(AND(N(G325)&gt;0,L325&lt;=G325),"Reordenar","OK")))</f>
        <v/>
      </c>
      <c r="O325" s="14" t="str">
        <f>IF(OR(N325="Reordenar",N325="Agotado"),COUNTIF($N$5:N325,"Reordenar")+COUNTIF($N$5:N325,"Agotado"),"")</f>
        <v/>
      </c>
    </row>
    <row r="326" spans="1:15" x14ac:dyDescent="0.25">
      <c r="A326" s="20"/>
      <c r="B326" s="20"/>
      <c r="C326" s="20"/>
      <c r="D326" s="20"/>
      <c r="E326" s="20"/>
      <c r="F326" s="21"/>
      <c r="G326" s="20"/>
      <c r="H326" s="20"/>
      <c r="I326" s="20"/>
      <c r="J326" s="14" t="str">
        <f>IF($A326="","",SUMIFS(Movimientos!$F$5:$F$3004,Movimientos!$C$5:$C$3004,$A326,Movimientos!$B$5:$B$3004,"Entrada"))</f>
        <v/>
      </c>
      <c r="K326" s="14" t="str">
        <f>IF($A326="","",SUMIFS(Movimientos!$F$5:$F$3004,Movimientos!$C$5:$C$3004,$A326,Movimientos!$B$5:$B$3004,"Salida"))</f>
        <v/>
      </c>
      <c r="L326" s="14" t="str">
        <f t="shared" si="15"/>
        <v/>
      </c>
      <c r="M326" s="22" t="str">
        <f t="shared" si="16"/>
        <v/>
      </c>
      <c r="N326" s="23" t="str">
        <f t="shared" si="17"/>
        <v/>
      </c>
      <c r="O326" s="14" t="str">
        <f>IF(OR(N326="Reordenar",N326="Agotado"),COUNTIF($N$5:N326,"Reordenar")+COUNTIF($N$5:N326,"Agotado"),"")</f>
        <v/>
      </c>
    </row>
    <row r="327" spans="1:15" x14ac:dyDescent="0.25">
      <c r="A327" s="20"/>
      <c r="B327" s="20"/>
      <c r="C327" s="20"/>
      <c r="D327" s="20"/>
      <c r="E327" s="20"/>
      <c r="F327" s="21"/>
      <c r="G327" s="20"/>
      <c r="H327" s="20"/>
      <c r="I327" s="20"/>
      <c r="J327" s="14" t="str">
        <f>IF($A327="","",SUMIFS(Movimientos!$F$5:$F$3004,Movimientos!$C$5:$C$3004,$A327,Movimientos!$B$5:$B$3004,"Entrada"))</f>
        <v/>
      </c>
      <c r="K327" s="14" t="str">
        <f>IF($A327="","",SUMIFS(Movimientos!$F$5:$F$3004,Movimientos!$C$5:$C$3004,$A327,Movimientos!$B$5:$B$3004,"Salida"))</f>
        <v/>
      </c>
      <c r="L327" s="14" t="str">
        <f t="shared" si="15"/>
        <v/>
      </c>
      <c r="M327" s="22" t="str">
        <f t="shared" si="16"/>
        <v/>
      </c>
      <c r="N327" s="23" t="str">
        <f t="shared" si="17"/>
        <v/>
      </c>
      <c r="O327" s="14" t="str">
        <f>IF(OR(N327="Reordenar",N327="Agotado"),COUNTIF($N$5:N327,"Reordenar")+COUNTIF($N$5:N327,"Agotado"),"")</f>
        <v/>
      </c>
    </row>
    <row r="328" spans="1:15" x14ac:dyDescent="0.25">
      <c r="A328" s="20"/>
      <c r="B328" s="20"/>
      <c r="C328" s="20"/>
      <c r="D328" s="20"/>
      <c r="E328" s="20"/>
      <c r="F328" s="21"/>
      <c r="G328" s="20"/>
      <c r="H328" s="20"/>
      <c r="I328" s="20"/>
      <c r="J328" s="14" t="str">
        <f>IF($A328="","",SUMIFS(Movimientos!$F$5:$F$3004,Movimientos!$C$5:$C$3004,$A328,Movimientos!$B$5:$B$3004,"Entrada"))</f>
        <v/>
      </c>
      <c r="K328" s="14" t="str">
        <f>IF($A328="","",SUMIFS(Movimientos!$F$5:$F$3004,Movimientos!$C$5:$C$3004,$A328,Movimientos!$B$5:$B$3004,"Salida"))</f>
        <v/>
      </c>
      <c r="L328" s="14" t="str">
        <f t="shared" si="15"/>
        <v/>
      </c>
      <c r="M328" s="22" t="str">
        <f t="shared" si="16"/>
        <v/>
      </c>
      <c r="N328" s="23" t="str">
        <f t="shared" si="17"/>
        <v/>
      </c>
      <c r="O328" s="14" t="str">
        <f>IF(OR(N328="Reordenar",N328="Agotado"),COUNTIF($N$5:N328,"Reordenar")+COUNTIF($N$5:N328,"Agotado"),"")</f>
        <v/>
      </c>
    </row>
    <row r="329" spans="1:15" x14ac:dyDescent="0.25">
      <c r="A329" s="20"/>
      <c r="B329" s="20"/>
      <c r="C329" s="20"/>
      <c r="D329" s="20"/>
      <c r="E329" s="20"/>
      <c r="F329" s="21"/>
      <c r="G329" s="20"/>
      <c r="H329" s="20"/>
      <c r="I329" s="20"/>
      <c r="J329" s="14" t="str">
        <f>IF($A329="","",SUMIFS(Movimientos!$F$5:$F$3004,Movimientos!$C$5:$C$3004,$A329,Movimientos!$B$5:$B$3004,"Entrada"))</f>
        <v/>
      </c>
      <c r="K329" s="14" t="str">
        <f>IF($A329="","",SUMIFS(Movimientos!$F$5:$F$3004,Movimientos!$C$5:$C$3004,$A329,Movimientos!$B$5:$B$3004,"Salida"))</f>
        <v/>
      </c>
      <c r="L329" s="14" t="str">
        <f t="shared" si="15"/>
        <v/>
      </c>
      <c r="M329" s="22" t="str">
        <f t="shared" si="16"/>
        <v/>
      </c>
      <c r="N329" s="23" t="str">
        <f t="shared" si="17"/>
        <v/>
      </c>
      <c r="O329" s="14" t="str">
        <f>IF(OR(N329="Reordenar",N329="Agotado"),COUNTIF($N$5:N329,"Reordenar")+COUNTIF($N$5:N329,"Agotado"),"")</f>
        <v/>
      </c>
    </row>
    <row r="330" spans="1:15" x14ac:dyDescent="0.25">
      <c r="A330" s="20"/>
      <c r="B330" s="20"/>
      <c r="C330" s="20"/>
      <c r="D330" s="20"/>
      <c r="E330" s="20"/>
      <c r="F330" s="21"/>
      <c r="G330" s="20"/>
      <c r="H330" s="20"/>
      <c r="I330" s="20"/>
      <c r="J330" s="14" t="str">
        <f>IF($A330="","",SUMIFS(Movimientos!$F$5:$F$3004,Movimientos!$C$5:$C$3004,$A330,Movimientos!$B$5:$B$3004,"Entrada"))</f>
        <v/>
      </c>
      <c r="K330" s="14" t="str">
        <f>IF($A330="","",SUMIFS(Movimientos!$F$5:$F$3004,Movimientos!$C$5:$C$3004,$A330,Movimientos!$B$5:$B$3004,"Salida"))</f>
        <v/>
      </c>
      <c r="L330" s="14" t="str">
        <f t="shared" si="15"/>
        <v/>
      </c>
      <c r="M330" s="22" t="str">
        <f t="shared" si="16"/>
        <v/>
      </c>
      <c r="N330" s="23" t="str">
        <f t="shared" si="17"/>
        <v/>
      </c>
      <c r="O330" s="14" t="str">
        <f>IF(OR(N330="Reordenar",N330="Agotado"),COUNTIF($N$5:N330,"Reordenar")+COUNTIF($N$5:N330,"Agotado"),"")</f>
        <v/>
      </c>
    </row>
    <row r="331" spans="1:15" x14ac:dyDescent="0.25">
      <c r="A331" s="20"/>
      <c r="B331" s="20"/>
      <c r="C331" s="20"/>
      <c r="D331" s="20"/>
      <c r="E331" s="20"/>
      <c r="F331" s="21"/>
      <c r="G331" s="20"/>
      <c r="H331" s="20"/>
      <c r="I331" s="20"/>
      <c r="J331" s="14" t="str">
        <f>IF($A331="","",SUMIFS(Movimientos!$F$5:$F$3004,Movimientos!$C$5:$C$3004,$A331,Movimientos!$B$5:$B$3004,"Entrada"))</f>
        <v/>
      </c>
      <c r="K331" s="14" t="str">
        <f>IF($A331="","",SUMIFS(Movimientos!$F$5:$F$3004,Movimientos!$C$5:$C$3004,$A331,Movimientos!$B$5:$B$3004,"Salida"))</f>
        <v/>
      </c>
      <c r="L331" s="14" t="str">
        <f t="shared" si="15"/>
        <v/>
      </c>
      <c r="M331" s="22" t="str">
        <f t="shared" si="16"/>
        <v/>
      </c>
      <c r="N331" s="23" t="str">
        <f t="shared" si="17"/>
        <v/>
      </c>
      <c r="O331" s="14" t="str">
        <f>IF(OR(N331="Reordenar",N331="Agotado"),COUNTIF($N$5:N331,"Reordenar")+COUNTIF($N$5:N331,"Agotado"),"")</f>
        <v/>
      </c>
    </row>
    <row r="332" spans="1:15" x14ac:dyDescent="0.25">
      <c r="A332" s="20"/>
      <c r="B332" s="20"/>
      <c r="C332" s="20"/>
      <c r="D332" s="20"/>
      <c r="E332" s="20"/>
      <c r="F332" s="21"/>
      <c r="G332" s="20"/>
      <c r="H332" s="20"/>
      <c r="I332" s="20"/>
      <c r="J332" s="14" t="str">
        <f>IF($A332="","",SUMIFS(Movimientos!$F$5:$F$3004,Movimientos!$C$5:$C$3004,$A332,Movimientos!$B$5:$B$3004,"Entrada"))</f>
        <v/>
      </c>
      <c r="K332" s="14" t="str">
        <f>IF($A332="","",SUMIFS(Movimientos!$F$5:$F$3004,Movimientos!$C$5:$C$3004,$A332,Movimientos!$B$5:$B$3004,"Salida"))</f>
        <v/>
      </c>
      <c r="L332" s="14" t="str">
        <f t="shared" si="15"/>
        <v/>
      </c>
      <c r="M332" s="22" t="str">
        <f t="shared" si="16"/>
        <v/>
      </c>
      <c r="N332" s="23" t="str">
        <f t="shared" si="17"/>
        <v/>
      </c>
      <c r="O332" s="14" t="str">
        <f>IF(OR(N332="Reordenar",N332="Agotado"),COUNTIF($N$5:N332,"Reordenar")+COUNTIF($N$5:N332,"Agotado"),"")</f>
        <v/>
      </c>
    </row>
    <row r="333" spans="1:15" x14ac:dyDescent="0.25">
      <c r="A333" s="20"/>
      <c r="B333" s="20"/>
      <c r="C333" s="20"/>
      <c r="D333" s="20"/>
      <c r="E333" s="20"/>
      <c r="F333" s="21"/>
      <c r="G333" s="20"/>
      <c r="H333" s="20"/>
      <c r="I333" s="20"/>
      <c r="J333" s="14" t="str">
        <f>IF($A333="","",SUMIFS(Movimientos!$F$5:$F$3004,Movimientos!$C$5:$C$3004,$A333,Movimientos!$B$5:$B$3004,"Entrada"))</f>
        <v/>
      </c>
      <c r="K333" s="14" t="str">
        <f>IF($A333="","",SUMIFS(Movimientos!$F$5:$F$3004,Movimientos!$C$5:$C$3004,$A333,Movimientos!$B$5:$B$3004,"Salida"))</f>
        <v/>
      </c>
      <c r="L333" s="14" t="str">
        <f t="shared" si="15"/>
        <v/>
      </c>
      <c r="M333" s="22" t="str">
        <f t="shared" si="16"/>
        <v/>
      </c>
      <c r="N333" s="23" t="str">
        <f t="shared" si="17"/>
        <v/>
      </c>
      <c r="O333" s="14" t="str">
        <f>IF(OR(N333="Reordenar",N333="Agotado"),COUNTIF($N$5:N333,"Reordenar")+COUNTIF($N$5:N333,"Agotado"),"")</f>
        <v/>
      </c>
    </row>
    <row r="334" spans="1:15" x14ac:dyDescent="0.25">
      <c r="A334" s="20"/>
      <c r="B334" s="20"/>
      <c r="C334" s="20"/>
      <c r="D334" s="20"/>
      <c r="E334" s="20"/>
      <c r="F334" s="21"/>
      <c r="G334" s="20"/>
      <c r="H334" s="20"/>
      <c r="I334" s="20"/>
      <c r="J334" s="14" t="str">
        <f>IF($A334="","",SUMIFS(Movimientos!$F$5:$F$3004,Movimientos!$C$5:$C$3004,$A334,Movimientos!$B$5:$B$3004,"Entrada"))</f>
        <v/>
      </c>
      <c r="K334" s="14" t="str">
        <f>IF($A334="","",SUMIFS(Movimientos!$F$5:$F$3004,Movimientos!$C$5:$C$3004,$A334,Movimientos!$B$5:$B$3004,"Salida"))</f>
        <v/>
      </c>
      <c r="L334" s="14" t="str">
        <f t="shared" si="15"/>
        <v/>
      </c>
      <c r="M334" s="22" t="str">
        <f t="shared" si="16"/>
        <v/>
      </c>
      <c r="N334" s="23" t="str">
        <f t="shared" si="17"/>
        <v/>
      </c>
      <c r="O334" s="14" t="str">
        <f>IF(OR(N334="Reordenar",N334="Agotado"),COUNTIF($N$5:N334,"Reordenar")+COUNTIF($N$5:N334,"Agotado"),"")</f>
        <v/>
      </c>
    </row>
    <row r="335" spans="1:15" x14ac:dyDescent="0.25">
      <c r="A335" s="20"/>
      <c r="B335" s="20"/>
      <c r="C335" s="20"/>
      <c r="D335" s="20"/>
      <c r="E335" s="20"/>
      <c r="F335" s="21"/>
      <c r="G335" s="20"/>
      <c r="H335" s="20"/>
      <c r="I335" s="20"/>
      <c r="J335" s="14" t="str">
        <f>IF($A335="","",SUMIFS(Movimientos!$F$5:$F$3004,Movimientos!$C$5:$C$3004,$A335,Movimientos!$B$5:$B$3004,"Entrada"))</f>
        <v/>
      </c>
      <c r="K335" s="14" t="str">
        <f>IF($A335="","",SUMIFS(Movimientos!$F$5:$F$3004,Movimientos!$C$5:$C$3004,$A335,Movimientos!$B$5:$B$3004,"Salida"))</f>
        <v/>
      </c>
      <c r="L335" s="14" t="str">
        <f t="shared" si="15"/>
        <v/>
      </c>
      <c r="M335" s="22" t="str">
        <f t="shared" si="16"/>
        <v/>
      </c>
      <c r="N335" s="23" t="str">
        <f t="shared" si="17"/>
        <v/>
      </c>
      <c r="O335" s="14" t="str">
        <f>IF(OR(N335="Reordenar",N335="Agotado"),COUNTIF($N$5:N335,"Reordenar")+COUNTIF($N$5:N335,"Agotado"),"")</f>
        <v/>
      </c>
    </row>
    <row r="336" spans="1:15" x14ac:dyDescent="0.25">
      <c r="A336" s="20"/>
      <c r="B336" s="20"/>
      <c r="C336" s="20"/>
      <c r="D336" s="20"/>
      <c r="E336" s="20"/>
      <c r="F336" s="21"/>
      <c r="G336" s="20"/>
      <c r="H336" s="20"/>
      <c r="I336" s="20"/>
      <c r="J336" s="14" t="str">
        <f>IF($A336="","",SUMIFS(Movimientos!$F$5:$F$3004,Movimientos!$C$5:$C$3004,$A336,Movimientos!$B$5:$B$3004,"Entrada"))</f>
        <v/>
      </c>
      <c r="K336" s="14" t="str">
        <f>IF($A336="","",SUMIFS(Movimientos!$F$5:$F$3004,Movimientos!$C$5:$C$3004,$A336,Movimientos!$B$5:$B$3004,"Salida"))</f>
        <v/>
      </c>
      <c r="L336" s="14" t="str">
        <f t="shared" si="15"/>
        <v/>
      </c>
      <c r="M336" s="22" t="str">
        <f t="shared" si="16"/>
        <v/>
      </c>
      <c r="N336" s="23" t="str">
        <f t="shared" si="17"/>
        <v/>
      </c>
      <c r="O336" s="14" t="str">
        <f>IF(OR(N336="Reordenar",N336="Agotado"),COUNTIF($N$5:N336,"Reordenar")+COUNTIF($N$5:N336,"Agotado"),"")</f>
        <v/>
      </c>
    </row>
    <row r="337" spans="1:15" x14ac:dyDescent="0.25">
      <c r="A337" s="20"/>
      <c r="B337" s="20"/>
      <c r="C337" s="20"/>
      <c r="D337" s="20"/>
      <c r="E337" s="20"/>
      <c r="F337" s="21"/>
      <c r="G337" s="20"/>
      <c r="H337" s="20"/>
      <c r="I337" s="20"/>
      <c r="J337" s="14" t="str">
        <f>IF($A337="","",SUMIFS(Movimientos!$F$5:$F$3004,Movimientos!$C$5:$C$3004,$A337,Movimientos!$B$5:$B$3004,"Entrada"))</f>
        <v/>
      </c>
      <c r="K337" s="14" t="str">
        <f>IF($A337="","",SUMIFS(Movimientos!$F$5:$F$3004,Movimientos!$C$5:$C$3004,$A337,Movimientos!$B$5:$B$3004,"Salida"))</f>
        <v/>
      </c>
      <c r="L337" s="14" t="str">
        <f t="shared" si="15"/>
        <v/>
      </c>
      <c r="M337" s="22" t="str">
        <f t="shared" si="16"/>
        <v/>
      </c>
      <c r="N337" s="23" t="str">
        <f t="shared" si="17"/>
        <v/>
      </c>
      <c r="O337" s="14" t="str">
        <f>IF(OR(N337="Reordenar",N337="Agotado"),COUNTIF($N$5:N337,"Reordenar")+COUNTIF($N$5:N337,"Agotado"),"")</f>
        <v/>
      </c>
    </row>
    <row r="338" spans="1:15" x14ac:dyDescent="0.25">
      <c r="A338" s="20"/>
      <c r="B338" s="20"/>
      <c r="C338" s="20"/>
      <c r="D338" s="20"/>
      <c r="E338" s="20"/>
      <c r="F338" s="21"/>
      <c r="G338" s="20"/>
      <c r="H338" s="20"/>
      <c r="I338" s="20"/>
      <c r="J338" s="14" t="str">
        <f>IF($A338="","",SUMIFS(Movimientos!$F$5:$F$3004,Movimientos!$C$5:$C$3004,$A338,Movimientos!$B$5:$B$3004,"Entrada"))</f>
        <v/>
      </c>
      <c r="K338" s="14" t="str">
        <f>IF($A338="","",SUMIFS(Movimientos!$F$5:$F$3004,Movimientos!$C$5:$C$3004,$A338,Movimientos!$B$5:$B$3004,"Salida"))</f>
        <v/>
      </c>
      <c r="L338" s="14" t="str">
        <f t="shared" si="15"/>
        <v/>
      </c>
      <c r="M338" s="22" t="str">
        <f t="shared" si="16"/>
        <v/>
      </c>
      <c r="N338" s="23" t="str">
        <f t="shared" si="17"/>
        <v/>
      </c>
      <c r="O338" s="14" t="str">
        <f>IF(OR(N338="Reordenar",N338="Agotado"),COUNTIF($N$5:N338,"Reordenar")+COUNTIF($N$5:N338,"Agotado"),"")</f>
        <v/>
      </c>
    </row>
    <row r="339" spans="1:15" x14ac:dyDescent="0.25">
      <c r="A339" s="20"/>
      <c r="B339" s="20"/>
      <c r="C339" s="20"/>
      <c r="D339" s="20"/>
      <c r="E339" s="20"/>
      <c r="F339" s="21"/>
      <c r="G339" s="20"/>
      <c r="H339" s="20"/>
      <c r="I339" s="20"/>
      <c r="J339" s="14" t="str">
        <f>IF($A339="","",SUMIFS(Movimientos!$F$5:$F$3004,Movimientos!$C$5:$C$3004,$A339,Movimientos!$B$5:$B$3004,"Entrada"))</f>
        <v/>
      </c>
      <c r="K339" s="14" t="str">
        <f>IF($A339="","",SUMIFS(Movimientos!$F$5:$F$3004,Movimientos!$C$5:$C$3004,$A339,Movimientos!$B$5:$B$3004,"Salida"))</f>
        <v/>
      </c>
      <c r="L339" s="14" t="str">
        <f t="shared" si="15"/>
        <v/>
      </c>
      <c r="M339" s="22" t="str">
        <f t="shared" si="16"/>
        <v/>
      </c>
      <c r="N339" s="23" t="str">
        <f t="shared" si="17"/>
        <v/>
      </c>
      <c r="O339" s="14" t="str">
        <f>IF(OR(N339="Reordenar",N339="Agotado"),COUNTIF($N$5:N339,"Reordenar")+COUNTIF($N$5:N339,"Agotado"),"")</f>
        <v/>
      </c>
    </row>
    <row r="340" spans="1:15" x14ac:dyDescent="0.25">
      <c r="A340" s="20"/>
      <c r="B340" s="20"/>
      <c r="C340" s="20"/>
      <c r="D340" s="20"/>
      <c r="E340" s="20"/>
      <c r="F340" s="21"/>
      <c r="G340" s="20"/>
      <c r="H340" s="20"/>
      <c r="I340" s="20"/>
      <c r="J340" s="14" t="str">
        <f>IF($A340="","",SUMIFS(Movimientos!$F$5:$F$3004,Movimientos!$C$5:$C$3004,$A340,Movimientos!$B$5:$B$3004,"Entrada"))</f>
        <v/>
      </c>
      <c r="K340" s="14" t="str">
        <f>IF($A340="","",SUMIFS(Movimientos!$F$5:$F$3004,Movimientos!$C$5:$C$3004,$A340,Movimientos!$B$5:$B$3004,"Salida"))</f>
        <v/>
      </c>
      <c r="L340" s="14" t="str">
        <f t="shared" si="15"/>
        <v/>
      </c>
      <c r="M340" s="22" t="str">
        <f t="shared" si="16"/>
        <v/>
      </c>
      <c r="N340" s="23" t="str">
        <f t="shared" si="17"/>
        <v/>
      </c>
      <c r="O340" s="14" t="str">
        <f>IF(OR(N340="Reordenar",N340="Agotado"),COUNTIF($N$5:N340,"Reordenar")+COUNTIF($N$5:N340,"Agotado"),"")</f>
        <v/>
      </c>
    </row>
    <row r="341" spans="1:15" x14ac:dyDescent="0.25">
      <c r="A341" s="20"/>
      <c r="B341" s="20"/>
      <c r="C341" s="20"/>
      <c r="D341" s="20"/>
      <c r="E341" s="20"/>
      <c r="F341" s="21"/>
      <c r="G341" s="20"/>
      <c r="H341" s="20"/>
      <c r="I341" s="20"/>
      <c r="J341" s="14" t="str">
        <f>IF($A341="","",SUMIFS(Movimientos!$F$5:$F$3004,Movimientos!$C$5:$C$3004,$A341,Movimientos!$B$5:$B$3004,"Entrada"))</f>
        <v/>
      </c>
      <c r="K341" s="14" t="str">
        <f>IF($A341="","",SUMIFS(Movimientos!$F$5:$F$3004,Movimientos!$C$5:$C$3004,$A341,Movimientos!$B$5:$B$3004,"Salida"))</f>
        <v/>
      </c>
      <c r="L341" s="14" t="str">
        <f t="shared" si="15"/>
        <v/>
      </c>
      <c r="M341" s="22" t="str">
        <f t="shared" si="16"/>
        <v/>
      </c>
      <c r="N341" s="23" t="str">
        <f t="shared" si="17"/>
        <v/>
      </c>
      <c r="O341" s="14" t="str">
        <f>IF(OR(N341="Reordenar",N341="Agotado"),COUNTIF($N$5:N341,"Reordenar")+COUNTIF($N$5:N341,"Agotado"),"")</f>
        <v/>
      </c>
    </row>
    <row r="342" spans="1:15" x14ac:dyDescent="0.25">
      <c r="A342" s="20"/>
      <c r="B342" s="20"/>
      <c r="C342" s="20"/>
      <c r="D342" s="20"/>
      <c r="E342" s="20"/>
      <c r="F342" s="21"/>
      <c r="G342" s="20"/>
      <c r="H342" s="20"/>
      <c r="I342" s="20"/>
      <c r="J342" s="14" t="str">
        <f>IF($A342="","",SUMIFS(Movimientos!$F$5:$F$3004,Movimientos!$C$5:$C$3004,$A342,Movimientos!$B$5:$B$3004,"Entrada"))</f>
        <v/>
      </c>
      <c r="K342" s="14" t="str">
        <f>IF($A342="","",SUMIFS(Movimientos!$F$5:$F$3004,Movimientos!$C$5:$C$3004,$A342,Movimientos!$B$5:$B$3004,"Salida"))</f>
        <v/>
      </c>
      <c r="L342" s="14" t="str">
        <f t="shared" si="15"/>
        <v/>
      </c>
      <c r="M342" s="22" t="str">
        <f t="shared" si="16"/>
        <v/>
      </c>
      <c r="N342" s="23" t="str">
        <f t="shared" si="17"/>
        <v/>
      </c>
      <c r="O342" s="14" t="str">
        <f>IF(OR(N342="Reordenar",N342="Agotado"),COUNTIF($N$5:N342,"Reordenar")+COUNTIF($N$5:N342,"Agotado"),"")</f>
        <v/>
      </c>
    </row>
    <row r="343" spans="1:15" x14ac:dyDescent="0.25">
      <c r="A343" s="20"/>
      <c r="B343" s="20"/>
      <c r="C343" s="20"/>
      <c r="D343" s="20"/>
      <c r="E343" s="20"/>
      <c r="F343" s="21"/>
      <c r="G343" s="20"/>
      <c r="H343" s="20"/>
      <c r="I343" s="20"/>
      <c r="J343" s="14" t="str">
        <f>IF($A343="","",SUMIFS(Movimientos!$F$5:$F$3004,Movimientos!$C$5:$C$3004,$A343,Movimientos!$B$5:$B$3004,"Entrada"))</f>
        <v/>
      </c>
      <c r="K343" s="14" t="str">
        <f>IF($A343="","",SUMIFS(Movimientos!$F$5:$F$3004,Movimientos!$C$5:$C$3004,$A343,Movimientos!$B$5:$B$3004,"Salida"))</f>
        <v/>
      </c>
      <c r="L343" s="14" t="str">
        <f t="shared" si="15"/>
        <v/>
      </c>
      <c r="M343" s="22" t="str">
        <f t="shared" si="16"/>
        <v/>
      </c>
      <c r="N343" s="23" t="str">
        <f t="shared" si="17"/>
        <v/>
      </c>
      <c r="O343" s="14" t="str">
        <f>IF(OR(N343="Reordenar",N343="Agotado"),COUNTIF($N$5:N343,"Reordenar")+COUNTIF($N$5:N343,"Agotado"),"")</f>
        <v/>
      </c>
    </row>
    <row r="344" spans="1:15" x14ac:dyDescent="0.25">
      <c r="A344" s="20"/>
      <c r="B344" s="20"/>
      <c r="C344" s="20"/>
      <c r="D344" s="20"/>
      <c r="E344" s="20"/>
      <c r="F344" s="21"/>
      <c r="G344" s="20"/>
      <c r="H344" s="20"/>
      <c r="I344" s="20"/>
      <c r="J344" s="14" t="str">
        <f>IF($A344="","",SUMIFS(Movimientos!$F$5:$F$3004,Movimientos!$C$5:$C$3004,$A344,Movimientos!$B$5:$B$3004,"Entrada"))</f>
        <v/>
      </c>
      <c r="K344" s="14" t="str">
        <f>IF($A344="","",SUMIFS(Movimientos!$F$5:$F$3004,Movimientos!$C$5:$C$3004,$A344,Movimientos!$B$5:$B$3004,"Salida"))</f>
        <v/>
      </c>
      <c r="L344" s="14" t="str">
        <f t="shared" si="15"/>
        <v/>
      </c>
      <c r="M344" s="22" t="str">
        <f t="shared" si="16"/>
        <v/>
      </c>
      <c r="N344" s="23" t="str">
        <f t="shared" si="17"/>
        <v/>
      </c>
      <c r="O344" s="14" t="str">
        <f>IF(OR(N344="Reordenar",N344="Agotado"),COUNTIF($N$5:N344,"Reordenar")+COUNTIF($N$5:N344,"Agotado"),"")</f>
        <v/>
      </c>
    </row>
    <row r="345" spans="1:15" x14ac:dyDescent="0.25">
      <c r="A345" s="20"/>
      <c r="B345" s="20"/>
      <c r="C345" s="20"/>
      <c r="D345" s="20"/>
      <c r="E345" s="20"/>
      <c r="F345" s="21"/>
      <c r="G345" s="20"/>
      <c r="H345" s="20"/>
      <c r="I345" s="20"/>
      <c r="J345" s="14" t="str">
        <f>IF($A345="","",SUMIFS(Movimientos!$F$5:$F$3004,Movimientos!$C$5:$C$3004,$A345,Movimientos!$B$5:$B$3004,"Entrada"))</f>
        <v/>
      </c>
      <c r="K345" s="14" t="str">
        <f>IF($A345="","",SUMIFS(Movimientos!$F$5:$F$3004,Movimientos!$C$5:$C$3004,$A345,Movimientos!$B$5:$B$3004,"Salida"))</f>
        <v/>
      </c>
      <c r="L345" s="14" t="str">
        <f t="shared" si="15"/>
        <v/>
      </c>
      <c r="M345" s="22" t="str">
        <f t="shared" si="16"/>
        <v/>
      </c>
      <c r="N345" s="23" t="str">
        <f t="shared" si="17"/>
        <v/>
      </c>
      <c r="O345" s="14" t="str">
        <f>IF(OR(N345="Reordenar",N345="Agotado"),COUNTIF($N$5:N345,"Reordenar")+COUNTIF($N$5:N345,"Agotado"),"")</f>
        <v/>
      </c>
    </row>
    <row r="346" spans="1:15" x14ac:dyDescent="0.25">
      <c r="A346" s="20"/>
      <c r="B346" s="20"/>
      <c r="C346" s="20"/>
      <c r="D346" s="20"/>
      <c r="E346" s="20"/>
      <c r="F346" s="21"/>
      <c r="G346" s="20"/>
      <c r="H346" s="20"/>
      <c r="I346" s="20"/>
      <c r="J346" s="14" t="str">
        <f>IF($A346="","",SUMIFS(Movimientos!$F$5:$F$3004,Movimientos!$C$5:$C$3004,$A346,Movimientos!$B$5:$B$3004,"Entrada"))</f>
        <v/>
      </c>
      <c r="K346" s="14" t="str">
        <f>IF($A346="","",SUMIFS(Movimientos!$F$5:$F$3004,Movimientos!$C$5:$C$3004,$A346,Movimientos!$B$5:$B$3004,"Salida"))</f>
        <v/>
      </c>
      <c r="L346" s="14" t="str">
        <f t="shared" si="15"/>
        <v/>
      </c>
      <c r="M346" s="22" t="str">
        <f t="shared" si="16"/>
        <v/>
      </c>
      <c r="N346" s="23" t="str">
        <f t="shared" si="17"/>
        <v/>
      </c>
      <c r="O346" s="14" t="str">
        <f>IF(OR(N346="Reordenar",N346="Agotado"),COUNTIF($N$5:N346,"Reordenar")+COUNTIF($N$5:N346,"Agotado"),"")</f>
        <v/>
      </c>
    </row>
    <row r="347" spans="1:15" x14ac:dyDescent="0.25">
      <c r="A347" s="20"/>
      <c r="B347" s="20"/>
      <c r="C347" s="20"/>
      <c r="D347" s="20"/>
      <c r="E347" s="20"/>
      <c r="F347" s="21"/>
      <c r="G347" s="20"/>
      <c r="H347" s="20"/>
      <c r="I347" s="20"/>
      <c r="J347" s="14" t="str">
        <f>IF($A347="","",SUMIFS(Movimientos!$F$5:$F$3004,Movimientos!$C$5:$C$3004,$A347,Movimientos!$B$5:$B$3004,"Entrada"))</f>
        <v/>
      </c>
      <c r="K347" s="14" t="str">
        <f>IF($A347="","",SUMIFS(Movimientos!$F$5:$F$3004,Movimientos!$C$5:$C$3004,$A347,Movimientos!$B$5:$B$3004,"Salida"))</f>
        <v/>
      </c>
      <c r="L347" s="14" t="str">
        <f t="shared" si="15"/>
        <v/>
      </c>
      <c r="M347" s="22" t="str">
        <f t="shared" si="16"/>
        <v/>
      </c>
      <c r="N347" s="23" t="str">
        <f t="shared" si="17"/>
        <v/>
      </c>
      <c r="O347" s="14" t="str">
        <f>IF(OR(N347="Reordenar",N347="Agotado"),COUNTIF($N$5:N347,"Reordenar")+COUNTIF($N$5:N347,"Agotado"),"")</f>
        <v/>
      </c>
    </row>
    <row r="348" spans="1:15" x14ac:dyDescent="0.25">
      <c r="A348" s="20"/>
      <c r="B348" s="20"/>
      <c r="C348" s="20"/>
      <c r="D348" s="20"/>
      <c r="E348" s="20"/>
      <c r="F348" s="21"/>
      <c r="G348" s="20"/>
      <c r="H348" s="20"/>
      <c r="I348" s="20"/>
      <c r="J348" s="14" t="str">
        <f>IF($A348="","",SUMIFS(Movimientos!$F$5:$F$3004,Movimientos!$C$5:$C$3004,$A348,Movimientos!$B$5:$B$3004,"Entrada"))</f>
        <v/>
      </c>
      <c r="K348" s="14" t="str">
        <f>IF($A348="","",SUMIFS(Movimientos!$F$5:$F$3004,Movimientos!$C$5:$C$3004,$A348,Movimientos!$B$5:$B$3004,"Salida"))</f>
        <v/>
      </c>
      <c r="L348" s="14" t="str">
        <f t="shared" si="15"/>
        <v/>
      </c>
      <c r="M348" s="22" t="str">
        <f t="shared" si="16"/>
        <v/>
      </c>
      <c r="N348" s="23" t="str">
        <f t="shared" si="17"/>
        <v/>
      </c>
      <c r="O348" s="14" t="str">
        <f>IF(OR(N348="Reordenar",N348="Agotado"),COUNTIF($N$5:N348,"Reordenar")+COUNTIF($N$5:N348,"Agotado"),"")</f>
        <v/>
      </c>
    </row>
    <row r="349" spans="1:15" x14ac:dyDescent="0.25">
      <c r="A349" s="20"/>
      <c r="B349" s="20"/>
      <c r="C349" s="20"/>
      <c r="D349" s="20"/>
      <c r="E349" s="20"/>
      <c r="F349" s="21"/>
      <c r="G349" s="20"/>
      <c r="H349" s="20"/>
      <c r="I349" s="20"/>
      <c r="J349" s="14" t="str">
        <f>IF($A349="","",SUMIFS(Movimientos!$F$5:$F$3004,Movimientos!$C$5:$C$3004,$A349,Movimientos!$B$5:$B$3004,"Entrada"))</f>
        <v/>
      </c>
      <c r="K349" s="14" t="str">
        <f>IF($A349="","",SUMIFS(Movimientos!$F$5:$F$3004,Movimientos!$C$5:$C$3004,$A349,Movimientos!$B$5:$B$3004,"Salida"))</f>
        <v/>
      </c>
      <c r="L349" s="14" t="str">
        <f t="shared" si="15"/>
        <v/>
      </c>
      <c r="M349" s="22" t="str">
        <f t="shared" si="16"/>
        <v/>
      </c>
      <c r="N349" s="23" t="str">
        <f t="shared" si="17"/>
        <v/>
      </c>
      <c r="O349" s="14" t="str">
        <f>IF(OR(N349="Reordenar",N349="Agotado"),COUNTIF($N$5:N349,"Reordenar")+COUNTIF($N$5:N349,"Agotado"),"")</f>
        <v/>
      </c>
    </row>
    <row r="350" spans="1:15" x14ac:dyDescent="0.25">
      <c r="A350" s="20"/>
      <c r="B350" s="20"/>
      <c r="C350" s="20"/>
      <c r="D350" s="20"/>
      <c r="E350" s="20"/>
      <c r="F350" s="21"/>
      <c r="G350" s="20"/>
      <c r="H350" s="20"/>
      <c r="I350" s="20"/>
      <c r="J350" s="14" t="str">
        <f>IF($A350="","",SUMIFS(Movimientos!$F$5:$F$3004,Movimientos!$C$5:$C$3004,$A350,Movimientos!$B$5:$B$3004,"Entrada"))</f>
        <v/>
      </c>
      <c r="K350" s="14" t="str">
        <f>IF($A350="","",SUMIFS(Movimientos!$F$5:$F$3004,Movimientos!$C$5:$C$3004,$A350,Movimientos!$B$5:$B$3004,"Salida"))</f>
        <v/>
      </c>
      <c r="L350" s="14" t="str">
        <f t="shared" si="15"/>
        <v/>
      </c>
      <c r="M350" s="22" t="str">
        <f t="shared" si="16"/>
        <v/>
      </c>
      <c r="N350" s="23" t="str">
        <f t="shared" si="17"/>
        <v/>
      </c>
      <c r="O350" s="14" t="str">
        <f>IF(OR(N350="Reordenar",N350="Agotado"),COUNTIF($N$5:N350,"Reordenar")+COUNTIF($N$5:N350,"Agotado"),"")</f>
        <v/>
      </c>
    </row>
    <row r="351" spans="1:15" x14ac:dyDescent="0.25">
      <c r="A351" s="20"/>
      <c r="B351" s="20"/>
      <c r="C351" s="20"/>
      <c r="D351" s="20"/>
      <c r="E351" s="20"/>
      <c r="F351" s="21"/>
      <c r="G351" s="20"/>
      <c r="H351" s="20"/>
      <c r="I351" s="20"/>
      <c r="J351" s="14" t="str">
        <f>IF($A351="","",SUMIFS(Movimientos!$F$5:$F$3004,Movimientos!$C$5:$C$3004,$A351,Movimientos!$B$5:$B$3004,"Entrada"))</f>
        <v/>
      </c>
      <c r="K351" s="14" t="str">
        <f>IF($A351="","",SUMIFS(Movimientos!$F$5:$F$3004,Movimientos!$C$5:$C$3004,$A351,Movimientos!$B$5:$B$3004,"Salida"))</f>
        <v/>
      </c>
      <c r="L351" s="14" t="str">
        <f t="shared" si="15"/>
        <v/>
      </c>
      <c r="M351" s="22" t="str">
        <f t="shared" si="16"/>
        <v/>
      </c>
      <c r="N351" s="23" t="str">
        <f t="shared" si="17"/>
        <v/>
      </c>
      <c r="O351" s="14" t="str">
        <f>IF(OR(N351="Reordenar",N351="Agotado"),COUNTIF($N$5:N351,"Reordenar")+COUNTIF($N$5:N351,"Agotado"),"")</f>
        <v/>
      </c>
    </row>
    <row r="352" spans="1:15" x14ac:dyDescent="0.25">
      <c r="A352" s="20"/>
      <c r="B352" s="20"/>
      <c r="C352" s="20"/>
      <c r="D352" s="20"/>
      <c r="E352" s="20"/>
      <c r="F352" s="21"/>
      <c r="G352" s="20"/>
      <c r="H352" s="20"/>
      <c r="I352" s="20"/>
      <c r="J352" s="14" t="str">
        <f>IF($A352="","",SUMIFS(Movimientos!$F$5:$F$3004,Movimientos!$C$5:$C$3004,$A352,Movimientos!$B$5:$B$3004,"Entrada"))</f>
        <v/>
      </c>
      <c r="K352" s="14" t="str">
        <f>IF($A352="","",SUMIFS(Movimientos!$F$5:$F$3004,Movimientos!$C$5:$C$3004,$A352,Movimientos!$B$5:$B$3004,"Salida"))</f>
        <v/>
      </c>
      <c r="L352" s="14" t="str">
        <f t="shared" si="15"/>
        <v/>
      </c>
      <c r="M352" s="22" t="str">
        <f t="shared" si="16"/>
        <v/>
      </c>
      <c r="N352" s="23" t="str">
        <f t="shared" si="17"/>
        <v/>
      </c>
      <c r="O352" s="14" t="str">
        <f>IF(OR(N352="Reordenar",N352="Agotado"),COUNTIF($N$5:N352,"Reordenar")+COUNTIF($N$5:N352,"Agotado"),"")</f>
        <v/>
      </c>
    </row>
    <row r="353" spans="1:15" x14ac:dyDescent="0.25">
      <c r="A353" s="20"/>
      <c r="B353" s="20"/>
      <c r="C353" s="20"/>
      <c r="D353" s="20"/>
      <c r="E353" s="20"/>
      <c r="F353" s="21"/>
      <c r="G353" s="20"/>
      <c r="H353" s="20"/>
      <c r="I353" s="20"/>
      <c r="J353" s="14" t="str">
        <f>IF($A353="","",SUMIFS(Movimientos!$F$5:$F$3004,Movimientos!$C$5:$C$3004,$A353,Movimientos!$B$5:$B$3004,"Entrada"))</f>
        <v/>
      </c>
      <c r="K353" s="14" t="str">
        <f>IF($A353="","",SUMIFS(Movimientos!$F$5:$F$3004,Movimientos!$C$5:$C$3004,$A353,Movimientos!$B$5:$B$3004,"Salida"))</f>
        <v/>
      </c>
      <c r="L353" s="14" t="str">
        <f t="shared" si="15"/>
        <v/>
      </c>
      <c r="M353" s="22" t="str">
        <f t="shared" si="16"/>
        <v/>
      </c>
      <c r="N353" s="23" t="str">
        <f t="shared" si="17"/>
        <v/>
      </c>
      <c r="O353" s="14" t="str">
        <f>IF(OR(N353="Reordenar",N353="Agotado"),COUNTIF($N$5:N353,"Reordenar")+COUNTIF($N$5:N353,"Agotado"),"")</f>
        <v/>
      </c>
    </row>
    <row r="354" spans="1:15" x14ac:dyDescent="0.25">
      <c r="A354" s="20"/>
      <c r="B354" s="20"/>
      <c r="C354" s="20"/>
      <c r="D354" s="20"/>
      <c r="E354" s="20"/>
      <c r="F354" s="21"/>
      <c r="G354" s="20"/>
      <c r="H354" s="20"/>
      <c r="I354" s="20"/>
      <c r="J354" s="14" t="str">
        <f>IF($A354="","",SUMIFS(Movimientos!$F$5:$F$3004,Movimientos!$C$5:$C$3004,$A354,Movimientos!$B$5:$B$3004,"Entrada"))</f>
        <v/>
      </c>
      <c r="K354" s="14" t="str">
        <f>IF($A354="","",SUMIFS(Movimientos!$F$5:$F$3004,Movimientos!$C$5:$C$3004,$A354,Movimientos!$B$5:$B$3004,"Salida"))</f>
        <v/>
      </c>
      <c r="L354" s="14" t="str">
        <f t="shared" si="15"/>
        <v/>
      </c>
      <c r="M354" s="22" t="str">
        <f t="shared" si="16"/>
        <v/>
      </c>
      <c r="N354" s="23" t="str">
        <f t="shared" si="17"/>
        <v/>
      </c>
      <c r="O354" s="14" t="str">
        <f>IF(OR(N354="Reordenar",N354="Agotado"),COUNTIF($N$5:N354,"Reordenar")+COUNTIF($N$5:N354,"Agotado"),"")</f>
        <v/>
      </c>
    </row>
    <row r="355" spans="1:15" x14ac:dyDescent="0.25">
      <c r="A355" s="20"/>
      <c r="B355" s="20"/>
      <c r="C355" s="20"/>
      <c r="D355" s="20"/>
      <c r="E355" s="20"/>
      <c r="F355" s="21"/>
      <c r="G355" s="20"/>
      <c r="H355" s="20"/>
      <c r="I355" s="20"/>
      <c r="J355" s="14" t="str">
        <f>IF($A355="","",SUMIFS(Movimientos!$F$5:$F$3004,Movimientos!$C$5:$C$3004,$A355,Movimientos!$B$5:$B$3004,"Entrada"))</f>
        <v/>
      </c>
      <c r="K355" s="14" t="str">
        <f>IF($A355="","",SUMIFS(Movimientos!$F$5:$F$3004,Movimientos!$C$5:$C$3004,$A355,Movimientos!$B$5:$B$3004,"Salida"))</f>
        <v/>
      </c>
      <c r="L355" s="14" t="str">
        <f t="shared" si="15"/>
        <v/>
      </c>
      <c r="M355" s="22" t="str">
        <f t="shared" si="16"/>
        <v/>
      </c>
      <c r="N355" s="23" t="str">
        <f t="shared" si="17"/>
        <v/>
      </c>
      <c r="O355" s="14" t="str">
        <f>IF(OR(N355="Reordenar",N355="Agotado"),COUNTIF($N$5:N355,"Reordenar")+COUNTIF($N$5:N355,"Agotado"),"")</f>
        <v/>
      </c>
    </row>
    <row r="356" spans="1:15" x14ac:dyDescent="0.25">
      <c r="A356" s="20"/>
      <c r="B356" s="20"/>
      <c r="C356" s="20"/>
      <c r="D356" s="20"/>
      <c r="E356" s="20"/>
      <c r="F356" s="21"/>
      <c r="G356" s="20"/>
      <c r="H356" s="20"/>
      <c r="I356" s="20"/>
      <c r="J356" s="14" t="str">
        <f>IF($A356="","",SUMIFS(Movimientos!$F$5:$F$3004,Movimientos!$C$5:$C$3004,$A356,Movimientos!$B$5:$B$3004,"Entrada"))</f>
        <v/>
      </c>
      <c r="K356" s="14" t="str">
        <f>IF($A356="","",SUMIFS(Movimientos!$F$5:$F$3004,Movimientos!$C$5:$C$3004,$A356,Movimientos!$B$5:$B$3004,"Salida"))</f>
        <v/>
      </c>
      <c r="L356" s="14" t="str">
        <f t="shared" si="15"/>
        <v/>
      </c>
      <c r="M356" s="22" t="str">
        <f t="shared" si="16"/>
        <v/>
      </c>
      <c r="N356" s="23" t="str">
        <f t="shared" si="17"/>
        <v/>
      </c>
      <c r="O356" s="14" t="str">
        <f>IF(OR(N356="Reordenar",N356="Agotado"),COUNTIF($N$5:N356,"Reordenar")+COUNTIF($N$5:N356,"Agotado"),"")</f>
        <v/>
      </c>
    </row>
    <row r="357" spans="1:15" x14ac:dyDescent="0.25">
      <c r="A357" s="20"/>
      <c r="B357" s="20"/>
      <c r="C357" s="20"/>
      <c r="D357" s="20"/>
      <c r="E357" s="20"/>
      <c r="F357" s="21"/>
      <c r="G357" s="20"/>
      <c r="H357" s="20"/>
      <c r="I357" s="20"/>
      <c r="J357" s="14" t="str">
        <f>IF($A357="","",SUMIFS(Movimientos!$F$5:$F$3004,Movimientos!$C$5:$C$3004,$A357,Movimientos!$B$5:$B$3004,"Entrada"))</f>
        <v/>
      </c>
      <c r="K357" s="14" t="str">
        <f>IF($A357="","",SUMIFS(Movimientos!$F$5:$F$3004,Movimientos!$C$5:$C$3004,$A357,Movimientos!$B$5:$B$3004,"Salida"))</f>
        <v/>
      </c>
      <c r="L357" s="14" t="str">
        <f t="shared" si="15"/>
        <v/>
      </c>
      <c r="M357" s="22" t="str">
        <f t="shared" si="16"/>
        <v/>
      </c>
      <c r="N357" s="23" t="str">
        <f t="shared" si="17"/>
        <v/>
      </c>
      <c r="O357" s="14" t="str">
        <f>IF(OR(N357="Reordenar",N357="Agotado"),COUNTIF($N$5:N357,"Reordenar")+COUNTIF($N$5:N357,"Agotado"),"")</f>
        <v/>
      </c>
    </row>
    <row r="358" spans="1:15" x14ac:dyDescent="0.25">
      <c r="A358" s="20"/>
      <c r="B358" s="20"/>
      <c r="C358" s="20"/>
      <c r="D358" s="20"/>
      <c r="E358" s="20"/>
      <c r="F358" s="21"/>
      <c r="G358" s="20"/>
      <c r="H358" s="20"/>
      <c r="I358" s="20"/>
      <c r="J358" s="14" t="str">
        <f>IF($A358="","",SUMIFS(Movimientos!$F$5:$F$3004,Movimientos!$C$5:$C$3004,$A358,Movimientos!$B$5:$B$3004,"Entrada"))</f>
        <v/>
      </c>
      <c r="K358" s="14" t="str">
        <f>IF($A358="","",SUMIFS(Movimientos!$F$5:$F$3004,Movimientos!$C$5:$C$3004,$A358,Movimientos!$B$5:$B$3004,"Salida"))</f>
        <v/>
      </c>
      <c r="L358" s="14" t="str">
        <f t="shared" si="15"/>
        <v/>
      </c>
      <c r="M358" s="22" t="str">
        <f t="shared" si="16"/>
        <v/>
      </c>
      <c r="N358" s="23" t="str">
        <f t="shared" si="17"/>
        <v/>
      </c>
      <c r="O358" s="14" t="str">
        <f>IF(OR(N358="Reordenar",N358="Agotado"),COUNTIF($N$5:N358,"Reordenar")+COUNTIF($N$5:N358,"Agotado"),"")</f>
        <v/>
      </c>
    </row>
    <row r="359" spans="1:15" x14ac:dyDescent="0.25">
      <c r="A359" s="20"/>
      <c r="B359" s="20"/>
      <c r="C359" s="20"/>
      <c r="D359" s="20"/>
      <c r="E359" s="20"/>
      <c r="F359" s="21"/>
      <c r="G359" s="20"/>
      <c r="H359" s="20"/>
      <c r="I359" s="20"/>
      <c r="J359" s="14" t="str">
        <f>IF($A359="","",SUMIFS(Movimientos!$F$5:$F$3004,Movimientos!$C$5:$C$3004,$A359,Movimientos!$B$5:$B$3004,"Entrada"))</f>
        <v/>
      </c>
      <c r="K359" s="14" t="str">
        <f>IF($A359="","",SUMIFS(Movimientos!$F$5:$F$3004,Movimientos!$C$5:$C$3004,$A359,Movimientos!$B$5:$B$3004,"Salida"))</f>
        <v/>
      </c>
      <c r="L359" s="14" t="str">
        <f t="shared" si="15"/>
        <v/>
      </c>
      <c r="M359" s="22" t="str">
        <f t="shared" si="16"/>
        <v/>
      </c>
      <c r="N359" s="23" t="str">
        <f t="shared" si="17"/>
        <v/>
      </c>
      <c r="O359" s="14" t="str">
        <f>IF(OR(N359="Reordenar",N359="Agotado"),COUNTIF($N$5:N359,"Reordenar")+COUNTIF($N$5:N359,"Agotado"),"")</f>
        <v/>
      </c>
    </row>
    <row r="360" spans="1:15" x14ac:dyDescent="0.25">
      <c r="A360" s="20"/>
      <c r="B360" s="20"/>
      <c r="C360" s="20"/>
      <c r="D360" s="20"/>
      <c r="E360" s="20"/>
      <c r="F360" s="21"/>
      <c r="G360" s="20"/>
      <c r="H360" s="20"/>
      <c r="I360" s="20"/>
      <c r="J360" s="14" t="str">
        <f>IF($A360="","",SUMIFS(Movimientos!$F$5:$F$3004,Movimientos!$C$5:$C$3004,$A360,Movimientos!$B$5:$B$3004,"Entrada"))</f>
        <v/>
      </c>
      <c r="K360" s="14" t="str">
        <f>IF($A360="","",SUMIFS(Movimientos!$F$5:$F$3004,Movimientos!$C$5:$C$3004,$A360,Movimientos!$B$5:$B$3004,"Salida"))</f>
        <v/>
      </c>
      <c r="L360" s="14" t="str">
        <f t="shared" si="15"/>
        <v/>
      </c>
      <c r="M360" s="22" t="str">
        <f t="shared" si="16"/>
        <v/>
      </c>
      <c r="N360" s="23" t="str">
        <f t="shared" si="17"/>
        <v/>
      </c>
      <c r="O360" s="14" t="str">
        <f>IF(OR(N360="Reordenar",N360="Agotado"),COUNTIF($N$5:N360,"Reordenar")+COUNTIF($N$5:N360,"Agotado"),"")</f>
        <v/>
      </c>
    </row>
    <row r="361" spans="1:15" x14ac:dyDescent="0.25">
      <c r="A361" s="20"/>
      <c r="B361" s="20"/>
      <c r="C361" s="20"/>
      <c r="D361" s="20"/>
      <c r="E361" s="20"/>
      <c r="F361" s="21"/>
      <c r="G361" s="20"/>
      <c r="H361" s="20"/>
      <c r="I361" s="20"/>
      <c r="J361" s="14" t="str">
        <f>IF($A361="","",SUMIFS(Movimientos!$F$5:$F$3004,Movimientos!$C$5:$C$3004,$A361,Movimientos!$B$5:$B$3004,"Entrada"))</f>
        <v/>
      </c>
      <c r="K361" s="14" t="str">
        <f>IF($A361="","",SUMIFS(Movimientos!$F$5:$F$3004,Movimientos!$C$5:$C$3004,$A361,Movimientos!$B$5:$B$3004,"Salida"))</f>
        <v/>
      </c>
      <c r="L361" s="14" t="str">
        <f t="shared" si="15"/>
        <v/>
      </c>
      <c r="M361" s="22" t="str">
        <f t="shared" si="16"/>
        <v/>
      </c>
      <c r="N361" s="23" t="str">
        <f t="shared" si="17"/>
        <v/>
      </c>
      <c r="O361" s="14" t="str">
        <f>IF(OR(N361="Reordenar",N361="Agotado"),COUNTIF($N$5:N361,"Reordenar")+COUNTIF($N$5:N361,"Agotado"),"")</f>
        <v/>
      </c>
    </row>
    <row r="362" spans="1:15" x14ac:dyDescent="0.25">
      <c r="A362" s="20"/>
      <c r="B362" s="20"/>
      <c r="C362" s="20"/>
      <c r="D362" s="20"/>
      <c r="E362" s="20"/>
      <c r="F362" s="21"/>
      <c r="G362" s="20"/>
      <c r="H362" s="20"/>
      <c r="I362" s="20"/>
      <c r="J362" s="14" t="str">
        <f>IF($A362="","",SUMIFS(Movimientos!$F$5:$F$3004,Movimientos!$C$5:$C$3004,$A362,Movimientos!$B$5:$B$3004,"Entrada"))</f>
        <v/>
      </c>
      <c r="K362" s="14" t="str">
        <f>IF($A362="","",SUMIFS(Movimientos!$F$5:$F$3004,Movimientos!$C$5:$C$3004,$A362,Movimientos!$B$5:$B$3004,"Salida"))</f>
        <v/>
      </c>
      <c r="L362" s="14" t="str">
        <f t="shared" si="15"/>
        <v/>
      </c>
      <c r="M362" s="22" t="str">
        <f t="shared" si="16"/>
        <v/>
      </c>
      <c r="N362" s="23" t="str">
        <f t="shared" si="17"/>
        <v/>
      </c>
      <c r="O362" s="14" t="str">
        <f>IF(OR(N362="Reordenar",N362="Agotado"),COUNTIF($N$5:N362,"Reordenar")+COUNTIF($N$5:N362,"Agotado"),"")</f>
        <v/>
      </c>
    </row>
    <row r="363" spans="1:15" x14ac:dyDescent="0.25">
      <c r="A363" s="20"/>
      <c r="B363" s="20"/>
      <c r="C363" s="20"/>
      <c r="D363" s="20"/>
      <c r="E363" s="20"/>
      <c r="F363" s="21"/>
      <c r="G363" s="20"/>
      <c r="H363" s="20"/>
      <c r="I363" s="20"/>
      <c r="J363" s="14" t="str">
        <f>IF($A363="","",SUMIFS(Movimientos!$F$5:$F$3004,Movimientos!$C$5:$C$3004,$A363,Movimientos!$B$5:$B$3004,"Entrada"))</f>
        <v/>
      </c>
      <c r="K363" s="14" t="str">
        <f>IF($A363="","",SUMIFS(Movimientos!$F$5:$F$3004,Movimientos!$C$5:$C$3004,$A363,Movimientos!$B$5:$B$3004,"Salida"))</f>
        <v/>
      </c>
      <c r="L363" s="14" t="str">
        <f t="shared" si="15"/>
        <v/>
      </c>
      <c r="M363" s="22" t="str">
        <f t="shared" si="16"/>
        <v/>
      </c>
      <c r="N363" s="23" t="str">
        <f t="shared" si="17"/>
        <v/>
      </c>
      <c r="O363" s="14" t="str">
        <f>IF(OR(N363="Reordenar",N363="Agotado"),COUNTIF($N$5:N363,"Reordenar")+COUNTIF($N$5:N363,"Agotado"),"")</f>
        <v/>
      </c>
    </row>
    <row r="364" spans="1:15" x14ac:dyDescent="0.25">
      <c r="A364" s="20"/>
      <c r="B364" s="20"/>
      <c r="C364" s="20"/>
      <c r="D364" s="20"/>
      <c r="E364" s="20"/>
      <c r="F364" s="21"/>
      <c r="G364" s="20"/>
      <c r="H364" s="20"/>
      <c r="I364" s="20"/>
      <c r="J364" s="14" t="str">
        <f>IF($A364="","",SUMIFS(Movimientos!$F$5:$F$3004,Movimientos!$C$5:$C$3004,$A364,Movimientos!$B$5:$B$3004,"Entrada"))</f>
        <v/>
      </c>
      <c r="K364" s="14" t="str">
        <f>IF($A364="","",SUMIFS(Movimientos!$F$5:$F$3004,Movimientos!$C$5:$C$3004,$A364,Movimientos!$B$5:$B$3004,"Salida"))</f>
        <v/>
      </c>
      <c r="L364" s="14" t="str">
        <f t="shared" si="15"/>
        <v/>
      </c>
      <c r="M364" s="22" t="str">
        <f t="shared" si="16"/>
        <v/>
      </c>
      <c r="N364" s="23" t="str">
        <f t="shared" si="17"/>
        <v/>
      </c>
      <c r="O364" s="14" t="str">
        <f>IF(OR(N364="Reordenar",N364="Agotado"),COUNTIF($N$5:N364,"Reordenar")+COUNTIF($N$5:N364,"Agotado"),"")</f>
        <v/>
      </c>
    </row>
    <row r="365" spans="1:15" x14ac:dyDescent="0.25">
      <c r="A365" s="20"/>
      <c r="B365" s="20"/>
      <c r="C365" s="20"/>
      <c r="D365" s="20"/>
      <c r="E365" s="20"/>
      <c r="F365" s="21"/>
      <c r="G365" s="20"/>
      <c r="H365" s="20"/>
      <c r="I365" s="20"/>
      <c r="J365" s="14" t="str">
        <f>IF($A365="","",SUMIFS(Movimientos!$F$5:$F$3004,Movimientos!$C$5:$C$3004,$A365,Movimientos!$B$5:$B$3004,"Entrada"))</f>
        <v/>
      </c>
      <c r="K365" s="14" t="str">
        <f>IF($A365="","",SUMIFS(Movimientos!$F$5:$F$3004,Movimientos!$C$5:$C$3004,$A365,Movimientos!$B$5:$B$3004,"Salida"))</f>
        <v/>
      </c>
      <c r="L365" s="14" t="str">
        <f t="shared" si="15"/>
        <v/>
      </c>
      <c r="M365" s="22" t="str">
        <f t="shared" si="16"/>
        <v/>
      </c>
      <c r="N365" s="23" t="str">
        <f t="shared" si="17"/>
        <v/>
      </c>
      <c r="O365" s="14" t="str">
        <f>IF(OR(N365="Reordenar",N365="Agotado"),COUNTIF($N$5:N365,"Reordenar")+COUNTIF($N$5:N365,"Agotado"),"")</f>
        <v/>
      </c>
    </row>
    <row r="366" spans="1:15" x14ac:dyDescent="0.25">
      <c r="A366" s="20"/>
      <c r="B366" s="20"/>
      <c r="C366" s="20"/>
      <c r="D366" s="20"/>
      <c r="E366" s="20"/>
      <c r="F366" s="21"/>
      <c r="G366" s="20"/>
      <c r="H366" s="20"/>
      <c r="I366" s="20"/>
      <c r="J366" s="14" t="str">
        <f>IF($A366="","",SUMIFS(Movimientos!$F$5:$F$3004,Movimientos!$C$5:$C$3004,$A366,Movimientos!$B$5:$B$3004,"Entrada"))</f>
        <v/>
      </c>
      <c r="K366" s="14" t="str">
        <f>IF($A366="","",SUMIFS(Movimientos!$F$5:$F$3004,Movimientos!$C$5:$C$3004,$A366,Movimientos!$B$5:$B$3004,"Salida"))</f>
        <v/>
      </c>
      <c r="L366" s="14" t="str">
        <f t="shared" si="15"/>
        <v/>
      </c>
      <c r="M366" s="22" t="str">
        <f t="shared" si="16"/>
        <v/>
      </c>
      <c r="N366" s="23" t="str">
        <f t="shared" si="17"/>
        <v/>
      </c>
      <c r="O366" s="14" t="str">
        <f>IF(OR(N366="Reordenar",N366="Agotado"),COUNTIF($N$5:N366,"Reordenar")+COUNTIF($N$5:N366,"Agotado"),"")</f>
        <v/>
      </c>
    </row>
    <row r="367" spans="1:15" x14ac:dyDescent="0.25">
      <c r="A367" s="20"/>
      <c r="B367" s="20"/>
      <c r="C367" s="20"/>
      <c r="D367" s="20"/>
      <c r="E367" s="20"/>
      <c r="F367" s="21"/>
      <c r="G367" s="20"/>
      <c r="H367" s="20"/>
      <c r="I367" s="20"/>
      <c r="J367" s="14" t="str">
        <f>IF($A367="","",SUMIFS(Movimientos!$F$5:$F$3004,Movimientos!$C$5:$C$3004,$A367,Movimientos!$B$5:$B$3004,"Entrada"))</f>
        <v/>
      </c>
      <c r="K367" s="14" t="str">
        <f>IF($A367="","",SUMIFS(Movimientos!$F$5:$F$3004,Movimientos!$C$5:$C$3004,$A367,Movimientos!$B$5:$B$3004,"Salida"))</f>
        <v/>
      </c>
      <c r="L367" s="14" t="str">
        <f t="shared" si="15"/>
        <v/>
      </c>
      <c r="M367" s="22" t="str">
        <f t="shared" si="16"/>
        <v/>
      </c>
      <c r="N367" s="23" t="str">
        <f t="shared" si="17"/>
        <v/>
      </c>
      <c r="O367" s="14" t="str">
        <f>IF(OR(N367="Reordenar",N367="Agotado"),COUNTIF($N$5:N367,"Reordenar")+COUNTIF($N$5:N367,"Agotado"),"")</f>
        <v/>
      </c>
    </row>
    <row r="368" spans="1:15" x14ac:dyDescent="0.25">
      <c r="A368" s="20"/>
      <c r="B368" s="20"/>
      <c r="C368" s="20"/>
      <c r="D368" s="20"/>
      <c r="E368" s="20"/>
      <c r="F368" s="21"/>
      <c r="G368" s="20"/>
      <c r="H368" s="20"/>
      <c r="I368" s="20"/>
      <c r="J368" s="14" t="str">
        <f>IF($A368="","",SUMIFS(Movimientos!$F$5:$F$3004,Movimientos!$C$5:$C$3004,$A368,Movimientos!$B$5:$B$3004,"Entrada"))</f>
        <v/>
      </c>
      <c r="K368" s="14" t="str">
        <f>IF($A368="","",SUMIFS(Movimientos!$F$5:$F$3004,Movimientos!$C$5:$C$3004,$A368,Movimientos!$B$5:$B$3004,"Salida"))</f>
        <v/>
      </c>
      <c r="L368" s="14" t="str">
        <f t="shared" si="15"/>
        <v/>
      </c>
      <c r="M368" s="22" t="str">
        <f t="shared" si="16"/>
        <v/>
      </c>
      <c r="N368" s="23" t="str">
        <f t="shared" si="17"/>
        <v/>
      </c>
      <c r="O368" s="14" t="str">
        <f>IF(OR(N368="Reordenar",N368="Agotado"),COUNTIF($N$5:N368,"Reordenar")+COUNTIF($N$5:N368,"Agotado"),"")</f>
        <v/>
      </c>
    </row>
    <row r="369" spans="1:15" x14ac:dyDescent="0.25">
      <c r="A369" s="20"/>
      <c r="B369" s="20"/>
      <c r="C369" s="20"/>
      <c r="D369" s="20"/>
      <c r="E369" s="20"/>
      <c r="F369" s="21"/>
      <c r="G369" s="20"/>
      <c r="H369" s="20"/>
      <c r="I369" s="20"/>
      <c r="J369" s="14" t="str">
        <f>IF($A369="","",SUMIFS(Movimientos!$F$5:$F$3004,Movimientos!$C$5:$C$3004,$A369,Movimientos!$B$5:$B$3004,"Entrada"))</f>
        <v/>
      </c>
      <c r="K369" s="14" t="str">
        <f>IF($A369="","",SUMIFS(Movimientos!$F$5:$F$3004,Movimientos!$C$5:$C$3004,$A369,Movimientos!$B$5:$B$3004,"Salida"))</f>
        <v/>
      </c>
      <c r="L369" s="14" t="str">
        <f t="shared" si="15"/>
        <v/>
      </c>
      <c r="M369" s="22" t="str">
        <f t="shared" si="16"/>
        <v/>
      </c>
      <c r="N369" s="23" t="str">
        <f t="shared" si="17"/>
        <v/>
      </c>
      <c r="O369" s="14" t="str">
        <f>IF(OR(N369="Reordenar",N369="Agotado"),COUNTIF($N$5:N369,"Reordenar")+COUNTIF($N$5:N369,"Agotado"),"")</f>
        <v/>
      </c>
    </row>
    <row r="370" spans="1:15" x14ac:dyDescent="0.25">
      <c r="A370" s="20"/>
      <c r="B370" s="20"/>
      <c r="C370" s="20"/>
      <c r="D370" s="20"/>
      <c r="E370" s="20"/>
      <c r="F370" s="21"/>
      <c r="G370" s="20"/>
      <c r="H370" s="20"/>
      <c r="I370" s="20"/>
      <c r="J370" s="14" t="str">
        <f>IF($A370="","",SUMIFS(Movimientos!$F$5:$F$3004,Movimientos!$C$5:$C$3004,$A370,Movimientos!$B$5:$B$3004,"Entrada"))</f>
        <v/>
      </c>
      <c r="K370" s="14" t="str">
        <f>IF($A370="","",SUMIFS(Movimientos!$F$5:$F$3004,Movimientos!$C$5:$C$3004,$A370,Movimientos!$B$5:$B$3004,"Salida"))</f>
        <v/>
      </c>
      <c r="L370" s="14" t="str">
        <f t="shared" si="15"/>
        <v/>
      </c>
      <c r="M370" s="22" t="str">
        <f t="shared" si="16"/>
        <v/>
      </c>
      <c r="N370" s="23" t="str">
        <f t="shared" si="17"/>
        <v/>
      </c>
      <c r="O370" s="14" t="str">
        <f>IF(OR(N370="Reordenar",N370="Agotado"),COUNTIF($N$5:N370,"Reordenar")+COUNTIF($N$5:N370,"Agotado"),"")</f>
        <v/>
      </c>
    </row>
    <row r="371" spans="1:15" x14ac:dyDescent="0.25">
      <c r="A371" s="20"/>
      <c r="B371" s="20"/>
      <c r="C371" s="20"/>
      <c r="D371" s="20"/>
      <c r="E371" s="20"/>
      <c r="F371" s="21"/>
      <c r="G371" s="20"/>
      <c r="H371" s="20"/>
      <c r="I371" s="20"/>
      <c r="J371" s="14" t="str">
        <f>IF($A371="","",SUMIFS(Movimientos!$F$5:$F$3004,Movimientos!$C$5:$C$3004,$A371,Movimientos!$B$5:$B$3004,"Entrada"))</f>
        <v/>
      </c>
      <c r="K371" s="14" t="str">
        <f>IF($A371="","",SUMIFS(Movimientos!$F$5:$F$3004,Movimientos!$C$5:$C$3004,$A371,Movimientos!$B$5:$B$3004,"Salida"))</f>
        <v/>
      </c>
      <c r="L371" s="14" t="str">
        <f t="shared" si="15"/>
        <v/>
      </c>
      <c r="M371" s="22" t="str">
        <f t="shared" si="16"/>
        <v/>
      </c>
      <c r="N371" s="23" t="str">
        <f t="shared" si="17"/>
        <v/>
      </c>
      <c r="O371" s="14" t="str">
        <f>IF(OR(N371="Reordenar",N371="Agotado"),COUNTIF($N$5:N371,"Reordenar")+COUNTIF($N$5:N371,"Agotado"),"")</f>
        <v/>
      </c>
    </row>
    <row r="372" spans="1:15" x14ac:dyDescent="0.25">
      <c r="A372" s="20"/>
      <c r="B372" s="20"/>
      <c r="C372" s="20"/>
      <c r="D372" s="20"/>
      <c r="E372" s="20"/>
      <c r="F372" s="21"/>
      <c r="G372" s="20"/>
      <c r="H372" s="20"/>
      <c r="I372" s="20"/>
      <c r="J372" s="14" t="str">
        <f>IF($A372="","",SUMIFS(Movimientos!$F$5:$F$3004,Movimientos!$C$5:$C$3004,$A372,Movimientos!$B$5:$B$3004,"Entrada"))</f>
        <v/>
      </c>
      <c r="K372" s="14" t="str">
        <f>IF($A372="","",SUMIFS(Movimientos!$F$5:$F$3004,Movimientos!$C$5:$C$3004,$A372,Movimientos!$B$5:$B$3004,"Salida"))</f>
        <v/>
      </c>
      <c r="L372" s="14" t="str">
        <f t="shared" si="15"/>
        <v/>
      </c>
      <c r="M372" s="22" t="str">
        <f t="shared" si="16"/>
        <v/>
      </c>
      <c r="N372" s="23" t="str">
        <f t="shared" si="17"/>
        <v/>
      </c>
      <c r="O372" s="14" t="str">
        <f>IF(OR(N372="Reordenar",N372="Agotado"),COUNTIF($N$5:N372,"Reordenar")+COUNTIF($N$5:N372,"Agotado"),"")</f>
        <v/>
      </c>
    </row>
    <row r="373" spans="1:15" x14ac:dyDescent="0.25">
      <c r="A373" s="20"/>
      <c r="B373" s="20"/>
      <c r="C373" s="20"/>
      <c r="D373" s="20"/>
      <c r="E373" s="20"/>
      <c r="F373" s="21"/>
      <c r="G373" s="20"/>
      <c r="H373" s="20"/>
      <c r="I373" s="20"/>
      <c r="J373" s="14" t="str">
        <f>IF($A373="","",SUMIFS(Movimientos!$F$5:$F$3004,Movimientos!$C$5:$C$3004,$A373,Movimientos!$B$5:$B$3004,"Entrada"))</f>
        <v/>
      </c>
      <c r="K373" s="14" t="str">
        <f>IF($A373="","",SUMIFS(Movimientos!$F$5:$F$3004,Movimientos!$C$5:$C$3004,$A373,Movimientos!$B$5:$B$3004,"Salida"))</f>
        <v/>
      </c>
      <c r="L373" s="14" t="str">
        <f t="shared" si="15"/>
        <v/>
      </c>
      <c r="M373" s="22" t="str">
        <f t="shared" si="16"/>
        <v/>
      </c>
      <c r="N373" s="23" t="str">
        <f t="shared" si="17"/>
        <v/>
      </c>
      <c r="O373" s="14" t="str">
        <f>IF(OR(N373="Reordenar",N373="Agotado"),COUNTIF($N$5:N373,"Reordenar")+COUNTIF($N$5:N373,"Agotado"),"")</f>
        <v/>
      </c>
    </row>
    <row r="374" spans="1:15" x14ac:dyDescent="0.25">
      <c r="A374" s="20"/>
      <c r="B374" s="20"/>
      <c r="C374" s="20"/>
      <c r="D374" s="20"/>
      <c r="E374" s="20"/>
      <c r="F374" s="21"/>
      <c r="G374" s="20"/>
      <c r="H374" s="20"/>
      <c r="I374" s="20"/>
      <c r="J374" s="14" t="str">
        <f>IF($A374="","",SUMIFS(Movimientos!$F$5:$F$3004,Movimientos!$C$5:$C$3004,$A374,Movimientos!$B$5:$B$3004,"Entrada"))</f>
        <v/>
      </c>
      <c r="K374" s="14" t="str">
        <f>IF($A374="","",SUMIFS(Movimientos!$F$5:$F$3004,Movimientos!$C$5:$C$3004,$A374,Movimientos!$B$5:$B$3004,"Salida"))</f>
        <v/>
      </c>
      <c r="L374" s="14" t="str">
        <f t="shared" si="15"/>
        <v/>
      </c>
      <c r="M374" s="22" t="str">
        <f t="shared" si="16"/>
        <v/>
      </c>
      <c r="N374" s="23" t="str">
        <f t="shared" si="17"/>
        <v/>
      </c>
      <c r="O374" s="14" t="str">
        <f>IF(OR(N374="Reordenar",N374="Agotado"),COUNTIF($N$5:N374,"Reordenar")+COUNTIF($N$5:N374,"Agotado"),"")</f>
        <v/>
      </c>
    </row>
    <row r="375" spans="1:15" x14ac:dyDescent="0.25">
      <c r="A375" s="20"/>
      <c r="B375" s="20"/>
      <c r="C375" s="20"/>
      <c r="D375" s="20"/>
      <c r="E375" s="20"/>
      <c r="F375" s="21"/>
      <c r="G375" s="20"/>
      <c r="H375" s="20"/>
      <c r="I375" s="20"/>
      <c r="J375" s="14" t="str">
        <f>IF($A375="","",SUMIFS(Movimientos!$F$5:$F$3004,Movimientos!$C$5:$C$3004,$A375,Movimientos!$B$5:$B$3004,"Entrada"))</f>
        <v/>
      </c>
      <c r="K375" s="14" t="str">
        <f>IF($A375="","",SUMIFS(Movimientos!$F$5:$F$3004,Movimientos!$C$5:$C$3004,$A375,Movimientos!$B$5:$B$3004,"Salida"))</f>
        <v/>
      </c>
      <c r="L375" s="14" t="str">
        <f t="shared" si="15"/>
        <v/>
      </c>
      <c r="M375" s="22" t="str">
        <f t="shared" si="16"/>
        <v/>
      </c>
      <c r="N375" s="23" t="str">
        <f t="shared" si="17"/>
        <v/>
      </c>
      <c r="O375" s="14" t="str">
        <f>IF(OR(N375="Reordenar",N375="Agotado"),COUNTIF($N$5:N375,"Reordenar")+COUNTIF($N$5:N375,"Agotado"),"")</f>
        <v/>
      </c>
    </row>
    <row r="376" spans="1:15" x14ac:dyDescent="0.25">
      <c r="A376" s="20"/>
      <c r="B376" s="20"/>
      <c r="C376" s="20"/>
      <c r="D376" s="20"/>
      <c r="E376" s="20"/>
      <c r="F376" s="21"/>
      <c r="G376" s="20"/>
      <c r="H376" s="20"/>
      <c r="I376" s="20"/>
      <c r="J376" s="14" t="str">
        <f>IF($A376="","",SUMIFS(Movimientos!$F$5:$F$3004,Movimientos!$C$5:$C$3004,$A376,Movimientos!$B$5:$B$3004,"Entrada"))</f>
        <v/>
      </c>
      <c r="K376" s="14" t="str">
        <f>IF($A376="","",SUMIFS(Movimientos!$F$5:$F$3004,Movimientos!$C$5:$C$3004,$A376,Movimientos!$B$5:$B$3004,"Salida"))</f>
        <v/>
      </c>
      <c r="L376" s="14" t="str">
        <f t="shared" si="15"/>
        <v/>
      </c>
      <c r="M376" s="22" t="str">
        <f t="shared" si="16"/>
        <v/>
      </c>
      <c r="N376" s="23" t="str">
        <f t="shared" si="17"/>
        <v/>
      </c>
      <c r="O376" s="14" t="str">
        <f>IF(OR(N376="Reordenar",N376="Agotado"),COUNTIF($N$5:N376,"Reordenar")+COUNTIF($N$5:N376,"Agotado"),"")</f>
        <v/>
      </c>
    </row>
    <row r="377" spans="1:15" x14ac:dyDescent="0.25">
      <c r="A377" s="20"/>
      <c r="B377" s="20"/>
      <c r="C377" s="20"/>
      <c r="D377" s="20"/>
      <c r="E377" s="20"/>
      <c r="F377" s="21"/>
      <c r="G377" s="20"/>
      <c r="H377" s="20"/>
      <c r="I377" s="20"/>
      <c r="J377" s="14" t="str">
        <f>IF($A377="","",SUMIFS(Movimientos!$F$5:$F$3004,Movimientos!$C$5:$C$3004,$A377,Movimientos!$B$5:$B$3004,"Entrada"))</f>
        <v/>
      </c>
      <c r="K377" s="14" t="str">
        <f>IF($A377="","",SUMIFS(Movimientos!$F$5:$F$3004,Movimientos!$C$5:$C$3004,$A377,Movimientos!$B$5:$B$3004,"Salida"))</f>
        <v/>
      </c>
      <c r="L377" s="14" t="str">
        <f t="shared" si="15"/>
        <v/>
      </c>
      <c r="M377" s="22" t="str">
        <f t="shared" si="16"/>
        <v/>
      </c>
      <c r="N377" s="23" t="str">
        <f t="shared" si="17"/>
        <v/>
      </c>
      <c r="O377" s="14" t="str">
        <f>IF(OR(N377="Reordenar",N377="Agotado"),COUNTIF($N$5:N377,"Reordenar")+COUNTIF($N$5:N377,"Agotado"),"")</f>
        <v/>
      </c>
    </row>
    <row r="378" spans="1:15" x14ac:dyDescent="0.25">
      <c r="A378" s="20"/>
      <c r="B378" s="20"/>
      <c r="C378" s="20"/>
      <c r="D378" s="20"/>
      <c r="E378" s="20"/>
      <c r="F378" s="21"/>
      <c r="G378" s="20"/>
      <c r="H378" s="20"/>
      <c r="I378" s="20"/>
      <c r="J378" s="14" t="str">
        <f>IF($A378="","",SUMIFS(Movimientos!$F$5:$F$3004,Movimientos!$C$5:$C$3004,$A378,Movimientos!$B$5:$B$3004,"Entrada"))</f>
        <v/>
      </c>
      <c r="K378" s="14" t="str">
        <f>IF($A378="","",SUMIFS(Movimientos!$F$5:$F$3004,Movimientos!$C$5:$C$3004,$A378,Movimientos!$B$5:$B$3004,"Salida"))</f>
        <v/>
      </c>
      <c r="L378" s="14" t="str">
        <f t="shared" si="15"/>
        <v/>
      </c>
      <c r="M378" s="22" t="str">
        <f t="shared" si="16"/>
        <v/>
      </c>
      <c r="N378" s="23" t="str">
        <f t="shared" si="17"/>
        <v/>
      </c>
      <c r="O378" s="14" t="str">
        <f>IF(OR(N378="Reordenar",N378="Agotado"),COUNTIF($N$5:N378,"Reordenar")+COUNTIF($N$5:N378,"Agotado"),"")</f>
        <v/>
      </c>
    </row>
    <row r="379" spans="1:15" x14ac:dyDescent="0.25">
      <c r="A379" s="20"/>
      <c r="B379" s="20"/>
      <c r="C379" s="20"/>
      <c r="D379" s="20"/>
      <c r="E379" s="20"/>
      <c r="F379" s="21"/>
      <c r="G379" s="20"/>
      <c r="H379" s="20"/>
      <c r="I379" s="20"/>
      <c r="J379" s="14" t="str">
        <f>IF($A379="","",SUMIFS(Movimientos!$F$5:$F$3004,Movimientos!$C$5:$C$3004,$A379,Movimientos!$B$5:$B$3004,"Entrada"))</f>
        <v/>
      </c>
      <c r="K379" s="14" t="str">
        <f>IF($A379="","",SUMIFS(Movimientos!$F$5:$F$3004,Movimientos!$C$5:$C$3004,$A379,Movimientos!$B$5:$B$3004,"Salida"))</f>
        <v/>
      </c>
      <c r="L379" s="14" t="str">
        <f t="shared" si="15"/>
        <v/>
      </c>
      <c r="M379" s="22" t="str">
        <f t="shared" si="16"/>
        <v/>
      </c>
      <c r="N379" s="23" t="str">
        <f t="shared" si="17"/>
        <v/>
      </c>
      <c r="O379" s="14" t="str">
        <f>IF(OR(N379="Reordenar",N379="Agotado"),COUNTIF($N$5:N379,"Reordenar")+COUNTIF($N$5:N379,"Agotado"),"")</f>
        <v/>
      </c>
    </row>
    <row r="380" spans="1:15" x14ac:dyDescent="0.25">
      <c r="A380" s="20"/>
      <c r="B380" s="20"/>
      <c r="C380" s="20"/>
      <c r="D380" s="20"/>
      <c r="E380" s="20"/>
      <c r="F380" s="21"/>
      <c r="G380" s="20"/>
      <c r="H380" s="20"/>
      <c r="I380" s="20"/>
      <c r="J380" s="14" t="str">
        <f>IF($A380="","",SUMIFS(Movimientos!$F$5:$F$3004,Movimientos!$C$5:$C$3004,$A380,Movimientos!$B$5:$B$3004,"Entrada"))</f>
        <v/>
      </c>
      <c r="K380" s="14" t="str">
        <f>IF($A380="","",SUMIFS(Movimientos!$F$5:$F$3004,Movimientos!$C$5:$C$3004,$A380,Movimientos!$B$5:$B$3004,"Salida"))</f>
        <v/>
      </c>
      <c r="L380" s="14" t="str">
        <f t="shared" si="15"/>
        <v/>
      </c>
      <c r="M380" s="22" t="str">
        <f t="shared" si="16"/>
        <v/>
      </c>
      <c r="N380" s="23" t="str">
        <f t="shared" si="17"/>
        <v/>
      </c>
      <c r="O380" s="14" t="str">
        <f>IF(OR(N380="Reordenar",N380="Agotado"),COUNTIF($N$5:N380,"Reordenar")+COUNTIF($N$5:N380,"Agotado"),"")</f>
        <v/>
      </c>
    </row>
    <row r="381" spans="1:15" x14ac:dyDescent="0.25">
      <c r="A381" s="20"/>
      <c r="B381" s="20"/>
      <c r="C381" s="20"/>
      <c r="D381" s="20"/>
      <c r="E381" s="20"/>
      <c r="F381" s="21"/>
      <c r="G381" s="20"/>
      <c r="H381" s="20"/>
      <c r="I381" s="20"/>
      <c r="J381" s="14" t="str">
        <f>IF($A381="","",SUMIFS(Movimientos!$F$5:$F$3004,Movimientos!$C$5:$C$3004,$A381,Movimientos!$B$5:$B$3004,"Entrada"))</f>
        <v/>
      </c>
      <c r="K381" s="14" t="str">
        <f>IF($A381="","",SUMIFS(Movimientos!$F$5:$F$3004,Movimientos!$C$5:$C$3004,$A381,Movimientos!$B$5:$B$3004,"Salida"))</f>
        <v/>
      </c>
      <c r="L381" s="14" t="str">
        <f t="shared" si="15"/>
        <v/>
      </c>
      <c r="M381" s="22" t="str">
        <f t="shared" si="16"/>
        <v/>
      </c>
      <c r="N381" s="23" t="str">
        <f t="shared" si="17"/>
        <v/>
      </c>
      <c r="O381" s="14" t="str">
        <f>IF(OR(N381="Reordenar",N381="Agotado"),COUNTIF($N$5:N381,"Reordenar")+COUNTIF($N$5:N381,"Agotado"),"")</f>
        <v/>
      </c>
    </row>
    <row r="382" spans="1:15" x14ac:dyDescent="0.25">
      <c r="A382" s="20"/>
      <c r="B382" s="20"/>
      <c r="C382" s="20"/>
      <c r="D382" s="20"/>
      <c r="E382" s="20"/>
      <c r="F382" s="21"/>
      <c r="G382" s="20"/>
      <c r="H382" s="20"/>
      <c r="I382" s="20"/>
      <c r="J382" s="14" t="str">
        <f>IF($A382="","",SUMIFS(Movimientos!$F$5:$F$3004,Movimientos!$C$5:$C$3004,$A382,Movimientos!$B$5:$B$3004,"Entrada"))</f>
        <v/>
      </c>
      <c r="K382" s="14" t="str">
        <f>IF($A382="","",SUMIFS(Movimientos!$F$5:$F$3004,Movimientos!$C$5:$C$3004,$A382,Movimientos!$B$5:$B$3004,"Salida"))</f>
        <v/>
      </c>
      <c r="L382" s="14" t="str">
        <f t="shared" si="15"/>
        <v/>
      </c>
      <c r="M382" s="22" t="str">
        <f t="shared" si="16"/>
        <v/>
      </c>
      <c r="N382" s="23" t="str">
        <f t="shared" si="17"/>
        <v/>
      </c>
      <c r="O382" s="14" t="str">
        <f>IF(OR(N382="Reordenar",N382="Agotado"),COUNTIF($N$5:N382,"Reordenar")+COUNTIF($N$5:N382,"Agotado"),"")</f>
        <v/>
      </c>
    </row>
    <row r="383" spans="1:15" x14ac:dyDescent="0.25">
      <c r="A383" s="20"/>
      <c r="B383" s="20"/>
      <c r="C383" s="20"/>
      <c r="D383" s="20"/>
      <c r="E383" s="20"/>
      <c r="F383" s="21"/>
      <c r="G383" s="20"/>
      <c r="H383" s="20"/>
      <c r="I383" s="20"/>
      <c r="J383" s="14" t="str">
        <f>IF($A383="","",SUMIFS(Movimientos!$F$5:$F$3004,Movimientos!$C$5:$C$3004,$A383,Movimientos!$B$5:$B$3004,"Entrada"))</f>
        <v/>
      </c>
      <c r="K383" s="14" t="str">
        <f>IF($A383="","",SUMIFS(Movimientos!$F$5:$F$3004,Movimientos!$C$5:$C$3004,$A383,Movimientos!$B$5:$B$3004,"Salida"))</f>
        <v/>
      </c>
      <c r="L383" s="14" t="str">
        <f t="shared" si="15"/>
        <v/>
      </c>
      <c r="M383" s="22" t="str">
        <f t="shared" si="16"/>
        <v/>
      </c>
      <c r="N383" s="23" t="str">
        <f t="shared" si="17"/>
        <v/>
      </c>
      <c r="O383" s="14" t="str">
        <f>IF(OR(N383="Reordenar",N383="Agotado"),COUNTIF($N$5:N383,"Reordenar")+COUNTIF($N$5:N383,"Agotado"),"")</f>
        <v/>
      </c>
    </row>
    <row r="384" spans="1:15" x14ac:dyDescent="0.25">
      <c r="A384" s="20"/>
      <c r="B384" s="20"/>
      <c r="C384" s="20"/>
      <c r="D384" s="20"/>
      <c r="E384" s="20"/>
      <c r="F384" s="21"/>
      <c r="G384" s="20"/>
      <c r="H384" s="20"/>
      <c r="I384" s="20"/>
      <c r="J384" s="14" t="str">
        <f>IF($A384="","",SUMIFS(Movimientos!$F$5:$F$3004,Movimientos!$C$5:$C$3004,$A384,Movimientos!$B$5:$B$3004,"Entrada"))</f>
        <v/>
      </c>
      <c r="K384" s="14" t="str">
        <f>IF($A384="","",SUMIFS(Movimientos!$F$5:$F$3004,Movimientos!$C$5:$C$3004,$A384,Movimientos!$B$5:$B$3004,"Salida"))</f>
        <v/>
      </c>
      <c r="L384" s="14" t="str">
        <f t="shared" si="15"/>
        <v/>
      </c>
      <c r="M384" s="22" t="str">
        <f t="shared" si="16"/>
        <v/>
      </c>
      <c r="N384" s="23" t="str">
        <f t="shared" si="17"/>
        <v/>
      </c>
      <c r="O384" s="14" t="str">
        <f>IF(OR(N384="Reordenar",N384="Agotado"),COUNTIF($N$5:N384,"Reordenar")+COUNTIF($N$5:N384,"Agotado"),"")</f>
        <v/>
      </c>
    </row>
    <row r="385" spans="1:15" x14ac:dyDescent="0.25">
      <c r="A385" s="20"/>
      <c r="B385" s="20"/>
      <c r="C385" s="20"/>
      <c r="D385" s="20"/>
      <c r="E385" s="20"/>
      <c r="F385" s="21"/>
      <c r="G385" s="20"/>
      <c r="H385" s="20"/>
      <c r="I385" s="20"/>
      <c r="J385" s="14" t="str">
        <f>IF($A385="","",SUMIFS(Movimientos!$F$5:$F$3004,Movimientos!$C$5:$C$3004,$A385,Movimientos!$B$5:$B$3004,"Entrada"))</f>
        <v/>
      </c>
      <c r="K385" s="14" t="str">
        <f>IF($A385="","",SUMIFS(Movimientos!$F$5:$F$3004,Movimientos!$C$5:$C$3004,$A385,Movimientos!$B$5:$B$3004,"Salida"))</f>
        <v/>
      </c>
      <c r="L385" s="14" t="str">
        <f t="shared" si="15"/>
        <v/>
      </c>
      <c r="M385" s="22" t="str">
        <f t="shared" si="16"/>
        <v/>
      </c>
      <c r="N385" s="23" t="str">
        <f t="shared" si="17"/>
        <v/>
      </c>
      <c r="O385" s="14" t="str">
        <f>IF(OR(N385="Reordenar",N385="Agotado"),COUNTIF($N$5:N385,"Reordenar")+COUNTIF($N$5:N385,"Agotado"),"")</f>
        <v/>
      </c>
    </row>
    <row r="386" spans="1:15" x14ac:dyDescent="0.25">
      <c r="A386" s="20"/>
      <c r="B386" s="20"/>
      <c r="C386" s="20"/>
      <c r="D386" s="20"/>
      <c r="E386" s="20"/>
      <c r="F386" s="21"/>
      <c r="G386" s="20"/>
      <c r="H386" s="20"/>
      <c r="I386" s="20"/>
      <c r="J386" s="14" t="str">
        <f>IF($A386="","",SUMIFS(Movimientos!$F$5:$F$3004,Movimientos!$C$5:$C$3004,$A386,Movimientos!$B$5:$B$3004,"Entrada"))</f>
        <v/>
      </c>
      <c r="K386" s="14" t="str">
        <f>IF($A386="","",SUMIFS(Movimientos!$F$5:$F$3004,Movimientos!$C$5:$C$3004,$A386,Movimientos!$B$5:$B$3004,"Salida"))</f>
        <v/>
      </c>
      <c r="L386" s="14" t="str">
        <f t="shared" si="15"/>
        <v/>
      </c>
      <c r="M386" s="22" t="str">
        <f t="shared" si="16"/>
        <v/>
      </c>
      <c r="N386" s="23" t="str">
        <f t="shared" si="17"/>
        <v/>
      </c>
      <c r="O386" s="14" t="str">
        <f>IF(OR(N386="Reordenar",N386="Agotado"),COUNTIF($N$5:N386,"Reordenar")+COUNTIF($N$5:N386,"Agotado"),"")</f>
        <v/>
      </c>
    </row>
    <row r="387" spans="1:15" x14ac:dyDescent="0.25">
      <c r="A387" s="20"/>
      <c r="B387" s="20"/>
      <c r="C387" s="20"/>
      <c r="D387" s="20"/>
      <c r="E387" s="20"/>
      <c r="F387" s="21"/>
      <c r="G387" s="20"/>
      <c r="H387" s="20"/>
      <c r="I387" s="20"/>
      <c r="J387" s="14" t="str">
        <f>IF($A387="","",SUMIFS(Movimientos!$F$5:$F$3004,Movimientos!$C$5:$C$3004,$A387,Movimientos!$B$5:$B$3004,"Entrada"))</f>
        <v/>
      </c>
      <c r="K387" s="14" t="str">
        <f>IF($A387="","",SUMIFS(Movimientos!$F$5:$F$3004,Movimientos!$C$5:$C$3004,$A387,Movimientos!$B$5:$B$3004,"Salida"))</f>
        <v/>
      </c>
      <c r="L387" s="14" t="str">
        <f t="shared" si="15"/>
        <v/>
      </c>
      <c r="M387" s="22" t="str">
        <f t="shared" si="16"/>
        <v/>
      </c>
      <c r="N387" s="23" t="str">
        <f t="shared" si="17"/>
        <v/>
      </c>
      <c r="O387" s="14" t="str">
        <f>IF(OR(N387="Reordenar",N387="Agotado"),COUNTIF($N$5:N387,"Reordenar")+COUNTIF($N$5:N387,"Agotado"),"")</f>
        <v/>
      </c>
    </row>
    <row r="388" spans="1:15" x14ac:dyDescent="0.25">
      <c r="A388" s="20"/>
      <c r="B388" s="20"/>
      <c r="C388" s="20"/>
      <c r="D388" s="20"/>
      <c r="E388" s="20"/>
      <c r="F388" s="21"/>
      <c r="G388" s="20"/>
      <c r="H388" s="20"/>
      <c r="I388" s="20"/>
      <c r="J388" s="14" t="str">
        <f>IF($A388="","",SUMIFS(Movimientos!$F$5:$F$3004,Movimientos!$C$5:$C$3004,$A388,Movimientos!$B$5:$B$3004,"Entrada"))</f>
        <v/>
      </c>
      <c r="K388" s="14" t="str">
        <f>IF($A388="","",SUMIFS(Movimientos!$F$5:$F$3004,Movimientos!$C$5:$C$3004,$A388,Movimientos!$B$5:$B$3004,"Salida"))</f>
        <v/>
      </c>
      <c r="L388" s="14" t="str">
        <f t="shared" si="15"/>
        <v/>
      </c>
      <c r="M388" s="22" t="str">
        <f t="shared" si="16"/>
        <v/>
      </c>
      <c r="N388" s="23" t="str">
        <f t="shared" si="17"/>
        <v/>
      </c>
      <c r="O388" s="14" t="str">
        <f>IF(OR(N388="Reordenar",N388="Agotado"),COUNTIF($N$5:N388,"Reordenar")+COUNTIF($N$5:N388,"Agotado"),"")</f>
        <v/>
      </c>
    </row>
    <row r="389" spans="1:15" x14ac:dyDescent="0.25">
      <c r="A389" s="20"/>
      <c r="B389" s="20"/>
      <c r="C389" s="20"/>
      <c r="D389" s="20"/>
      <c r="E389" s="20"/>
      <c r="F389" s="21"/>
      <c r="G389" s="20"/>
      <c r="H389" s="20"/>
      <c r="I389" s="20"/>
      <c r="J389" s="14" t="str">
        <f>IF($A389="","",SUMIFS(Movimientos!$F$5:$F$3004,Movimientos!$C$5:$C$3004,$A389,Movimientos!$B$5:$B$3004,"Entrada"))</f>
        <v/>
      </c>
      <c r="K389" s="14" t="str">
        <f>IF($A389="","",SUMIFS(Movimientos!$F$5:$F$3004,Movimientos!$C$5:$C$3004,$A389,Movimientos!$B$5:$B$3004,"Salida"))</f>
        <v/>
      </c>
      <c r="L389" s="14" t="str">
        <f t="shared" ref="L389:L452" si="18">IF($A389="","",N(I389)+J389-K389)</f>
        <v/>
      </c>
      <c r="M389" s="22" t="str">
        <f t="shared" ref="M389:M452" si="19">IF($A389="","",L389*N(F389))</f>
        <v/>
      </c>
      <c r="N389" s="23" t="str">
        <f t="shared" ref="N389:N452" si="20">IF($A389="","",IF(L389&lt;=0,"Agotado",IF(AND(N(G389)&gt;0,L389&lt;=G389),"Reordenar","OK")))</f>
        <v/>
      </c>
      <c r="O389" s="14" t="str">
        <f>IF(OR(N389="Reordenar",N389="Agotado"),COUNTIF($N$5:N389,"Reordenar")+COUNTIF($N$5:N389,"Agotado"),"")</f>
        <v/>
      </c>
    </row>
    <row r="390" spans="1:15" x14ac:dyDescent="0.25">
      <c r="A390" s="20"/>
      <c r="B390" s="20"/>
      <c r="C390" s="20"/>
      <c r="D390" s="20"/>
      <c r="E390" s="20"/>
      <c r="F390" s="21"/>
      <c r="G390" s="20"/>
      <c r="H390" s="20"/>
      <c r="I390" s="20"/>
      <c r="J390" s="14" t="str">
        <f>IF($A390="","",SUMIFS(Movimientos!$F$5:$F$3004,Movimientos!$C$5:$C$3004,$A390,Movimientos!$B$5:$B$3004,"Entrada"))</f>
        <v/>
      </c>
      <c r="K390" s="14" t="str">
        <f>IF($A390="","",SUMIFS(Movimientos!$F$5:$F$3004,Movimientos!$C$5:$C$3004,$A390,Movimientos!$B$5:$B$3004,"Salida"))</f>
        <v/>
      </c>
      <c r="L390" s="14" t="str">
        <f t="shared" si="18"/>
        <v/>
      </c>
      <c r="M390" s="22" t="str">
        <f t="shared" si="19"/>
        <v/>
      </c>
      <c r="N390" s="23" t="str">
        <f t="shared" si="20"/>
        <v/>
      </c>
      <c r="O390" s="14" t="str">
        <f>IF(OR(N390="Reordenar",N390="Agotado"),COUNTIF($N$5:N390,"Reordenar")+COUNTIF($N$5:N390,"Agotado"),"")</f>
        <v/>
      </c>
    </row>
    <row r="391" spans="1:15" x14ac:dyDescent="0.25">
      <c r="A391" s="20"/>
      <c r="B391" s="20"/>
      <c r="C391" s="20"/>
      <c r="D391" s="20"/>
      <c r="E391" s="20"/>
      <c r="F391" s="21"/>
      <c r="G391" s="20"/>
      <c r="H391" s="20"/>
      <c r="I391" s="20"/>
      <c r="J391" s="14" t="str">
        <f>IF($A391="","",SUMIFS(Movimientos!$F$5:$F$3004,Movimientos!$C$5:$C$3004,$A391,Movimientos!$B$5:$B$3004,"Entrada"))</f>
        <v/>
      </c>
      <c r="K391" s="14" t="str">
        <f>IF($A391="","",SUMIFS(Movimientos!$F$5:$F$3004,Movimientos!$C$5:$C$3004,$A391,Movimientos!$B$5:$B$3004,"Salida"))</f>
        <v/>
      </c>
      <c r="L391" s="14" t="str">
        <f t="shared" si="18"/>
        <v/>
      </c>
      <c r="M391" s="22" t="str">
        <f t="shared" si="19"/>
        <v/>
      </c>
      <c r="N391" s="23" t="str">
        <f t="shared" si="20"/>
        <v/>
      </c>
      <c r="O391" s="14" t="str">
        <f>IF(OR(N391="Reordenar",N391="Agotado"),COUNTIF($N$5:N391,"Reordenar")+COUNTIF($N$5:N391,"Agotado"),"")</f>
        <v/>
      </c>
    </row>
    <row r="392" spans="1:15" x14ac:dyDescent="0.25">
      <c r="A392" s="20"/>
      <c r="B392" s="20"/>
      <c r="C392" s="20"/>
      <c r="D392" s="20"/>
      <c r="E392" s="20"/>
      <c r="F392" s="21"/>
      <c r="G392" s="20"/>
      <c r="H392" s="20"/>
      <c r="I392" s="20"/>
      <c r="J392" s="14" t="str">
        <f>IF($A392="","",SUMIFS(Movimientos!$F$5:$F$3004,Movimientos!$C$5:$C$3004,$A392,Movimientos!$B$5:$B$3004,"Entrada"))</f>
        <v/>
      </c>
      <c r="K392" s="14" t="str">
        <f>IF($A392="","",SUMIFS(Movimientos!$F$5:$F$3004,Movimientos!$C$5:$C$3004,$A392,Movimientos!$B$5:$B$3004,"Salida"))</f>
        <v/>
      </c>
      <c r="L392" s="14" t="str">
        <f t="shared" si="18"/>
        <v/>
      </c>
      <c r="M392" s="22" t="str">
        <f t="shared" si="19"/>
        <v/>
      </c>
      <c r="N392" s="23" t="str">
        <f t="shared" si="20"/>
        <v/>
      </c>
      <c r="O392" s="14" t="str">
        <f>IF(OR(N392="Reordenar",N392="Agotado"),COUNTIF($N$5:N392,"Reordenar")+COUNTIF($N$5:N392,"Agotado"),"")</f>
        <v/>
      </c>
    </row>
    <row r="393" spans="1:15" x14ac:dyDescent="0.25">
      <c r="A393" s="20"/>
      <c r="B393" s="20"/>
      <c r="C393" s="20"/>
      <c r="D393" s="20"/>
      <c r="E393" s="20"/>
      <c r="F393" s="21"/>
      <c r="G393" s="20"/>
      <c r="H393" s="20"/>
      <c r="I393" s="20"/>
      <c r="J393" s="14" t="str">
        <f>IF($A393="","",SUMIFS(Movimientos!$F$5:$F$3004,Movimientos!$C$5:$C$3004,$A393,Movimientos!$B$5:$B$3004,"Entrada"))</f>
        <v/>
      </c>
      <c r="K393" s="14" t="str">
        <f>IF($A393="","",SUMIFS(Movimientos!$F$5:$F$3004,Movimientos!$C$5:$C$3004,$A393,Movimientos!$B$5:$B$3004,"Salida"))</f>
        <v/>
      </c>
      <c r="L393" s="14" t="str">
        <f t="shared" si="18"/>
        <v/>
      </c>
      <c r="M393" s="22" t="str">
        <f t="shared" si="19"/>
        <v/>
      </c>
      <c r="N393" s="23" t="str">
        <f t="shared" si="20"/>
        <v/>
      </c>
      <c r="O393" s="14" t="str">
        <f>IF(OR(N393="Reordenar",N393="Agotado"),COUNTIF($N$5:N393,"Reordenar")+COUNTIF($N$5:N393,"Agotado"),"")</f>
        <v/>
      </c>
    </row>
    <row r="394" spans="1:15" x14ac:dyDescent="0.25">
      <c r="A394" s="20"/>
      <c r="B394" s="20"/>
      <c r="C394" s="20"/>
      <c r="D394" s="20"/>
      <c r="E394" s="20"/>
      <c r="F394" s="21"/>
      <c r="G394" s="20"/>
      <c r="H394" s="20"/>
      <c r="I394" s="20"/>
      <c r="J394" s="14" t="str">
        <f>IF($A394="","",SUMIFS(Movimientos!$F$5:$F$3004,Movimientos!$C$5:$C$3004,$A394,Movimientos!$B$5:$B$3004,"Entrada"))</f>
        <v/>
      </c>
      <c r="K394" s="14" t="str">
        <f>IF($A394="","",SUMIFS(Movimientos!$F$5:$F$3004,Movimientos!$C$5:$C$3004,$A394,Movimientos!$B$5:$B$3004,"Salida"))</f>
        <v/>
      </c>
      <c r="L394" s="14" t="str">
        <f t="shared" si="18"/>
        <v/>
      </c>
      <c r="M394" s="22" t="str">
        <f t="shared" si="19"/>
        <v/>
      </c>
      <c r="N394" s="23" t="str">
        <f t="shared" si="20"/>
        <v/>
      </c>
      <c r="O394" s="14" t="str">
        <f>IF(OR(N394="Reordenar",N394="Agotado"),COUNTIF($N$5:N394,"Reordenar")+COUNTIF($N$5:N394,"Agotado"),"")</f>
        <v/>
      </c>
    </row>
    <row r="395" spans="1:15" x14ac:dyDescent="0.25">
      <c r="A395" s="20"/>
      <c r="B395" s="20"/>
      <c r="C395" s="20"/>
      <c r="D395" s="20"/>
      <c r="E395" s="20"/>
      <c r="F395" s="21"/>
      <c r="G395" s="20"/>
      <c r="H395" s="20"/>
      <c r="I395" s="20"/>
      <c r="J395" s="14" t="str">
        <f>IF($A395="","",SUMIFS(Movimientos!$F$5:$F$3004,Movimientos!$C$5:$C$3004,$A395,Movimientos!$B$5:$B$3004,"Entrada"))</f>
        <v/>
      </c>
      <c r="K395" s="14" t="str">
        <f>IF($A395="","",SUMIFS(Movimientos!$F$5:$F$3004,Movimientos!$C$5:$C$3004,$A395,Movimientos!$B$5:$B$3004,"Salida"))</f>
        <v/>
      </c>
      <c r="L395" s="14" t="str">
        <f t="shared" si="18"/>
        <v/>
      </c>
      <c r="M395" s="22" t="str">
        <f t="shared" si="19"/>
        <v/>
      </c>
      <c r="N395" s="23" t="str">
        <f t="shared" si="20"/>
        <v/>
      </c>
      <c r="O395" s="14" t="str">
        <f>IF(OR(N395="Reordenar",N395="Agotado"),COUNTIF($N$5:N395,"Reordenar")+COUNTIF($N$5:N395,"Agotado"),"")</f>
        <v/>
      </c>
    </row>
    <row r="396" spans="1:15" x14ac:dyDescent="0.25">
      <c r="A396" s="20"/>
      <c r="B396" s="20"/>
      <c r="C396" s="20"/>
      <c r="D396" s="20"/>
      <c r="E396" s="20"/>
      <c r="F396" s="21"/>
      <c r="G396" s="20"/>
      <c r="H396" s="20"/>
      <c r="I396" s="20"/>
      <c r="J396" s="14" t="str">
        <f>IF($A396="","",SUMIFS(Movimientos!$F$5:$F$3004,Movimientos!$C$5:$C$3004,$A396,Movimientos!$B$5:$B$3004,"Entrada"))</f>
        <v/>
      </c>
      <c r="K396" s="14" t="str">
        <f>IF($A396="","",SUMIFS(Movimientos!$F$5:$F$3004,Movimientos!$C$5:$C$3004,$A396,Movimientos!$B$5:$B$3004,"Salida"))</f>
        <v/>
      </c>
      <c r="L396" s="14" t="str">
        <f t="shared" si="18"/>
        <v/>
      </c>
      <c r="M396" s="22" t="str">
        <f t="shared" si="19"/>
        <v/>
      </c>
      <c r="N396" s="23" t="str">
        <f t="shared" si="20"/>
        <v/>
      </c>
      <c r="O396" s="14" t="str">
        <f>IF(OR(N396="Reordenar",N396="Agotado"),COUNTIF($N$5:N396,"Reordenar")+COUNTIF($N$5:N396,"Agotado"),"")</f>
        <v/>
      </c>
    </row>
    <row r="397" spans="1:15" x14ac:dyDescent="0.25">
      <c r="A397" s="20"/>
      <c r="B397" s="20"/>
      <c r="C397" s="20"/>
      <c r="D397" s="20"/>
      <c r="E397" s="20"/>
      <c r="F397" s="21"/>
      <c r="G397" s="20"/>
      <c r="H397" s="20"/>
      <c r="I397" s="20"/>
      <c r="J397" s="14" t="str">
        <f>IF($A397="","",SUMIFS(Movimientos!$F$5:$F$3004,Movimientos!$C$5:$C$3004,$A397,Movimientos!$B$5:$B$3004,"Entrada"))</f>
        <v/>
      </c>
      <c r="K397" s="14" t="str">
        <f>IF($A397="","",SUMIFS(Movimientos!$F$5:$F$3004,Movimientos!$C$5:$C$3004,$A397,Movimientos!$B$5:$B$3004,"Salida"))</f>
        <v/>
      </c>
      <c r="L397" s="14" t="str">
        <f t="shared" si="18"/>
        <v/>
      </c>
      <c r="M397" s="22" t="str">
        <f t="shared" si="19"/>
        <v/>
      </c>
      <c r="N397" s="23" t="str">
        <f t="shared" si="20"/>
        <v/>
      </c>
      <c r="O397" s="14" t="str">
        <f>IF(OR(N397="Reordenar",N397="Agotado"),COUNTIF($N$5:N397,"Reordenar")+COUNTIF($N$5:N397,"Agotado"),"")</f>
        <v/>
      </c>
    </row>
    <row r="398" spans="1:15" x14ac:dyDescent="0.25">
      <c r="A398" s="20"/>
      <c r="B398" s="20"/>
      <c r="C398" s="20"/>
      <c r="D398" s="20"/>
      <c r="E398" s="20"/>
      <c r="F398" s="21"/>
      <c r="G398" s="20"/>
      <c r="H398" s="20"/>
      <c r="I398" s="20"/>
      <c r="J398" s="14" t="str">
        <f>IF($A398="","",SUMIFS(Movimientos!$F$5:$F$3004,Movimientos!$C$5:$C$3004,$A398,Movimientos!$B$5:$B$3004,"Entrada"))</f>
        <v/>
      </c>
      <c r="K398" s="14" t="str">
        <f>IF($A398="","",SUMIFS(Movimientos!$F$5:$F$3004,Movimientos!$C$5:$C$3004,$A398,Movimientos!$B$5:$B$3004,"Salida"))</f>
        <v/>
      </c>
      <c r="L398" s="14" t="str">
        <f t="shared" si="18"/>
        <v/>
      </c>
      <c r="M398" s="22" t="str">
        <f t="shared" si="19"/>
        <v/>
      </c>
      <c r="N398" s="23" t="str">
        <f t="shared" si="20"/>
        <v/>
      </c>
      <c r="O398" s="14" t="str">
        <f>IF(OR(N398="Reordenar",N398="Agotado"),COUNTIF($N$5:N398,"Reordenar")+COUNTIF($N$5:N398,"Agotado"),"")</f>
        <v/>
      </c>
    </row>
    <row r="399" spans="1:15" x14ac:dyDescent="0.25">
      <c r="A399" s="20"/>
      <c r="B399" s="20"/>
      <c r="C399" s="20"/>
      <c r="D399" s="20"/>
      <c r="E399" s="20"/>
      <c r="F399" s="21"/>
      <c r="G399" s="20"/>
      <c r="H399" s="20"/>
      <c r="I399" s="20"/>
      <c r="J399" s="14" t="str">
        <f>IF($A399="","",SUMIFS(Movimientos!$F$5:$F$3004,Movimientos!$C$5:$C$3004,$A399,Movimientos!$B$5:$B$3004,"Entrada"))</f>
        <v/>
      </c>
      <c r="K399" s="14" t="str">
        <f>IF($A399="","",SUMIFS(Movimientos!$F$5:$F$3004,Movimientos!$C$5:$C$3004,$A399,Movimientos!$B$5:$B$3004,"Salida"))</f>
        <v/>
      </c>
      <c r="L399" s="14" t="str">
        <f t="shared" si="18"/>
        <v/>
      </c>
      <c r="M399" s="22" t="str">
        <f t="shared" si="19"/>
        <v/>
      </c>
      <c r="N399" s="23" t="str">
        <f t="shared" si="20"/>
        <v/>
      </c>
      <c r="O399" s="14" t="str">
        <f>IF(OR(N399="Reordenar",N399="Agotado"),COUNTIF($N$5:N399,"Reordenar")+COUNTIF($N$5:N399,"Agotado"),"")</f>
        <v/>
      </c>
    </row>
    <row r="400" spans="1:15" x14ac:dyDescent="0.25">
      <c r="A400" s="20"/>
      <c r="B400" s="20"/>
      <c r="C400" s="20"/>
      <c r="D400" s="20"/>
      <c r="E400" s="20"/>
      <c r="F400" s="21"/>
      <c r="G400" s="20"/>
      <c r="H400" s="20"/>
      <c r="I400" s="20"/>
      <c r="J400" s="14" t="str">
        <f>IF($A400="","",SUMIFS(Movimientos!$F$5:$F$3004,Movimientos!$C$5:$C$3004,$A400,Movimientos!$B$5:$B$3004,"Entrada"))</f>
        <v/>
      </c>
      <c r="K400" s="14" t="str">
        <f>IF($A400="","",SUMIFS(Movimientos!$F$5:$F$3004,Movimientos!$C$5:$C$3004,$A400,Movimientos!$B$5:$B$3004,"Salida"))</f>
        <v/>
      </c>
      <c r="L400" s="14" t="str">
        <f t="shared" si="18"/>
        <v/>
      </c>
      <c r="M400" s="22" t="str">
        <f t="shared" si="19"/>
        <v/>
      </c>
      <c r="N400" s="23" t="str">
        <f t="shared" si="20"/>
        <v/>
      </c>
      <c r="O400" s="14" t="str">
        <f>IF(OR(N400="Reordenar",N400="Agotado"),COUNTIF($N$5:N400,"Reordenar")+COUNTIF($N$5:N400,"Agotado"),"")</f>
        <v/>
      </c>
    </row>
    <row r="401" spans="1:15" x14ac:dyDescent="0.25">
      <c r="A401" s="20"/>
      <c r="B401" s="20"/>
      <c r="C401" s="20"/>
      <c r="D401" s="20"/>
      <c r="E401" s="20"/>
      <c r="F401" s="21"/>
      <c r="G401" s="20"/>
      <c r="H401" s="20"/>
      <c r="I401" s="20"/>
      <c r="J401" s="14" t="str">
        <f>IF($A401="","",SUMIFS(Movimientos!$F$5:$F$3004,Movimientos!$C$5:$C$3004,$A401,Movimientos!$B$5:$B$3004,"Entrada"))</f>
        <v/>
      </c>
      <c r="K401" s="14" t="str">
        <f>IF($A401="","",SUMIFS(Movimientos!$F$5:$F$3004,Movimientos!$C$5:$C$3004,$A401,Movimientos!$B$5:$B$3004,"Salida"))</f>
        <v/>
      </c>
      <c r="L401" s="14" t="str">
        <f t="shared" si="18"/>
        <v/>
      </c>
      <c r="M401" s="22" t="str">
        <f t="shared" si="19"/>
        <v/>
      </c>
      <c r="N401" s="23" t="str">
        <f t="shared" si="20"/>
        <v/>
      </c>
      <c r="O401" s="14" t="str">
        <f>IF(OR(N401="Reordenar",N401="Agotado"),COUNTIF($N$5:N401,"Reordenar")+COUNTIF($N$5:N401,"Agotado"),"")</f>
        <v/>
      </c>
    </row>
    <row r="402" spans="1:15" x14ac:dyDescent="0.25">
      <c r="A402" s="20"/>
      <c r="B402" s="20"/>
      <c r="C402" s="20"/>
      <c r="D402" s="20"/>
      <c r="E402" s="20"/>
      <c r="F402" s="21"/>
      <c r="G402" s="20"/>
      <c r="H402" s="20"/>
      <c r="I402" s="20"/>
      <c r="J402" s="14" t="str">
        <f>IF($A402="","",SUMIFS(Movimientos!$F$5:$F$3004,Movimientos!$C$5:$C$3004,$A402,Movimientos!$B$5:$B$3004,"Entrada"))</f>
        <v/>
      </c>
      <c r="K402" s="14" t="str">
        <f>IF($A402="","",SUMIFS(Movimientos!$F$5:$F$3004,Movimientos!$C$5:$C$3004,$A402,Movimientos!$B$5:$B$3004,"Salida"))</f>
        <v/>
      </c>
      <c r="L402" s="14" t="str">
        <f t="shared" si="18"/>
        <v/>
      </c>
      <c r="M402" s="22" t="str">
        <f t="shared" si="19"/>
        <v/>
      </c>
      <c r="N402" s="23" t="str">
        <f t="shared" si="20"/>
        <v/>
      </c>
      <c r="O402" s="14" t="str">
        <f>IF(OR(N402="Reordenar",N402="Agotado"),COUNTIF($N$5:N402,"Reordenar")+COUNTIF($N$5:N402,"Agotado"),"")</f>
        <v/>
      </c>
    </row>
    <row r="403" spans="1:15" x14ac:dyDescent="0.25">
      <c r="A403" s="20"/>
      <c r="B403" s="20"/>
      <c r="C403" s="20"/>
      <c r="D403" s="20"/>
      <c r="E403" s="20"/>
      <c r="F403" s="21"/>
      <c r="G403" s="20"/>
      <c r="H403" s="20"/>
      <c r="I403" s="20"/>
      <c r="J403" s="14" t="str">
        <f>IF($A403="","",SUMIFS(Movimientos!$F$5:$F$3004,Movimientos!$C$5:$C$3004,$A403,Movimientos!$B$5:$B$3004,"Entrada"))</f>
        <v/>
      </c>
      <c r="K403" s="14" t="str">
        <f>IF($A403="","",SUMIFS(Movimientos!$F$5:$F$3004,Movimientos!$C$5:$C$3004,$A403,Movimientos!$B$5:$B$3004,"Salida"))</f>
        <v/>
      </c>
      <c r="L403" s="14" t="str">
        <f t="shared" si="18"/>
        <v/>
      </c>
      <c r="M403" s="22" t="str">
        <f t="shared" si="19"/>
        <v/>
      </c>
      <c r="N403" s="23" t="str">
        <f t="shared" si="20"/>
        <v/>
      </c>
      <c r="O403" s="14" t="str">
        <f>IF(OR(N403="Reordenar",N403="Agotado"),COUNTIF($N$5:N403,"Reordenar")+COUNTIF($N$5:N403,"Agotado"),"")</f>
        <v/>
      </c>
    </row>
    <row r="404" spans="1:15" x14ac:dyDescent="0.25">
      <c r="A404" s="20"/>
      <c r="B404" s="20"/>
      <c r="C404" s="20"/>
      <c r="D404" s="20"/>
      <c r="E404" s="20"/>
      <c r="F404" s="21"/>
      <c r="G404" s="20"/>
      <c r="H404" s="20"/>
      <c r="I404" s="20"/>
      <c r="J404" s="14" t="str">
        <f>IF($A404="","",SUMIFS(Movimientos!$F$5:$F$3004,Movimientos!$C$5:$C$3004,$A404,Movimientos!$B$5:$B$3004,"Entrada"))</f>
        <v/>
      </c>
      <c r="K404" s="14" t="str">
        <f>IF($A404="","",SUMIFS(Movimientos!$F$5:$F$3004,Movimientos!$C$5:$C$3004,$A404,Movimientos!$B$5:$B$3004,"Salida"))</f>
        <v/>
      </c>
      <c r="L404" s="14" t="str">
        <f t="shared" si="18"/>
        <v/>
      </c>
      <c r="M404" s="22" t="str">
        <f t="shared" si="19"/>
        <v/>
      </c>
      <c r="N404" s="23" t="str">
        <f t="shared" si="20"/>
        <v/>
      </c>
      <c r="O404" s="14" t="str">
        <f>IF(OR(N404="Reordenar",N404="Agotado"),COUNTIF($N$5:N404,"Reordenar")+COUNTIF($N$5:N404,"Agotado"),"")</f>
        <v/>
      </c>
    </row>
    <row r="405" spans="1:15" x14ac:dyDescent="0.25">
      <c r="A405" s="20"/>
      <c r="B405" s="20"/>
      <c r="C405" s="20"/>
      <c r="D405" s="20"/>
      <c r="E405" s="20"/>
      <c r="F405" s="21"/>
      <c r="G405" s="20"/>
      <c r="H405" s="20"/>
      <c r="I405" s="20"/>
      <c r="J405" s="14" t="str">
        <f>IF($A405="","",SUMIFS(Movimientos!$F$5:$F$3004,Movimientos!$C$5:$C$3004,$A405,Movimientos!$B$5:$B$3004,"Entrada"))</f>
        <v/>
      </c>
      <c r="K405" s="14" t="str">
        <f>IF($A405="","",SUMIFS(Movimientos!$F$5:$F$3004,Movimientos!$C$5:$C$3004,$A405,Movimientos!$B$5:$B$3004,"Salida"))</f>
        <v/>
      </c>
      <c r="L405" s="14" t="str">
        <f t="shared" si="18"/>
        <v/>
      </c>
      <c r="M405" s="22" t="str">
        <f t="shared" si="19"/>
        <v/>
      </c>
      <c r="N405" s="23" t="str">
        <f t="shared" si="20"/>
        <v/>
      </c>
      <c r="O405" s="14" t="str">
        <f>IF(OR(N405="Reordenar",N405="Agotado"),COUNTIF($N$5:N405,"Reordenar")+COUNTIF($N$5:N405,"Agotado"),"")</f>
        <v/>
      </c>
    </row>
    <row r="406" spans="1:15" x14ac:dyDescent="0.25">
      <c r="A406" s="20"/>
      <c r="B406" s="20"/>
      <c r="C406" s="20"/>
      <c r="D406" s="20"/>
      <c r="E406" s="20"/>
      <c r="F406" s="21"/>
      <c r="G406" s="20"/>
      <c r="H406" s="20"/>
      <c r="I406" s="20"/>
      <c r="J406" s="14" t="str">
        <f>IF($A406="","",SUMIFS(Movimientos!$F$5:$F$3004,Movimientos!$C$5:$C$3004,$A406,Movimientos!$B$5:$B$3004,"Entrada"))</f>
        <v/>
      </c>
      <c r="K406" s="14" t="str">
        <f>IF($A406="","",SUMIFS(Movimientos!$F$5:$F$3004,Movimientos!$C$5:$C$3004,$A406,Movimientos!$B$5:$B$3004,"Salida"))</f>
        <v/>
      </c>
      <c r="L406" s="14" t="str">
        <f t="shared" si="18"/>
        <v/>
      </c>
      <c r="M406" s="22" t="str">
        <f t="shared" si="19"/>
        <v/>
      </c>
      <c r="N406" s="23" t="str">
        <f t="shared" si="20"/>
        <v/>
      </c>
      <c r="O406" s="14" t="str">
        <f>IF(OR(N406="Reordenar",N406="Agotado"),COUNTIF($N$5:N406,"Reordenar")+COUNTIF($N$5:N406,"Agotado"),"")</f>
        <v/>
      </c>
    </row>
    <row r="407" spans="1:15" x14ac:dyDescent="0.25">
      <c r="A407" s="20"/>
      <c r="B407" s="20"/>
      <c r="C407" s="20"/>
      <c r="D407" s="20"/>
      <c r="E407" s="20"/>
      <c r="F407" s="21"/>
      <c r="G407" s="20"/>
      <c r="H407" s="20"/>
      <c r="I407" s="20"/>
      <c r="J407" s="14" t="str">
        <f>IF($A407="","",SUMIFS(Movimientos!$F$5:$F$3004,Movimientos!$C$5:$C$3004,$A407,Movimientos!$B$5:$B$3004,"Entrada"))</f>
        <v/>
      </c>
      <c r="K407" s="14" t="str">
        <f>IF($A407="","",SUMIFS(Movimientos!$F$5:$F$3004,Movimientos!$C$5:$C$3004,$A407,Movimientos!$B$5:$B$3004,"Salida"))</f>
        <v/>
      </c>
      <c r="L407" s="14" t="str">
        <f t="shared" si="18"/>
        <v/>
      </c>
      <c r="M407" s="22" t="str">
        <f t="shared" si="19"/>
        <v/>
      </c>
      <c r="N407" s="23" t="str">
        <f t="shared" si="20"/>
        <v/>
      </c>
      <c r="O407" s="14" t="str">
        <f>IF(OR(N407="Reordenar",N407="Agotado"),COUNTIF($N$5:N407,"Reordenar")+COUNTIF($N$5:N407,"Agotado"),"")</f>
        <v/>
      </c>
    </row>
    <row r="408" spans="1:15" x14ac:dyDescent="0.25">
      <c r="A408" s="20"/>
      <c r="B408" s="20"/>
      <c r="C408" s="20"/>
      <c r="D408" s="20"/>
      <c r="E408" s="20"/>
      <c r="F408" s="21"/>
      <c r="G408" s="20"/>
      <c r="H408" s="20"/>
      <c r="I408" s="20"/>
      <c r="J408" s="14" t="str">
        <f>IF($A408="","",SUMIFS(Movimientos!$F$5:$F$3004,Movimientos!$C$5:$C$3004,$A408,Movimientos!$B$5:$B$3004,"Entrada"))</f>
        <v/>
      </c>
      <c r="K408" s="14" t="str">
        <f>IF($A408="","",SUMIFS(Movimientos!$F$5:$F$3004,Movimientos!$C$5:$C$3004,$A408,Movimientos!$B$5:$B$3004,"Salida"))</f>
        <v/>
      </c>
      <c r="L408" s="14" t="str">
        <f t="shared" si="18"/>
        <v/>
      </c>
      <c r="M408" s="22" t="str">
        <f t="shared" si="19"/>
        <v/>
      </c>
      <c r="N408" s="23" t="str">
        <f t="shared" si="20"/>
        <v/>
      </c>
      <c r="O408" s="14" t="str">
        <f>IF(OR(N408="Reordenar",N408="Agotado"),COUNTIF($N$5:N408,"Reordenar")+COUNTIF($N$5:N408,"Agotado"),"")</f>
        <v/>
      </c>
    </row>
    <row r="409" spans="1:15" x14ac:dyDescent="0.25">
      <c r="A409" s="20"/>
      <c r="B409" s="20"/>
      <c r="C409" s="20"/>
      <c r="D409" s="20"/>
      <c r="E409" s="20"/>
      <c r="F409" s="21"/>
      <c r="G409" s="20"/>
      <c r="H409" s="20"/>
      <c r="I409" s="20"/>
      <c r="J409" s="14" t="str">
        <f>IF($A409="","",SUMIFS(Movimientos!$F$5:$F$3004,Movimientos!$C$5:$C$3004,$A409,Movimientos!$B$5:$B$3004,"Entrada"))</f>
        <v/>
      </c>
      <c r="K409" s="14" t="str">
        <f>IF($A409="","",SUMIFS(Movimientos!$F$5:$F$3004,Movimientos!$C$5:$C$3004,$A409,Movimientos!$B$5:$B$3004,"Salida"))</f>
        <v/>
      </c>
      <c r="L409" s="14" t="str">
        <f t="shared" si="18"/>
        <v/>
      </c>
      <c r="M409" s="22" t="str">
        <f t="shared" si="19"/>
        <v/>
      </c>
      <c r="N409" s="23" t="str">
        <f t="shared" si="20"/>
        <v/>
      </c>
      <c r="O409" s="14" t="str">
        <f>IF(OR(N409="Reordenar",N409="Agotado"),COUNTIF($N$5:N409,"Reordenar")+COUNTIF($N$5:N409,"Agotado"),"")</f>
        <v/>
      </c>
    </row>
    <row r="410" spans="1:15" x14ac:dyDescent="0.25">
      <c r="A410" s="20"/>
      <c r="B410" s="20"/>
      <c r="C410" s="20"/>
      <c r="D410" s="20"/>
      <c r="E410" s="20"/>
      <c r="F410" s="21"/>
      <c r="G410" s="20"/>
      <c r="H410" s="20"/>
      <c r="I410" s="20"/>
      <c r="J410" s="14" t="str">
        <f>IF($A410="","",SUMIFS(Movimientos!$F$5:$F$3004,Movimientos!$C$5:$C$3004,$A410,Movimientos!$B$5:$B$3004,"Entrada"))</f>
        <v/>
      </c>
      <c r="K410" s="14" t="str">
        <f>IF($A410="","",SUMIFS(Movimientos!$F$5:$F$3004,Movimientos!$C$5:$C$3004,$A410,Movimientos!$B$5:$B$3004,"Salida"))</f>
        <v/>
      </c>
      <c r="L410" s="14" t="str">
        <f t="shared" si="18"/>
        <v/>
      </c>
      <c r="M410" s="22" t="str">
        <f t="shared" si="19"/>
        <v/>
      </c>
      <c r="N410" s="23" t="str">
        <f t="shared" si="20"/>
        <v/>
      </c>
      <c r="O410" s="14" t="str">
        <f>IF(OR(N410="Reordenar",N410="Agotado"),COUNTIF($N$5:N410,"Reordenar")+COUNTIF($N$5:N410,"Agotado"),"")</f>
        <v/>
      </c>
    </row>
    <row r="411" spans="1:15" x14ac:dyDescent="0.25">
      <c r="A411" s="20"/>
      <c r="B411" s="20"/>
      <c r="C411" s="20"/>
      <c r="D411" s="20"/>
      <c r="E411" s="20"/>
      <c r="F411" s="21"/>
      <c r="G411" s="20"/>
      <c r="H411" s="20"/>
      <c r="I411" s="20"/>
      <c r="J411" s="14" t="str">
        <f>IF($A411="","",SUMIFS(Movimientos!$F$5:$F$3004,Movimientos!$C$5:$C$3004,$A411,Movimientos!$B$5:$B$3004,"Entrada"))</f>
        <v/>
      </c>
      <c r="K411" s="14" t="str">
        <f>IF($A411="","",SUMIFS(Movimientos!$F$5:$F$3004,Movimientos!$C$5:$C$3004,$A411,Movimientos!$B$5:$B$3004,"Salida"))</f>
        <v/>
      </c>
      <c r="L411" s="14" t="str">
        <f t="shared" si="18"/>
        <v/>
      </c>
      <c r="M411" s="22" t="str">
        <f t="shared" si="19"/>
        <v/>
      </c>
      <c r="N411" s="23" t="str">
        <f t="shared" si="20"/>
        <v/>
      </c>
      <c r="O411" s="14" t="str">
        <f>IF(OR(N411="Reordenar",N411="Agotado"),COUNTIF($N$5:N411,"Reordenar")+COUNTIF($N$5:N411,"Agotado"),"")</f>
        <v/>
      </c>
    </row>
    <row r="412" spans="1:15" x14ac:dyDescent="0.25">
      <c r="A412" s="20"/>
      <c r="B412" s="20"/>
      <c r="C412" s="20"/>
      <c r="D412" s="20"/>
      <c r="E412" s="20"/>
      <c r="F412" s="21"/>
      <c r="G412" s="20"/>
      <c r="H412" s="20"/>
      <c r="I412" s="20"/>
      <c r="J412" s="14" t="str">
        <f>IF($A412="","",SUMIFS(Movimientos!$F$5:$F$3004,Movimientos!$C$5:$C$3004,$A412,Movimientos!$B$5:$B$3004,"Entrada"))</f>
        <v/>
      </c>
      <c r="K412" s="14" t="str">
        <f>IF($A412="","",SUMIFS(Movimientos!$F$5:$F$3004,Movimientos!$C$5:$C$3004,$A412,Movimientos!$B$5:$B$3004,"Salida"))</f>
        <v/>
      </c>
      <c r="L412" s="14" t="str">
        <f t="shared" si="18"/>
        <v/>
      </c>
      <c r="M412" s="22" t="str">
        <f t="shared" si="19"/>
        <v/>
      </c>
      <c r="N412" s="23" t="str">
        <f t="shared" si="20"/>
        <v/>
      </c>
      <c r="O412" s="14" t="str">
        <f>IF(OR(N412="Reordenar",N412="Agotado"),COUNTIF($N$5:N412,"Reordenar")+COUNTIF($N$5:N412,"Agotado"),"")</f>
        <v/>
      </c>
    </row>
    <row r="413" spans="1:15" x14ac:dyDescent="0.25">
      <c r="A413" s="20"/>
      <c r="B413" s="20"/>
      <c r="C413" s="20"/>
      <c r="D413" s="20"/>
      <c r="E413" s="20"/>
      <c r="F413" s="21"/>
      <c r="G413" s="20"/>
      <c r="H413" s="20"/>
      <c r="I413" s="20"/>
      <c r="J413" s="14" t="str">
        <f>IF($A413="","",SUMIFS(Movimientos!$F$5:$F$3004,Movimientos!$C$5:$C$3004,$A413,Movimientos!$B$5:$B$3004,"Entrada"))</f>
        <v/>
      </c>
      <c r="K413" s="14" t="str">
        <f>IF($A413="","",SUMIFS(Movimientos!$F$5:$F$3004,Movimientos!$C$5:$C$3004,$A413,Movimientos!$B$5:$B$3004,"Salida"))</f>
        <v/>
      </c>
      <c r="L413" s="14" t="str">
        <f t="shared" si="18"/>
        <v/>
      </c>
      <c r="M413" s="22" t="str">
        <f t="shared" si="19"/>
        <v/>
      </c>
      <c r="N413" s="23" t="str">
        <f t="shared" si="20"/>
        <v/>
      </c>
      <c r="O413" s="14" t="str">
        <f>IF(OR(N413="Reordenar",N413="Agotado"),COUNTIF($N$5:N413,"Reordenar")+COUNTIF($N$5:N413,"Agotado"),"")</f>
        <v/>
      </c>
    </row>
    <row r="414" spans="1:15" x14ac:dyDescent="0.25">
      <c r="A414" s="20"/>
      <c r="B414" s="20"/>
      <c r="C414" s="20"/>
      <c r="D414" s="20"/>
      <c r="E414" s="20"/>
      <c r="F414" s="21"/>
      <c r="G414" s="20"/>
      <c r="H414" s="20"/>
      <c r="I414" s="20"/>
      <c r="J414" s="14" t="str">
        <f>IF($A414="","",SUMIFS(Movimientos!$F$5:$F$3004,Movimientos!$C$5:$C$3004,$A414,Movimientos!$B$5:$B$3004,"Entrada"))</f>
        <v/>
      </c>
      <c r="K414" s="14" t="str">
        <f>IF($A414="","",SUMIFS(Movimientos!$F$5:$F$3004,Movimientos!$C$5:$C$3004,$A414,Movimientos!$B$5:$B$3004,"Salida"))</f>
        <v/>
      </c>
      <c r="L414" s="14" t="str">
        <f t="shared" si="18"/>
        <v/>
      </c>
      <c r="M414" s="22" t="str">
        <f t="shared" si="19"/>
        <v/>
      </c>
      <c r="N414" s="23" t="str">
        <f t="shared" si="20"/>
        <v/>
      </c>
      <c r="O414" s="14" t="str">
        <f>IF(OR(N414="Reordenar",N414="Agotado"),COUNTIF($N$5:N414,"Reordenar")+COUNTIF($N$5:N414,"Agotado"),"")</f>
        <v/>
      </c>
    </row>
    <row r="415" spans="1:15" x14ac:dyDescent="0.25">
      <c r="A415" s="20"/>
      <c r="B415" s="20"/>
      <c r="C415" s="20"/>
      <c r="D415" s="20"/>
      <c r="E415" s="20"/>
      <c r="F415" s="21"/>
      <c r="G415" s="20"/>
      <c r="H415" s="20"/>
      <c r="I415" s="20"/>
      <c r="J415" s="14" t="str">
        <f>IF($A415="","",SUMIFS(Movimientos!$F$5:$F$3004,Movimientos!$C$5:$C$3004,$A415,Movimientos!$B$5:$B$3004,"Entrada"))</f>
        <v/>
      </c>
      <c r="K415" s="14" t="str">
        <f>IF($A415="","",SUMIFS(Movimientos!$F$5:$F$3004,Movimientos!$C$5:$C$3004,$A415,Movimientos!$B$5:$B$3004,"Salida"))</f>
        <v/>
      </c>
      <c r="L415" s="14" t="str">
        <f t="shared" si="18"/>
        <v/>
      </c>
      <c r="M415" s="22" t="str">
        <f t="shared" si="19"/>
        <v/>
      </c>
      <c r="N415" s="23" t="str">
        <f t="shared" si="20"/>
        <v/>
      </c>
      <c r="O415" s="14" t="str">
        <f>IF(OR(N415="Reordenar",N415="Agotado"),COUNTIF($N$5:N415,"Reordenar")+COUNTIF($N$5:N415,"Agotado"),"")</f>
        <v/>
      </c>
    </row>
    <row r="416" spans="1:15" x14ac:dyDescent="0.25">
      <c r="A416" s="20"/>
      <c r="B416" s="20"/>
      <c r="C416" s="20"/>
      <c r="D416" s="20"/>
      <c r="E416" s="20"/>
      <c r="F416" s="21"/>
      <c r="G416" s="20"/>
      <c r="H416" s="20"/>
      <c r="I416" s="20"/>
      <c r="J416" s="14" t="str">
        <f>IF($A416="","",SUMIFS(Movimientos!$F$5:$F$3004,Movimientos!$C$5:$C$3004,$A416,Movimientos!$B$5:$B$3004,"Entrada"))</f>
        <v/>
      </c>
      <c r="K416" s="14" t="str">
        <f>IF($A416="","",SUMIFS(Movimientos!$F$5:$F$3004,Movimientos!$C$5:$C$3004,$A416,Movimientos!$B$5:$B$3004,"Salida"))</f>
        <v/>
      </c>
      <c r="L416" s="14" t="str">
        <f t="shared" si="18"/>
        <v/>
      </c>
      <c r="M416" s="22" t="str">
        <f t="shared" si="19"/>
        <v/>
      </c>
      <c r="N416" s="23" t="str">
        <f t="shared" si="20"/>
        <v/>
      </c>
      <c r="O416" s="14" t="str">
        <f>IF(OR(N416="Reordenar",N416="Agotado"),COUNTIF($N$5:N416,"Reordenar")+COUNTIF($N$5:N416,"Agotado"),"")</f>
        <v/>
      </c>
    </row>
    <row r="417" spans="1:15" x14ac:dyDescent="0.25">
      <c r="A417" s="20"/>
      <c r="B417" s="20"/>
      <c r="C417" s="20"/>
      <c r="D417" s="20"/>
      <c r="E417" s="20"/>
      <c r="F417" s="21"/>
      <c r="G417" s="20"/>
      <c r="H417" s="20"/>
      <c r="I417" s="20"/>
      <c r="J417" s="14" t="str">
        <f>IF($A417="","",SUMIFS(Movimientos!$F$5:$F$3004,Movimientos!$C$5:$C$3004,$A417,Movimientos!$B$5:$B$3004,"Entrada"))</f>
        <v/>
      </c>
      <c r="K417" s="14" t="str">
        <f>IF($A417="","",SUMIFS(Movimientos!$F$5:$F$3004,Movimientos!$C$5:$C$3004,$A417,Movimientos!$B$5:$B$3004,"Salida"))</f>
        <v/>
      </c>
      <c r="L417" s="14" t="str">
        <f t="shared" si="18"/>
        <v/>
      </c>
      <c r="M417" s="22" t="str">
        <f t="shared" si="19"/>
        <v/>
      </c>
      <c r="N417" s="23" t="str">
        <f t="shared" si="20"/>
        <v/>
      </c>
      <c r="O417" s="14" t="str">
        <f>IF(OR(N417="Reordenar",N417="Agotado"),COUNTIF($N$5:N417,"Reordenar")+COUNTIF($N$5:N417,"Agotado"),"")</f>
        <v/>
      </c>
    </row>
    <row r="418" spans="1:15" x14ac:dyDescent="0.25">
      <c r="A418" s="20"/>
      <c r="B418" s="20"/>
      <c r="C418" s="20"/>
      <c r="D418" s="20"/>
      <c r="E418" s="20"/>
      <c r="F418" s="21"/>
      <c r="G418" s="20"/>
      <c r="H418" s="20"/>
      <c r="I418" s="20"/>
      <c r="J418" s="14" t="str">
        <f>IF($A418="","",SUMIFS(Movimientos!$F$5:$F$3004,Movimientos!$C$5:$C$3004,$A418,Movimientos!$B$5:$B$3004,"Entrada"))</f>
        <v/>
      </c>
      <c r="K418" s="14" t="str">
        <f>IF($A418="","",SUMIFS(Movimientos!$F$5:$F$3004,Movimientos!$C$5:$C$3004,$A418,Movimientos!$B$5:$B$3004,"Salida"))</f>
        <v/>
      </c>
      <c r="L418" s="14" t="str">
        <f t="shared" si="18"/>
        <v/>
      </c>
      <c r="M418" s="22" t="str">
        <f t="shared" si="19"/>
        <v/>
      </c>
      <c r="N418" s="23" t="str">
        <f t="shared" si="20"/>
        <v/>
      </c>
      <c r="O418" s="14" t="str">
        <f>IF(OR(N418="Reordenar",N418="Agotado"),COUNTIF($N$5:N418,"Reordenar")+COUNTIF($N$5:N418,"Agotado"),"")</f>
        <v/>
      </c>
    </row>
    <row r="419" spans="1:15" x14ac:dyDescent="0.25">
      <c r="A419" s="20"/>
      <c r="B419" s="20"/>
      <c r="C419" s="20"/>
      <c r="D419" s="20"/>
      <c r="E419" s="20"/>
      <c r="F419" s="21"/>
      <c r="G419" s="20"/>
      <c r="H419" s="20"/>
      <c r="I419" s="20"/>
      <c r="J419" s="14" t="str">
        <f>IF($A419="","",SUMIFS(Movimientos!$F$5:$F$3004,Movimientos!$C$5:$C$3004,$A419,Movimientos!$B$5:$B$3004,"Entrada"))</f>
        <v/>
      </c>
      <c r="K419" s="14" t="str">
        <f>IF($A419="","",SUMIFS(Movimientos!$F$5:$F$3004,Movimientos!$C$5:$C$3004,$A419,Movimientos!$B$5:$B$3004,"Salida"))</f>
        <v/>
      </c>
      <c r="L419" s="14" t="str">
        <f t="shared" si="18"/>
        <v/>
      </c>
      <c r="M419" s="22" t="str">
        <f t="shared" si="19"/>
        <v/>
      </c>
      <c r="N419" s="23" t="str">
        <f t="shared" si="20"/>
        <v/>
      </c>
      <c r="O419" s="14" t="str">
        <f>IF(OR(N419="Reordenar",N419="Agotado"),COUNTIF($N$5:N419,"Reordenar")+COUNTIF($N$5:N419,"Agotado"),"")</f>
        <v/>
      </c>
    </row>
    <row r="420" spans="1:15" x14ac:dyDescent="0.25">
      <c r="A420" s="20"/>
      <c r="B420" s="20"/>
      <c r="C420" s="20"/>
      <c r="D420" s="20"/>
      <c r="E420" s="20"/>
      <c r="F420" s="21"/>
      <c r="G420" s="20"/>
      <c r="H420" s="20"/>
      <c r="I420" s="20"/>
      <c r="J420" s="14" t="str">
        <f>IF($A420="","",SUMIFS(Movimientos!$F$5:$F$3004,Movimientos!$C$5:$C$3004,$A420,Movimientos!$B$5:$B$3004,"Entrada"))</f>
        <v/>
      </c>
      <c r="K420" s="14" t="str">
        <f>IF($A420="","",SUMIFS(Movimientos!$F$5:$F$3004,Movimientos!$C$5:$C$3004,$A420,Movimientos!$B$5:$B$3004,"Salida"))</f>
        <v/>
      </c>
      <c r="L420" s="14" t="str">
        <f t="shared" si="18"/>
        <v/>
      </c>
      <c r="M420" s="22" t="str">
        <f t="shared" si="19"/>
        <v/>
      </c>
      <c r="N420" s="23" t="str">
        <f t="shared" si="20"/>
        <v/>
      </c>
      <c r="O420" s="14" t="str">
        <f>IF(OR(N420="Reordenar",N420="Agotado"),COUNTIF($N$5:N420,"Reordenar")+COUNTIF($N$5:N420,"Agotado"),"")</f>
        <v/>
      </c>
    </row>
    <row r="421" spans="1:15" x14ac:dyDescent="0.25">
      <c r="A421" s="20"/>
      <c r="B421" s="20"/>
      <c r="C421" s="20"/>
      <c r="D421" s="20"/>
      <c r="E421" s="20"/>
      <c r="F421" s="21"/>
      <c r="G421" s="20"/>
      <c r="H421" s="20"/>
      <c r="I421" s="20"/>
      <c r="J421" s="14" t="str">
        <f>IF($A421="","",SUMIFS(Movimientos!$F$5:$F$3004,Movimientos!$C$5:$C$3004,$A421,Movimientos!$B$5:$B$3004,"Entrada"))</f>
        <v/>
      </c>
      <c r="K421" s="14" t="str">
        <f>IF($A421="","",SUMIFS(Movimientos!$F$5:$F$3004,Movimientos!$C$5:$C$3004,$A421,Movimientos!$B$5:$B$3004,"Salida"))</f>
        <v/>
      </c>
      <c r="L421" s="14" t="str">
        <f t="shared" si="18"/>
        <v/>
      </c>
      <c r="M421" s="22" t="str">
        <f t="shared" si="19"/>
        <v/>
      </c>
      <c r="N421" s="23" t="str">
        <f t="shared" si="20"/>
        <v/>
      </c>
      <c r="O421" s="14" t="str">
        <f>IF(OR(N421="Reordenar",N421="Agotado"),COUNTIF($N$5:N421,"Reordenar")+COUNTIF($N$5:N421,"Agotado"),"")</f>
        <v/>
      </c>
    </row>
    <row r="422" spans="1:15" x14ac:dyDescent="0.25">
      <c r="A422" s="20"/>
      <c r="B422" s="20"/>
      <c r="C422" s="20"/>
      <c r="D422" s="20"/>
      <c r="E422" s="20"/>
      <c r="F422" s="21"/>
      <c r="G422" s="20"/>
      <c r="H422" s="20"/>
      <c r="I422" s="20"/>
      <c r="J422" s="14" t="str">
        <f>IF($A422="","",SUMIFS(Movimientos!$F$5:$F$3004,Movimientos!$C$5:$C$3004,$A422,Movimientos!$B$5:$B$3004,"Entrada"))</f>
        <v/>
      </c>
      <c r="K422" s="14" t="str">
        <f>IF($A422="","",SUMIFS(Movimientos!$F$5:$F$3004,Movimientos!$C$5:$C$3004,$A422,Movimientos!$B$5:$B$3004,"Salida"))</f>
        <v/>
      </c>
      <c r="L422" s="14" t="str">
        <f t="shared" si="18"/>
        <v/>
      </c>
      <c r="M422" s="22" t="str">
        <f t="shared" si="19"/>
        <v/>
      </c>
      <c r="N422" s="23" t="str">
        <f t="shared" si="20"/>
        <v/>
      </c>
      <c r="O422" s="14" t="str">
        <f>IF(OR(N422="Reordenar",N422="Agotado"),COUNTIF($N$5:N422,"Reordenar")+COUNTIF($N$5:N422,"Agotado"),"")</f>
        <v/>
      </c>
    </row>
    <row r="423" spans="1:15" x14ac:dyDescent="0.25">
      <c r="A423" s="20"/>
      <c r="B423" s="20"/>
      <c r="C423" s="20"/>
      <c r="D423" s="20"/>
      <c r="E423" s="20"/>
      <c r="F423" s="21"/>
      <c r="G423" s="20"/>
      <c r="H423" s="20"/>
      <c r="I423" s="20"/>
      <c r="J423" s="14" t="str">
        <f>IF($A423="","",SUMIFS(Movimientos!$F$5:$F$3004,Movimientos!$C$5:$C$3004,$A423,Movimientos!$B$5:$B$3004,"Entrada"))</f>
        <v/>
      </c>
      <c r="K423" s="14" t="str">
        <f>IF($A423="","",SUMIFS(Movimientos!$F$5:$F$3004,Movimientos!$C$5:$C$3004,$A423,Movimientos!$B$5:$B$3004,"Salida"))</f>
        <v/>
      </c>
      <c r="L423" s="14" t="str">
        <f t="shared" si="18"/>
        <v/>
      </c>
      <c r="M423" s="22" t="str">
        <f t="shared" si="19"/>
        <v/>
      </c>
      <c r="N423" s="23" t="str">
        <f t="shared" si="20"/>
        <v/>
      </c>
      <c r="O423" s="14" t="str">
        <f>IF(OR(N423="Reordenar",N423="Agotado"),COUNTIF($N$5:N423,"Reordenar")+COUNTIF($N$5:N423,"Agotado"),"")</f>
        <v/>
      </c>
    </row>
    <row r="424" spans="1:15" x14ac:dyDescent="0.25">
      <c r="A424" s="20"/>
      <c r="B424" s="20"/>
      <c r="C424" s="20"/>
      <c r="D424" s="20"/>
      <c r="E424" s="20"/>
      <c r="F424" s="21"/>
      <c r="G424" s="20"/>
      <c r="H424" s="20"/>
      <c r="I424" s="20"/>
      <c r="J424" s="14" t="str">
        <f>IF($A424="","",SUMIFS(Movimientos!$F$5:$F$3004,Movimientos!$C$5:$C$3004,$A424,Movimientos!$B$5:$B$3004,"Entrada"))</f>
        <v/>
      </c>
      <c r="K424" s="14" t="str">
        <f>IF($A424="","",SUMIFS(Movimientos!$F$5:$F$3004,Movimientos!$C$5:$C$3004,$A424,Movimientos!$B$5:$B$3004,"Salida"))</f>
        <v/>
      </c>
      <c r="L424" s="14" t="str">
        <f t="shared" si="18"/>
        <v/>
      </c>
      <c r="M424" s="22" t="str">
        <f t="shared" si="19"/>
        <v/>
      </c>
      <c r="N424" s="23" t="str">
        <f t="shared" si="20"/>
        <v/>
      </c>
      <c r="O424" s="14" t="str">
        <f>IF(OR(N424="Reordenar",N424="Agotado"),COUNTIF($N$5:N424,"Reordenar")+COUNTIF($N$5:N424,"Agotado"),"")</f>
        <v/>
      </c>
    </row>
    <row r="425" spans="1:15" x14ac:dyDescent="0.25">
      <c r="A425" s="20"/>
      <c r="B425" s="20"/>
      <c r="C425" s="20"/>
      <c r="D425" s="20"/>
      <c r="E425" s="20"/>
      <c r="F425" s="21"/>
      <c r="G425" s="20"/>
      <c r="H425" s="20"/>
      <c r="I425" s="20"/>
      <c r="J425" s="14" t="str">
        <f>IF($A425="","",SUMIFS(Movimientos!$F$5:$F$3004,Movimientos!$C$5:$C$3004,$A425,Movimientos!$B$5:$B$3004,"Entrada"))</f>
        <v/>
      </c>
      <c r="K425" s="14" t="str">
        <f>IF($A425="","",SUMIFS(Movimientos!$F$5:$F$3004,Movimientos!$C$5:$C$3004,$A425,Movimientos!$B$5:$B$3004,"Salida"))</f>
        <v/>
      </c>
      <c r="L425" s="14" t="str">
        <f t="shared" si="18"/>
        <v/>
      </c>
      <c r="M425" s="22" t="str">
        <f t="shared" si="19"/>
        <v/>
      </c>
      <c r="N425" s="23" t="str">
        <f t="shared" si="20"/>
        <v/>
      </c>
      <c r="O425" s="14" t="str">
        <f>IF(OR(N425="Reordenar",N425="Agotado"),COUNTIF($N$5:N425,"Reordenar")+COUNTIF($N$5:N425,"Agotado"),"")</f>
        <v/>
      </c>
    </row>
    <row r="426" spans="1:15" x14ac:dyDescent="0.25">
      <c r="A426" s="20"/>
      <c r="B426" s="20"/>
      <c r="C426" s="20"/>
      <c r="D426" s="20"/>
      <c r="E426" s="20"/>
      <c r="F426" s="21"/>
      <c r="G426" s="20"/>
      <c r="H426" s="20"/>
      <c r="I426" s="20"/>
      <c r="J426" s="14" t="str">
        <f>IF($A426="","",SUMIFS(Movimientos!$F$5:$F$3004,Movimientos!$C$5:$C$3004,$A426,Movimientos!$B$5:$B$3004,"Entrada"))</f>
        <v/>
      </c>
      <c r="K426" s="14" t="str">
        <f>IF($A426="","",SUMIFS(Movimientos!$F$5:$F$3004,Movimientos!$C$5:$C$3004,$A426,Movimientos!$B$5:$B$3004,"Salida"))</f>
        <v/>
      </c>
      <c r="L426" s="14" t="str">
        <f t="shared" si="18"/>
        <v/>
      </c>
      <c r="M426" s="22" t="str">
        <f t="shared" si="19"/>
        <v/>
      </c>
      <c r="N426" s="23" t="str">
        <f t="shared" si="20"/>
        <v/>
      </c>
      <c r="O426" s="14" t="str">
        <f>IF(OR(N426="Reordenar",N426="Agotado"),COUNTIF($N$5:N426,"Reordenar")+COUNTIF($N$5:N426,"Agotado"),"")</f>
        <v/>
      </c>
    </row>
    <row r="427" spans="1:15" x14ac:dyDescent="0.25">
      <c r="A427" s="20"/>
      <c r="B427" s="20"/>
      <c r="C427" s="20"/>
      <c r="D427" s="20"/>
      <c r="E427" s="20"/>
      <c r="F427" s="21"/>
      <c r="G427" s="20"/>
      <c r="H427" s="20"/>
      <c r="I427" s="20"/>
      <c r="J427" s="14" t="str">
        <f>IF($A427="","",SUMIFS(Movimientos!$F$5:$F$3004,Movimientos!$C$5:$C$3004,$A427,Movimientos!$B$5:$B$3004,"Entrada"))</f>
        <v/>
      </c>
      <c r="K427" s="14" t="str">
        <f>IF($A427="","",SUMIFS(Movimientos!$F$5:$F$3004,Movimientos!$C$5:$C$3004,$A427,Movimientos!$B$5:$B$3004,"Salida"))</f>
        <v/>
      </c>
      <c r="L427" s="14" t="str">
        <f t="shared" si="18"/>
        <v/>
      </c>
      <c r="M427" s="22" t="str">
        <f t="shared" si="19"/>
        <v/>
      </c>
      <c r="N427" s="23" t="str">
        <f t="shared" si="20"/>
        <v/>
      </c>
      <c r="O427" s="14" t="str">
        <f>IF(OR(N427="Reordenar",N427="Agotado"),COUNTIF($N$5:N427,"Reordenar")+COUNTIF($N$5:N427,"Agotado"),"")</f>
        <v/>
      </c>
    </row>
    <row r="428" spans="1:15" x14ac:dyDescent="0.25">
      <c r="A428" s="20"/>
      <c r="B428" s="20"/>
      <c r="C428" s="20"/>
      <c r="D428" s="20"/>
      <c r="E428" s="20"/>
      <c r="F428" s="21"/>
      <c r="G428" s="20"/>
      <c r="H428" s="20"/>
      <c r="I428" s="20"/>
      <c r="J428" s="14" t="str">
        <f>IF($A428="","",SUMIFS(Movimientos!$F$5:$F$3004,Movimientos!$C$5:$C$3004,$A428,Movimientos!$B$5:$B$3004,"Entrada"))</f>
        <v/>
      </c>
      <c r="K428" s="14" t="str">
        <f>IF($A428="","",SUMIFS(Movimientos!$F$5:$F$3004,Movimientos!$C$5:$C$3004,$A428,Movimientos!$B$5:$B$3004,"Salida"))</f>
        <v/>
      </c>
      <c r="L428" s="14" t="str">
        <f t="shared" si="18"/>
        <v/>
      </c>
      <c r="M428" s="22" t="str">
        <f t="shared" si="19"/>
        <v/>
      </c>
      <c r="N428" s="23" t="str">
        <f t="shared" si="20"/>
        <v/>
      </c>
      <c r="O428" s="14" t="str">
        <f>IF(OR(N428="Reordenar",N428="Agotado"),COUNTIF($N$5:N428,"Reordenar")+COUNTIF($N$5:N428,"Agotado"),"")</f>
        <v/>
      </c>
    </row>
    <row r="429" spans="1:15" x14ac:dyDescent="0.25">
      <c r="A429" s="20"/>
      <c r="B429" s="20"/>
      <c r="C429" s="20"/>
      <c r="D429" s="20"/>
      <c r="E429" s="20"/>
      <c r="F429" s="21"/>
      <c r="G429" s="20"/>
      <c r="H429" s="20"/>
      <c r="I429" s="20"/>
      <c r="J429" s="14" t="str">
        <f>IF($A429="","",SUMIFS(Movimientos!$F$5:$F$3004,Movimientos!$C$5:$C$3004,$A429,Movimientos!$B$5:$B$3004,"Entrada"))</f>
        <v/>
      </c>
      <c r="K429" s="14" t="str">
        <f>IF($A429="","",SUMIFS(Movimientos!$F$5:$F$3004,Movimientos!$C$5:$C$3004,$A429,Movimientos!$B$5:$B$3004,"Salida"))</f>
        <v/>
      </c>
      <c r="L429" s="14" t="str">
        <f t="shared" si="18"/>
        <v/>
      </c>
      <c r="M429" s="22" t="str">
        <f t="shared" si="19"/>
        <v/>
      </c>
      <c r="N429" s="23" t="str">
        <f t="shared" si="20"/>
        <v/>
      </c>
      <c r="O429" s="14" t="str">
        <f>IF(OR(N429="Reordenar",N429="Agotado"),COUNTIF($N$5:N429,"Reordenar")+COUNTIF($N$5:N429,"Agotado"),"")</f>
        <v/>
      </c>
    </row>
    <row r="430" spans="1:15" x14ac:dyDescent="0.25">
      <c r="A430" s="20"/>
      <c r="B430" s="20"/>
      <c r="C430" s="20"/>
      <c r="D430" s="20"/>
      <c r="E430" s="20"/>
      <c r="F430" s="21"/>
      <c r="G430" s="20"/>
      <c r="H430" s="20"/>
      <c r="I430" s="20"/>
      <c r="J430" s="14" t="str">
        <f>IF($A430="","",SUMIFS(Movimientos!$F$5:$F$3004,Movimientos!$C$5:$C$3004,$A430,Movimientos!$B$5:$B$3004,"Entrada"))</f>
        <v/>
      </c>
      <c r="K430" s="14" t="str">
        <f>IF($A430="","",SUMIFS(Movimientos!$F$5:$F$3004,Movimientos!$C$5:$C$3004,$A430,Movimientos!$B$5:$B$3004,"Salida"))</f>
        <v/>
      </c>
      <c r="L430" s="14" t="str">
        <f t="shared" si="18"/>
        <v/>
      </c>
      <c r="M430" s="22" t="str">
        <f t="shared" si="19"/>
        <v/>
      </c>
      <c r="N430" s="23" t="str">
        <f t="shared" si="20"/>
        <v/>
      </c>
      <c r="O430" s="14" t="str">
        <f>IF(OR(N430="Reordenar",N430="Agotado"),COUNTIF($N$5:N430,"Reordenar")+COUNTIF($N$5:N430,"Agotado"),"")</f>
        <v/>
      </c>
    </row>
    <row r="431" spans="1:15" x14ac:dyDescent="0.25">
      <c r="A431" s="20"/>
      <c r="B431" s="20"/>
      <c r="C431" s="20"/>
      <c r="D431" s="20"/>
      <c r="E431" s="20"/>
      <c r="F431" s="21"/>
      <c r="G431" s="20"/>
      <c r="H431" s="20"/>
      <c r="I431" s="20"/>
      <c r="J431" s="14" t="str">
        <f>IF($A431="","",SUMIFS(Movimientos!$F$5:$F$3004,Movimientos!$C$5:$C$3004,$A431,Movimientos!$B$5:$B$3004,"Entrada"))</f>
        <v/>
      </c>
      <c r="K431" s="14" t="str">
        <f>IF($A431="","",SUMIFS(Movimientos!$F$5:$F$3004,Movimientos!$C$5:$C$3004,$A431,Movimientos!$B$5:$B$3004,"Salida"))</f>
        <v/>
      </c>
      <c r="L431" s="14" t="str">
        <f t="shared" si="18"/>
        <v/>
      </c>
      <c r="M431" s="22" t="str">
        <f t="shared" si="19"/>
        <v/>
      </c>
      <c r="N431" s="23" t="str">
        <f t="shared" si="20"/>
        <v/>
      </c>
      <c r="O431" s="14" t="str">
        <f>IF(OR(N431="Reordenar",N431="Agotado"),COUNTIF($N$5:N431,"Reordenar")+COUNTIF($N$5:N431,"Agotado"),"")</f>
        <v/>
      </c>
    </row>
    <row r="432" spans="1:15" x14ac:dyDescent="0.25">
      <c r="A432" s="20"/>
      <c r="B432" s="20"/>
      <c r="C432" s="20"/>
      <c r="D432" s="20"/>
      <c r="E432" s="20"/>
      <c r="F432" s="21"/>
      <c r="G432" s="20"/>
      <c r="H432" s="20"/>
      <c r="I432" s="20"/>
      <c r="J432" s="14" t="str">
        <f>IF($A432="","",SUMIFS(Movimientos!$F$5:$F$3004,Movimientos!$C$5:$C$3004,$A432,Movimientos!$B$5:$B$3004,"Entrada"))</f>
        <v/>
      </c>
      <c r="K432" s="14" t="str">
        <f>IF($A432="","",SUMIFS(Movimientos!$F$5:$F$3004,Movimientos!$C$5:$C$3004,$A432,Movimientos!$B$5:$B$3004,"Salida"))</f>
        <v/>
      </c>
      <c r="L432" s="14" t="str">
        <f t="shared" si="18"/>
        <v/>
      </c>
      <c r="M432" s="22" t="str">
        <f t="shared" si="19"/>
        <v/>
      </c>
      <c r="N432" s="23" t="str">
        <f t="shared" si="20"/>
        <v/>
      </c>
      <c r="O432" s="14" t="str">
        <f>IF(OR(N432="Reordenar",N432="Agotado"),COUNTIF($N$5:N432,"Reordenar")+COUNTIF($N$5:N432,"Agotado"),"")</f>
        <v/>
      </c>
    </row>
    <row r="433" spans="1:15" x14ac:dyDescent="0.25">
      <c r="A433" s="20"/>
      <c r="B433" s="20"/>
      <c r="C433" s="20"/>
      <c r="D433" s="20"/>
      <c r="E433" s="20"/>
      <c r="F433" s="21"/>
      <c r="G433" s="20"/>
      <c r="H433" s="20"/>
      <c r="I433" s="20"/>
      <c r="J433" s="14" t="str">
        <f>IF($A433="","",SUMIFS(Movimientos!$F$5:$F$3004,Movimientos!$C$5:$C$3004,$A433,Movimientos!$B$5:$B$3004,"Entrada"))</f>
        <v/>
      </c>
      <c r="K433" s="14" t="str">
        <f>IF($A433="","",SUMIFS(Movimientos!$F$5:$F$3004,Movimientos!$C$5:$C$3004,$A433,Movimientos!$B$5:$B$3004,"Salida"))</f>
        <v/>
      </c>
      <c r="L433" s="14" t="str">
        <f t="shared" si="18"/>
        <v/>
      </c>
      <c r="M433" s="22" t="str">
        <f t="shared" si="19"/>
        <v/>
      </c>
      <c r="N433" s="23" t="str">
        <f t="shared" si="20"/>
        <v/>
      </c>
      <c r="O433" s="14" t="str">
        <f>IF(OR(N433="Reordenar",N433="Agotado"),COUNTIF($N$5:N433,"Reordenar")+COUNTIF($N$5:N433,"Agotado"),"")</f>
        <v/>
      </c>
    </row>
    <row r="434" spans="1:15" x14ac:dyDescent="0.25">
      <c r="A434" s="20"/>
      <c r="B434" s="20"/>
      <c r="C434" s="20"/>
      <c r="D434" s="20"/>
      <c r="E434" s="20"/>
      <c r="F434" s="21"/>
      <c r="G434" s="20"/>
      <c r="H434" s="20"/>
      <c r="I434" s="20"/>
      <c r="J434" s="14" t="str">
        <f>IF($A434="","",SUMIFS(Movimientos!$F$5:$F$3004,Movimientos!$C$5:$C$3004,$A434,Movimientos!$B$5:$B$3004,"Entrada"))</f>
        <v/>
      </c>
      <c r="K434" s="14" t="str">
        <f>IF($A434="","",SUMIFS(Movimientos!$F$5:$F$3004,Movimientos!$C$5:$C$3004,$A434,Movimientos!$B$5:$B$3004,"Salida"))</f>
        <v/>
      </c>
      <c r="L434" s="14" t="str">
        <f t="shared" si="18"/>
        <v/>
      </c>
      <c r="M434" s="22" t="str">
        <f t="shared" si="19"/>
        <v/>
      </c>
      <c r="N434" s="23" t="str">
        <f t="shared" si="20"/>
        <v/>
      </c>
      <c r="O434" s="14" t="str">
        <f>IF(OR(N434="Reordenar",N434="Agotado"),COUNTIF($N$5:N434,"Reordenar")+COUNTIF($N$5:N434,"Agotado"),"")</f>
        <v/>
      </c>
    </row>
    <row r="435" spans="1:15" x14ac:dyDescent="0.25">
      <c r="A435" s="20"/>
      <c r="B435" s="20"/>
      <c r="C435" s="20"/>
      <c r="D435" s="20"/>
      <c r="E435" s="20"/>
      <c r="F435" s="21"/>
      <c r="G435" s="20"/>
      <c r="H435" s="20"/>
      <c r="I435" s="20"/>
      <c r="J435" s="14" t="str">
        <f>IF($A435="","",SUMIFS(Movimientos!$F$5:$F$3004,Movimientos!$C$5:$C$3004,$A435,Movimientos!$B$5:$B$3004,"Entrada"))</f>
        <v/>
      </c>
      <c r="K435" s="14" t="str">
        <f>IF($A435="","",SUMIFS(Movimientos!$F$5:$F$3004,Movimientos!$C$5:$C$3004,$A435,Movimientos!$B$5:$B$3004,"Salida"))</f>
        <v/>
      </c>
      <c r="L435" s="14" t="str">
        <f t="shared" si="18"/>
        <v/>
      </c>
      <c r="M435" s="22" t="str">
        <f t="shared" si="19"/>
        <v/>
      </c>
      <c r="N435" s="23" t="str">
        <f t="shared" si="20"/>
        <v/>
      </c>
      <c r="O435" s="14" t="str">
        <f>IF(OR(N435="Reordenar",N435="Agotado"),COUNTIF($N$5:N435,"Reordenar")+COUNTIF($N$5:N435,"Agotado"),"")</f>
        <v/>
      </c>
    </row>
    <row r="436" spans="1:15" x14ac:dyDescent="0.25">
      <c r="A436" s="20"/>
      <c r="B436" s="20"/>
      <c r="C436" s="20"/>
      <c r="D436" s="20"/>
      <c r="E436" s="20"/>
      <c r="F436" s="21"/>
      <c r="G436" s="20"/>
      <c r="H436" s="20"/>
      <c r="I436" s="20"/>
      <c r="J436" s="14" t="str">
        <f>IF($A436="","",SUMIFS(Movimientos!$F$5:$F$3004,Movimientos!$C$5:$C$3004,$A436,Movimientos!$B$5:$B$3004,"Entrada"))</f>
        <v/>
      </c>
      <c r="K436" s="14" t="str">
        <f>IF($A436="","",SUMIFS(Movimientos!$F$5:$F$3004,Movimientos!$C$5:$C$3004,$A436,Movimientos!$B$5:$B$3004,"Salida"))</f>
        <v/>
      </c>
      <c r="L436" s="14" t="str">
        <f t="shared" si="18"/>
        <v/>
      </c>
      <c r="M436" s="22" t="str">
        <f t="shared" si="19"/>
        <v/>
      </c>
      <c r="N436" s="23" t="str">
        <f t="shared" si="20"/>
        <v/>
      </c>
      <c r="O436" s="14" t="str">
        <f>IF(OR(N436="Reordenar",N436="Agotado"),COUNTIF($N$5:N436,"Reordenar")+COUNTIF($N$5:N436,"Agotado"),"")</f>
        <v/>
      </c>
    </row>
    <row r="437" spans="1:15" x14ac:dyDescent="0.25">
      <c r="A437" s="20"/>
      <c r="B437" s="20"/>
      <c r="C437" s="20"/>
      <c r="D437" s="20"/>
      <c r="E437" s="20"/>
      <c r="F437" s="21"/>
      <c r="G437" s="20"/>
      <c r="H437" s="20"/>
      <c r="I437" s="20"/>
      <c r="J437" s="14" t="str">
        <f>IF($A437="","",SUMIFS(Movimientos!$F$5:$F$3004,Movimientos!$C$5:$C$3004,$A437,Movimientos!$B$5:$B$3004,"Entrada"))</f>
        <v/>
      </c>
      <c r="K437" s="14" t="str">
        <f>IF($A437="","",SUMIFS(Movimientos!$F$5:$F$3004,Movimientos!$C$5:$C$3004,$A437,Movimientos!$B$5:$B$3004,"Salida"))</f>
        <v/>
      </c>
      <c r="L437" s="14" t="str">
        <f t="shared" si="18"/>
        <v/>
      </c>
      <c r="M437" s="22" t="str">
        <f t="shared" si="19"/>
        <v/>
      </c>
      <c r="N437" s="23" t="str">
        <f t="shared" si="20"/>
        <v/>
      </c>
      <c r="O437" s="14" t="str">
        <f>IF(OR(N437="Reordenar",N437="Agotado"),COUNTIF($N$5:N437,"Reordenar")+COUNTIF($N$5:N437,"Agotado"),"")</f>
        <v/>
      </c>
    </row>
    <row r="438" spans="1:15" x14ac:dyDescent="0.25">
      <c r="A438" s="20"/>
      <c r="B438" s="20"/>
      <c r="C438" s="20"/>
      <c r="D438" s="20"/>
      <c r="E438" s="20"/>
      <c r="F438" s="21"/>
      <c r="G438" s="20"/>
      <c r="H438" s="20"/>
      <c r="I438" s="20"/>
      <c r="J438" s="14" t="str">
        <f>IF($A438="","",SUMIFS(Movimientos!$F$5:$F$3004,Movimientos!$C$5:$C$3004,$A438,Movimientos!$B$5:$B$3004,"Entrada"))</f>
        <v/>
      </c>
      <c r="K438" s="14" t="str">
        <f>IF($A438="","",SUMIFS(Movimientos!$F$5:$F$3004,Movimientos!$C$5:$C$3004,$A438,Movimientos!$B$5:$B$3004,"Salida"))</f>
        <v/>
      </c>
      <c r="L438" s="14" t="str">
        <f t="shared" si="18"/>
        <v/>
      </c>
      <c r="M438" s="22" t="str">
        <f t="shared" si="19"/>
        <v/>
      </c>
      <c r="N438" s="23" t="str">
        <f t="shared" si="20"/>
        <v/>
      </c>
      <c r="O438" s="14" t="str">
        <f>IF(OR(N438="Reordenar",N438="Agotado"),COUNTIF($N$5:N438,"Reordenar")+COUNTIF($N$5:N438,"Agotado"),"")</f>
        <v/>
      </c>
    </row>
    <row r="439" spans="1:15" x14ac:dyDescent="0.25">
      <c r="A439" s="20"/>
      <c r="B439" s="20"/>
      <c r="C439" s="20"/>
      <c r="D439" s="20"/>
      <c r="E439" s="20"/>
      <c r="F439" s="21"/>
      <c r="G439" s="20"/>
      <c r="H439" s="20"/>
      <c r="I439" s="20"/>
      <c r="J439" s="14" t="str">
        <f>IF($A439="","",SUMIFS(Movimientos!$F$5:$F$3004,Movimientos!$C$5:$C$3004,$A439,Movimientos!$B$5:$B$3004,"Entrada"))</f>
        <v/>
      </c>
      <c r="K439" s="14" t="str">
        <f>IF($A439="","",SUMIFS(Movimientos!$F$5:$F$3004,Movimientos!$C$5:$C$3004,$A439,Movimientos!$B$5:$B$3004,"Salida"))</f>
        <v/>
      </c>
      <c r="L439" s="14" t="str">
        <f t="shared" si="18"/>
        <v/>
      </c>
      <c r="M439" s="22" t="str">
        <f t="shared" si="19"/>
        <v/>
      </c>
      <c r="N439" s="23" t="str">
        <f t="shared" si="20"/>
        <v/>
      </c>
      <c r="O439" s="14" t="str">
        <f>IF(OR(N439="Reordenar",N439="Agotado"),COUNTIF($N$5:N439,"Reordenar")+COUNTIF($N$5:N439,"Agotado"),"")</f>
        <v/>
      </c>
    </row>
    <row r="440" spans="1:15" x14ac:dyDescent="0.25">
      <c r="A440" s="20"/>
      <c r="B440" s="20"/>
      <c r="C440" s="20"/>
      <c r="D440" s="20"/>
      <c r="E440" s="20"/>
      <c r="F440" s="21"/>
      <c r="G440" s="20"/>
      <c r="H440" s="20"/>
      <c r="I440" s="20"/>
      <c r="J440" s="14" t="str">
        <f>IF($A440="","",SUMIFS(Movimientos!$F$5:$F$3004,Movimientos!$C$5:$C$3004,$A440,Movimientos!$B$5:$B$3004,"Entrada"))</f>
        <v/>
      </c>
      <c r="K440" s="14" t="str">
        <f>IF($A440="","",SUMIFS(Movimientos!$F$5:$F$3004,Movimientos!$C$5:$C$3004,$A440,Movimientos!$B$5:$B$3004,"Salida"))</f>
        <v/>
      </c>
      <c r="L440" s="14" t="str">
        <f t="shared" si="18"/>
        <v/>
      </c>
      <c r="M440" s="22" t="str">
        <f t="shared" si="19"/>
        <v/>
      </c>
      <c r="N440" s="23" t="str">
        <f t="shared" si="20"/>
        <v/>
      </c>
      <c r="O440" s="14" t="str">
        <f>IF(OR(N440="Reordenar",N440="Agotado"),COUNTIF($N$5:N440,"Reordenar")+COUNTIF($N$5:N440,"Agotado"),"")</f>
        <v/>
      </c>
    </row>
    <row r="441" spans="1:15" x14ac:dyDescent="0.25">
      <c r="A441" s="20"/>
      <c r="B441" s="20"/>
      <c r="C441" s="20"/>
      <c r="D441" s="20"/>
      <c r="E441" s="20"/>
      <c r="F441" s="21"/>
      <c r="G441" s="20"/>
      <c r="H441" s="20"/>
      <c r="I441" s="20"/>
      <c r="J441" s="14" t="str">
        <f>IF($A441="","",SUMIFS(Movimientos!$F$5:$F$3004,Movimientos!$C$5:$C$3004,$A441,Movimientos!$B$5:$B$3004,"Entrada"))</f>
        <v/>
      </c>
      <c r="K441" s="14" t="str">
        <f>IF($A441="","",SUMIFS(Movimientos!$F$5:$F$3004,Movimientos!$C$5:$C$3004,$A441,Movimientos!$B$5:$B$3004,"Salida"))</f>
        <v/>
      </c>
      <c r="L441" s="14" t="str">
        <f t="shared" si="18"/>
        <v/>
      </c>
      <c r="M441" s="22" t="str">
        <f t="shared" si="19"/>
        <v/>
      </c>
      <c r="N441" s="23" t="str">
        <f t="shared" si="20"/>
        <v/>
      </c>
      <c r="O441" s="14" t="str">
        <f>IF(OR(N441="Reordenar",N441="Agotado"),COUNTIF($N$5:N441,"Reordenar")+COUNTIF($N$5:N441,"Agotado"),"")</f>
        <v/>
      </c>
    </row>
    <row r="442" spans="1:15" x14ac:dyDescent="0.25">
      <c r="A442" s="20"/>
      <c r="B442" s="20"/>
      <c r="C442" s="20"/>
      <c r="D442" s="20"/>
      <c r="E442" s="20"/>
      <c r="F442" s="21"/>
      <c r="G442" s="20"/>
      <c r="H442" s="20"/>
      <c r="I442" s="20"/>
      <c r="J442" s="14" t="str">
        <f>IF($A442="","",SUMIFS(Movimientos!$F$5:$F$3004,Movimientos!$C$5:$C$3004,$A442,Movimientos!$B$5:$B$3004,"Entrada"))</f>
        <v/>
      </c>
      <c r="K442" s="14" t="str">
        <f>IF($A442="","",SUMIFS(Movimientos!$F$5:$F$3004,Movimientos!$C$5:$C$3004,$A442,Movimientos!$B$5:$B$3004,"Salida"))</f>
        <v/>
      </c>
      <c r="L442" s="14" t="str">
        <f t="shared" si="18"/>
        <v/>
      </c>
      <c r="M442" s="22" t="str">
        <f t="shared" si="19"/>
        <v/>
      </c>
      <c r="N442" s="23" t="str">
        <f t="shared" si="20"/>
        <v/>
      </c>
      <c r="O442" s="14" t="str">
        <f>IF(OR(N442="Reordenar",N442="Agotado"),COUNTIF($N$5:N442,"Reordenar")+COUNTIF($N$5:N442,"Agotado"),"")</f>
        <v/>
      </c>
    </row>
    <row r="443" spans="1:15" x14ac:dyDescent="0.25">
      <c r="A443" s="20"/>
      <c r="B443" s="20"/>
      <c r="C443" s="20"/>
      <c r="D443" s="20"/>
      <c r="E443" s="20"/>
      <c r="F443" s="21"/>
      <c r="G443" s="20"/>
      <c r="H443" s="20"/>
      <c r="I443" s="20"/>
      <c r="J443" s="14" t="str">
        <f>IF($A443="","",SUMIFS(Movimientos!$F$5:$F$3004,Movimientos!$C$5:$C$3004,$A443,Movimientos!$B$5:$B$3004,"Entrada"))</f>
        <v/>
      </c>
      <c r="K443" s="14" t="str">
        <f>IF($A443="","",SUMIFS(Movimientos!$F$5:$F$3004,Movimientos!$C$5:$C$3004,$A443,Movimientos!$B$5:$B$3004,"Salida"))</f>
        <v/>
      </c>
      <c r="L443" s="14" t="str">
        <f t="shared" si="18"/>
        <v/>
      </c>
      <c r="M443" s="22" t="str">
        <f t="shared" si="19"/>
        <v/>
      </c>
      <c r="N443" s="23" t="str">
        <f t="shared" si="20"/>
        <v/>
      </c>
      <c r="O443" s="14" t="str">
        <f>IF(OR(N443="Reordenar",N443="Agotado"),COUNTIF($N$5:N443,"Reordenar")+COUNTIF($N$5:N443,"Agotado"),"")</f>
        <v/>
      </c>
    </row>
    <row r="444" spans="1:15" x14ac:dyDescent="0.25">
      <c r="A444" s="20"/>
      <c r="B444" s="20"/>
      <c r="C444" s="20"/>
      <c r="D444" s="20"/>
      <c r="E444" s="20"/>
      <c r="F444" s="21"/>
      <c r="G444" s="20"/>
      <c r="H444" s="20"/>
      <c r="I444" s="20"/>
      <c r="J444" s="14" t="str">
        <f>IF($A444="","",SUMIFS(Movimientos!$F$5:$F$3004,Movimientos!$C$5:$C$3004,$A444,Movimientos!$B$5:$B$3004,"Entrada"))</f>
        <v/>
      </c>
      <c r="K444" s="14" t="str">
        <f>IF($A444="","",SUMIFS(Movimientos!$F$5:$F$3004,Movimientos!$C$5:$C$3004,$A444,Movimientos!$B$5:$B$3004,"Salida"))</f>
        <v/>
      </c>
      <c r="L444" s="14" t="str">
        <f t="shared" si="18"/>
        <v/>
      </c>
      <c r="M444" s="22" t="str">
        <f t="shared" si="19"/>
        <v/>
      </c>
      <c r="N444" s="23" t="str">
        <f t="shared" si="20"/>
        <v/>
      </c>
      <c r="O444" s="14" t="str">
        <f>IF(OR(N444="Reordenar",N444="Agotado"),COUNTIF($N$5:N444,"Reordenar")+COUNTIF($N$5:N444,"Agotado"),"")</f>
        <v/>
      </c>
    </row>
    <row r="445" spans="1:15" x14ac:dyDescent="0.25">
      <c r="A445" s="20"/>
      <c r="B445" s="20"/>
      <c r="C445" s="20"/>
      <c r="D445" s="20"/>
      <c r="E445" s="20"/>
      <c r="F445" s="21"/>
      <c r="G445" s="20"/>
      <c r="H445" s="20"/>
      <c r="I445" s="20"/>
      <c r="J445" s="14" t="str">
        <f>IF($A445="","",SUMIFS(Movimientos!$F$5:$F$3004,Movimientos!$C$5:$C$3004,$A445,Movimientos!$B$5:$B$3004,"Entrada"))</f>
        <v/>
      </c>
      <c r="K445" s="14" t="str">
        <f>IF($A445="","",SUMIFS(Movimientos!$F$5:$F$3004,Movimientos!$C$5:$C$3004,$A445,Movimientos!$B$5:$B$3004,"Salida"))</f>
        <v/>
      </c>
      <c r="L445" s="14" t="str">
        <f t="shared" si="18"/>
        <v/>
      </c>
      <c r="M445" s="22" t="str">
        <f t="shared" si="19"/>
        <v/>
      </c>
      <c r="N445" s="23" t="str">
        <f t="shared" si="20"/>
        <v/>
      </c>
      <c r="O445" s="14" t="str">
        <f>IF(OR(N445="Reordenar",N445="Agotado"),COUNTIF($N$5:N445,"Reordenar")+COUNTIF($N$5:N445,"Agotado"),"")</f>
        <v/>
      </c>
    </row>
    <row r="446" spans="1:15" x14ac:dyDescent="0.25">
      <c r="A446" s="20"/>
      <c r="B446" s="20"/>
      <c r="C446" s="20"/>
      <c r="D446" s="20"/>
      <c r="E446" s="20"/>
      <c r="F446" s="21"/>
      <c r="G446" s="20"/>
      <c r="H446" s="20"/>
      <c r="I446" s="20"/>
      <c r="J446" s="14" t="str">
        <f>IF($A446="","",SUMIFS(Movimientos!$F$5:$F$3004,Movimientos!$C$5:$C$3004,$A446,Movimientos!$B$5:$B$3004,"Entrada"))</f>
        <v/>
      </c>
      <c r="K446" s="14" t="str">
        <f>IF($A446="","",SUMIFS(Movimientos!$F$5:$F$3004,Movimientos!$C$5:$C$3004,$A446,Movimientos!$B$5:$B$3004,"Salida"))</f>
        <v/>
      </c>
      <c r="L446" s="14" t="str">
        <f t="shared" si="18"/>
        <v/>
      </c>
      <c r="M446" s="22" t="str">
        <f t="shared" si="19"/>
        <v/>
      </c>
      <c r="N446" s="23" t="str">
        <f t="shared" si="20"/>
        <v/>
      </c>
      <c r="O446" s="14" t="str">
        <f>IF(OR(N446="Reordenar",N446="Agotado"),COUNTIF($N$5:N446,"Reordenar")+COUNTIF($N$5:N446,"Agotado"),"")</f>
        <v/>
      </c>
    </row>
    <row r="447" spans="1:15" x14ac:dyDescent="0.25">
      <c r="A447" s="20"/>
      <c r="B447" s="20"/>
      <c r="C447" s="20"/>
      <c r="D447" s="20"/>
      <c r="E447" s="20"/>
      <c r="F447" s="21"/>
      <c r="G447" s="20"/>
      <c r="H447" s="20"/>
      <c r="I447" s="20"/>
      <c r="J447" s="14" t="str">
        <f>IF($A447="","",SUMIFS(Movimientos!$F$5:$F$3004,Movimientos!$C$5:$C$3004,$A447,Movimientos!$B$5:$B$3004,"Entrada"))</f>
        <v/>
      </c>
      <c r="K447" s="14" t="str">
        <f>IF($A447="","",SUMIFS(Movimientos!$F$5:$F$3004,Movimientos!$C$5:$C$3004,$A447,Movimientos!$B$5:$B$3004,"Salida"))</f>
        <v/>
      </c>
      <c r="L447" s="14" t="str">
        <f t="shared" si="18"/>
        <v/>
      </c>
      <c r="M447" s="22" t="str">
        <f t="shared" si="19"/>
        <v/>
      </c>
      <c r="N447" s="23" t="str">
        <f t="shared" si="20"/>
        <v/>
      </c>
      <c r="O447" s="14" t="str">
        <f>IF(OR(N447="Reordenar",N447="Agotado"),COUNTIF($N$5:N447,"Reordenar")+COUNTIF($N$5:N447,"Agotado"),"")</f>
        <v/>
      </c>
    </row>
    <row r="448" spans="1:15" x14ac:dyDescent="0.25">
      <c r="A448" s="20"/>
      <c r="B448" s="20"/>
      <c r="C448" s="20"/>
      <c r="D448" s="20"/>
      <c r="E448" s="20"/>
      <c r="F448" s="21"/>
      <c r="G448" s="20"/>
      <c r="H448" s="20"/>
      <c r="I448" s="20"/>
      <c r="J448" s="14" t="str">
        <f>IF($A448="","",SUMIFS(Movimientos!$F$5:$F$3004,Movimientos!$C$5:$C$3004,$A448,Movimientos!$B$5:$B$3004,"Entrada"))</f>
        <v/>
      </c>
      <c r="K448" s="14" t="str">
        <f>IF($A448="","",SUMIFS(Movimientos!$F$5:$F$3004,Movimientos!$C$5:$C$3004,$A448,Movimientos!$B$5:$B$3004,"Salida"))</f>
        <v/>
      </c>
      <c r="L448" s="14" t="str">
        <f t="shared" si="18"/>
        <v/>
      </c>
      <c r="M448" s="22" t="str">
        <f t="shared" si="19"/>
        <v/>
      </c>
      <c r="N448" s="23" t="str">
        <f t="shared" si="20"/>
        <v/>
      </c>
      <c r="O448" s="14" t="str">
        <f>IF(OR(N448="Reordenar",N448="Agotado"),COUNTIF($N$5:N448,"Reordenar")+COUNTIF($N$5:N448,"Agotado"),"")</f>
        <v/>
      </c>
    </row>
    <row r="449" spans="1:15" x14ac:dyDescent="0.25">
      <c r="A449" s="20"/>
      <c r="B449" s="20"/>
      <c r="C449" s="20"/>
      <c r="D449" s="20"/>
      <c r="E449" s="20"/>
      <c r="F449" s="21"/>
      <c r="G449" s="20"/>
      <c r="H449" s="20"/>
      <c r="I449" s="20"/>
      <c r="J449" s="14" t="str">
        <f>IF($A449="","",SUMIFS(Movimientos!$F$5:$F$3004,Movimientos!$C$5:$C$3004,$A449,Movimientos!$B$5:$B$3004,"Entrada"))</f>
        <v/>
      </c>
      <c r="K449" s="14" t="str">
        <f>IF($A449="","",SUMIFS(Movimientos!$F$5:$F$3004,Movimientos!$C$5:$C$3004,$A449,Movimientos!$B$5:$B$3004,"Salida"))</f>
        <v/>
      </c>
      <c r="L449" s="14" t="str">
        <f t="shared" si="18"/>
        <v/>
      </c>
      <c r="M449" s="22" t="str">
        <f t="shared" si="19"/>
        <v/>
      </c>
      <c r="N449" s="23" t="str">
        <f t="shared" si="20"/>
        <v/>
      </c>
      <c r="O449" s="14" t="str">
        <f>IF(OR(N449="Reordenar",N449="Agotado"),COUNTIF($N$5:N449,"Reordenar")+COUNTIF($N$5:N449,"Agotado"),"")</f>
        <v/>
      </c>
    </row>
    <row r="450" spans="1:15" x14ac:dyDescent="0.25">
      <c r="A450" s="20"/>
      <c r="B450" s="20"/>
      <c r="C450" s="20"/>
      <c r="D450" s="20"/>
      <c r="E450" s="20"/>
      <c r="F450" s="21"/>
      <c r="G450" s="20"/>
      <c r="H450" s="20"/>
      <c r="I450" s="20"/>
      <c r="J450" s="14" t="str">
        <f>IF($A450="","",SUMIFS(Movimientos!$F$5:$F$3004,Movimientos!$C$5:$C$3004,$A450,Movimientos!$B$5:$B$3004,"Entrada"))</f>
        <v/>
      </c>
      <c r="K450" s="14" t="str">
        <f>IF($A450="","",SUMIFS(Movimientos!$F$5:$F$3004,Movimientos!$C$5:$C$3004,$A450,Movimientos!$B$5:$B$3004,"Salida"))</f>
        <v/>
      </c>
      <c r="L450" s="14" t="str">
        <f t="shared" si="18"/>
        <v/>
      </c>
      <c r="M450" s="22" t="str">
        <f t="shared" si="19"/>
        <v/>
      </c>
      <c r="N450" s="23" t="str">
        <f t="shared" si="20"/>
        <v/>
      </c>
      <c r="O450" s="14" t="str">
        <f>IF(OR(N450="Reordenar",N450="Agotado"),COUNTIF($N$5:N450,"Reordenar")+COUNTIF($N$5:N450,"Agotado"),"")</f>
        <v/>
      </c>
    </row>
    <row r="451" spans="1:15" x14ac:dyDescent="0.25">
      <c r="A451" s="20"/>
      <c r="B451" s="20"/>
      <c r="C451" s="20"/>
      <c r="D451" s="20"/>
      <c r="E451" s="20"/>
      <c r="F451" s="21"/>
      <c r="G451" s="20"/>
      <c r="H451" s="20"/>
      <c r="I451" s="20"/>
      <c r="J451" s="14" t="str">
        <f>IF($A451="","",SUMIFS(Movimientos!$F$5:$F$3004,Movimientos!$C$5:$C$3004,$A451,Movimientos!$B$5:$B$3004,"Entrada"))</f>
        <v/>
      </c>
      <c r="K451" s="14" t="str">
        <f>IF($A451="","",SUMIFS(Movimientos!$F$5:$F$3004,Movimientos!$C$5:$C$3004,$A451,Movimientos!$B$5:$B$3004,"Salida"))</f>
        <v/>
      </c>
      <c r="L451" s="14" t="str">
        <f t="shared" si="18"/>
        <v/>
      </c>
      <c r="M451" s="22" t="str">
        <f t="shared" si="19"/>
        <v/>
      </c>
      <c r="N451" s="23" t="str">
        <f t="shared" si="20"/>
        <v/>
      </c>
      <c r="O451" s="14" t="str">
        <f>IF(OR(N451="Reordenar",N451="Agotado"),COUNTIF($N$5:N451,"Reordenar")+COUNTIF($N$5:N451,"Agotado"),"")</f>
        <v/>
      </c>
    </row>
    <row r="452" spans="1:15" x14ac:dyDescent="0.25">
      <c r="A452" s="20"/>
      <c r="B452" s="20"/>
      <c r="C452" s="20"/>
      <c r="D452" s="20"/>
      <c r="E452" s="20"/>
      <c r="F452" s="21"/>
      <c r="G452" s="20"/>
      <c r="H452" s="20"/>
      <c r="I452" s="20"/>
      <c r="J452" s="14" t="str">
        <f>IF($A452="","",SUMIFS(Movimientos!$F$5:$F$3004,Movimientos!$C$5:$C$3004,$A452,Movimientos!$B$5:$B$3004,"Entrada"))</f>
        <v/>
      </c>
      <c r="K452" s="14" t="str">
        <f>IF($A452="","",SUMIFS(Movimientos!$F$5:$F$3004,Movimientos!$C$5:$C$3004,$A452,Movimientos!$B$5:$B$3004,"Salida"))</f>
        <v/>
      </c>
      <c r="L452" s="14" t="str">
        <f t="shared" si="18"/>
        <v/>
      </c>
      <c r="M452" s="22" t="str">
        <f t="shared" si="19"/>
        <v/>
      </c>
      <c r="N452" s="23" t="str">
        <f t="shared" si="20"/>
        <v/>
      </c>
      <c r="O452" s="14" t="str">
        <f>IF(OR(N452="Reordenar",N452="Agotado"),COUNTIF($N$5:N452,"Reordenar")+COUNTIF($N$5:N452,"Agotado"),"")</f>
        <v/>
      </c>
    </row>
    <row r="453" spans="1:15" x14ac:dyDescent="0.25">
      <c r="A453" s="20"/>
      <c r="B453" s="20"/>
      <c r="C453" s="20"/>
      <c r="D453" s="20"/>
      <c r="E453" s="20"/>
      <c r="F453" s="21"/>
      <c r="G453" s="20"/>
      <c r="H453" s="20"/>
      <c r="I453" s="20"/>
      <c r="J453" s="14" t="str">
        <f>IF($A453="","",SUMIFS(Movimientos!$F$5:$F$3004,Movimientos!$C$5:$C$3004,$A453,Movimientos!$B$5:$B$3004,"Entrada"))</f>
        <v/>
      </c>
      <c r="K453" s="14" t="str">
        <f>IF($A453="","",SUMIFS(Movimientos!$F$5:$F$3004,Movimientos!$C$5:$C$3004,$A453,Movimientos!$B$5:$B$3004,"Salida"))</f>
        <v/>
      </c>
      <c r="L453" s="14" t="str">
        <f t="shared" ref="L453:L516" si="21">IF($A453="","",N(I453)+J453-K453)</f>
        <v/>
      </c>
      <c r="M453" s="22" t="str">
        <f t="shared" ref="M453:M516" si="22">IF($A453="","",L453*N(F453))</f>
        <v/>
      </c>
      <c r="N453" s="23" t="str">
        <f t="shared" ref="N453:N504" si="23">IF($A453="","",IF(L453&lt;=0,"Agotado",IF(AND(N(G453)&gt;0,L453&lt;=G453),"Reordenar","OK")))</f>
        <v/>
      </c>
      <c r="O453" s="14" t="str">
        <f>IF(OR(N453="Reordenar",N453="Agotado"),COUNTIF($N$5:N453,"Reordenar")+COUNTIF($N$5:N453,"Agotado"),"")</f>
        <v/>
      </c>
    </row>
    <row r="454" spans="1:15" x14ac:dyDescent="0.25">
      <c r="A454" s="20"/>
      <c r="B454" s="20"/>
      <c r="C454" s="20"/>
      <c r="D454" s="20"/>
      <c r="E454" s="20"/>
      <c r="F454" s="21"/>
      <c r="G454" s="20"/>
      <c r="H454" s="20"/>
      <c r="I454" s="20"/>
      <c r="J454" s="14" t="str">
        <f>IF($A454="","",SUMIFS(Movimientos!$F$5:$F$3004,Movimientos!$C$5:$C$3004,$A454,Movimientos!$B$5:$B$3004,"Entrada"))</f>
        <v/>
      </c>
      <c r="K454" s="14" t="str">
        <f>IF($A454="","",SUMIFS(Movimientos!$F$5:$F$3004,Movimientos!$C$5:$C$3004,$A454,Movimientos!$B$5:$B$3004,"Salida"))</f>
        <v/>
      </c>
      <c r="L454" s="14" t="str">
        <f t="shared" si="21"/>
        <v/>
      </c>
      <c r="M454" s="22" t="str">
        <f t="shared" si="22"/>
        <v/>
      </c>
      <c r="N454" s="23" t="str">
        <f t="shared" si="23"/>
        <v/>
      </c>
      <c r="O454" s="14" t="str">
        <f>IF(OR(N454="Reordenar",N454="Agotado"),COUNTIF($N$5:N454,"Reordenar")+COUNTIF($N$5:N454,"Agotado"),"")</f>
        <v/>
      </c>
    </row>
    <row r="455" spans="1:15" x14ac:dyDescent="0.25">
      <c r="A455" s="20"/>
      <c r="B455" s="20"/>
      <c r="C455" s="20"/>
      <c r="D455" s="20"/>
      <c r="E455" s="20"/>
      <c r="F455" s="21"/>
      <c r="G455" s="20"/>
      <c r="H455" s="20"/>
      <c r="I455" s="20"/>
      <c r="J455" s="14" t="str">
        <f>IF($A455="","",SUMIFS(Movimientos!$F$5:$F$3004,Movimientos!$C$5:$C$3004,$A455,Movimientos!$B$5:$B$3004,"Entrada"))</f>
        <v/>
      </c>
      <c r="K455" s="14" t="str">
        <f>IF($A455="","",SUMIFS(Movimientos!$F$5:$F$3004,Movimientos!$C$5:$C$3004,$A455,Movimientos!$B$5:$B$3004,"Salida"))</f>
        <v/>
      </c>
      <c r="L455" s="14" t="str">
        <f t="shared" si="21"/>
        <v/>
      </c>
      <c r="M455" s="22" t="str">
        <f t="shared" si="22"/>
        <v/>
      </c>
      <c r="N455" s="23" t="str">
        <f t="shared" si="23"/>
        <v/>
      </c>
      <c r="O455" s="14" t="str">
        <f>IF(OR(N455="Reordenar",N455="Agotado"),COUNTIF($N$5:N455,"Reordenar")+COUNTIF($N$5:N455,"Agotado"),"")</f>
        <v/>
      </c>
    </row>
    <row r="456" spans="1:15" x14ac:dyDescent="0.25">
      <c r="A456" s="20"/>
      <c r="B456" s="20"/>
      <c r="C456" s="20"/>
      <c r="D456" s="20"/>
      <c r="E456" s="20"/>
      <c r="F456" s="21"/>
      <c r="G456" s="20"/>
      <c r="H456" s="20"/>
      <c r="I456" s="20"/>
      <c r="J456" s="14" t="str">
        <f>IF($A456="","",SUMIFS(Movimientos!$F$5:$F$3004,Movimientos!$C$5:$C$3004,$A456,Movimientos!$B$5:$B$3004,"Entrada"))</f>
        <v/>
      </c>
      <c r="K456" s="14" t="str">
        <f>IF($A456="","",SUMIFS(Movimientos!$F$5:$F$3004,Movimientos!$C$5:$C$3004,$A456,Movimientos!$B$5:$B$3004,"Salida"))</f>
        <v/>
      </c>
      <c r="L456" s="14" t="str">
        <f t="shared" si="21"/>
        <v/>
      </c>
      <c r="M456" s="22" t="str">
        <f t="shared" si="22"/>
        <v/>
      </c>
      <c r="N456" s="23" t="str">
        <f t="shared" si="23"/>
        <v/>
      </c>
      <c r="O456" s="14" t="str">
        <f>IF(OR(N456="Reordenar",N456="Agotado"),COUNTIF($N$5:N456,"Reordenar")+COUNTIF($N$5:N456,"Agotado"),"")</f>
        <v/>
      </c>
    </row>
    <row r="457" spans="1:15" x14ac:dyDescent="0.25">
      <c r="A457" s="20"/>
      <c r="B457" s="20"/>
      <c r="C457" s="20"/>
      <c r="D457" s="20"/>
      <c r="E457" s="20"/>
      <c r="F457" s="21"/>
      <c r="G457" s="20"/>
      <c r="H457" s="20"/>
      <c r="I457" s="20"/>
      <c r="J457" s="14" t="str">
        <f>IF($A457="","",SUMIFS(Movimientos!$F$5:$F$3004,Movimientos!$C$5:$C$3004,$A457,Movimientos!$B$5:$B$3004,"Entrada"))</f>
        <v/>
      </c>
      <c r="K457" s="14" t="str">
        <f>IF($A457="","",SUMIFS(Movimientos!$F$5:$F$3004,Movimientos!$C$5:$C$3004,$A457,Movimientos!$B$5:$B$3004,"Salida"))</f>
        <v/>
      </c>
      <c r="L457" s="14" t="str">
        <f t="shared" si="21"/>
        <v/>
      </c>
      <c r="M457" s="22" t="str">
        <f t="shared" si="22"/>
        <v/>
      </c>
      <c r="N457" s="23" t="str">
        <f t="shared" si="23"/>
        <v/>
      </c>
      <c r="O457" s="14" t="str">
        <f>IF(OR(N457="Reordenar",N457="Agotado"),COUNTIF($N$5:N457,"Reordenar")+COUNTIF($N$5:N457,"Agotado"),"")</f>
        <v/>
      </c>
    </row>
    <row r="458" spans="1:15" x14ac:dyDescent="0.25">
      <c r="A458" s="20"/>
      <c r="B458" s="20"/>
      <c r="C458" s="20"/>
      <c r="D458" s="20"/>
      <c r="E458" s="20"/>
      <c r="F458" s="21"/>
      <c r="G458" s="20"/>
      <c r="H458" s="20"/>
      <c r="I458" s="20"/>
      <c r="J458" s="14" t="str">
        <f>IF($A458="","",SUMIFS(Movimientos!$F$5:$F$3004,Movimientos!$C$5:$C$3004,$A458,Movimientos!$B$5:$B$3004,"Entrada"))</f>
        <v/>
      </c>
      <c r="K458" s="14" t="str">
        <f>IF($A458="","",SUMIFS(Movimientos!$F$5:$F$3004,Movimientos!$C$5:$C$3004,$A458,Movimientos!$B$5:$B$3004,"Salida"))</f>
        <v/>
      </c>
      <c r="L458" s="14" t="str">
        <f t="shared" si="21"/>
        <v/>
      </c>
      <c r="M458" s="22" t="str">
        <f t="shared" si="22"/>
        <v/>
      </c>
      <c r="N458" s="23" t="str">
        <f t="shared" si="23"/>
        <v/>
      </c>
      <c r="O458" s="14" t="str">
        <f>IF(OR(N458="Reordenar",N458="Agotado"),COUNTIF($N$5:N458,"Reordenar")+COUNTIF($N$5:N458,"Agotado"),"")</f>
        <v/>
      </c>
    </row>
    <row r="459" spans="1:15" x14ac:dyDescent="0.25">
      <c r="A459" s="20"/>
      <c r="B459" s="20"/>
      <c r="C459" s="20"/>
      <c r="D459" s="20"/>
      <c r="E459" s="20"/>
      <c r="F459" s="21"/>
      <c r="G459" s="20"/>
      <c r="H459" s="20"/>
      <c r="I459" s="20"/>
      <c r="J459" s="14" t="str">
        <f>IF($A459="","",SUMIFS(Movimientos!$F$5:$F$3004,Movimientos!$C$5:$C$3004,$A459,Movimientos!$B$5:$B$3004,"Entrada"))</f>
        <v/>
      </c>
      <c r="K459" s="14" t="str">
        <f>IF($A459="","",SUMIFS(Movimientos!$F$5:$F$3004,Movimientos!$C$5:$C$3004,$A459,Movimientos!$B$5:$B$3004,"Salida"))</f>
        <v/>
      </c>
      <c r="L459" s="14" t="str">
        <f t="shared" si="21"/>
        <v/>
      </c>
      <c r="M459" s="22" t="str">
        <f t="shared" si="22"/>
        <v/>
      </c>
      <c r="N459" s="23" t="str">
        <f t="shared" si="23"/>
        <v/>
      </c>
      <c r="O459" s="14" t="str">
        <f>IF(OR(N459="Reordenar",N459="Agotado"),COUNTIF($N$5:N459,"Reordenar")+COUNTIF($N$5:N459,"Agotado"),"")</f>
        <v/>
      </c>
    </row>
    <row r="460" spans="1:15" x14ac:dyDescent="0.25">
      <c r="A460" s="20"/>
      <c r="B460" s="20"/>
      <c r="C460" s="20"/>
      <c r="D460" s="20"/>
      <c r="E460" s="20"/>
      <c r="F460" s="21"/>
      <c r="G460" s="20"/>
      <c r="H460" s="20"/>
      <c r="I460" s="20"/>
      <c r="J460" s="14" t="str">
        <f>IF($A460="","",SUMIFS(Movimientos!$F$5:$F$3004,Movimientos!$C$5:$C$3004,$A460,Movimientos!$B$5:$B$3004,"Entrada"))</f>
        <v/>
      </c>
      <c r="K460" s="14" t="str">
        <f>IF($A460="","",SUMIFS(Movimientos!$F$5:$F$3004,Movimientos!$C$5:$C$3004,$A460,Movimientos!$B$5:$B$3004,"Salida"))</f>
        <v/>
      </c>
      <c r="L460" s="14" t="str">
        <f t="shared" si="21"/>
        <v/>
      </c>
      <c r="M460" s="22" t="str">
        <f t="shared" si="22"/>
        <v/>
      </c>
      <c r="N460" s="23" t="str">
        <f t="shared" si="23"/>
        <v/>
      </c>
      <c r="O460" s="14" t="str">
        <f>IF(OR(N460="Reordenar",N460="Agotado"),COUNTIF($N$5:N460,"Reordenar")+COUNTIF($N$5:N460,"Agotado"),"")</f>
        <v/>
      </c>
    </row>
    <row r="461" spans="1:15" x14ac:dyDescent="0.25">
      <c r="A461" s="20"/>
      <c r="B461" s="20"/>
      <c r="C461" s="20"/>
      <c r="D461" s="20"/>
      <c r="E461" s="20"/>
      <c r="F461" s="21"/>
      <c r="G461" s="20"/>
      <c r="H461" s="20"/>
      <c r="I461" s="20"/>
      <c r="J461" s="14" t="str">
        <f>IF($A461="","",SUMIFS(Movimientos!$F$5:$F$3004,Movimientos!$C$5:$C$3004,$A461,Movimientos!$B$5:$B$3004,"Entrada"))</f>
        <v/>
      </c>
      <c r="K461" s="14" t="str">
        <f>IF($A461="","",SUMIFS(Movimientos!$F$5:$F$3004,Movimientos!$C$5:$C$3004,$A461,Movimientos!$B$5:$B$3004,"Salida"))</f>
        <v/>
      </c>
      <c r="L461" s="14" t="str">
        <f t="shared" si="21"/>
        <v/>
      </c>
      <c r="M461" s="22" t="str">
        <f t="shared" si="22"/>
        <v/>
      </c>
      <c r="N461" s="23" t="str">
        <f t="shared" si="23"/>
        <v/>
      </c>
      <c r="O461" s="14" t="str">
        <f>IF(OR(N461="Reordenar",N461="Agotado"),COUNTIF($N$5:N461,"Reordenar")+COUNTIF($N$5:N461,"Agotado"),"")</f>
        <v/>
      </c>
    </row>
    <row r="462" spans="1:15" x14ac:dyDescent="0.25">
      <c r="A462" s="20"/>
      <c r="B462" s="20"/>
      <c r="C462" s="20"/>
      <c r="D462" s="20"/>
      <c r="E462" s="20"/>
      <c r="F462" s="21"/>
      <c r="G462" s="20"/>
      <c r="H462" s="20"/>
      <c r="I462" s="20"/>
      <c r="J462" s="14" t="str">
        <f>IF($A462="","",SUMIFS(Movimientos!$F$5:$F$3004,Movimientos!$C$5:$C$3004,$A462,Movimientos!$B$5:$B$3004,"Entrada"))</f>
        <v/>
      </c>
      <c r="K462" s="14" t="str">
        <f>IF($A462="","",SUMIFS(Movimientos!$F$5:$F$3004,Movimientos!$C$5:$C$3004,$A462,Movimientos!$B$5:$B$3004,"Salida"))</f>
        <v/>
      </c>
      <c r="L462" s="14" t="str">
        <f t="shared" si="21"/>
        <v/>
      </c>
      <c r="M462" s="22" t="str">
        <f t="shared" si="22"/>
        <v/>
      </c>
      <c r="N462" s="23" t="str">
        <f t="shared" si="23"/>
        <v/>
      </c>
      <c r="O462" s="14" t="str">
        <f>IF(OR(N462="Reordenar",N462="Agotado"),COUNTIF($N$5:N462,"Reordenar")+COUNTIF($N$5:N462,"Agotado"),"")</f>
        <v/>
      </c>
    </row>
    <row r="463" spans="1:15" x14ac:dyDescent="0.25">
      <c r="A463" s="20"/>
      <c r="B463" s="20"/>
      <c r="C463" s="20"/>
      <c r="D463" s="20"/>
      <c r="E463" s="20"/>
      <c r="F463" s="21"/>
      <c r="G463" s="20"/>
      <c r="H463" s="20"/>
      <c r="I463" s="20"/>
      <c r="J463" s="14" t="str">
        <f>IF($A463="","",SUMIFS(Movimientos!$F$5:$F$3004,Movimientos!$C$5:$C$3004,$A463,Movimientos!$B$5:$B$3004,"Entrada"))</f>
        <v/>
      </c>
      <c r="K463" s="14" t="str">
        <f>IF($A463="","",SUMIFS(Movimientos!$F$5:$F$3004,Movimientos!$C$5:$C$3004,$A463,Movimientos!$B$5:$B$3004,"Salida"))</f>
        <v/>
      </c>
      <c r="L463" s="14" t="str">
        <f t="shared" si="21"/>
        <v/>
      </c>
      <c r="M463" s="22" t="str">
        <f t="shared" si="22"/>
        <v/>
      </c>
      <c r="N463" s="23" t="str">
        <f t="shared" si="23"/>
        <v/>
      </c>
      <c r="O463" s="14" t="str">
        <f>IF(OR(N463="Reordenar",N463="Agotado"),COUNTIF($N$5:N463,"Reordenar")+COUNTIF($N$5:N463,"Agotado"),"")</f>
        <v/>
      </c>
    </row>
    <row r="464" spans="1:15" x14ac:dyDescent="0.25">
      <c r="A464" s="20"/>
      <c r="B464" s="20"/>
      <c r="C464" s="20"/>
      <c r="D464" s="20"/>
      <c r="E464" s="20"/>
      <c r="F464" s="21"/>
      <c r="G464" s="20"/>
      <c r="H464" s="20"/>
      <c r="I464" s="20"/>
      <c r="J464" s="14" t="str">
        <f>IF($A464="","",SUMIFS(Movimientos!$F$5:$F$3004,Movimientos!$C$5:$C$3004,$A464,Movimientos!$B$5:$B$3004,"Entrada"))</f>
        <v/>
      </c>
      <c r="K464" s="14" t="str">
        <f>IF($A464="","",SUMIFS(Movimientos!$F$5:$F$3004,Movimientos!$C$5:$C$3004,$A464,Movimientos!$B$5:$B$3004,"Salida"))</f>
        <v/>
      </c>
      <c r="L464" s="14" t="str">
        <f t="shared" si="21"/>
        <v/>
      </c>
      <c r="M464" s="22" t="str">
        <f t="shared" si="22"/>
        <v/>
      </c>
      <c r="N464" s="23" t="str">
        <f t="shared" si="23"/>
        <v/>
      </c>
      <c r="O464" s="14" t="str">
        <f>IF(OR(N464="Reordenar",N464="Agotado"),COUNTIF($N$5:N464,"Reordenar")+COUNTIF($N$5:N464,"Agotado"),"")</f>
        <v/>
      </c>
    </row>
    <row r="465" spans="1:15" x14ac:dyDescent="0.25">
      <c r="A465" s="20"/>
      <c r="B465" s="20"/>
      <c r="C465" s="20"/>
      <c r="D465" s="20"/>
      <c r="E465" s="20"/>
      <c r="F465" s="21"/>
      <c r="G465" s="20"/>
      <c r="H465" s="20"/>
      <c r="I465" s="20"/>
      <c r="J465" s="14" t="str">
        <f>IF($A465="","",SUMIFS(Movimientos!$F$5:$F$3004,Movimientos!$C$5:$C$3004,$A465,Movimientos!$B$5:$B$3004,"Entrada"))</f>
        <v/>
      </c>
      <c r="K465" s="14" t="str">
        <f>IF($A465="","",SUMIFS(Movimientos!$F$5:$F$3004,Movimientos!$C$5:$C$3004,$A465,Movimientos!$B$5:$B$3004,"Salida"))</f>
        <v/>
      </c>
      <c r="L465" s="14" t="str">
        <f t="shared" si="21"/>
        <v/>
      </c>
      <c r="M465" s="22" t="str">
        <f t="shared" si="22"/>
        <v/>
      </c>
      <c r="N465" s="23" t="str">
        <f t="shared" si="23"/>
        <v/>
      </c>
      <c r="O465" s="14" t="str">
        <f>IF(OR(N465="Reordenar",N465="Agotado"),COUNTIF($N$5:N465,"Reordenar")+COUNTIF($N$5:N465,"Agotado"),"")</f>
        <v/>
      </c>
    </row>
    <row r="466" spans="1:15" x14ac:dyDescent="0.25">
      <c r="A466" s="20"/>
      <c r="B466" s="20"/>
      <c r="C466" s="20"/>
      <c r="D466" s="20"/>
      <c r="E466" s="20"/>
      <c r="F466" s="21"/>
      <c r="G466" s="20"/>
      <c r="H466" s="20"/>
      <c r="I466" s="20"/>
      <c r="J466" s="14" t="str">
        <f>IF($A466="","",SUMIFS(Movimientos!$F$5:$F$3004,Movimientos!$C$5:$C$3004,$A466,Movimientos!$B$5:$B$3004,"Entrada"))</f>
        <v/>
      </c>
      <c r="K466" s="14" t="str">
        <f>IF($A466="","",SUMIFS(Movimientos!$F$5:$F$3004,Movimientos!$C$5:$C$3004,$A466,Movimientos!$B$5:$B$3004,"Salida"))</f>
        <v/>
      </c>
      <c r="L466" s="14" t="str">
        <f t="shared" si="21"/>
        <v/>
      </c>
      <c r="M466" s="22" t="str">
        <f t="shared" si="22"/>
        <v/>
      </c>
      <c r="N466" s="23" t="str">
        <f t="shared" si="23"/>
        <v/>
      </c>
      <c r="O466" s="14" t="str">
        <f>IF(OR(N466="Reordenar",N466="Agotado"),COUNTIF($N$5:N466,"Reordenar")+COUNTIF($N$5:N466,"Agotado"),"")</f>
        <v/>
      </c>
    </row>
    <row r="467" spans="1:15" x14ac:dyDescent="0.25">
      <c r="A467" s="20"/>
      <c r="B467" s="20"/>
      <c r="C467" s="20"/>
      <c r="D467" s="20"/>
      <c r="E467" s="20"/>
      <c r="F467" s="21"/>
      <c r="G467" s="20"/>
      <c r="H467" s="20"/>
      <c r="I467" s="20"/>
      <c r="J467" s="14" t="str">
        <f>IF($A467="","",SUMIFS(Movimientos!$F$5:$F$3004,Movimientos!$C$5:$C$3004,$A467,Movimientos!$B$5:$B$3004,"Entrada"))</f>
        <v/>
      </c>
      <c r="K467" s="14" t="str">
        <f>IF($A467="","",SUMIFS(Movimientos!$F$5:$F$3004,Movimientos!$C$5:$C$3004,$A467,Movimientos!$B$5:$B$3004,"Salida"))</f>
        <v/>
      </c>
      <c r="L467" s="14" t="str">
        <f t="shared" si="21"/>
        <v/>
      </c>
      <c r="M467" s="22" t="str">
        <f t="shared" si="22"/>
        <v/>
      </c>
      <c r="N467" s="23" t="str">
        <f t="shared" si="23"/>
        <v/>
      </c>
      <c r="O467" s="14" t="str">
        <f>IF(OR(N467="Reordenar",N467="Agotado"),COUNTIF($N$5:N467,"Reordenar")+COUNTIF($N$5:N467,"Agotado"),"")</f>
        <v/>
      </c>
    </row>
    <row r="468" spans="1:15" x14ac:dyDescent="0.25">
      <c r="A468" s="20"/>
      <c r="B468" s="20"/>
      <c r="C468" s="20"/>
      <c r="D468" s="20"/>
      <c r="E468" s="20"/>
      <c r="F468" s="21"/>
      <c r="G468" s="20"/>
      <c r="H468" s="20"/>
      <c r="I468" s="20"/>
      <c r="J468" s="14" t="str">
        <f>IF($A468="","",SUMIFS(Movimientos!$F$5:$F$3004,Movimientos!$C$5:$C$3004,$A468,Movimientos!$B$5:$B$3004,"Entrada"))</f>
        <v/>
      </c>
      <c r="K468" s="14" t="str">
        <f>IF($A468="","",SUMIFS(Movimientos!$F$5:$F$3004,Movimientos!$C$5:$C$3004,$A468,Movimientos!$B$5:$B$3004,"Salida"))</f>
        <v/>
      </c>
      <c r="L468" s="14" t="str">
        <f t="shared" si="21"/>
        <v/>
      </c>
      <c r="M468" s="22" t="str">
        <f t="shared" si="22"/>
        <v/>
      </c>
      <c r="N468" s="23" t="str">
        <f t="shared" si="23"/>
        <v/>
      </c>
      <c r="O468" s="14" t="str">
        <f>IF(OR(N468="Reordenar",N468="Agotado"),COUNTIF($N$5:N468,"Reordenar")+COUNTIF($N$5:N468,"Agotado"),"")</f>
        <v/>
      </c>
    </row>
    <row r="469" spans="1:15" x14ac:dyDescent="0.25">
      <c r="A469" s="20"/>
      <c r="B469" s="20"/>
      <c r="C469" s="20"/>
      <c r="D469" s="20"/>
      <c r="E469" s="20"/>
      <c r="F469" s="21"/>
      <c r="G469" s="20"/>
      <c r="H469" s="20"/>
      <c r="I469" s="20"/>
      <c r="J469" s="14" t="str">
        <f>IF($A469="","",SUMIFS(Movimientos!$F$5:$F$3004,Movimientos!$C$5:$C$3004,$A469,Movimientos!$B$5:$B$3004,"Entrada"))</f>
        <v/>
      </c>
      <c r="K469" s="14" t="str">
        <f>IF($A469="","",SUMIFS(Movimientos!$F$5:$F$3004,Movimientos!$C$5:$C$3004,$A469,Movimientos!$B$5:$B$3004,"Salida"))</f>
        <v/>
      </c>
      <c r="L469" s="14" t="str">
        <f t="shared" si="21"/>
        <v/>
      </c>
      <c r="M469" s="22" t="str">
        <f t="shared" si="22"/>
        <v/>
      </c>
      <c r="N469" s="23" t="str">
        <f t="shared" si="23"/>
        <v/>
      </c>
      <c r="O469" s="14" t="str">
        <f>IF(OR(N469="Reordenar",N469="Agotado"),COUNTIF($N$5:N469,"Reordenar")+COUNTIF($N$5:N469,"Agotado"),"")</f>
        <v/>
      </c>
    </row>
    <row r="470" spans="1:15" x14ac:dyDescent="0.25">
      <c r="A470" s="20"/>
      <c r="B470" s="20"/>
      <c r="C470" s="20"/>
      <c r="D470" s="20"/>
      <c r="E470" s="20"/>
      <c r="F470" s="21"/>
      <c r="G470" s="20"/>
      <c r="H470" s="20"/>
      <c r="I470" s="20"/>
      <c r="J470" s="14" t="str">
        <f>IF($A470="","",SUMIFS(Movimientos!$F$5:$F$3004,Movimientos!$C$5:$C$3004,$A470,Movimientos!$B$5:$B$3004,"Entrada"))</f>
        <v/>
      </c>
      <c r="K470" s="14" t="str">
        <f>IF($A470="","",SUMIFS(Movimientos!$F$5:$F$3004,Movimientos!$C$5:$C$3004,$A470,Movimientos!$B$5:$B$3004,"Salida"))</f>
        <v/>
      </c>
      <c r="L470" s="14" t="str">
        <f t="shared" si="21"/>
        <v/>
      </c>
      <c r="M470" s="22" t="str">
        <f t="shared" si="22"/>
        <v/>
      </c>
      <c r="N470" s="23" t="str">
        <f t="shared" si="23"/>
        <v/>
      </c>
      <c r="O470" s="14" t="str">
        <f>IF(OR(N470="Reordenar",N470="Agotado"),COUNTIF($N$5:N470,"Reordenar")+COUNTIF($N$5:N470,"Agotado"),"")</f>
        <v/>
      </c>
    </row>
    <row r="471" spans="1:15" x14ac:dyDescent="0.25">
      <c r="A471" s="20"/>
      <c r="B471" s="20"/>
      <c r="C471" s="20"/>
      <c r="D471" s="20"/>
      <c r="E471" s="20"/>
      <c r="F471" s="21"/>
      <c r="G471" s="20"/>
      <c r="H471" s="20"/>
      <c r="I471" s="20"/>
      <c r="J471" s="14" t="str">
        <f>IF($A471="","",SUMIFS(Movimientos!$F$5:$F$3004,Movimientos!$C$5:$C$3004,$A471,Movimientos!$B$5:$B$3004,"Entrada"))</f>
        <v/>
      </c>
      <c r="K471" s="14" t="str">
        <f>IF($A471="","",SUMIFS(Movimientos!$F$5:$F$3004,Movimientos!$C$5:$C$3004,$A471,Movimientos!$B$5:$B$3004,"Salida"))</f>
        <v/>
      </c>
      <c r="L471" s="14" t="str">
        <f t="shared" si="21"/>
        <v/>
      </c>
      <c r="M471" s="22" t="str">
        <f t="shared" si="22"/>
        <v/>
      </c>
      <c r="N471" s="23" t="str">
        <f t="shared" si="23"/>
        <v/>
      </c>
      <c r="O471" s="14" t="str">
        <f>IF(OR(N471="Reordenar",N471="Agotado"),COUNTIF($N$5:N471,"Reordenar")+COUNTIF($N$5:N471,"Agotado"),"")</f>
        <v/>
      </c>
    </row>
    <row r="472" spans="1:15" x14ac:dyDescent="0.25">
      <c r="A472" s="20"/>
      <c r="B472" s="20"/>
      <c r="C472" s="20"/>
      <c r="D472" s="20"/>
      <c r="E472" s="20"/>
      <c r="F472" s="21"/>
      <c r="G472" s="20"/>
      <c r="H472" s="20"/>
      <c r="I472" s="20"/>
      <c r="J472" s="14" t="str">
        <f>IF($A472="","",SUMIFS(Movimientos!$F$5:$F$3004,Movimientos!$C$5:$C$3004,$A472,Movimientos!$B$5:$B$3004,"Entrada"))</f>
        <v/>
      </c>
      <c r="K472" s="14" t="str">
        <f>IF($A472="","",SUMIFS(Movimientos!$F$5:$F$3004,Movimientos!$C$5:$C$3004,$A472,Movimientos!$B$5:$B$3004,"Salida"))</f>
        <v/>
      </c>
      <c r="L472" s="14" t="str">
        <f t="shared" si="21"/>
        <v/>
      </c>
      <c r="M472" s="22" t="str">
        <f t="shared" si="22"/>
        <v/>
      </c>
      <c r="N472" s="23" t="str">
        <f t="shared" si="23"/>
        <v/>
      </c>
      <c r="O472" s="14" t="str">
        <f>IF(OR(N472="Reordenar",N472="Agotado"),COUNTIF($N$5:N472,"Reordenar")+COUNTIF($N$5:N472,"Agotado"),"")</f>
        <v/>
      </c>
    </row>
    <row r="473" spans="1:15" x14ac:dyDescent="0.25">
      <c r="A473" s="20"/>
      <c r="B473" s="20"/>
      <c r="C473" s="20"/>
      <c r="D473" s="20"/>
      <c r="E473" s="20"/>
      <c r="F473" s="21"/>
      <c r="G473" s="20"/>
      <c r="H473" s="20"/>
      <c r="I473" s="20"/>
      <c r="J473" s="14" t="str">
        <f>IF($A473="","",SUMIFS(Movimientos!$F$5:$F$3004,Movimientos!$C$5:$C$3004,$A473,Movimientos!$B$5:$B$3004,"Entrada"))</f>
        <v/>
      </c>
      <c r="K473" s="14" t="str">
        <f>IF($A473="","",SUMIFS(Movimientos!$F$5:$F$3004,Movimientos!$C$5:$C$3004,$A473,Movimientos!$B$5:$B$3004,"Salida"))</f>
        <v/>
      </c>
      <c r="L473" s="14" t="str">
        <f t="shared" si="21"/>
        <v/>
      </c>
      <c r="M473" s="22" t="str">
        <f t="shared" si="22"/>
        <v/>
      </c>
      <c r="N473" s="23" t="str">
        <f t="shared" si="23"/>
        <v/>
      </c>
      <c r="O473" s="14" t="str">
        <f>IF(OR(N473="Reordenar",N473="Agotado"),COUNTIF($N$5:N473,"Reordenar")+COUNTIF($N$5:N473,"Agotado"),"")</f>
        <v/>
      </c>
    </row>
    <row r="474" spans="1:15" x14ac:dyDescent="0.25">
      <c r="A474" s="20"/>
      <c r="B474" s="20"/>
      <c r="C474" s="20"/>
      <c r="D474" s="20"/>
      <c r="E474" s="20"/>
      <c r="F474" s="21"/>
      <c r="G474" s="20"/>
      <c r="H474" s="20"/>
      <c r="I474" s="20"/>
      <c r="J474" s="14" t="str">
        <f>IF($A474="","",SUMIFS(Movimientos!$F$5:$F$3004,Movimientos!$C$5:$C$3004,$A474,Movimientos!$B$5:$B$3004,"Entrada"))</f>
        <v/>
      </c>
      <c r="K474" s="14" t="str">
        <f>IF($A474="","",SUMIFS(Movimientos!$F$5:$F$3004,Movimientos!$C$5:$C$3004,$A474,Movimientos!$B$5:$B$3004,"Salida"))</f>
        <v/>
      </c>
      <c r="L474" s="14" t="str">
        <f t="shared" si="21"/>
        <v/>
      </c>
      <c r="M474" s="22" t="str">
        <f t="shared" si="22"/>
        <v/>
      </c>
      <c r="N474" s="23" t="str">
        <f t="shared" si="23"/>
        <v/>
      </c>
      <c r="O474" s="14" t="str">
        <f>IF(OR(N474="Reordenar",N474="Agotado"),COUNTIF($N$5:N474,"Reordenar")+COUNTIF($N$5:N474,"Agotado"),"")</f>
        <v/>
      </c>
    </row>
    <row r="475" spans="1:15" x14ac:dyDescent="0.25">
      <c r="A475" s="20"/>
      <c r="B475" s="20"/>
      <c r="C475" s="20"/>
      <c r="D475" s="20"/>
      <c r="E475" s="20"/>
      <c r="F475" s="21"/>
      <c r="G475" s="20"/>
      <c r="H475" s="20"/>
      <c r="I475" s="20"/>
      <c r="J475" s="14" t="str">
        <f>IF($A475="","",SUMIFS(Movimientos!$F$5:$F$3004,Movimientos!$C$5:$C$3004,$A475,Movimientos!$B$5:$B$3004,"Entrada"))</f>
        <v/>
      </c>
      <c r="K475" s="14" t="str">
        <f>IF($A475="","",SUMIFS(Movimientos!$F$5:$F$3004,Movimientos!$C$5:$C$3004,$A475,Movimientos!$B$5:$B$3004,"Salida"))</f>
        <v/>
      </c>
      <c r="L475" s="14" t="str">
        <f t="shared" si="21"/>
        <v/>
      </c>
      <c r="M475" s="22" t="str">
        <f t="shared" si="22"/>
        <v/>
      </c>
      <c r="N475" s="23" t="str">
        <f t="shared" si="23"/>
        <v/>
      </c>
      <c r="O475" s="14" t="str">
        <f>IF(OR(N475="Reordenar",N475="Agotado"),COUNTIF($N$5:N475,"Reordenar")+COUNTIF($N$5:N475,"Agotado"),"")</f>
        <v/>
      </c>
    </row>
    <row r="476" spans="1:15" x14ac:dyDescent="0.25">
      <c r="A476" s="20"/>
      <c r="B476" s="20"/>
      <c r="C476" s="20"/>
      <c r="D476" s="20"/>
      <c r="E476" s="20"/>
      <c r="F476" s="21"/>
      <c r="G476" s="20"/>
      <c r="H476" s="20"/>
      <c r="I476" s="20"/>
      <c r="J476" s="14" t="str">
        <f>IF($A476="","",SUMIFS(Movimientos!$F$5:$F$3004,Movimientos!$C$5:$C$3004,$A476,Movimientos!$B$5:$B$3004,"Entrada"))</f>
        <v/>
      </c>
      <c r="K476" s="14" t="str">
        <f>IF($A476="","",SUMIFS(Movimientos!$F$5:$F$3004,Movimientos!$C$5:$C$3004,$A476,Movimientos!$B$5:$B$3004,"Salida"))</f>
        <v/>
      </c>
      <c r="L476" s="14" t="str">
        <f t="shared" si="21"/>
        <v/>
      </c>
      <c r="M476" s="22" t="str">
        <f t="shared" si="22"/>
        <v/>
      </c>
      <c r="N476" s="23" t="str">
        <f t="shared" si="23"/>
        <v/>
      </c>
      <c r="O476" s="14" t="str">
        <f>IF(OR(N476="Reordenar",N476="Agotado"),COUNTIF($N$5:N476,"Reordenar")+COUNTIF($N$5:N476,"Agotado"),"")</f>
        <v/>
      </c>
    </row>
    <row r="477" spans="1:15" x14ac:dyDescent="0.25">
      <c r="A477" s="20"/>
      <c r="B477" s="20"/>
      <c r="C477" s="20"/>
      <c r="D477" s="20"/>
      <c r="E477" s="20"/>
      <c r="F477" s="21"/>
      <c r="G477" s="20"/>
      <c r="H477" s="20"/>
      <c r="I477" s="20"/>
      <c r="J477" s="14" t="str">
        <f>IF($A477="","",SUMIFS(Movimientos!$F$5:$F$3004,Movimientos!$C$5:$C$3004,$A477,Movimientos!$B$5:$B$3004,"Entrada"))</f>
        <v/>
      </c>
      <c r="K477" s="14" t="str">
        <f>IF($A477="","",SUMIFS(Movimientos!$F$5:$F$3004,Movimientos!$C$5:$C$3004,$A477,Movimientos!$B$5:$B$3004,"Salida"))</f>
        <v/>
      </c>
      <c r="L477" s="14" t="str">
        <f t="shared" si="21"/>
        <v/>
      </c>
      <c r="M477" s="22" t="str">
        <f t="shared" si="22"/>
        <v/>
      </c>
      <c r="N477" s="23" t="str">
        <f t="shared" si="23"/>
        <v/>
      </c>
      <c r="O477" s="14" t="str">
        <f>IF(OR(N477="Reordenar",N477="Agotado"),COUNTIF($N$5:N477,"Reordenar")+COUNTIF($N$5:N477,"Agotado"),"")</f>
        <v/>
      </c>
    </row>
    <row r="478" spans="1:15" x14ac:dyDescent="0.25">
      <c r="A478" s="20"/>
      <c r="B478" s="20"/>
      <c r="C478" s="20"/>
      <c r="D478" s="20"/>
      <c r="E478" s="20"/>
      <c r="F478" s="21"/>
      <c r="G478" s="20"/>
      <c r="H478" s="20"/>
      <c r="I478" s="20"/>
      <c r="J478" s="14" t="str">
        <f>IF($A478="","",SUMIFS(Movimientos!$F$5:$F$3004,Movimientos!$C$5:$C$3004,$A478,Movimientos!$B$5:$B$3004,"Entrada"))</f>
        <v/>
      </c>
      <c r="K478" s="14" t="str">
        <f>IF($A478="","",SUMIFS(Movimientos!$F$5:$F$3004,Movimientos!$C$5:$C$3004,$A478,Movimientos!$B$5:$B$3004,"Salida"))</f>
        <v/>
      </c>
      <c r="L478" s="14" t="str">
        <f t="shared" si="21"/>
        <v/>
      </c>
      <c r="M478" s="22" t="str">
        <f t="shared" si="22"/>
        <v/>
      </c>
      <c r="N478" s="23" t="str">
        <f t="shared" si="23"/>
        <v/>
      </c>
      <c r="O478" s="14" t="str">
        <f>IF(OR(N478="Reordenar",N478="Agotado"),COUNTIF($N$5:N478,"Reordenar")+COUNTIF($N$5:N478,"Agotado"),"")</f>
        <v/>
      </c>
    </row>
    <row r="479" spans="1:15" x14ac:dyDescent="0.25">
      <c r="A479" s="20"/>
      <c r="B479" s="20"/>
      <c r="C479" s="20"/>
      <c r="D479" s="20"/>
      <c r="E479" s="20"/>
      <c r="F479" s="21"/>
      <c r="G479" s="20"/>
      <c r="H479" s="20"/>
      <c r="I479" s="20"/>
      <c r="J479" s="14" t="str">
        <f>IF($A479="","",SUMIFS(Movimientos!$F$5:$F$3004,Movimientos!$C$5:$C$3004,$A479,Movimientos!$B$5:$B$3004,"Entrada"))</f>
        <v/>
      </c>
      <c r="K479" s="14" t="str">
        <f>IF($A479="","",SUMIFS(Movimientos!$F$5:$F$3004,Movimientos!$C$5:$C$3004,$A479,Movimientos!$B$5:$B$3004,"Salida"))</f>
        <v/>
      </c>
      <c r="L479" s="14" t="str">
        <f t="shared" si="21"/>
        <v/>
      </c>
      <c r="M479" s="22" t="str">
        <f t="shared" si="22"/>
        <v/>
      </c>
      <c r="N479" s="23" t="str">
        <f t="shared" si="23"/>
        <v/>
      </c>
      <c r="O479" s="14" t="str">
        <f>IF(OR(N479="Reordenar",N479="Agotado"),COUNTIF($N$5:N479,"Reordenar")+COUNTIF($N$5:N479,"Agotado"),"")</f>
        <v/>
      </c>
    </row>
    <row r="480" spans="1:15" x14ac:dyDescent="0.25">
      <c r="A480" s="20"/>
      <c r="B480" s="20"/>
      <c r="C480" s="20"/>
      <c r="D480" s="20"/>
      <c r="E480" s="20"/>
      <c r="F480" s="21"/>
      <c r="G480" s="20"/>
      <c r="H480" s="20"/>
      <c r="I480" s="20"/>
      <c r="J480" s="14" t="str">
        <f>IF($A480="","",SUMIFS(Movimientos!$F$5:$F$3004,Movimientos!$C$5:$C$3004,$A480,Movimientos!$B$5:$B$3004,"Entrada"))</f>
        <v/>
      </c>
      <c r="K480" s="14" t="str">
        <f>IF($A480="","",SUMIFS(Movimientos!$F$5:$F$3004,Movimientos!$C$5:$C$3004,$A480,Movimientos!$B$5:$B$3004,"Salida"))</f>
        <v/>
      </c>
      <c r="L480" s="14" t="str">
        <f t="shared" si="21"/>
        <v/>
      </c>
      <c r="M480" s="22" t="str">
        <f t="shared" si="22"/>
        <v/>
      </c>
      <c r="N480" s="23" t="str">
        <f t="shared" si="23"/>
        <v/>
      </c>
      <c r="O480" s="14" t="str">
        <f>IF(OR(N480="Reordenar",N480="Agotado"),COUNTIF($N$5:N480,"Reordenar")+COUNTIF($N$5:N480,"Agotado"),"")</f>
        <v/>
      </c>
    </row>
    <row r="481" spans="1:15" x14ac:dyDescent="0.25">
      <c r="A481" s="20"/>
      <c r="B481" s="20"/>
      <c r="C481" s="20"/>
      <c r="D481" s="20"/>
      <c r="E481" s="20"/>
      <c r="F481" s="21"/>
      <c r="G481" s="20"/>
      <c r="H481" s="20"/>
      <c r="I481" s="20"/>
      <c r="J481" s="14" t="str">
        <f>IF($A481="","",SUMIFS(Movimientos!$F$5:$F$3004,Movimientos!$C$5:$C$3004,$A481,Movimientos!$B$5:$B$3004,"Entrada"))</f>
        <v/>
      </c>
      <c r="K481" s="14" t="str">
        <f>IF($A481="","",SUMIFS(Movimientos!$F$5:$F$3004,Movimientos!$C$5:$C$3004,$A481,Movimientos!$B$5:$B$3004,"Salida"))</f>
        <v/>
      </c>
      <c r="L481" s="14" t="str">
        <f t="shared" si="21"/>
        <v/>
      </c>
      <c r="M481" s="22" t="str">
        <f t="shared" si="22"/>
        <v/>
      </c>
      <c r="N481" s="23" t="str">
        <f t="shared" si="23"/>
        <v/>
      </c>
      <c r="O481" s="14" t="str">
        <f>IF(OR(N481="Reordenar",N481="Agotado"),COUNTIF($N$5:N481,"Reordenar")+COUNTIF($N$5:N481,"Agotado"),"")</f>
        <v/>
      </c>
    </row>
    <row r="482" spans="1:15" x14ac:dyDescent="0.25">
      <c r="A482" s="20"/>
      <c r="B482" s="20"/>
      <c r="C482" s="20"/>
      <c r="D482" s="20"/>
      <c r="E482" s="20"/>
      <c r="F482" s="21"/>
      <c r="G482" s="20"/>
      <c r="H482" s="20"/>
      <c r="I482" s="20"/>
      <c r="J482" s="14" t="str">
        <f>IF($A482="","",SUMIFS(Movimientos!$F$5:$F$3004,Movimientos!$C$5:$C$3004,$A482,Movimientos!$B$5:$B$3004,"Entrada"))</f>
        <v/>
      </c>
      <c r="K482" s="14" t="str">
        <f>IF($A482="","",SUMIFS(Movimientos!$F$5:$F$3004,Movimientos!$C$5:$C$3004,$A482,Movimientos!$B$5:$B$3004,"Salida"))</f>
        <v/>
      </c>
      <c r="L482" s="14" t="str">
        <f t="shared" si="21"/>
        <v/>
      </c>
      <c r="M482" s="22" t="str">
        <f t="shared" si="22"/>
        <v/>
      </c>
      <c r="N482" s="23" t="str">
        <f t="shared" si="23"/>
        <v/>
      </c>
      <c r="O482" s="14" t="str">
        <f>IF(OR(N482="Reordenar",N482="Agotado"),COUNTIF($N$5:N482,"Reordenar")+COUNTIF($N$5:N482,"Agotado"),"")</f>
        <v/>
      </c>
    </row>
    <row r="483" spans="1:15" x14ac:dyDescent="0.25">
      <c r="A483" s="20"/>
      <c r="B483" s="20"/>
      <c r="C483" s="20"/>
      <c r="D483" s="20"/>
      <c r="E483" s="20"/>
      <c r="F483" s="21"/>
      <c r="G483" s="20"/>
      <c r="H483" s="20"/>
      <c r="I483" s="20"/>
      <c r="J483" s="14" t="str">
        <f>IF($A483="","",SUMIFS(Movimientos!$F$5:$F$3004,Movimientos!$C$5:$C$3004,$A483,Movimientos!$B$5:$B$3004,"Entrada"))</f>
        <v/>
      </c>
      <c r="K483" s="14" t="str">
        <f>IF($A483="","",SUMIFS(Movimientos!$F$5:$F$3004,Movimientos!$C$5:$C$3004,$A483,Movimientos!$B$5:$B$3004,"Salida"))</f>
        <v/>
      </c>
      <c r="L483" s="14" t="str">
        <f t="shared" si="21"/>
        <v/>
      </c>
      <c r="M483" s="22" t="str">
        <f t="shared" si="22"/>
        <v/>
      </c>
      <c r="N483" s="23" t="str">
        <f t="shared" si="23"/>
        <v/>
      </c>
      <c r="O483" s="14" t="str">
        <f>IF(OR(N483="Reordenar",N483="Agotado"),COUNTIF($N$5:N483,"Reordenar")+COUNTIF($N$5:N483,"Agotado"),"")</f>
        <v/>
      </c>
    </row>
    <row r="484" spans="1:15" x14ac:dyDescent="0.25">
      <c r="A484" s="20"/>
      <c r="B484" s="20"/>
      <c r="C484" s="20"/>
      <c r="D484" s="20"/>
      <c r="E484" s="20"/>
      <c r="F484" s="21"/>
      <c r="G484" s="20"/>
      <c r="H484" s="20"/>
      <c r="I484" s="20"/>
      <c r="J484" s="14" t="str">
        <f>IF($A484="","",SUMIFS(Movimientos!$F$5:$F$3004,Movimientos!$C$5:$C$3004,$A484,Movimientos!$B$5:$B$3004,"Entrada"))</f>
        <v/>
      </c>
      <c r="K484" s="14" t="str">
        <f>IF($A484="","",SUMIFS(Movimientos!$F$5:$F$3004,Movimientos!$C$5:$C$3004,$A484,Movimientos!$B$5:$B$3004,"Salida"))</f>
        <v/>
      </c>
      <c r="L484" s="14" t="str">
        <f t="shared" si="21"/>
        <v/>
      </c>
      <c r="M484" s="22" t="str">
        <f t="shared" si="22"/>
        <v/>
      </c>
      <c r="N484" s="23" t="str">
        <f t="shared" si="23"/>
        <v/>
      </c>
      <c r="O484" s="14" t="str">
        <f>IF(OR(N484="Reordenar",N484="Agotado"),COUNTIF($N$5:N484,"Reordenar")+COUNTIF($N$5:N484,"Agotado"),"")</f>
        <v/>
      </c>
    </row>
    <row r="485" spans="1:15" x14ac:dyDescent="0.25">
      <c r="A485" s="20"/>
      <c r="B485" s="20"/>
      <c r="C485" s="20"/>
      <c r="D485" s="20"/>
      <c r="E485" s="20"/>
      <c r="F485" s="21"/>
      <c r="G485" s="20"/>
      <c r="H485" s="20"/>
      <c r="I485" s="20"/>
      <c r="J485" s="14" t="str">
        <f>IF($A485="","",SUMIFS(Movimientos!$F$5:$F$3004,Movimientos!$C$5:$C$3004,$A485,Movimientos!$B$5:$B$3004,"Entrada"))</f>
        <v/>
      </c>
      <c r="K485" s="14" t="str">
        <f>IF($A485="","",SUMIFS(Movimientos!$F$5:$F$3004,Movimientos!$C$5:$C$3004,$A485,Movimientos!$B$5:$B$3004,"Salida"))</f>
        <v/>
      </c>
      <c r="L485" s="14" t="str">
        <f t="shared" si="21"/>
        <v/>
      </c>
      <c r="M485" s="22" t="str">
        <f t="shared" si="22"/>
        <v/>
      </c>
      <c r="N485" s="23" t="str">
        <f t="shared" si="23"/>
        <v/>
      </c>
      <c r="O485" s="14" t="str">
        <f>IF(OR(N485="Reordenar",N485="Agotado"),COUNTIF($N$5:N485,"Reordenar")+COUNTIF($N$5:N485,"Agotado"),"")</f>
        <v/>
      </c>
    </row>
    <row r="486" spans="1:15" x14ac:dyDescent="0.25">
      <c r="A486" s="20"/>
      <c r="B486" s="20"/>
      <c r="C486" s="20"/>
      <c r="D486" s="20"/>
      <c r="E486" s="20"/>
      <c r="F486" s="21"/>
      <c r="G486" s="20"/>
      <c r="H486" s="20"/>
      <c r="I486" s="20"/>
      <c r="J486" s="14" t="str">
        <f>IF($A486="","",SUMIFS(Movimientos!$F$5:$F$3004,Movimientos!$C$5:$C$3004,$A486,Movimientos!$B$5:$B$3004,"Entrada"))</f>
        <v/>
      </c>
      <c r="K486" s="14" t="str">
        <f>IF($A486="","",SUMIFS(Movimientos!$F$5:$F$3004,Movimientos!$C$5:$C$3004,$A486,Movimientos!$B$5:$B$3004,"Salida"))</f>
        <v/>
      </c>
      <c r="L486" s="14" t="str">
        <f t="shared" si="21"/>
        <v/>
      </c>
      <c r="M486" s="22" t="str">
        <f t="shared" si="22"/>
        <v/>
      </c>
      <c r="N486" s="23" t="str">
        <f t="shared" si="23"/>
        <v/>
      </c>
      <c r="O486" s="14" t="str">
        <f>IF(OR(N486="Reordenar",N486="Agotado"),COUNTIF($N$5:N486,"Reordenar")+COUNTIF($N$5:N486,"Agotado"),"")</f>
        <v/>
      </c>
    </row>
    <row r="487" spans="1:15" x14ac:dyDescent="0.25">
      <c r="A487" s="20"/>
      <c r="B487" s="20"/>
      <c r="C487" s="20"/>
      <c r="D487" s="20"/>
      <c r="E487" s="20"/>
      <c r="F487" s="21"/>
      <c r="G487" s="20"/>
      <c r="H487" s="20"/>
      <c r="I487" s="20"/>
      <c r="J487" s="14" t="str">
        <f>IF($A487="","",SUMIFS(Movimientos!$F$5:$F$3004,Movimientos!$C$5:$C$3004,$A487,Movimientos!$B$5:$B$3004,"Entrada"))</f>
        <v/>
      </c>
      <c r="K487" s="14" t="str">
        <f>IF($A487="","",SUMIFS(Movimientos!$F$5:$F$3004,Movimientos!$C$5:$C$3004,$A487,Movimientos!$B$5:$B$3004,"Salida"))</f>
        <v/>
      </c>
      <c r="L487" s="14" t="str">
        <f t="shared" si="21"/>
        <v/>
      </c>
      <c r="M487" s="22" t="str">
        <f t="shared" si="22"/>
        <v/>
      </c>
      <c r="N487" s="23" t="str">
        <f t="shared" si="23"/>
        <v/>
      </c>
      <c r="O487" s="14" t="str">
        <f>IF(OR(N487="Reordenar",N487="Agotado"),COUNTIF($N$5:N487,"Reordenar")+COUNTIF($N$5:N487,"Agotado"),"")</f>
        <v/>
      </c>
    </row>
    <row r="488" spans="1:15" x14ac:dyDescent="0.25">
      <c r="A488" s="20"/>
      <c r="B488" s="20"/>
      <c r="C488" s="20"/>
      <c r="D488" s="20"/>
      <c r="E488" s="20"/>
      <c r="F488" s="21"/>
      <c r="G488" s="20"/>
      <c r="H488" s="20"/>
      <c r="I488" s="20"/>
      <c r="J488" s="14" t="str">
        <f>IF($A488="","",SUMIFS(Movimientos!$F$5:$F$3004,Movimientos!$C$5:$C$3004,$A488,Movimientos!$B$5:$B$3004,"Entrada"))</f>
        <v/>
      </c>
      <c r="K488" s="14" t="str">
        <f>IF($A488="","",SUMIFS(Movimientos!$F$5:$F$3004,Movimientos!$C$5:$C$3004,$A488,Movimientos!$B$5:$B$3004,"Salida"))</f>
        <v/>
      </c>
      <c r="L488" s="14" t="str">
        <f t="shared" si="21"/>
        <v/>
      </c>
      <c r="M488" s="22" t="str">
        <f t="shared" si="22"/>
        <v/>
      </c>
      <c r="N488" s="23" t="str">
        <f t="shared" si="23"/>
        <v/>
      </c>
      <c r="O488" s="14" t="str">
        <f>IF(OR(N488="Reordenar",N488="Agotado"),COUNTIF($N$5:N488,"Reordenar")+COUNTIF($N$5:N488,"Agotado"),"")</f>
        <v/>
      </c>
    </row>
    <row r="489" spans="1:15" x14ac:dyDescent="0.25">
      <c r="A489" s="20"/>
      <c r="B489" s="20"/>
      <c r="C489" s="20"/>
      <c r="D489" s="20"/>
      <c r="E489" s="20"/>
      <c r="F489" s="21"/>
      <c r="G489" s="20"/>
      <c r="H489" s="20"/>
      <c r="I489" s="20"/>
      <c r="J489" s="14" t="str">
        <f>IF($A489="","",SUMIFS(Movimientos!$F$5:$F$3004,Movimientos!$C$5:$C$3004,$A489,Movimientos!$B$5:$B$3004,"Entrada"))</f>
        <v/>
      </c>
      <c r="K489" s="14" t="str">
        <f>IF($A489="","",SUMIFS(Movimientos!$F$5:$F$3004,Movimientos!$C$5:$C$3004,$A489,Movimientos!$B$5:$B$3004,"Salida"))</f>
        <v/>
      </c>
      <c r="L489" s="14" t="str">
        <f t="shared" si="21"/>
        <v/>
      </c>
      <c r="M489" s="22" t="str">
        <f t="shared" si="22"/>
        <v/>
      </c>
      <c r="N489" s="23" t="str">
        <f t="shared" si="23"/>
        <v/>
      </c>
      <c r="O489" s="14" t="str">
        <f>IF(OR(N489="Reordenar",N489="Agotado"),COUNTIF($N$5:N489,"Reordenar")+COUNTIF($N$5:N489,"Agotado"),"")</f>
        <v/>
      </c>
    </row>
    <row r="490" spans="1:15" x14ac:dyDescent="0.25">
      <c r="A490" s="20"/>
      <c r="B490" s="20"/>
      <c r="C490" s="20"/>
      <c r="D490" s="20"/>
      <c r="E490" s="20"/>
      <c r="F490" s="21"/>
      <c r="G490" s="20"/>
      <c r="H490" s="20"/>
      <c r="I490" s="20"/>
      <c r="J490" s="14" t="str">
        <f>IF($A490="","",SUMIFS(Movimientos!$F$5:$F$3004,Movimientos!$C$5:$C$3004,$A490,Movimientos!$B$5:$B$3004,"Entrada"))</f>
        <v/>
      </c>
      <c r="K490" s="14" t="str">
        <f>IF($A490="","",SUMIFS(Movimientos!$F$5:$F$3004,Movimientos!$C$5:$C$3004,$A490,Movimientos!$B$5:$B$3004,"Salida"))</f>
        <v/>
      </c>
      <c r="L490" s="14" t="str">
        <f t="shared" si="21"/>
        <v/>
      </c>
      <c r="M490" s="22" t="str">
        <f t="shared" si="22"/>
        <v/>
      </c>
      <c r="N490" s="23" t="str">
        <f t="shared" si="23"/>
        <v/>
      </c>
      <c r="O490" s="14" t="str">
        <f>IF(OR(N490="Reordenar",N490="Agotado"),COUNTIF($N$5:N490,"Reordenar")+COUNTIF($N$5:N490,"Agotado"),"")</f>
        <v/>
      </c>
    </row>
    <row r="491" spans="1:15" x14ac:dyDescent="0.25">
      <c r="A491" s="20"/>
      <c r="B491" s="20"/>
      <c r="C491" s="20"/>
      <c r="D491" s="20"/>
      <c r="E491" s="20"/>
      <c r="F491" s="21"/>
      <c r="G491" s="20"/>
      <c r="H491" s="20"/>
      <c r="I491" s="20"/>
      <c r="J491" s="14" t="str">
        <f>IF($A491="","",SUMIFS(Movimientos!$F$5:$F$3004,Movimientos!$C$5:$C$3004,$A491,Movimientos!$B$5:$B$3004,"Entrada"))</f>
        <v/>
      </c>
      <c r="K491" s="14" t="str">
        <f>IF($A491="","",SUMIFS(Movimientos!$F$5:$F$3004,Movimientos!$C$5:$C$3004,$A491,Movimientos!$B$5:$B$3004,"Salida"))</f>
        <v/>
      </c>
      <c r="L491" s="14" t="str">
        <f t="shared" si="21"/>
        <v/>
      </c>
      <c r="M491" s="22" t="str">
        <f t="shared" si="22"/>
        <v/>
      </c>
      <c r="N491" s="23" t="str">
        <f t="shared" si="23"/>
        <v/>
      </c>
      <c r="O491" s="14" t="str">
        <f>IF(OR(N491="Reordenar",N491="Agotado"),COUNTIF($N$5:N491,"Reordenar")+COUNTIF($N$5:N491,"Agotado"),"")</f>
        <v/>
      </c>
    </row>
    <row r="492" spans="1:15" x14ac:dyDescent="0.25">
      <c r="A492" s="20"/>
      <c r="B492" s="20"/>
      <c r="C492" s="20"/>
      <c r="D492" s="20"/>
      <c r="E492" s="20"/>
      <c r="F492" s="21"/>
      <c r="G492" s="20"/>
      <c r="H492" s="20"/>
      <c r="I492" s="20"/>
      <c r="J492" s="14" t="str">
        <f>IF($A492="","",SUMIFS(Movimientos!$F$5:$F$3004,Movimientos!$C$5:$C$3004,$A492,Movimientos!$B$5:$B$3004,"Entrada"))</f>
        <v/>
      </c>
      <c r="K492" s="14" t="str">
        <f>IF($A492="","",SUMIFS(Movimientos!$F$5:$F$3004,Movimientos!$C$5:$C$3004,$A492,Movimientos!$B$5:$B$3004,"Salida"))</f>
        <v/>
      </c>
      <c r="L492" s="14" t="str">
        <f t="shared" si="21"/>
        <v/>
      </c>
      <c r="M492" s="22" t="str">
        <f t="shared" si="22"/>
        <v/>
      </c>
      <c r="N492" s="23" t="str">
        <f t="shared" si="23"/>
        <v/>
      </c>
      <c r="O492" s="14" t="str">
        <f>IF(OR(N492="Reordenar",N492="Agotado"),COUNTIF($N$5:N492,"Reordenar")+COUNTIF($N$5:N492,"Agotado"),"")</f>
        <v/>
      </c>
    </row>
    <row r="493" spans="1:15" x14ac:dyDescent="0.25">
      <c r="A493" s="20"/>
      <c r="B493" s="20"/>
      <c r="C493" s="20"/>
      <c r="D493" s="20"/>
      <c r="E493" s="20"/>
      <c r="F493" s="21"/>
      <c r="G493" s="20"/>
      <c r="H493" s="20"/>
      <c r="I493" s="20"/>
      <c r="J493" s="14" t="str">
        <f>IF($A493="","",SUMIFS(Movimientos!$F$5:$F$3004,Movimientos!$C$5:$C$3004,$A493,Movimientos!$B$5:$B$3004,"Entrada"))</f>
        <v/>
      </c>
      <c r="K493" s="14" t="str">
        <f>IF($A493="","",SUMIFS(Movimientos!$F$5:$F$3004,Movimientos!$C$5:$C$3004,$A493,Movimientos!$B$5:$B$3004,"Salida"))</f>
        <v/>
      </c>
      <c r="L493" s="14" t="str">
        <f t="shared" si="21"/>
        <v/>
      </c>
      <c r="M493" s="22" t="str">
        <f t="shared" si="22"/>
        <v/>
      </c>
      <c r="N493" s="23" t="str">
        <f t="shared" si="23"/>
        <v/>
      </c>
      <c r="O493" s="14" t="str">
        <f>IF(OR(N493="Reordenar",N493="Agotado"),COUNTIF($N$5:N493,"Reordenar")+COUNTIF($N$5:N493,"Agotado"),"")</f>
        <v/>
      </c>
    </row>
    <row r="494" spans="1:15" x14ac:dyDescent="0.25">
      <c r="A494" s="20"/>
      <c r="B494" s="20"/>
      <c r="C494" s="20"/>
      <c r="D494" s="20"/>
      <c r="E494" s="20"/>
      <c r="F494" s="21"/>
      <c r="G494" s="20"/>
      <c r="H494" s="20"/>
      <c r="I494" s="20"/>
      <c r="J494" s="14" t="str">
        <f>IF($A494="","",SUMIFS(Movimientos!$F$5:$F$3004,Movimientos!$C$5:$C$3004,$A494,Movimientos!$B$5:$B$3004,"Entrada"))</f>
        <v/>
      </c>
      <c r="K494" s="14" t="str">
        <f>IF($A494="","",SUMIFS(Movimientos!$F$5:$F$3004,Movimientos!$C$5:$C$3004,$A494,Movimientos!$B$5:$B$3004,"Salida"))</f>
        <v/>
      </c>
      <c r="L494" s="14" t="str">
        <f t="shared" si="21"/>
        <v/>
      </c>
      <c r="M494" s="22" t="str">
        <f t="shared" si="22"/>
        <v/>
      </c>
      <c r="N494" s="23" t="str">
        <f t="shared" si="23"/>
        <v/>
      </c>
      <c r="O494" s="14" t="str">
        <f>IF(OR(N494="Reordenar",N494="Agotado"),COUNTIF($N$5:N494,"Reordenar")+COUNTIF($N$5:N494,"Agotado"),"")</f>
        <v/>
      </c>
    </row>
    <row r="495" spans="1:15" x14ac:dyDescent="0.25">
      <c r="A495" s="20"/>
      <c r="B495" s="20"/>
      <c r="C495" s="20"/>
      <c r="D495" s="20"/>
      <c r="E495" s="20"/>
      <c r="F495" s="21"/>
      <c r="G495" s="20"/>
      <c r="H495" s="20"/>
      <c r="I495" s="20"/>
      <c r="J495" s="14" t="str">
        <f>IF($A495="","",SUMIFS(Movimientos!$F$5:$F$3004,Movimientos!$C$5:$C$3004,$A495,Movimientos!$B$5:$B$3004,"Entrada"))</f>
        <v/>
      </c>
      <c r="K495" s="14" t="str">
        <f>IF($A495="","",SUMIFS(Movimientos!$F$5:$F$3004,Movimientos!$C$5:$C$3004,$A495,Movimientos!$B$5:$B$3004,"Salida"))</f>
        <v/>
      </c>
      <c r="L495" s="14" t="str">
        <f t="shared" si="21"/>
        <v/>
      </c>
      <c r="M495" s="22" t="str">
        <f t="shared" si="22"/>
        <v/>
      </c>
      <c r="N495" s="23" t="str">
        <f t="shared" si="23"/>
        <v/>
      </c>
      <c r="O495" s="14" t="str">
        <f>IF(OR(N495="Reordenar",N495="Agotado"),COUNTIF($N$5:N495,"Reordenar")+COUNTIF($N$5:N495,"Agotado"),"")</f>
        <v/>
      </c>
    </row>
    <row r="496" spans="1:15" x14ac:dyDescent="0.25">
      <c r="A496" s="20"/>
      <c r="B496" s="20"/>
      <c r="C496" s="20"/>
      <c r="D496" s="20"/>
      <c r="E496" s="20"/>
      <c r="F496" s="21"/>
      <c r="G496" s="20"/>
      <c r="H496" s="20"/>
      <c r="I496" s="20"/>
      <c r="J496" s="14" t="str">
        <f>IF($A496="","",SUMIFS(Movimientos!$F$5:$F$3004,Movimientos!$C$5:$C$3004,$A496,Movimientos!$B$5:$B$3004,"Entrada"))</f>
        <v/>
      </c>
      <c r="K496" s="14" t="str">
        <f>IF($A496="","",SUMIFS(Movimientos!$F$5:$F$3004,Movimientos!$C$5:$C$3004,$A496,Movimientos!$B$5:$B$3004,"Salida"))</f>
        <v/>
      </c>
      <c r="L496" s="14" t="str">
        <f t="shared" si="21"/>
        <v/>
      </c>
      <c r="M496" s="22" t="str">
        <f t="shared" si="22"/>
        <v/>
      </c>
      <c r="N496" s="23" t="str">
        <f t="shared" si="23"/>
        <v/>
      </c>
      <c r="O496" s="14" t="str">
        <f>IF(OR(N496="Reordenar",N496="Agotado"),COUNTIF($N$5:N496,"Reordenar")+COUNTIF($N$5:N496,"Agotado"),"")</f>
        <v/>
      </c>
    </row>
    <row r="497" spans="1:15" x14ac:dyDescent="0.25">
      <c r="A497" s="20"/>
      <c r="B497" s="20"/>
      <c r="C497" s="20"/>
      <c r="D497" s="20"/>
      <c r="E497" s="20"/>
      <c r="F497" s="21"/>
      <c r="G497" s="20"/>
      <c r="H497" s="20"/>
      <c r="I497" s="20"/>
      <c r="J497" s="14" t="str">
        <f>IF($A497="","",SUMIFS(Movimientos!$F$5:$F$3004,Movimientos!$C$5:$C$3004,$A497,Movimientos!$B$5:$B$3004,"Entrada"))</f>
        <v/>
      </c>
      <c r="K497" s="14" t="str">
        <f>IF($A497="","",SUMIFS(Movimientos!$F$5:$F$3004,Movimientos!$C$5:$C$3004,$A497,Movimientos!$B$5:$B$3004,"Salida"))</f>
        <v/>
      </c>
      <c r="L497" s="14" t="str">
        <f t="shared" si="21"/>
        <v/>
      </c>
      <c r="M497" s="22" t="str">
        <f t="shared" si="22"/>
        <v/>
      </c>
      <c r="N497" s="23" t="str">
        <f t="shared" si="23"/>
        <v/>
      </c>
      <c r="O497" s="14" t="str">
        <f>IF(OR(N497="Reordenar",N497="Agotado"),COUNTIF($N$5:N497,"Reordenar")+COUNTIF($N$5:N497,"Agotado"),"")</f>
        <v/>
      </c>
    </row>
    <row r="498" spans="1:15" x14ac:dyDescent="0.25">
      <c r="A498" s="20"/>
      <c r="B498" s="20"/>
      <c r="C498" s="20"/>
      <c r="D498" s="20"/>
      <c r="E498" s="20"/>
      <c r="F498" s="21"/>
      <c r="G498" s="20"/>
      <c r="H498" s="20"/>
      <c r="I498" s="20"/>
      <c r="J498" s="14" t="str">
        <f>IF($A498="","",SUMIFS(Movimientos!$F$5:$F$3004,Movimientos!$C$5:$C$3004,$A498,Movimientos!$B$5:$B$3004,"Entrada"))</f>
        <v/>
      </c>
      <c r="K498" s="14" t="str">
        <f>IF($A498="","",SUMIFS(Movimientos!$F$5:$F$3004,Movimientos!$C$5:$C$3004,$A498,Movimientos!$B$5:$B$3004,"Salida"))</f>
        <v/>
      </c>
      <c r="L498" s="14" t="str">
        <f t="shared" si="21"/>
        <v/>
      </c>
      <c r="M498" s="22" t="str">
        <f t="shared" si="22"/>
        <v/>
      </c>
      <c r="N498" s="23" t="str">
        <f t="shared" si="23"/>
        <v/>
      </c>
      <c r="O498" s="14" t="str">
        <f>IF(OR(N498="Reordenar",N498="Agotado"),COUNTIF($N$5:N498,"Reordenar")+COUNTIF($N$5:N498,"Agotado"),"")</f>
        <v/>
      </c>
    </row>
    <row r="499" spans="1:15" x14ac:dyDescent="0.25">
      <c r="A499" s="20"/>
      <c r="B499" s="20"/>
      <c r="C499" s="20"/>
      <c r="D499" s="20"/>
      <c r="E499" s="20"/>
      <c r="F499" s="21"/>
      <c r="G499" s="20"/>
      <c r="H499" s="20"/>
      <c r="I499" s="20"/>
      <c r="J499" s="14" t="str">
        <f>IF($A499="","",SUMIFS(Movimientos!$F$5:$F$3004,Movimientos!$C$5:$C$3004,$A499,Movimientos!$B$5:$B$3004,"Entrada"))</f>
        <v/>
      </c>
      <c r="K499" s="14" t="str">
        <f>IF($A499="","",SUMIFS(Movimientos!$F$5:$F$3004,Movimientos!$C$5:$C$3004,$A499,Movimientos!$B$5:$B$3004,"Salida"))</f>
        <v/>
      </c>
      <c r="L499" s="14" t="str">
        <f t="shared" si="21"/>
        <v/>
      </c>
      <c r="M499" s="22" t="str">
        <f t="shared" si="22"/>
        <v/>
      </c>
      <c r="N499" s="23" t="str">
        <f t="shared" si="23"/>
        <v/>
      </c>
      <c r="O499" s="14" t="str">
        <f>IF(OR(N499="Reordenar",N499="Agotado"),COUNTIF($N$5:N499,"Reordenar")+COUNTIF($N$5:N499,"Agotado"),"")</f>
        <v/>
      </c>
    </row>
    <row r="500" spans="1:15" x14ac:dyDescent="0.25">
      <c r="A500" s="20"/>
      <c r="B500" s="20"/>
      <c r="C500" s="20"/>
      <c r="D500" s="20"/>
      <c r="E500" s="20"/>
      <c r="F500" s="21"/>
      <c r="G500" s="20"/>
      <c r="H500" s="20"/>
      <c r="I500" s="20"/>
      <c r="J500" s="14" t="str">
        <f>IF($A500="","",SUMIFS(Movimientos!$F$5:$F$3004,Movimientos!$C$5:$C$3004,$A500,Movimientos!$B$5:$B$3004,"Entrada"))</f>
        <v/>
      </c>
      <c r="K500" s="14" t="str">
        <f>IF($A500="","",SUMIFS(Movimientos!$F$5:$F$3004,Movimientos!$C$5:$C$3004,$A500,Movimientos!$B$5:$B$3004,"Salida"))</f>
        <v/>
      </c>
      <c r="L500" s="14" t="str">
        <f t="shared" si="21"/>
        <v/>
      </c>
      <c r="M500" s="22" t="str">
        <f t="shared" si="22"/>
        <v/>
      </c>
      <c r="N500" s="23" t="str">
        <f t="shared" si="23"/>
        <v/>
      </c>
      <c r="O500" s="14" t="str">
        <f>IF(OR(N500="Reordenar",N500="Agotado"),COUNTIF($N$5:N500,"Reordenar")+COUNTIF($N$5:N500,"Agotado"),"")</f>
        <v/>
      </c>
    </row>
    <row r="501" spans="1:15" x14ac:dyDescent="0.25">
      <c r="A501" s="20"/>
      <c r="B501" s="20"/>
      <c r="C501" s="20"/>
      <c r="D501" s="20"/>
      <c r="E501" s="20"/>
      <c r="F501" s="21"/>
      <c r="G501" s="20"/>
      <c r="H501" s="20"/>
      <c r="I501" s="20"/>
      <c r="J501" s="14" t="str">
        <f>IF($A501="","",SUMIFS(Movimientos!$F$5:$F$3004,Movimientos!$C$5:$C$3004,$A501,Movimientos!$B$5:$B$3004,"Entrada"))</f>
        <v/>
      </c>
      <c r="K501" s="14" t="str">
        <f>IF($A501="","",SUMIFS(Movimientos!$F$5:$F$3004,Movimientos!$C$5:$C$3004,$A501,Movimientos!$B$5:$B$3004,"Salida"))</f>
        <v/>
      </c>
      <c r="L501" s="14" t="str">
        <f t="shared" si="21"/>
        <v/>
      </c>
      <c r="M501" s="22" t="str">
        <f t="shared" si="22"/>
        <v/>
      </c>
      <c r="N501" s="23" t="str">
        <f t="shared" si="23"/>
        <v/>
      </c>
      <c r="O501" s="14" t="str">
        <f>IF(OR(N501="Reordenar",N501="Agotado"),COUNTIF($N$5:N501,"Reordenar")+COUNTIF($N$5:N501,"Agotado"),"")</f>
        <v/>
      </c>
    </row>
    <row r="502" spans="1:15" x14ac:dyDescent="0.25">
      <c r="A502" s="20"/>
      <c r="B502" s="20"/>
      <c r="C502" s="20"/>
      <c r="D502" s="20"/>
      <c r="E502" s="20"/>
      <c r="F502" s="21"/>
      <c r="G502" s="20"/>
      <c r="H502" s="20"/>
      <c r="I502" s="20"/>
      <c r="J502" s="14" t="str">
        <f>IF($A502="","",SUMIFS(Movimientos!$F$5:$F$3004,Movimientos!$C$5:$C$3004,$A502,Movimientos!$B$5:$B$3004,"Entrada"))</f>
        <v/>
      </c>
      <c r="K502" s="14" t="str">
        <f>IF($A502="","",SUMIFS(Movimientos!$F$5:$F$3004,Movimientos!$C$5:$C$3004,$A502,Movimientos!$B$5:$B$3004,"Salida"))</f>
        <v/>
      </c>
      <c r="L502" s="14" t="str">
        <f t="shared" si="21"/>
        <v/>
      </c>
      <c r="M502" s="22" t="str">
        <f t="shared" si="22"/>
        <v/>
      </c>
      <c r="N502" s="23" t="str">
        <f t="shared" si="23"/>
        <v/>
      </c>
      <c r="O502" s="14" t="str">
        <f>IF(OR(N502="Reordenar",N502="Agotado"),COUNTIF($N$5:N502,"Reordenar")+COUNTIF($N$5:N502,"Agotado"),"")</f>
        <v/>
      </c>
    </row>
    <row r="503" spans="1:15" x14ac:dyDescent="0.25">
      <c r="A503" s="20"/>
      <c r="B503" s="20"/>
      <c r="C503" s="20"/>
      <c r="D503" s="20"/>
      <c r="E503" s="20"/>
      <c r="F503" s="21"/>
      <c r="G503" s="20"/>
      <c r="H503" s="20"/>
      <c r="I503" s="20"/>
      <c r="J503" s="14" t="str">
        <f>IF($A503="","",SUMIFS(Movimientos!$F$5:$F$3004,Movimientos!$C$5:$C$3004,$A503,Movimientos!$B$5:$B$3004,"Entrada"))</f>
        <v/>
      </c>
      <c r="K503" s="14" t="str">
        <f>IF($A503="","",SUMIFS(Movimientos!$F$5:$F$3004,Movimientos!$C$5:$C$3004,$A503,Movimientos!$B$5:$B$3004,"Salida"))</f>
        <v/>
      </c>
      <c r="L503" s="14" t="str">
        <f t="shared" si="21"/>
        <v/>
      </c>
      <c r="M503" s="22" t="str">
        <f t="shared" si="22"/>
        <v/>
      </c>
      <c r="N503" s="23" t="str">
        <f t="shared" si="23"/>
        <v/>
      </c>
      <c r="O503" s="14" t="str">
        <f>IF(OR(N503="Reordenar",N503="Agotado"),COUNTIF($N$5:N503,"Reordenar")+COUNTIF($N$5:N503,"Agotado"),"")</f>
        <v/>
      </c>
    </row>
    <row r="504" spans="1:15" x14ac:dyDescent="0.25">
      <c r="A504" s="20"/>
      <c r="B504" s="20"/>
      <c r="C504" s="20"/>
      <c r="D504" s="20"/>
      <c r="E504" s="20"/>
      <c r="F504" s="21"/>
      <c r="G504" s="20"/>
      <c r="H504" s="20"/>
      <c r="I504" s="20"/>
      <c r="J504" s="14" t="str">
        <f>IF($A504="","",SUMIFS(Movimientos!$F$5:$F$3004,Movimientos!$C$5:$C$3004,$A504,Movimientos!$B$5:$B$3004,"Entrada"))</f>
        <v/>
      </c>
      <c r="K504" s="14" t="str">
        <f>IF($A504="","",SUMIFS(Movimientos!$F$5:$F$3004,Movimientos!$C$5:$C$3004,$A504,Movimientos!$B$5:$B$3004,"Salida"))</f>
        <v/>
      </c>
      <c r="L504" s="14" t="str">
        <f t="shared" si="21"/>
        <v/>
      </c>
      <c r="M504" s="22" t="str">
        <f t="shared" si="22"/>
        <v/>
      </c>
      <c r="N504" s="23" t="str">
        <f t="shared" si="23"/>
        <v/>
      </c>
      <c r="O504" s="14" t="str">
        <f>IF(OR(N504="Reordenar",N504="Agotado"),COUNTIF($N$5:N504,"Reordenar")+COUNTIF($N$5:N504,"Agotado"),"")</f>
        <v/>
      </c>
    </row>
  </sheetData>
  <autoFilter ref="A4:N504" xr:uid="{00000000-0009-0000-0000-000002000000}"/>
  <conditionalFormatting sqref="N5:N504">
    <cfRule type="cellIs" dxfId="4" priority="1" operator="equal">
      <formula>"Agotado"</formula>
    </cfRule>
    <cfRule type="cellIs" dxfId="3" priority="2" operator="equal">
      <formula>"Reordenar"</formula>
    </cfRule>
    <cfRule type="cellIs" dxfId="2" priority="3" operator="equal">
      <formula>"OK"</formula>
    </cfRule>
  </conditionalFormatting>
  <dataValidations count="2">
    <dataValidation type="custom" allowBlank="1" showErrorMessage="1" errorTitle="Clave repetida" error="Esa clave ya existe en el catálogo. Cada artículo necesita una clave única." sqref="A5:A504" xr:uid="{00000000-0002-0000-0200-000000000000}">
      <formula1>COUNTIF($A$5:$A$504,A5)=1</formula1>
    </dataValidation>
    <dataValidation type="decimal" operator="greaterThanOrEqual" allowBlank="1" showErrorMessage="1" errorTitle="Número inválido" error="Escribe un número igual o mayor a cero." sqref="F5:I504" xr:uid="{00000000-0002-0000-0200-000001000000}">
      <formula1>0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4A3B8"/>
  </sheetPr>
  <dimension ref="A1:M300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11" customWidth="1"/>
    <col min="4" max="4" width="32" customWidth="1"/>
    <col min="5" max="5" width="11" customWidth="1"/>
    <col min="6" max="6" width="10" customWidth="1"/>
    <col min="7" max="7" width="13" customWidth="1"/>
    <col min="8" max="8" width="14" customWidth="1"/>
    <col min="9" max="9" width="12" customWidth="1"/>
    <col min="10" max="10" width="16" customWidth="1"/>
    <col min="11" max="11" width="15" customWidth="1"/>
    <col min="12" max="12" width="28" customWidth="1"/>
    <col min="13" max="13" width="6" hidden="1" customWidth="1"/>
  </cols>
  <sheetData>
    <row r="1" spans="1:13" ht="24" customHeight="1" x14ac:dyDescent="0.3">
      <c r="A1" s="10" t="s">
        <v>89</v>
      </c>
    </row>
    <row r="2" spans="1:13" x14ac:dyDescent="0.25">
      <c r="A2" s="11" t="s">
        <v>90</v>
      </c>
    </row>
    <row r="4" spans="1:13" ht="30" customHeight="1" x14ac:dyDescent="0.25">
      <c r="A4" s="19" t="s">
        <v>91</v>
      </c>
      <c r="B4" s="19" t="s">
        <v>92</v>
      </c>
      <c r="C4" s="19" t="s">
        <v>36</v>
      </c>
      <c r="D4" s="19" t="s">
        <v>37</v>
      </c>
      <c r="E4" s="19" t="s">
        <v>46</v>
      </c>
      <c r="F4" s="19" t="s">
        <v>93</v>
      </c>
      <c r="G4" s="19" t="s">
        <v>48</v>
      </c>
      <c r="H4" s="19" t="s">
        <v>94</v>
      </c>
      <c r="I4" s="19" t="s">
        <v>95</v>
      </c>
      <c r="J4" s="19" t="s">
        <v>96</v>
      </c>
      <c r="K4" s="19" t="s">
        <v>97</v>
      </c>
      <c r="L4" s="19" t="s">
        <v>98</v>
      </c>
      <c r="M4" s="19" t="s">
        <v>99</v>
      </c>
    </row>
    <row r="5" spans="1:13" x14ac:dyDescent="0.25">
      <c r="A5" s="24">
        <v>46296</v>
      </c>
      <c r="B5" s="20" t="s">
        <v>100</v>
      </c>
      <c r="C5" s="20" t="s">
        <v>57</v>
      </c>
      <c r="D5" s="14" t="str">
        <f>IF($C5="","",IFERROR(INDEX(Productos!$B$5:$B$504,MATCH($C5,Productos!$A$5:$A$504,0)),"Clave no existe"))</f>
        <v>Cemento gris 50 kg</v>
      </c>
      <c r="E5" s="14" t="str">
        <f>IF($C5="","",IFERROR(INDEX(Productos!$D$5:$D$504,MATCH($C5,Productos!$A$5:$A$504,0)),""))</f>
        <v>Bulto</v>
      </c>
      <c r="F5" s="20">
        <v>60</v>
      </c>
      <c r="G5" s="22">
        <f>IF($C5="","",IFERROR(INDEX(Productos!$F$5:$F$504,MATCH($C5,Productos!$A$5:$A$504,0)),0))</f>
        <v>215</v>
      </c>
      <c r="H5" s="22">
        <f t="shared" ref="H5:H68" si="0">IF(OR($C5="",$F5=""),"",F5*G5)</f>
        <v>12900</v>
      </c>
      <c r="I5" s="14">
        <f>IF(OR($C5="",$F5=""),"",IFERROR(INDEX(Productos!$I$5:$I$504,MATCH($C5,Productos!$A$5:$A$504,0)),0)+SUMIFS($F$5:$F5,$C$5:$C5,$C5,$B$5:$B5,"Entrada")-SUMIFS($F$5:$F5,$C$5:$C5,$C5,$B$5:$B5,"Salida"))</f>
        <v>140</v>
      </c>
      <c r="J5" s="20" t="s">
        <v>101</v>
      </c>
      <c r="K5" s="20" t="s">
        <v>102</v>
      </c>
      <c r="L5" s="20"/>
      <c r="M5" s="14">
        <f>IF(AND($C5&lt;&gt;"",$C5=Kardex!$C$4),COUNTIF($C$5:$C5,Kardex!$C$4),"")</f>
        <v>1</v>
      </c>
    </row>
    <row r="6" spans="1:13" x14ac:dyDescent="0.25">
      <c r="A6" s="24">
        <v>46297</v>
      </c>
      <c r="B6" s="20" t="s">
        <v>103</v>
      </c>
      <c r="C6" s="20" t="s">
        <v>57</v>
      </c>
      <c r="D6" s="14" t="str">
        <f>IF($C6="","",IFERROR(INDEX(Productos!$B$5:$B$504,MATCH($C6,Productos!$A$5:$A$504,0)),"Clave no existe"))</f>
        <v>Cemento gris 50 kg</v>
      </c>
      <c r="E6" s="14" t="str">
        <f>IF($C6="","",IFERROR(INDEX(Productos!$D$5:$D$504,MATCH($C6,Productos!$A$5:$A$504,0)),""))</f>
        <v>Bulto</v>
      </c>
      <c r="F6" s="20">
        <v>35</v>
      </c>
      <c r="G6" s="22">
        <f>IF($C6="","",IFERROR(INDEX(Productos!$F$5:$F$504,MATCH($C6,Productos!$A$5:$A$504,0)),0))</f>
        <v>215</v>
      </c>
      <c r="H6" s="22">
        <f t="shared" si="0"/>
        <v>7525</v>
      </c>
      <c r="I6" s="14">
        <f>IF(OR($C6="",$F6=""),"",IFERROR(INDEX(Productos!$I$5:$I$504,MATCH($C6,Productos!$A$5:$A$504,0)),0)+SUMIFS($F$5:$F6,$C$5:$C6,$C6,$B$5:$B6,"Entrada")-SUMIFS($F$5:$F6,$C$5:$C6,$C6,$B$5:$B6,"Salida"))</f>
        <v>105</v>
      </c>
      <c r="J6" s="20" t="s">
        <v>104</v>
      </c>
      <c r="K6" s="20" t="s">
        <v>105</v>
      </c>
      <c r="L6" s="20"/>
      <c r="M6" s="14">
        <f>IF(AND($C6&lt;&gt;"",$C6=Kardex!$C$4),COUNTIF($C$5:$C6,Kardex!$C$4),"")</f>
        <v>2</v>
      </c>
    </row>
    <row r="7" spans="1:13" x14ac:dyDescent="0.25">
      <c r="A7" s="24">
        <v>46298</v>
      </c>
      <c r="B7" s="20" t="s">
        <v>103</v>
      </c>
      <c r="C7" s="20" t="s">
        <v>67</v>
      </c>
      <c r="D7" s="14" t="str">
        <f>IF($C7="","",IFERROR(INDEX(Productos!$B$5:$B$504,MATCH($C7,Productos!$A$5:$A$504,0)),"Clave no existe"))</f>
        <v>Block de concreto 15x20x40</v>
      </c>
      <c r="E7" s="14" t="str">
        <f>IF($C7="","",IFERROR(INDEX(Productos!$D$5:$D$504,MATCH($C7,Productos!$A$5:$A$504,0)),""))</f>
        <v>Pieza</v>
      </c>
      <c r="F7" s="20">
        <v>400</v>
      </c>
      <c r="G7" s="22">
        <f>IF($C7="","",IFERROR(INDEX(Productos!$F$5:$F$504,MATCH($C7,Productos!$A$5:$A$504,0)),0))</f>
        <v>14.5</v>
      </c>
      <c r="H7" s="22">
        <f t="shared" si="0"/>
        <v>5800</v>
      </c>
      <c r="I7" s="14">
        <f>IF(OR($C7="",$F7=""),"",IFERROR(INDEX(Productos!$I$5:$I$504,MATCH($C7,Productos!$A$5:$A$504,0)),0)+SUMIFS($F$5:$F7,$C$5:$C7,$C7,$B$5:$B7,"Entrada")-SUMIFS($F$5:$F7,$C$5:$C7,$C7,$B$5:$B7,"Salida"))</f>
        <v>800</v>
      </c>
      <c r="J7" s="20" t="s">
        <v>106</v>
      </c>
      <c r="K7" s="20" t="s">
        <v>105</v>
      </c>
      <c r="L7" s="20"/>
      <c r="M7" s="14" t="str">
        <f>IF(AND($C7&lt;&gt;"",$C7=Kardex!$C$4),COUNTIF($C$5:$C7,Kardex!$C$4),"")</f>
        <v/>
      </c>
    </row>
    <row r="8" spans="1:13" x14ac:dyDescent="0.25">
      <c r="A8" s="24">
        <v>46301</v>
      </c>
      <c r="B8" s="20" t="s">
        <v>100</v>
      </c>
      <c r="C8" s="20" t="s">
        <v>62</v>
      </c>
      <c r="D8" s="14" t="str">
        <f>IF($C8="","",IFERROR(INDEX(Productos!$B$5:$B$504,MATCH($C8,Productos!$A$5:$A$504,0)),"Clave no existe"))</f>
        <v>Varilla corrugada 3/8"</v>
      </c>
      <c r="E8" s="14" t="str">
        <f>IF($C8="","",IFERROR(INDEX(Productos!$D$5:$D$504,MATCH($C8,Productos!$A$5:$A$504,0)),""))</f>
        <v>Pieza</v>
      </c>
      <c r="F8" s="20">
        <v>120</v>
      </c>
      <c r="G8" s="22">
        <f>IF($C8="","",IFERROR(INDEX(Productos!$F$5:$F$504,MATCH($C8,Productos!$A$5:$A$504,0)),0))</f>
        <v>168</v>
      </c>
      <c r="H8" s="22">
        <f t="shared" si="0"/>
        <v>20160</v>
      </c>
      <c r="I8" s="14">
        <f>IF(OR($C8="",$F8=""),"",IFERROR(INDEX(Productos!$I$5:$I$504,MATCH($C8,Productos!$A$5:$A$504,0)),0)+SUMIFS($F$5:$F8,$C$5:$C8,$C8,$B$5:$B8,"Entrada")-SUMIFS($F$5:$F8,$C$5:$C8,$C8,$B$5:$B8,"Salida"))</f>
        <v>270</v>
      </c>
      <c r="J8" s="20" t="s">
        <v>107</v>
      </c>
      <c r="K8" s="20" t="s">
        <v>102</v>
      </c>
      <c r="L8" s="20"/>
      <c r="M8" s="14" t="str">
        <f>IF(AND($C8&lt;&gt;"",$C8=Kardex!$C$4),COUNTIF($C$5:$C8,Kardex!$C$4),"")</f>
        <v/>
      </c>
    </row>
    <row r="9" spans="1:13" x14ac:dyDescent="0.25">
      <c r="A9" s="24">
        <v>46302</v>
      </c>
      <c r="B9" s="20" t="s">
        <v>103</v>
      </c>
      <c r="C9" s="20" t="s">
        <v>62</v>
      </c>
      <c r="D9" s="14" t="str">
        <f>IF($C9="","",IFERROR(INDEX(Productos!$B$5:$B$504,MATCH($C9,Productos!$A$5:$A$504,0)),"Clave no existe"))</f>
        <v>Varilla corrugada 3/8"</v>
      </c>
      <c r="E9" s="14" t="str">
        <f>IF($C9="","",IFERROR(INDEX(Productos!$D$5:$D$504,MATCH($C9,Productos!$A$5:$A$504,0)),""))</f>
        <v>Pieza</v>
      </c>
      <c r="F9" s="20">
        <v>210</v>
      </c>
      <c r="G9" s="22">
        <f>IF($C9="","",IFERROR(INDEX(Productos!$F$5:$F$504,MATCH($C9,Productos!$A$5:$A$504,0)),0))</f>
        <v>168</v>
      </c>
      <c r="H9" s="22">
        <f t="shared" si="0"/>
        <v>35280</v>
      </c>
      <c r="I9" s="14">
        <f>IF(OR($C9="",$F9=""),"",IFERROR(INDEX(Productos!$I$5:$I$504,MATCH($C9,Productos!$A$5:$A$504,0)),0)+SUMIFS($F$5:$F9,$C$5:$C9,$C9,$B$5:$B9,"Entrada")-SUMIFS($F$5:$F9,$C$5:$C9,$C9,$B$5:$B9,"Salida"))</f>
        <v>60</v>
      </c>
      <c r="J9" s="20" t="s">
        <v>108</v>
      </c>
      <c r="K9" s="20" t="s">
        <v>105</v>
      </c>
      <c r="L9" s="20"/>
      <c r="M9" s="14" t="str">
        <f>IF(AND($C9&lt;&gt;"",$C9=Kardex!$C$4),COUNTIF($C$5:$C9,Kardex!$C$4),"")</f>
        <v/>
      </c>
    </row>
    <row r="10" spans="1:13" x14ac:dyDescent="0.25">
      <c r="A10" s="24">
        <v>46304</v>
      </c>
      <c r="B10" s="20" t="s">
        <v>103</v>
      </c>
      <c r="C10" s="20" t="s">
        <v>74</v>
      </c>
      <c r="D10" s="14" t="str">
        <f>IF($C10="","",IFERROR(INDEX(Productos!$B$5:$B$504,MATCH($C10,Productos!$A$5:$A$504,0)),"Clave no existe"))</f>
        <v>Pintura vinílica blanca 19 L</v>
      </c>
      <c r="E10" s="14" t="str">
        <f>IF($C10="","",IFERROR(INDEX(Productos!$D$5:$D$504,MATCH($C10,Productos!$A$5:$A$504,0)),""))</f>
        <v>Cubeta</v>
      </c>
      <c r="F10" s="20">
        <v>4</v>
      </c>
      <c r="G10" s="22">
        <f>IF($C10="","",IFERROR(INDEX(Productos!$F$5:$F$504,MATCH($C10,Productos!$A$5:$A$504,0)),0))</f>
        <v>1150</v>
      </c>
      <c r="H10" s="22">
        <f t="shared" si="0"/>
        <v>4600</v>
      </c>
      <c r="I10" s="14">
        <f>IF(OR($C10="",$F10=""),"",IFERROR(INDEX(Productos!$I$5:$I$504,MATCH($C10,Productos!$A$5:$A$504,0)),0)+SUMIFS($F$5:$F10,$C$5:$C10,$C10,$B$5:$B10,"Entrada")-SUMIFS($F$5:$F10,$C$5:$C10,$C10,$B$5:$B10,"Salida"))</f>
        <v>4</v>
      </c>
      <c r="J10" s="20" t="s">
        <v>109</v>
      </c>
      <c r="K10" s="20" t="s">
        <v>105</v>
      </c>
      <c r="L10" s="20"/>
      <c r="M10" s="14" t="str">
        <f>IF(AND($C10&lt;&gt;"",$C10=Kardex!$C$4),COUNTIF($C$5:$C10,Kardex!$C$4),"")</f>
        <v/>
      </c>
    </row>
    <row r="11" spans="1:13" x14ac:dyDescent="0.25">
      <c r="A11" s="24">
        <v>46305</v>
      </c>
      <c r="B11" s="20" t="s">
        <v>103</v>
      </c>
      <c r="C11" s="20" t="s">
        <v>57</v>
      </c>
      <c r="D11" s="14" t="str">
        <f>IF($C11="","",IFERROR(INDEX(Productos!$B$5:$B$504,MATCH($C11,Productos!$A$5:$A$504,0)),"Clave no existe"))</f>
        <v>Cemento gris 50 kg</v>
      </c>
      <c r="E11" s="14" t="str">
        <f>IF($C11="","",IFERROR(INDEX(Productos!$D$5:$D$504,MATCH($C11,Productos!$A$5:$A$504,0)),""))</f>
        <v>Bulto</v>
      </c>
      <c r="F11" s="20">
        <v>50</v>
      </c>
      <c r="G11" s="22">
        <f>IF($C11="","",IFERROR(INDEX(Productos!$F$5:$F$504,MATCH($C11,Productos!$A$5:$A$504,0)),0))</f>
        <v>215</v>
      </c>
      <c r="H11" s="22">
        <f t="shared" si="0"/>
        <v>10750</v>
      </c>
      <c r="I11" s="14">
        <f>IF(OR($C11="",$F11=""),"",IFERROR(INDEX(Productos!$I$5:$I$504,MATCH($C11,Productos!$A$5:$A$504,0)),0)+SUMIFS($F$5:$F11,$C$5:$C11,$C11,$B$5:$B11,"Entrada")-SUMIFS($F$5:$F11,$C$5:$C11,$C11,$B$5:$B11,"Salida"))</f>
        <v>55</v>
      </c>
      <c r="J11" s="20" t="s">
        <v>110</v>
      </c>
      <c r="K11" s="20" t="s">
        <v>105</v>
      </c>
      <c r="L11" s="20"/>
      <c r="M11" s="14">
        <f>IF(AND($C11&lt;&gt;"",$C11=Kardex!$C$4),COUNTIF($C$5:$C11,Kardex!$C$4),"")</f>
        <v>3</v>
      </c>
    </row>
    <row r="12" spans="1:13" x14ac:dyDescent="0.25">
      <c r="A12" s="24">
        <v>46308</v>
      </c>
      <c r="B12" s="20" t="s">
        <v>100</v>
      </c>
      <c r="C12" s="20" t="s">
        <v>69</v>
      </c>
      <c r="D12" s="14" t="str">
        <f>IF($C12="","",IFERROR(INDEX(Productos!$B$5:$B$504,MATCH($C12,Productos!$A$5:$A$504,0)),"Clave no existe"))</f>
        <v>Tubo PVC hidráulico 1/2"</v>
      </c>
      <c r="E12" s="14" t="str">
        <f>IF($C12="","",IFERROR(INDEX(Productos!$D$5:$D$504,MATCH($C12,Productos!$A$5:$A$504,0)),""))</f>
        <v>Tramo</v>
      </c>
      <c r="F12" s="20">
        <v>40</v>
      </c>
      <c r="G12" s="22">
        <f>IF($C12="","",IFERROR(INDEX(Productos!$F$5:$F$504,MATCH($C12,Productos!$A$5:$A$504,0)),0))</f>
        <v>62</v>
      </c>
      <c r="H12" s="22">
        <f t="shared" si="0"/>
        <v>2480</v>
      </c>
      <c r="I12" s="14">
        <f>IF(OR($C12="",$F12=""),"",IFERROR(INDEX(Productos!$I$5:$I$504,MATCH($C12,Productos!$A$5:$A$504,0)),0)+SUMIFS($F$5:$F12,$C$5:$C12,$C12,$B$5:$B12,"Entrada")-SUMIFS($F$5:$F12,$C$5:$C12,$C12,$B$5:$B12,"Salida"))</f>
        <v>85</v>
      </c>
      <c r="J12" s="20" t="s">
        <v>111</v>
      </c>
      <c r="K12" s="20" t="s">
        <v>102</v>
      </c>
      <c r="L12" s="20"/>
      <c r="M12" s="14" t="str">
        <f>IF(AND($C12&lt;&gt;"",$C12=Kardex!$C$4),COUNTIF($C$5:$C12,Kardex!$C$4),"")</f>
        <v/>
      </c>
    </row>
    <row r="13" spans="1:13" x14ac:dyDescent="0.25">
      <c r="A13" s="24">
        <v>46309</v>
      </c>
      <c r="B13" s="20" t="s">
        <v>103</v>
      </c>
      <c r="C13" s="20" t="s">
        <v>69</v>
      </c>
      <c r="D13" s="14" t="str">
        <f>IF($C13="","",IFERROR(INDEX(Productos!$B$5:$B$504,MATCH($C13,Productos!$A$5:$A$504,0)),"Clave no existe"))</f>
        <v>Tubo PVC hidráulico 1/2"</v>
      </c>
      <c r="E13" s="14" t="str">
        <f>IF($C13="","",IFERROR(INDEX(Productos!$D$5:$D$504,MATCH($C13,Productos!$A$5:$A$504,0)),""))</f>
        <v>Tramo</v>
      </c>
      <c r="F13" s="20">
        <v>52</v>
      </c>
      <c r="G13" s="22">
        <f>IF($C13="","",IFERROR(INDEX(Productos!$F$5:$F$504,MATCH($C13,Productos!$A$5:$A$504,0)),0))</f>
        <v>62</v>
      </c>
      <c r="H13" s="22">
        <f t="shared" si="0"/>
        <v>3224</v>
      </c>
      <c r="I13" s="14">
        <f>IF(OR($C13="",$F13=""),"",IFERROR(INDEX(Productos!$I$5:$I$504,MATCH($C13,Productos!$A$5:$A$504,0)),0)+SUMIFS($F$5:$F13,$C$5:$C13,$C13,$B$5:$B13,"Entrada")-SUMIFS($F$5:$F13,$C$5:$C13,$C13,$B$5:$B13,"Salida"))</f>
        <v>33</v>
      </c>
      <c r="J13" s="20" t="s">
        <v>112</v>
      </c>
      <c r="K13" s="20" t="s">
        <v>105</v>
      </c>
      <c r="L13" s="20"/>
      <c r="M13" s="14" t="str">
        <f>IF(AND($C13&lt;&gt;"",$C13=Kardex!$C$4),COUNTIF($C$5:$C13,Kardex!$C$4),"")</f>
        <v/>
      </c>
    </row>
    <row r="14" spans="1:13" x14ac:dyDescent="0.25">
      <c r="A14" s="24">
        <v>46311</v>
      </c>
      <c r="B14" s="20" t="s">
        <v>103</v>
      </c>
      <c r="C14" s="20" t="s">
        <v>81</v>
      </c>
      <c r="D14" s="14" t="str">
        <f>IF($C14="","",IFERROR(INDEX(Productos!$B$5:$B$504,MATCH($C14,Productos!$A$5:$A$504,0)),"Clave no existe"))</f>
        <v>Cable THW calibre 12</v>
      </c>
      <c r="E14" s="14" t="str">
        <f>IF($C14="","",IFERROR(INDEX(Productos!$D$5:$D$504,MATCH($C14,Productos!$A$5:$A$504,0)),""))</f>
        <v>Rollo 100 m</v>
      </c>
      <c r="F14" s="20">
        <v>3</v>
      </c>
      <c r="G14" s="22">
        <f>IF($C14="","",IFERROR(INDEX(Productos!$F$5:$F$504,MATCH($C14,Productos!$A$5:$A$504,0)),0))</f>
        <v>980</v>
      </c>
      <c r="H14" s="22">
        <f t="shared" si="0"/>
        <v>2940</v>
      </c>
      <c r="I14" s="14">
        <f>IF(OR($C14="",$F14=""),"",IFERROR(INDEX(Productos!$I$5:$I$504,MATCH($C14,Productos!$A$5:$A$504,0)),0)+SUMIFS($F$5:$F14,$C$5:$C14,$C14,$B$5:$B14,"Entrada")-SUMIFS($F$5:$F14,$C$5:$C14,$C14,$B$5:$B14,"Salida"))</f>
        <v>0</v>
      </c>
      <c r="J14" s="20" t="s">
        <v>113</v>
      </c>
      <c r="K14" s="20" t="s">
        <v>105</v>
      </c>
      <c r="L14" s="20"/>
      <c r="M14" s="14" t="str">
        <f>IF(AND($C14&lt;&gt;"",$C14=Kardex!$C$4),COUNTIF($C$5:$C14,Kardex!$C$4),"")</f>
        <v/>
      </c>
    </row>
    <row r="15" spans="1:13" x14ac:dyDescent="0.25">
      <c r="A15" s="24">
        <v>46315</v>
      </c>
      <c r="B15" s="20" t="s">
        <v>103</v>
      </c>
      <c r="C15" s="20" t="s">
        <v>78</v>
      </c>
      <c r="D15" s="14" t="str">
        <f>IF($C15="","",IFERROR(INDEX(Productos!$B$5:$B$504,MATCH($C15,Productos!$A$5:$A$504,0)),"Clave no existe"))</f>
        <v>Alambre recocido</v>
      </c>
      <c r="E15" s="14" t="str">
        <f>IF($C15="","",IFERROR(INDEX(Productos!$D$5:$D$504,MATCH($C15,Productos!$A$5:$A$504,0)),""))</f>
        <v>Kg</v>
      </c>
      <c r="F15" s="20">
        <v>25</v>
      </c>
      <c r="G15" s="22">
        <f>IF($C15="","",IFERROR(INDEX(Productos!$F$5:$F$504,MATCH($C15,Productos!$A$5:$A$504,0)),0))</f>
        <v>38</v>
      </c>
      <c r="H15" s="22">
        <f t="shared" si="0"/>
        <v>950</v>
      </c>
      <c r="I15" s="14">
        <f>IF(OR($C15="",$F15=""),"",IFERROR(INDEX(Productos!$I$5:$I$504,MATCH($C15,Productos!$A$5:$A$504,0)),0)+SUMIFS($F$5:$F15,$C$5:$C15,$C15,$B$5:$B15,"Entrada")-SUMIFS($F$5:$F15,$C$5:$C15,$C15,$B$5:$B15,"Salida"))</f>
        <v>35</v>
      </c>
      <c r="J15" s="20" t="s">
        <v>114</v>
      </c>
      <c r="K15" s="20" t="s">
        <v>105</v>
      </c>
      <c r="L15" s="20"/>
      <c r="M15" s="14" t="str">
        <f>IF(AND($C15&lt;&gt;"",$C15=Kardex!$C$4),COUNTIF($C$5:$C15,Kardex!$C$4),"")</f>
        <v/>
      </c>
    </row>
    <row r="16" spans="1:13" x14ac:dyDescent="0.25">
      <c r="A16" s="24">
        <v>46316</v>
      </c>
      <c r="B16" s="20" t="s">
        <v>100</v>
      </c>
      <c r="C16" s="20" t="s">
        <v>85</v>
      </c>
      <c r="D16" s="14" t="str">
        <f>IF($C16="","",IFERROR(INDEX(Productos!$B$5:$B$504,MATCH($C16,Productos!$A$5:$A$504,0)),"Clave no existe"))</f>
        <v>Tornillo para tablaroca 1"</v>
      </c>
      <c r="E16" s="14" t="str">
        <f>IF($C16="","",IFERROR(INDEX(Productos!$D$5:$D$504,MATCH($C16,Productos!$A$5:$A$504,0)),""))</f>
        <v>Caja 1000</v>
      </c>
      <c r="F16" s="20">
        <v>10</v>
      </c>
      <c r="G16" s="22">
        <f>IF($C16="","",IFERROR(INDEX(Productos!$F$5:$F$504,MATCH($C16,Productos!$A$5:$A$504,0)),0))</f>
        <v>145</v>
      </c>
      <c r="H16" s="22">
        <f t="shared" si="0"/>
        <v>1450</v>
      </c>
      <c r="I16" s="14">
        <f>IF(OR($C16="",$F16=""),"",IFERROR(INDEX(Productos!$I$5:$I$504,MATCH($C16,Productos!$A$5:$A$504,0)),0)+SUMIFS($F$5:$F16,$C$5:$C16,$C16,$B$5:$B16,"Entrada")-SUMIFS($F$5:$F16,$C$5:$C16,$C16,$B$5:$B16,"Salida"))</f>
        <v>32</v>
      </c>
      <c r="J16" s="20" t="s">
        <v>115</v>
      </c>
      <c r="K16" s="20" t="s">
        <v>102</v>
      </c>
      <c r="L16" s="20"/>
      <c r="M16" s="14" t="str">
        <f>IF(AND($C16&lt;&gt;"",$C16=Kardex!$C$4),COUNTIF($C$5:$C16,Kardex!$C$4),"")</f>
        <v/>
      </c>
    </row>
    <row r="17" spans="1:13" x14ac:dyDescent="0.25">
      <c r="A17" s="24">
        <v>46318</v>
      </c>
      <c r="B17" s="20" t="s">
        <v>103</v>
      </c>
      <c r="C17" s="20" t="s">
        <v>85</v>
      </c>
      <c r="D17" s="14" t="str">
        <f>IF($C17="","",IFERROR(INDEX(Productos!$B$5:$B$504,MATCH($C17,Productos!$A$5:$A$504,0)),"Clave no existe"))</f>
        <v>Tornillo para tablaroca 1"</v>
      </c>
      <c r="E17" s="14" t="str">
        <f>IF($C17="","",IFERROR(INDEX(Productos!$D$5:$D$504,MATCH($C17,Productos!$A$5:$A$504,0)),""))</f>
        <v>Caja 1000</v>
      </c>
      <c r="F17" s="20">
        <v>14</v>
      </c>
      <c r="G17" s="22">
        <f>IF($C17="","",IFERROR(INDEX(Productos!$F$5:$F$504,MATCH($C17,Productos!$A$5:$A$504,0)),0))</f>
        <v>145</v>
      </c>
      <c r="H17" s="22">
        <f t="shared" si="0"/>
        <v>2030</v>
      </c>
      <c r="I17" s="14">
        <f>IF(OR($C17="",$F17=""),"",IFERROR(INDEX(Productos!$I$5:$I$504,MATCH($C17,Productos!$A$5:$A$504,0)),0)+SUMIFS($F$5:$F17,$C$5:$C17,$C17,$B$5:$B17,"Entrada")-SUMIFS($F$5:$F17,$C$5:$C17,$C17,$B$5:$B17,"Salida"))</f>
        <v>18</v>
      </c>
      <c r="J17" s="20" t="s">
        <v>116</v>
      </c>
      <c r="K17" s="20" t="s">
        <v>105</v>
      </c>
      <c r="L17" s="20"/>
      <c r="M17" s="14" t="str">
        <f>IF(AND($C17&lt;&gt;"",$C17=Kardex!$C$4),COUNTIF($C$5:$C17,Kardex!$C$4),"")</f>
        <v/>
      </c>
    </row>
    <row r="18" spans="1:13" x14ac:dyDescent="0.25">
      <c r="A18" s="24">
        <v>46322</v>
      </c>
      <c r="B18" s="20" t="s">
        <v>103</v>
      </c>
      <c r="C18" s="20" t="s">
        <v>67</v>
      </c>
      <c r="D18" s="14" t="str">
        <f>IF($C18="","",IFERROR(INDEX(Productos!$B$5:$B$504,MATCH($C18,Productos!$A$5:$A$504,0)),"Clave no existe"))</f>
        <v>Block de concreto 15x20x40</v>
      </c>
      <c r="E18" s="14" t="str">
        <f>IF($C18="","",IFERROR(INDEX(Productos!$D$5:$D$504,MATCH($C18,Productos!$A$5:$A$504,0)),""))</f>
        <v>Pieza</v>
      </c>
      <c r="F18" s="20">
        <v>380</v>
      </c>
      <c r="G18" s="22">
        <f>IF($C18="","",IFERROR(INDEX(Productos!$F$5:$F$504,MATCH($C18,Productos!$A$5:$A$504,0)),0))</f>
        <v>14.5</v>
      </c>
      <c r="H18" s="22">
        <f t="shared" si="0"/>
        <v>5510</v>
      </c>
      <c r="I18" s="14">
        <f>IF(OR($C18="",$F18=""),"",IFERROR(INDEX(Productos!$I$5:$I$504,MATCH($C18,Productos!$A$5:$A$504,0)),0)+SUMIFS($F$5:$F18,$C$5:$C18,$C18,$B$5:$B18,"Entrada")-SUMIFS($F$5:$F18,$C$5:$C18,$C18,$B$5:$B18,"Salida"))</f>
        <v>420</v>
      </c>
      <c r="J18" s="20" t="s">
        <v>117</v>
      </c>
      <c r="K18" s="20" t="s">
        <v>105</v>
      </c>
      <c r="L18" s="20"/>
      <c r="M18" s="14" t="str">
        <f>IF(AND($C18&lt;&gt;"",$C18=Kardex!$C$4),COUNTIF($C$5:$C18,Kardex!$C$4),"")</f>
        <v/>
      </c>
    </row>
    <row r="19" spans="1:13" x14ac:dyDescent="0.25">
      <c r="A19" s="24"/>
      <c r="B19" s="20"/>
      <c r="C19" s="20"/>
      <c r="D19" s="14" t="str">
        <f>IF($C19="","",IFERROR(INDEX(Productos!$B$5:$B$504,MATCH($C19,Productos!$A$5:$A$504,0)),"Clave no existe"))</f>
        <v/>
      </c>
      <c r="E19" s="14" t="str">
        <f>IF($C19="","",IFERROR(INDEX(Productos!$D$5:$D$504,MATCH($C19,Productos!$A$5:$A$504,0)),""))</f>
        <v/>
      </c>
      <c r="F19" s="20"/>
      <c r="G19" s="22" t="str">
        <f>IF($C19="","",IFERROR(INDEX(Productos!$F$5:$F$504,MATCH($C19,Productos!$A$5:$A$504,0)),0))</f>
        <v/>
      </c>
      <c r="H19" s="22" t="str">
        <f t="shared" si="0"/>
        <v/>
      </c>
      <c r="I19" s="14" t="str">
        <f>IF(OR($C19="",$F19=""),"",IFERROR(INDEX(Productos!$I$5:$I$504,MATCH($C19,Productos!$A$5:$A$504,0)),0)+SUMIFS($F$5:$F19,$C$5:$C19,$C19,$B$5:$B19,"Entrada")-SUMIFS($F$5:$F19,$C$5:$C19,$C19,$B$5:$B19,"Salida"))</f>
        <v/>
      </c>
      <c r="J19" s="20"/>
      <c r="K19" s="20"/>
      <c r="L19" s="20"/>
      <c r="M19" s="14" t="str">
        <f>IF(AND($C19&lt;&gt;"",$C19=Kardex!$C$4),COUNTIF($C$5:$C19,Kardex!$C$4),"")</f>
        <v/>
      </c>
    </row>
    <row r="20" spans="1:13" x14ac:dyDescent="0.25">
      <c r="A20" s="24"/>
      <c r="B20" s="20"/>
      <c r="C20" s="20"/>
      <c r="D20" s="14" t="str">
        <f>IF($C20="","",IFERROR(INDEX(Productos!$B$5:$B$504,MATCH($C20,Productos!$A$5:$A$504,0)),"Clave no existe"))</f>
        <v/>
      </c>
      <c r="E20" s="14" t="str">
        <f>IF($C20="","",IFERROR(INDEX(Productos!$D$5:$D$504,MATCH($C20,Productos!$A$5:$A$504,0)),""))</f>
        <v/>
      </c>
      <c r="F20" s="20"/>
      <c r="G20" s="22" t="str">
        <f>IF($C20="","",IFERROR(INDEX(Productos!$F$5:$F$504,MATCH($C20,Productos!$A$5:$A$504,0)),0))</f>
        <v/>
      </c>
      <c r="H20" s="22" t="str">
        <f t="shared" si="0"/>
        <v/>
      </c>
      <c r="I20" s="14" t="str">
        <f>IF(OR($C20="",$F20=""),"",IFERROR(INDEX(Productos!$I$5:$I$504,MATCH($C20,Productos!$A$5:$A$504,0)),0)+SUMIFS($F$5:$F20,$C$5:$C20,$C20,$B$5:$B20,"Entrada")-SUMIFS($F$5:$F20,$C$5:$C20,$C20,$B$5:$B20,"Salida"))</f>
        <v/>
      </c>
      <c r="J20" s="20"/>
      <c r="K20" s="20"/>
      <c r="L20" s="20"/>
      <c r="M20" s="14" t="str">
        <f>IF(AND($C20&lt;&gt;"",$C20=Kardex!$C$4),COUNTIF($C$5:$C20,Kardex!$C$4),"")</f>
        <v/>
      </c>
    </row>
    <row r="21" spans="1:13" x14ac:dyDescent="0.25">
      <c r="A21" s="24"/>
      <c r="B21" s="20"/>
      <c r="C21" s="20"/>
      <c r="D21" s="14" t="str">
        <f>IF($C21="","",IFERROR(INDEX(Productos!$B$5:$B$504,MATCH($C21,Productos!$A$5:$A$504,0)),"Clave no existe"))</f>
        <v/>
      </c>
      <c r="E21" s="14" t="str">
        <f>IF($C21="","",IFERROR(INDEX(Productos!$D$5:$D$504,MATCH($C21,Productos!$A$5:$A$504,0)),""))</f>
        <v/>
      </c>
      <c r="F21" s="20"/>
      <c r="G21" s="22" t="str">
        <f>IF($C21="","",IFERROR(INDEX(Productos!$F$5:$F$504,MATCH($C21,Productos!$A$5:$A$504,0)),0))</f>
        <v/>
      </c>
      <c r="H21" s="22" t="str">
        <f t="shared" si="0"/>
        <v/>
      </c>
      <c r="I21" s="14" t="str">
        <f>IF(OR($C21="",$F21=""),"",IFERROR(INDEX(Productos!$I$5:$I$504,MATCH($C21,Productos!$A$5:$A$504,0)),0)+SUMIFS($F$5:$F21,$C$5:$C21,$C21,$B$5:$B21,"Entrada")-SUMIFS($F$5:$F21,$C$5:$C21,$C21,$B$5:$B21,"Salida"))</f>
        <v/>
      </c>
      <c r="J21" s="20"/>
      <c r="K21" s="20"/>
      <c r="L21" s="20"/>
      <c r="M21" s="14" t="str">
        <f>IF(AND($C21&lt;&gt;"",$C21=Kardex!$C$4),COUNTIF($C$5:$C21,Kardex!$C$4),"")</f>
        <v/>
      </c>
    </row>
    <row r="22" spans="1:13" x14ac:dyDescent="0.25">
      <c r="A22" s="24"/>
      <c r="B22" s="20"/>
      <c r="C22" s="20"/>
      <c r="D22" s="14" t="str">
        <f>IF($C22="","",IFERROR(INDEX(Productos!$B$5:$B$504,MATCH($C22,Productos!$A$5:$A$504,0)),"Clave no existe"))</f>
        <v/>
      </c>
      <c r="E22" s="14" t="str">
        <f>IF($C22="","",IFERROR(INDEX(Productos!$D$5:$D$504,MATCH($C22,Productos!$A$5:$A$504,0)),""))</f>
        <v/>
      </c>
      <c r="F22" s="20"/>
      <c r="G22" s="22" t="str">
        <f>IF($C22="","",IFERROR(INDEX(Productos!$F$5:$F$504,MATCH($C22,Productos!$A$5:$A$504,0)),0))</f>
        <v/>
      </c>
      <c r="H22" s="22" t="str">
        <f t="shared" si="0"/>
        <v/>
      </c>
      <c r="I22" s="14" t="str">
        <f>IF(OR($C22="",$F22=""),"",IFERROR(INDEX(Productos!$I$5:$I$504,MATCH($C22,Productos!$A$5:$A$504,0)),0)+SUMIFS($F$5:$F22,$C$5:$C22,$C22,$B$5:$B22,"Entrada")-SUMIFS($F$5:$F22,$C$5:$C22,$C22,$B$5:$B22,"Salida"))</f>
        <v/>
      </c>
      <c r="J22" s="20"/>
      <c r="K22" s="20"/>
      <c r="L22" s="20"/>
      <c r="M22" s="14" t="str">
        <f>IF(AND($C22&lt;&gt;"",$C22=Kardex!$C$4),COUNTIF($C$5:$C22,Kardex!$C$4),"")</f>
        <v/>
      </c>
    </row>
    <row r="23" spans="1:13" x14ac:dyDescent="0.25">
      <c r="A23" s="24"/>
      <c r="B23" s="20"/>
      <c r="C23" s="20"/>
      <c r="D23" s="14" t="str">
        <f>IF($C23="","",IFERROR(INDEX(Productos!$B$5:$B$504,MATCH($C23,Productos!$A$5:$A$504,0)),"Clave no existe"))</f>
        <v/>
      </c>
      <c r="E23" s="14" t="str">
        <f>IF($C23="","",IFERROR(INDEX(Productos!$D$5:$D$504,MATCH($C23,Productos!$A$5:$A$504,0)),""))</f>
        <v/>
      </c>
      <c r="F23" s="20"/>
      <c r="G23" s="22" t="str">
        <f>IF($C23="","",IFERROR(INDEX(Productos!$F$5:$F$504,MATCH($C23,Productos!$A$5:$A$504,0)),0))</f>
        <v/>
      </c>
      <c r="H23" s="22" t="str">
        <f t="shared" si="0"/>
        <v/>
      </c>
      <c r="I23" s="14" t="str">
        <f>IF(OR($C23="",$F23=""),"",IFERROR(INDEX(Productos!$I$5:$I$504,MATCH($C23,Productos!$A$5:$A$504,0)),0)+SUMIFS($F$5:$F23,$C$5:$C23,$C23,$B$5:$B23,"Entrada")-SUMIFS($F$5:$F23,$C$5:$C23,$C23,$B$5:$B23,"Salida"))</f>
        <v/>
      </c>
      <c r="J23" s="20"/>
      <c r="K23" s="20"/>
      <c r="L23" s="20"/>
      <c r="M23" s="14" t="str">
        <f>IF(AND($C23&lt;&gt;"",$C23=Kardex!$C$4),COUNTIF($C$5:$C23,Kardex!$C$4),"")</f>
        <v/>
      </c>
    </row>
    <row r="24" spans="1:13" x14ac:dyDescent="0.25">
      <c r="A24" s="24"/>
      <c r="B24" s="20"/>
      <c r="C24" s="20"/>
      <c r="D24" s="14" t="str">
        <f>IF($C24="","",IFERROR(INDEX(Productos!$B$5:$B$504,MATCH($C24,Productos!$A$5:$A$504,0)),"Clave no existe"))</f>
        <v/>
      </c>
      <c r="E24" s="14" t="str">
        <f>IF($C24="","",IFERROR(INDEX(Productos!$D$5:$D$504,MATCH($C24,Productos!$A$5:$A$504,0)),""))</f>
        <v/>
      </c>
      <c r="F24" s="20"/>
      <c r="G24" s="22" t="str">
        <f>IF($C24="","",IFERROR(INDEX(Productos!$F$5:$F$504,MATCH($C24,Productos!$A$5:$A$504,0)),0))</f>
        <v/>
      </c>
      <c r="H24" s="22" t="str">
        <f t="shared" si="0"/>
        <v/>
      </c>
      <c r="I24" s="14" t="str">
        <f>IF(OR($C24="",$F24=""),"",IFERROR(INDEX(Productos!$I$5:$I$504,MATCH($C24,Productos!$A$5:$A$504,0)),0)+SUMIFS($F$5:$F24,$C$5:$C24,$C24,$B$5:$B24,"Entrada")-SUMIFS($F$5:$F24,$C$5:$C24,$C24,$B$5:$B24,"Salida"))</f>
        <v/>
      </c>
      <c r="J24" s="20"/>
      <c r="K24" s="20"/>
      <c r="L24" s="20"/>
      <c r="M24" s="14" t="str">
        <f>IF(AND($C24&lt;&gt;"",$C24=Kardex!$C$4),COUNTIF($C$5:$C24,Kardex!$C$4),"")</f>
        <v/>
      </c>
    </row>
    <row r="25" spans="1:13" x14ac:dyDescent="0.25">
      <c r="A25" s="24"/>
      <c r="B25" s="20"/>
      <c r="C25" s="20"/>
      <c r="D25" s="14" t="str">
        <f>IF($C25="","",IFERROR(INDEX(Productos!$B$5:$B$504,MATCH($C25,Productos!$A$5:$A$504,0)),"Clave no existe"))</f>
        <v/>
      </c>
      <c r="E25" s="14" t="str">
        <f>IF($C25="","",IFERROR(INDEX(Productos!$D$5:$D$504,MATCH($C25,Productos!$A$5:$A$504,0)),""))</f>
        <v/>
      </c>
      <c r="F25" s="20"/>
      <c r="G25" s="22" t="str">
        <f>IF($C25="","",IFERROR(INDEX(Productos!$F$5:$F$504,MATCH($C25,Productos!$A$5:$A$504,0)),0))</f>
        <v/>
      </c>
      <c r="H25" s="22" t="str">
        <f t="shared" si="0"/>
        <v/>
      </c>
      <c r="I25" s="14" t="str">
        <f>IF(OR($C25="",$F25=""),"",IFERROR(INDEX(Productos!$I$5:$I$504,MATCH($C25,Productos!$A$5:$A$504,0)),0)+SUMIFS($F$5:$F25,$C$5:$C25,$C25,$B$5:$B25,"Entrada")-SUMIFS($F$5:$F25,$C$5:$C25,$C25,$B$5:$B25,"Salida"))</f>
        <v/>
      </c>
      <c r="J25" s="20"/>
      <c r="K25" s="20"/>
      <c r="L25" s="20"/>
      <c r="M25" s="14" t="str">
        <f>IF(AND($C25&lt;&gt;"",$C25=Kardex!$C$4),COUNTIF($C$5:$C25,Kardex!$C$4),"")</f>
        <v/>
      </c>
    </row>
    <row r="26" spans="1:13" x14ac:dyDescent="0.25">
      <c r="A26" s="24"/>
      <c r="B26" s="20"/>
      <c r="C26" s="20"/>
      <c r="D26" s="14" t="str">
        <f>IF($C26="","",IFERROR(INDEX(Productos!$B$5:$B$504,MATCH($C26,Productos!$A$5:$A$504,0)),"Clave no existe"))</f>
        <v/>
      </c>
      <c r="E26" s="14" t="str">
        <f>IF($C26="","",IFERROR(INDEX(Productos!$D$5:$D$504,MATCH($C26,Productos!$A$5:$A$504,0)),""))</f>
        <v/>
      </c>
      <c r="F26" s="20"/>
      <c r="G26" s="22" t="str">
        <f>IF($C26="","",IFERROR(INDEX(Productos!$F$5:$F$504,MATCH($C26,Productos!$A$5:$A$504,0)),0))</f>
        <v/>
      </c>
      <c r="H26" s="22" t="str">
        <f t="shared" si="0"/>
        <v/>
      </c>
      <c r="I26" s="14" t="str">
        <f>IF(OR($C26="",$F26=""),"",IFERROR(INDEX(Productos!$I$5:$I$504,MATCH($C26,Productos!$A$5:$A$504,0)),0)+SUMIFS($F$5:$F26,$C$5:$C26,$C26,$B$5:$B26,"Entrada")-SUMIFS($F$5:$F26,$C$5:$C26,$C26,$B$5:$B26,"Salida"))</f>
        <v/>
      </c>
      <c r="J26" s="20"/>
      <c r="K26" s="20"/>
      <c r="L26" s="20"/>
      <c r="M26" s="14" t="str">
        <f>IF(AND($C26&lt;&gt;"",$C26=Kardex!$C$4),COUNTIF($C$5:$C26,Kardex!$C$4),"")</f>
        <v/>
      </c>
    </row>
    <row r="27" spans="1:13" x14ac:dyDescent="0.25">
      <c r="A27" s="24"/>
      <c r="B27" s="20"/>
      <c r="C27" s="20"/>
      <c r="D27" s="14" t="str">
        <f>IF($C27="","",IFERROR(INDEX(Productos!$B$5:$B$504,MATCH($C27,Productos!$A$5:$A$504,0)),"Clave no existe"))</f>
        <v/>
      </c>
      <c r="E27" s="14" t="str">
        <f>IF($C27="","",IFERROR(INDEX(Productos!$D$5:$D$504,MATCH($C27,Productos!$A$5:$A$504,0)),""))</f>
        <v/>
      </c>
      <c r="F27" s="20"/>
      <c r="G27" s="22" t="str">
        <f>IF($C27="","",IFERROR(INDEX(Productos!$F$5:$F$504,MATCH($C27,Productos!$A$5:$A$504,0)),0))</f>
        <v/>
      </c>
      <c r="H27" s="22" t="str">
        <f t="shared" si="0"/>
        <v/>
      </c>
      <c r="I27" s="14" t="str">
        <f>IF(OR($C27="",$F27=""),"",IFERROR(INDEX(Productos!$I$5:$I$504,MATCH($C27,Productos!$A$5:$A$504,0)),0)+SUMIFS($F$5:$F27,$C$5:$C27,$C27,$B$5:$B27,"Entrada")-SUMIFS($F$5:$F27,$C$5:$C27,$C27,$B$5:$B27,"Salida"))</f>
        <v/>
      </c>
      <c r="J27" s="20"/>
      <c r="K27" s="20"/>
      <c r="L27" s="20"/>
      <c r="M27" s="14" t="str">
        <f>IF(AND($C27&lt;&gt;"",$C27=Kardex!$C$4),COUNTIF($C$5:$C27,Kardex!$C$4),"")</f>
        <v/>
      </c>
    </row>
    <row r="28" spans="1:13" x14ac:dyDescent="0.25">
      <c r="A28" s="24"/>
      <c r="B28" s="20"/>
      <c r="C28" s="20"/>
      <c r="D28" s="14" t="str">
        <f>IF($C28="","",IFERROR(INDEX(Productos!$B$5:$B$504,MATCH($C28,Productos!$A$5:$A$504,0)),"Clave no existe"))</f>
        <v/>
      </c>
      <c r="E28" s="14" t="str">
        <f>IF($C28="","",IFERROR(INDEX(Productos!$D$5:$D$504,MATCH($C28,Productos!$A$5:$A$504,0)),""))</f>
        <v/>
      </c>
      <c r="F28" s="20"/>
      <c r="G28" s="22" t="str">
        <f>IF($C28="","",IFERROR(INDEX(Productos!$F$5:$F$504,MATCH($C28,Productos!$A$5:$A$504,0)),0))</f>
        <v/>
      </c>
      <c r="H28" s="22" t="str">
        <f t="shared" si="0"/>
        <v/>
      </c>
      <c r="I28" s="14" t="str">
        <f>IF(OR($C28="",$F28=""),"",IFERROR(INDEX(Productos!$I$5:$I$504,MATCH($C28,Productos!$A$5:$A$504,0)),0)+SUMIFS($F$5:$F28,$C$5:$C28,$C28,$B$5:$B28,"Entrada")-SUMIFS($F$5:$F28,$C$5:$C28,$C28,$B$5:$B28,"Salida"))</f>
        <v/>
      </c>
      <c r="J28" s="20"/>
      <c r="K28" s="20"/>
      <c r="L28" s="20"/>
      <c r="M28" s="14" t="str">
        <f>IF(AND($C28&lt;&gt;"",$C28=Kardex!$C$4),COUNTIF($C$5:$C28,Kardex!$C$4),"")</f>
        <v/>
      </c>
    </row>
    <row r="29" spans="1:13" x14ac:dyDescent="0.25">
      <c r="A29" s="24"/>
      <c r="B29" s="20"/>
      <c r="C29" s="20"/>
      <c r="D29" s="14" t="str">
        <f>IF($C29="","",IFERROR(INDEX(Productos!$B$5:$B$504,MATCH($C29,Productos!$A$5:$A$504,0)),"Clave no existe"))</f>
        <v/>
      </c>
      <c r="E29" s="14" t="str">
        <f>IF($C29="","",IFERROR(INDEX(Productos!$D$5:$D$504,MATCH($C29,Productos!$A$5:$A$504,0)),""))</f>
        <v/>
      </c>
      <c r="F29" s="20"/>
      <c r="G29" s="22" t="str">
        <f>IF($C29="","",IFERROR(INDEX(Productos!$F$5:$F$504,MATCH($C29,Productos!$A$5:$A$504,0)),0))</f>
        <v/>
      </c>
      <c r="H29" s="22" t="str">
        <f t="shared" si="0"/>
        <v/>
      </c>
      <c r="I29" s="14" t="str">
        <f>IF(OR($C29="",$F29=""),"",IFERROR(INDEX(Productos!$I$5:$I$504,MATCH($C29,Productos!$A$5:$A$504,0)),0)+SUMIFS($F$5:$F29,$C$5:$C29,$C29,$B$5:$B29,"Entrada")-SUMIFS($F$5:$F29,$C$5:$C29,$C29,$B$5:$B29,"Salida"))</f>
        <v/>
      </c>
      <c r="J29" s="20"/>
      <c r="K29" s="20"/>
      <c r="L29" s="20"/>
      <c r="M29" s="14" t="str">
        <f>IF(AND($C29&lt;&gt;"",$C29=Kardex!$C$4),COUNTIF($C$5:$C29,Kardex!$C$4),"")</f>
        <v/>
      </c>
    </row>
    <row r="30" spans="1:13" x14ac:dyDescent="0.25">
      <c r="A30" s="24"/>
      <c r="B30" s="20"/>
      <c r="C30" s="20"/>
      <c r="D30" s="14" t="str">
        <f>IF($C30="","",IFERROR(INDEX(Productos!$B$5:$B$504,MATCH($C30,Productos!$A$5:$A$504,0)),"Clave no existe"))</f>
        <v/>
      </c>
      <c r="E30" s="14" t="str">
        <f>IF($C30="","",IFERROR(INDEX(Productos!$D$5:$D$504,MATCH($C30,Productos!$A$5:$A$504,0)),""))</f>
        <v/>
      </c>
      <c r="F30" s="20"/>
      <c r="G30" s="22" t="str">
        <f>IF($C30="","",IFERROR(INDEX(Productos!$F$5:$F$504,MATCH($C30,Productos!$A$5:$A$504,0)),0))</f>
        <v/>
      </c>
      <c r="H30" s="22" t="str">
        <f t="shared" si="0"/>
        <v/>
      </c>
      <c r="I30" s="14" t="str">
        <f>IF(OR($C30="",$F30=""),"",IFERROR(INDEX(Productos!$I$5:$I$504,MATCH($C30,Productos!$A$5:$A$504,0)),0)+SUMIFS($F$5:$F30,$C$5:$C30,$C30,$B$5:$B30,"Entrada")-SUMIFS($F$5:$F30,$C$5:$C30,$C30,$B$5:$B30,"Salida"))</f>
        <v/>
      </c>
      <c r="J30" s="20"/>
      <c r="K30" s="20"/>
      <c r="L30" s="20"/>
      <c r="M30" s="14" t="str">
        <f>IF(AND($C30&lt;&gt;"",$C30=Kardex!$C$4),COUNTIF($C$5:$C30,Kardex!$C$4),"")</f>
        <v/>
      </c>
    </row>
    <row r="31" spans="1:13" x14ac:dyDescent="0.25">
      <c r="A31" s="24"/>
      <c r="B31" s="20"/>
      <c r="C31" s="20"/>
      <c r="D31" s="14" t="str">
        <f>IF($C31="","",IFERROR(INDEX(Productos!$B$5:$B$504,MATCH($C31,Productos!$A$5:$A$504,0)),"Clave no existe"))</f>
        <v/>
      </c>
      <c r="E31" s="14" t="str">
        <f>IF($C31="","",IFERROR(INDEX(Productos!$D$5:$D$504,MATCH($C31,Productos!$A$5:$A$504,0)),""))</f>
        <v/>
      </c>
      <c r="F31" s="20"/>
      <c r="G31" s="22" t="str">
        <f>IF($C31="","",IFERROR(INDEX(Productos!$F$5:$F$504,MATCH($C31,Productos!$A$5:$A$504,0)),0))</f>
        <v/>
      </c>
      <c r="H31" s="22" t="str">
        <f t="shared" si="0"/>
        <v/>
      </c>
      <c r="I31" s="14" t="str">
        <f>IF(OR($C31="",$F31=""),"",IFERROR(INDEX(Productos!$I$5:$I$504,MATCH($C31,Productos!$A$5:$A$504,0)),0)+SUMIFS($F$5:$F31,$C$5:$C31,$C31,$B$5:$B31,"Entrada")-SUMIFS($F$5:$F31,$C$5:$C31,$C31,$B$5:$B31,"Salida"))</f>
        <v/>
      </c>
      <c r="J31" s="20"/>
      <c r="K31" s="20"/>
      <c r="L31" s="20"/>
      <c r="M31" s="14" t="str">
        <f>IF(AND($C31&lt;&gt;"",$C31=Kardex!$C$4),COUNTIF($C$5:$C31,Kardex!$C$4),"")</f>
        <v/>
      </c>
    </row>
    <row r="32" spans="1:13" x14ac:dyDescent="0.25">
      <c r="A32" s="24"/>
      <c r="B32" s="20"/>
      <c r="C32" s="20"/>
      <c r="D32" s="14" t="str">
        <f>IF($C32="","",IFERROR(INDEX(Productos!$B$5:$B$504,MATCH($C32,Productos!$A$5:$A$504,0)),"Clave no existe"))</f>
        <v/>
      </c>
      <c r="E32" s="14" t="str">
        <f>IF($C32="","",IFERROR(INDEX(Productos!$D$5:$D$504,MATCH($C32,Productos!$A$5:$A$504,0)),""))</f>
        <v/>
      </c>
      <c r="F32" s="20"/>
      <c r="G32" s="22" t="str">
        <f>IF($C32="","",IFERROR(INDEX(Productos!$F$5:$F$504,MATCH($C32,Productos!$A$5:$A$504,0)),0))</f>
        <v/>
      </c>
      <c r="H32" s="22" t="str">
        <f t="shared" si="0"/>
        <v/>
      </c>
      <c r="I32" s="14" t="str">
        <f>IF(OR($C32="",$F32=""),"",IFERROR(INDEX(Productos!$I$5:$I$504,MATCH($C32,Productos!$A$5:$A$504,0)),0)+SUMIFS($F$5:$F32,$C$5:$C32,$C32,$B$5:$B32,"Entrada")-SUMIFS($F$5:$F32,$C$5:$C32,$C32,$B$5:$B32,"Salida"))</f>
        <v/>
      </c>
      <c r="J32" s="20"/>
      <c r="K32" s="20"/>
      <c r="L32" s="20"/>
      <c r="M32" s="14" t="str">
        <f>IF(AND($C32&lt;&gt;"",$C32=Kardex!$C$4),COUNTIF($C$5:$C32,Kardex!$C$4),"")</f>
        <v/>
      </c>
    </row>
    <row r="33" spans="1:13" x14ac:dyDescent="0.25">
      <c r="A33" s="24"/>
      <c r="B33" s="20"/>
      <c r="C33" s="20"/>
      <c r="D33" s="14" t="str">
        <f>IF($C33="","",IFERROR(INDEX(Productos!$B$5:$B$504,MATCH($C33,Productos!$A$5:$A$504,0)),"Clave no existe"))</f>
        <v/>
      </c>
      <c r="E33" s="14" t="str">
        <f>IF($C33="","",IFERROR(INDEX(Productos!$D$5:$D$504,MATCH($C33,Productos!$A$5:$A$504,0)),""))</f>
        <v/>
      </c>
      <c r="F33" s="20"/>
      <c r="G33" s="22" t="str">
        <f>IF($C33="","",IFERROR(INDEX(Productos!$F$5:$F$504,MATCH($C33,Productos!$A$5:$A$504,0)),0))</f>
        <v/>
      </c>
      <c r="H33" s="22" t="str">
        <f t="shared" si="0"/>
        <v/>
      </c>
      <c r="I33" s="14" t="str">
        <f>IF(OR($C33="",$F33=""),"",IFERROR(INDEX(Productos!$I$5:$I$504,MATCH($C33,Productos!$A$5:$A$504,0)),0)+SUMIFS($F$5:$F33,$C$5:$C33,$C33,$B$5:$B33,"Entrada")-SUMIFS($F$5:$F33,$C$5:$C33,$C33,$B$5:$B33,"Salida"))</f>
        <v/>
      </c>
      <c r="J33" s="20"/>
      <c r="K33" s="20"/>
      <c r="L33" s="20"/>
      <c r="M33" s="14" t="str">
        <f>IF(AND($C33&lt;&gt;"",$C33=Kardex!$C$4),COUNTIF($C$5:$C33,Kardex!$C$4),"")</f>
        <v/>
      </c>
    </row>
    <row r="34" spans="1:13" x14ac:dyDescent="0.25">
      <c r="A34" s="24"/>
      <c r="B34" s="20"/>
      <c r="C34" s="20"/>
      <c r="D34" s="14" t="str">
        <f>IF($C34="","",IFERROR(INDEX(Productos!$B$5:$B$504,MATCH($C34,Productos!$A$5:$A$504,0)),"Clave no existe"))</f>
        <v/>
      </c>
      <c r="E34" s="14" t="str">
        <f>IF($C34="","",IFERROR(INDEX(Productos!$D$5:$D$504,MATCH($C34,Productos!$A$5:$A$504,0)),""))</f>
        <v/>
      </c>
      <c r="F34" s="20"/>
      <c r="G34" s="22" t="str">
        <f>IF($C34="","",IFERROR(INDEX(Productos!$F$5:$F$504,MATCH($C34,Productos!$A$5:$A$504,0)),0))</f>
        <v/>
      </c>
      <c r="H34" s="22" t="str">
        <f t="shared" si="0"/>
        <v/>
      </c>
      <c r="I34" s="14" t="str">
        <f>IF(OR($C34="",$F34=""),"",IFERROR(INDEX(Productos!$I$5:$I$504,MATCH($C34,Productos!$A$5:$A$504,0)),0)+SUMIFS($F$5:$F34,$C$5:$C34,$C34,$B$5:$B34,"Entrada")-SUMIFS($F$5:$F34,$C$5:$C34,$C34,$B$5:$B34,"Salida"))</f>
        <v/>
      </c>
      <c r="J34" s="20"/>
      <c r="K34" s="20"/>
      <c r="L34" s="20"/>
      <c r="M34" s="14" t="str">
        <f>IF(AND($C34&lt;&gt;"",$C34=Kardex!$C$4),COUNTIF($C$5:$C34,Kardex!$C$4),"")</f>
        <v/>
      </c>
    </row>
    <row r="35" spans="1:13" x14ac:dyDescent="0.25">
      <c r="A35" s="24"/>
      <c r="B35" s="20"/>
      <c r="C35" s="20"/>
      <c r="D35" s="14" t="str">
        <f>IF($C35="","",IFERROR(INDEX(Productos!$B$5:$B$504,MATCH($C35,Productos!$A$5:$A$504,0)),"Clave no existe"))</f>
        <v/>
      </c>
      <c r="E35" s="14" t="str">
        <f>IF($C35="","",IFERROR(INDEX(Productos!$D$5:$D$504,MATCH($C35,Productos!$A$5:$A$504,0)),""))</f>
        <v/>
      </c>
      <c r="F35" s="20"/>
      <c r="G35" s="22" t="str">
        <f>IF($C35="","",IFERROR(INDEX(Productos!$F$5:$F$504,MATCH($C35,Productos!$A$5:$A$504,0)),0))</f>
        <v/>
      </c>
      <c r="H35" s="22" t="str">
        <f t="shared" si="0"/>
        <v/>
      </c>
      <c r="I35" s="14" t="str">
        <f>IF(OR($C35="",$F35=""),"",IFERROR(INDEX(Productos!$I$5:$I$504,MATCH($C35,Productos!$A$5:$A$504,0)),0)+SUMIFS($F$5:$F35,$C$5:$C35,$C35,$B$5:$B35,"Entrada")-SUMIFS($F$5:$F35,$C$5:$C35,$C35,$B$5:$B35,"Salida"))</f>
        <v/>
      </c>
      <c r="J35" s="20"/>
      <c r="K35" s="20"/>
      <c r="L35" s="20"/>
      <c r="M35" s="14" t="str">
        <f>IF(AND($C35&lt;&gt;"",$C35=Kardex!$C$4),COUNTIF($C$5:$C35,Kardex!$C$4),"")</f>
        <v/>
      </c>
    </row>
    <row r="36" spans="1:13" x14ac:dyDescent="0.25">
      <c r="A36" s="24"/>
      <c r="B36" s="20"/>
      <c r="C36" s="20"/>
      <c r="D36" s="14" t="str">
        <f>IF($C36="","",IFERROR(INDEX(Productos!$B$5:$B$504,MATCH($C36,Productos!$A$5:$A$504,0)),"Clave no existe"))</f>
        <v/>
      </c>
      <c r="E36" s="14" t="str">
        <f>IF($C36="","",IFERROR(INDEX(Productos!$D$5:$D$504,MATCH($C36,Productos!$A$5:$A$504,0)),""))</f>
        <v/>
      </c>
      <c r="F36" s="20"/>
      <c r="G36" s="22" t="str">
        <f>IF($C36="","",IFERROR(INDEX(Productos!$F$5:$F$504,MATCH($C36,Productos!$A$5:$A$504,0)),0))</f>
        <v/>
      </c>
      <c r="H36" s="22" t="str">
        <f t="shared" si="0"/>
        <v/>
      </c>
      <c r="I36" s="14" t="str">
        <f>IF(OR($C36="",$F36=""),"",IFERROR(INDEX(Productos!$I$5:$I$504,MATCH($C36,Productos!$A$5:$A$504,0)),0)+SUMIFS($F$5:$F36,$C$5:$C36,$C36,$B$5:$B36,"Entrada")-SUMIFS($F$5:$F36,$C$5:$C36,$C36,$B$5:$B36,"Salida"))</f>
        <v/>
      </c>
      <c r="J36" s="20"/>
      <c r="K36" s="20"/>
      <c r="L36" s="20"/>
      <c r="M36" s="14" t="str">
        <f>IF(AND($C36&lt;&gt;"",$C36=Kardex!$C$4),COUNTIF($C$5:$C36,Kardex!$C$4),"")</f>
        <v/>
      </c>
    </row>
    <row r="37" spans="1:13" x14ac:dyDescent="0.25">
      <c r="A37" s="24"/>
      <c r="B37" s="20"/>
      <c r="C37" s="20"/>
      <c r="D37" s="14" t="str">
        <f>IF($C37="","",IFERROR(INDEX(Productos!$B$5:$B$504,MATCH($C37,Productos!$A$5:$A$504,0)),"Clave no existe"))</f>
        <v/>
      </c>
      <c r="E37" s="14" t="str">
        <f>IF($C37="","",IFERROR(INDEX(Productos!$D$5:$D$504,MATCH($C37,Productos!$A$5:$A$504,0)),""))</f>
        <v/>
      </c>
      <c r="F37" s="20"/>
      <c r="G37" s="22" t="str">
        <f>IF($C37="","",IFERROR(INDEX(Productos!$F$5:$F$504,MATCH($C37,Productos!$A$5:$A$504,0)),0))</f>
        <v/>
      </c>
      <c r="H37" s="22" t="str">
        <f t="shared" si="0"/>
        <v/>
      </c>
      <c r="I37" s="14" t="str">
        <f>IF(OR($C37="",$F37=""),"",IFERROR(INDEX(Productos!$I$5:$I$504,MATCH($C37,Productos!$A$5:$A$504,0)),0)+SUMIFS($F$5:$F37,$C$5:$C37,$C37,$B$5:$B37,"Entrada")-SUMIFS($F$5:$F37,$C$5:$C37,$C37,$B$5:$B37,"Salida"))</f>
        <v/>
      </c>
      <c r="J37" s="20"/>
      <c r="K37" s="20"/>
      <c r="L37" s="20"/>
      <c r="M37" s="14" t="str">
        <f>IF(AND($C37&lt;&gt;"",$C37=Kardex!$C$4),COUNTIF($C$5:$C37,Kardex!$C$4),"")</f>
        <v/>
      </c>
    </row>
    <row r="38" spans="1:13" x14ac:dyDescent="0.25">
      <c r="A38" s="24"/>
      <c r="B38" s="20"/>
      <c r="C38" s="20"/>
      <c r="D38" s="14" t="str">
        <f>IF($C38="","",IFERROR(INDEX(Productos!$B$5:$B$504,MATCH($C38,Productos!$A$5:$A$504,0)),"Clave no existe"))</f>
        <v/>
      </c>
      <c r="E38" s="14" t="str">
        <f>IF($C38="","",IFERROR(INDEX(Productos!$D$5:$D$504,MATCH($C38,Productos!$A$5:$A$504,0)),""))</f>
        <v/>
      </c>
      <c r="F38" s="20"/>
      <c r="G38" s="22" t="str">
        <f>IF($C38="","",IFERROR(INDEX(Productos!$F$5:$F$504,MATCH($C38,Productos!$A$5:$A$504,0)),0))</f>
        <v/>
      </c>
      <c r="H38" s="22" t="str">
        <f t="shared" si="0"/>
        <v/>
      </c>
      <c r="I38" s="14" t="str">
        <f>IF(OR($C38="",$F38=""),"",IFERROR(INDEX(Productos!$I$5:$I$504,MATCH($C38,Productos!$A$5:$A$504,0)),0)+SUMIFS($F$5:$F38,$C$5:$C38,$C38,$B$5:$B38,"Entrada")-SUMIFS($F$5:$F38,$C$5:$C38,$C38,$B$5:$B38,"Salida"))</f>
        <v/>
      </c>
      <c r="J38" s="20"/>
      <c r="K38" s="20"/>
      <c r="L38" s="20"/>
      <c r="M38" s="14" t="str">
        <f>IF(AND($C38&lt;&gt;"",$C38=Kardex!$C$4),COUNTIF($C$5:$C38,Kardex!$C$4),"")</f>
        <v/>
      </c>
    </row>
    <row r="39" spans="1:13" x14ac:dyDescent="0.25">
      <c r="A39" s="24"/>
      <c r="B39" s="20"/>
      <c r="C39" s="20"/>
      <c r="D39" s="14" t="str">
        <f>IF($C39="","",IFERROR(INDEX(Productos!$B$5:$B$504,MATCH($C39,Productos!$A$5:$A$504,0)),"Clave no existe"))</f>
        <v/>
      </c>
      <c r="E39" s="14" t="str">
        <f>IF($C39="","",IFERROR(INDEX(Productos!$D$5:$D$504,MATCH($C39,Productos!$A$5:$A$504,0)),""))</f>
        <v/>
      </c>
      <c r="F39" s="20"/>
      <c r="G39" s="22" t="str">
        <f>IF($C39="","",IFERROR(INDEX(Productos!$F$5:$F$504,MATCH($C39,Productos!$A$5:$A$504,0)),0))</f>
        <v/>
      </c>
      <c r="H39" s="22" t="str">
        <f t="shared" si="0"/>
        <v/>
      </c>
      <c r="I39" s="14" t="str">
        <f>IF(OR($C39="",$F39=""),"",IFERROR(INDEX(Productos!$I$5:$I$504,MATCH($C39,Productos!$A$5:$A$504,0)),0)+SUMIFS($F$5:$F39,$C$5:$C39,$C39,$B$5:$B39,"Entrada")-SUMIFS($F$5:$F39,$C$5:$C39,$C39,$B$5:$B39,"Salida"))</f>
        <v/>
      </c>
      <c r="J39" s="20"/>
      <c r="K39" s="20"/>
      <c r="L39" s="20"/>
      <c r="M39" s="14" t="str">
        <f>IF(AND($C39&lt;&gt;"",$C39=Kardex!$C$4),COUNTIF($C$5:$C39,Kardex!$C$4),"")</f>
        <v/>
      </c>
    </row>
    <row r="40" spans="1:13" x14ac:dyDescent="0.25">
      <c r="A40" s="24"/>
      <c r="B40" s="20"/>
      <c r="C40" s="20"/>
      <c r="D40" s="14" t="str">
        <f>IF($C40="","",IFERROR(INDEX(Productos!$B$5:$B$504,MATCH($C40,Productos!$A$5:$A$504,0)),"Clave no existe"))</f>
        <v/>
      </c>
      <c r="E40" s="14" t="str">
        <f>IF($C40="","",IFERROR(INDEX(Productos!$D$5:$D$504,MATCH($C40,Productos!$A$5:$A$504,0)),""))</f>
        <v/>
      </c>
      <c r="F40" s="20"/>
      <c r="G40" s="22" t="str">
        <f>IF($C40="","",IFERROR(INDEX(Productos!$F$5:$F$504,MATCH($C40,Productos!$A$5:$A$504,0)),0))</f>
        <v/>
      </c>
      <c r="H40" s="22" t="str">
        <f t="shared" si="0"/>
        <v/>
      </c>
      <c r="I40" s="14" t="str">
        <f>IF(OR($C40="",$F40=""),"",IFERROR(INDEX(Productos!$I$5:$I$504,MATCH($C40,Productos!$A$5:$A$504,0)),0)+SUMIFS($F$5:$F40,$C$5:$C40,$C40,$B$5:$B40,"Entrada")-SUMIFS($F$5:$F40,$C$5:$C40,$C40,$B$5:$B40,"Salida"))</f>
        <v/>
      </c>
      <c r="J40" s="20"/>
      <c r="K40" s="20"/>
      <c r="L40" s="20"/>
      <c r="M40" s="14" t="str">
        <f>IF(AND($C40&lt;&gt;"",$C40=Kardex!$C$4),COUNTIF($C$5:$C40,Kardex!$C$4),"")</f>
        <v/>
      </c>
    </row>
    <row r="41" spans="1:13" x14ac:dyDescent="0.25">
      <c r="A41" s="24"/>
      <c r="B41" s="20"/>
      <c r="C41" s="20"/>
      <c r="D41" s="14" t="str">
        <f>IF($C41="","",IFERROR(INDEX(Productos!$B$5:$B$504,MATCH($C41,Productos!$A$5:$A$504,0)),"Clave no existe"))</f>
        <v/>
      </c>
      <c r="E41" s="14" t="str">
        <f>IF($C41="","",IFERROR(INDEX(Productos!$D$5:$D$504,MATCH($C41,Productos!$A$5:$A$504,0)),""))</f>
        <v/>
      </c>
      <c r="F41" s="20"/>
      <c r="G41" s="22" t="str">
        <f>IF($C41="","",IFERROR(INDEX(Productos!$F$5:$F$504,MATCH($C41,Productos!$A$5:$A$504,0)),0))</f>
        <v/>
      </c>
      <c r="H41" s="22" t="str">
        <f t="shared" si="0"/>
        <v/>
      </c>
      <c r="I41" s="14" t="str">
        <f>IF(OR($C41="",$F41=""),"",IFERROR(INDEX(Productos!$I$5:$I$504,MATCH($C41,Productos!$A$5:$A$504,0)),0)+SUMIFS($F$5:$F41,$C$5:$C41,$C41,$B$5:$B41,"Entrada")-SUMIFS($F$5:$F41,$C$5:$C41,$C41,$B$5:$B41,"Salida"))</f>
        <v/>
      </c>
      <c r="J41" s="20"/>
      <c r="K41" s="20"/>
      <c r="L41" s="20"/>
      <c r="M41" s="14" t="str">
        <f>IF(AND($C41&lt;&gt;"",$C41=Kardex!$C$4),COUNTIF($C$5:$C41,Kardex!$C$4),"")</f>
        <v/>
      </c>
    </row>
    <row r="42" spans="1:13" x14ac:dyDescent="0.25">
      <c r="A42" s="24"/>
      <c r="B42" s="20"/>
      <c r="C42" s="20"/>
      <c r="D42" s="14" t="str">
        <f>IF($C42="","",IFERROR(INDEX(Productos!$B$5:$B$504,MATCH($C42,Productos!$A$5:$A$504,0)),"Clave no existe"))</f>
        <v/>
      </c>
      <c r="E42" s="14" t="str">
        <f>IF($C42="","",IFERROR(INDEX(Productos!$D$5:$D$504,MATCH($C42,Productos!$A$5:$A$504,0)),""))</f>
        <v/>
      </c>
      <c r="F42" s="20"/>
      <c r="G42" s="22" t="str">
        <f>IF($C42="","",IFERROR(INDEX(Productos!$F$5:$F$504,MATCH($C42,Productos!$A$5:$A$504,0)),0))</f>
        <v/>
      </c>
      <c r="H42" s="22" t="str">
        <f t="shared" si="0"/>
        <v/>
      </c>
      <c r="I42" s="14" t="str">
        <f>IF(OR($C42="",$F42=""),"",IFERROR(INDEX(Productos!$I$5:$I$504,MATCH($C42,Productos!$A$5:$A$504,0)),0)+SUMIFS($F$5:$F42,$C$5:$C42,$C42,$B$5:$B42,"Entrada")-SUMIFS($F$5:$F42,$C$5:$C42,$C42,$B$5:$B42,"Salida"))</f>
        <v/>
      </c>
      <c r="J42" s="20"/>
      <c r="K42" s="20"/>
      <c r="L42" s="20"/>
      <c r="M42" s="14" t="str">
        <f>IF(AND($C42&lt;&gt;"",$C42=Kardex!$C$4),COUNTIF($C$5:$C42,Kardex!$C$4),"")</f>
        <v/>
      </c>
    </row>
    <row r="43" spans="1:13" x14ac:dyDescent="0.25">
      <c r="A43" s="24"/>
      <c r="B43" s="20"/>
      <c r="C43" s="20"/>
      <c r="D43" s="14" t="str">
        <f>IF($C43="","",IFERROR(INDEX(Productos!$B$5:$B$504,MATCH($C43,Productos!$A$5:$A$504,0)),"Clave no existe"))</f>
        <v/>
      </c>
      <c r="E43" s="14" t="str">
        <f>IF($C43="","",IFERROR(INDEX(Productos!$D$5:$D$504,MATCH($C43,Productos!$A$5:$A$504,0)),""))</f>
        <v/>
      </c>
      <c r="F43" s="20"/>
      <c r="G43" s="22" t="str">
        <f>IF($C43="","",IFERROR(INDEX(Productos!$F$5:$F$504,MATCH($C43,Productos!$A$5:$A$504,0)),0))</f>
        <v/>
      </c>
      <c r="H43" s="22" t="str">
        <f t="shared" si="0"/>
        <v/>
      </c>
      <c r="I43" s="14" t="str">
        <f>IF(OR($C43="",$F43=""),"",IFERROR(INDEX(Productos!$I$5:$I$504,MATCH($C43,Productos!$A$5:$A$504,0)),0)+SUMIFS($F$5:$F43,$C$5:$C43,$C43,$B$5:$B43,"Entrada")-SUMIFS($F$5:$F43,$C$5:$C43,$C43,$B$5:$B43,"Salida"))</f>
        <v/>
      </c>
      <c r="J43" s="20"/>
      <c r="K43" s="20"/>
      <c r="L43" s="20"/>
      <c r="M43" s="14" t="str">
        <f>IF(AND($C43&lt;&gt;"",$C43=Kardex!$C$4),COUNTIF($C$5:$C43,Kardex!$C$4),"")</f>
        <v/>
      </c>
    </row>
    <row r="44" spans="1:13" x14ac:dyDescent="0.25">
      <c r="A44" s="24"/>
      <c r="B44" s="20"/>
      <c r="C44" s="20"/>
      <c r="D44" s="14" t="str">
        <f>IF($C44="","",IFERROR(INDEX(Productos!$B$5:$B$504,MATCH($C44,Productos!$A$5:$A$504,0)),"Clave no existe"))</f>
        <v/>
      </c>
      <c r="E44" s="14" t="str">
        <f>IF($C44="","",IFERROR(INDEX(Productos!$D$5:$D$504,MATCH($C44,Productos!$A$5:$A$504,0)),""))</f>
        <v/>
      </c>
      <c r="F44" s="20"/>
      <c r="G44" s="22" t="str">
        <f>IF($C44="","",IFERROR(INDEX(Productos!$F$5:$F$504,MATCH($C44,Productos!$A$5:$A$504,0)),0))</f>
        <v/>
      </c>
      <c r="H44" s="22" t="str">
        <f t="shared" si="0"/>
        <v/>
      </c>
      <c r="I44" s="14" t="str">
        <f>IF(OR($C44="",$F44=""),"",IFERROR(INDEX(Productos!$I$5:$I$504,MATCH($C44,Productos!$A$5:$A$504,0)),0)+SUMIFS($F$5:$F44,$C$5:$C44,$C44,$B$5:$B44,"Entrada")-SUMIFS($F$5:$F44,$C$5:$C44,$C44,$B$5:$B44,"Salida"))</f>
        <v/>
      </c>
      <c r="J44" s="20"/>
      <c r="K44" s="20"/>
      <c r="L44" s="20"/>
      <c r="M44" s="14" t="str">
        <f>IF(AND($C44&lt;&gt;"",$C44=Kardex!$C$4),COUNTIF($C$5:$C44,Kardex!$C$4),"")</f>
        <v/>
      </c>
    </row>
    <row r="45" spans="1:13" x14ac:dyDescent="0.25">
      <c r="A45" s="24"/>
      <c r="B45" s="20"/>
      <c r="C45" s="20"/>
      <c r="D45" s="14" t="str">
        <f>IF($C45="","",IFERROR(INDEX(Productos!$B$5:$B$504,MATCH($C45,Productos!$A$5:$A$504,0)),"Clave no existe"))</f>
        <v/>
      </c>
      <c r="E45" s="14" t="str">
        <f>IF($C45="","",IFERROR(INDEX(Productos!$D$5:$D$504,MATCH($C45,Productos!$A$5:$A$504,0)),""))</f>
        <v/>
      </c>
      <c r="F45" s="20"/>
      <c r="G45" s="22" t="str">
        <f>IF($C45="","",IFERROR(INDEX(Productos!$F$5:$F$504,MATCH($C45,Productos!$A$5:$A$504,0)),0))</f>
        <v/>
      </c>
      <c r="H45" s="22" t="str">
        <f t="shared" si="0"/>
        <v/>
      </c>
      <c r="I45" s="14" t="str">
        <f>IF(OR($C45="",$F45=""),"",IFERROR(INDEX(Productos!$I$5:$I$504,MATCH($C45,Productos!$A$5:$A$504,0)),0)+SUMIFS($F$5:$F45,$C$5:$C45,$C45,$B$5:$B45,"Entrada")-SUMIFS($F$5:$F45,$C$5:$C45,$C45,$B$5:$B45,"Salida"))</f>
        <v/>
      </c>
      <c r="J45" s="20"/>
      <c r="K45" s="20"/>
      <c r="L45" s="20"/>
      <c r="M45" s="14" t="str">
        <f>IF(AND($C45&lt;&gt;"",$C45=Kardex!$C$4),COUNTIF($C$5:$C45,Kardex!$C$4),"")</f>
        <v/>
      </c>
    </row>
    <row r="46" spans="1:13" x14ac:dyDescent="0.25">
      <c r="A46" s="24"/>
      <c r="B46" s="20"/>
      <c r="C46" s="20"/>
      <c r="D46" s="14" t="str">
        <f>IF($C46="","",IFERROR(INDEX(Productos!$B$5:$B$504,MATCH($C46,Productos!$A$5:$A$504,0)),"Clave no existe"))</f>
        <v/>
      </c>
      <c r="E46" s="14" t="str">
        <f>IF($C46="","",IFERROR(INDEX(Productos!$D$5:$D$504,MATCH($C46,Productos!$A$5:$A$504,0)),""))</f>
        <v/>
      </c>
      <c r="F46" s="20"/>
      <c r="G46" s="22" t="str">
        <f>IF($C46="","",IFERROR(INDEX(Productos!$F$5:$F$504,MATCH($C46,Productos!$A$5:$A$504,0)),0))</f>
        <v/>
      </c>
      <c r="H46" s="22" t="str">
        <f t="shared" si="0"/>
        <v/>
      </c>
      <c r="I46" s="14" t="str">
        <f>IF(OR($C46="",$F46=""),"",IFERROR(INDEX(Productos!$I$5:$I$504,MATCH($C46,Productos!$A$5:$A$504,0)),0)+SUMIFS($F$5:$F46,$C$5:$C46,$C46,$B$5:$B46,"Entrada")-SUMIFS($F$5:$F46,$C$5:$C46,$C46,$B$5:$B46,"Salida"))</f>
        <v/>
      </c>
      <c r="J46" s="20"/>
      <c r="K46" s="20"/>
      <c r="L46" s="20"/>
      <c r="M46" s="14" t="str">
        <f>IF(AND($C46&lt;&gt;"",$C46=Kardex!$C$4),COUNTIF($C$5:$C46,Kardex!$C$4),"")</f>
        <v/>
      </c>
    </row>
    <row r="47" spans="1:13" x14ac:dyDescent="0.25">
      <c r="A47" s="24"/>
      <c r="B47" s="20"/>
      <c r="C47" s="20"/>
      <c r="D47" s="14" t="str">
        <f>IF($C47="","",IFERROR(INDEX(Productos!$B$5:$B$504,MATCH($C47,Productos!$A$5:$A$504,0)),"Clave no existe"))</f>
        <v/>
      </c>
      <c r="E47" s="14" t="str">
        <f>IF($C47="","",IFERROR(INDEX(Productos!$D$5:$D$504,MATCH($C47,Productos!$A$5:$A$504,0)),""))</f>
        <v/>
      </c>
      <c r="F47" s="20"/>
      <c r="G47" s="22" t="str">
        <f>IF($C47="","",IFERROR(INDEX(Productos!$F$5:$F$504,MATCH($C47,Productos!$A$5:$A$504,0)),0))</f>
        <v/>
      </c>
      <c r="H47" s="22" t="str">
        <f t="shared" si="0"/>
        <v/>
      </c>
      <c r="I47" s="14" t="str">
        <f>IF(OR($C47="",$F47=""),"",IFERROR(INDEX(Productos!$I$5:$I$504,MATCH($C47,Productos!$A$5:$A$504,0)),0)+SUMIFS($F$5:$F47,$C$5:$C47,$C47,$B$5:$B47,"Entrada")-SUMIFS($F$5:$F47,$C$5:$C47,$C47,$B$5:$B47,"Salida"))</f>
        <v/>
      </c>
      <c r="J47" s="20"/>
      <c r="K47" s="20"/>
      <c r="L47" s="20"/>
      <c r="M47" s="14" t="str">
        <f>IF(AND($C47&lt;&gt;"",$C47=Kardex!$C$4),COUNTIF($C$5:$C47,Kardex!$C$4),"")</f>
        <v/>
      </c>
    </row>
    <row r="48" spans="1:13" x14ac:dyDescent="0.25">
      <c r="A48" s="24"/>
      <c r="B48" s="20"/>
      <c r="C48" s="20"/>
      <c r="D48" s="14" t="str">
        <f>IF($C48="","",IFERROR(INDEX(Productos!$B$5:$B$504,MATCH($C48,Productos!$A$5:$A$504,0)),"Clave no existe"))</f>
        <v/>
      </c>
      <c r="E48" s="14" t="str">
        <f>IF($C48="","",IFERROR(INDEX(Productos!$D$5:$D$504,MATCH($C48,Productos!$A$5:$A$504,0)),""))</f>
        <v/>
      </c>
      <c r="F48" s="20"/>
      <c r="G48" s="22" t="str">
        <f>IF($C48="","",IFERROR(INDEX(Productos!$F$5:$F$504,MATCH($C48,Productos!$A$5:$A$504,0)),0))</f>
        <v/>
      </c>
      <c r="H48" s="22" t="str">
        <f t="shared" si="0"/>
        <v/>
      </c>
      <c r="I48" s="14" t="str">
        <f>IF(OR($C48="",$F48=""),"",IFERROR(INDEX(Productos!$I$5:$I$504,MATCH($C48,Productos!$A$5:$A$504,0)),0)+SUMIFS($F$5:$F48,$C$5:$C48,$C48,$B$5:$B48,"Entrada")-SUMIFS($F$5:$F48,$C$5:$C48,$C48,$B$5:$B48,"Salida"))</f>
        <v/>
      </c>
      <c r="J48" s="20"/>
      <c r="K48" s="20"/>
      <c r="L48" s="20"/>
      <c r="M48" s="14" t="str">
        <f>IF(AND($C48&lt;&gt;"",$C48=Kardex!$C$4),COUNTIF($C$5:$C48,Kardex!$C$4),"")</f>
        <v/>
      </c>
    </row>
    <row r="49" spans="1:13" x14ac:dyDescent="0.25">
      <c r="A49" s="24"/>
      <c r="B49" s="20"/>
      <c r="C49" s="20"/>
      <c r="D49" s="14" t="str">
        <f>IF($C49="","",IFERROR(INDEX(Productos!$B$5:$B$504,MATCH($C49,Productos!$A$5:$A$504,0)),"Clave no existe"))</f>
        <v/>
      </c>
      <c r="E49" s="14" t="str">
        <f>IF($C49="","",IFERROR(INDEX(Productos!$D$5:$D$504,MATCH($C49,Productos!$A$5:$A$504,0)),""))</f>
        <v/>
      </c>
      <c r="F49" s="20"/>
      <c r="G49" s="22" t="str">
        <f>IF($C49="","",IFERROR(INDEX(Productos!$F$5:$F$504,MATCH($C49,Productos!$A$5:$A$504,0)),0))</f>
        <v/>
      </c>
      <c r="H49" s="22" t="str">
        <f t="shared" si="0"/>
        <v/>
      </c>
      <c r="I49" s="14" t="str">
        <f>IF(OR($C49="",$F49=""),"",IFERROR(INDEX(Productos!$I$5:$I$504,MATCH($C49,Productos!$A$5:$A$504,0)),0)+SUMIFS($F$5:$F49,$C$5:$C49,$C49,$B$5:$B49,"Entrada")-SUMIFS($F$5:$F49,$C$5:$C49,$C49,$B$5:$B49,"Salida"))</f>
        <v/>
      </c>
      <c r="J49" s="20"/>
      <c r="K49" s="20"/>
      <c r="L49" s="20"/>
      <c r="M49" s="14" t="str">
        <f>IF(AND($C49&lt;&gt;"",$C49=Kardex!$C$4),COUNTIF($C$5:$C49,Kardex!$C$4),"")</f>
        <v/>
      </c>
    </row>
    <row r="50" spans="1:13" x14ac:dyDescent="0.25">
      <c r="A50" s="24"/>
      <c r="B50" s="20"/>
      <c r="C50" s="20"/>
      <c r="D50" s="14" t="str">
        <f>IF($C50="","",IFERROR(INDEX(Productos!$B$5:$B$504,MATCH($C50,Productos!$A$5:$A$504,0)),"Clave no existe"))</f>
        <v/>
      </c>
      <c r="E50" s="14" t="str">
        <f>IF($C50="","",IFERROR(INDEX(Productos!$D$5:$D$504,MATCH($C50,Productos!$A$5:$A$504,0)),""))</f>
        <v/>
      </c>
      <c r="F50" s="20"/>
      <c r="G50" s="22" t="str">
        <f>IF($C50="","",IFERROR(INDEX(Productos!$F$5:$F$504,MATCH($C50,Productos!$A$5:$A$504,0)),0))</f>
        <v/>
      </c>
      <c r="H50" s="22" t="str">
        <f t="shared" si="0"/>
        <v/>
      </c>
      <c r="I50" s="14" t="str">
        <f>IF(OR($C50="",$F50=""),"",IFERROR(INDEX(Productos!$I$5:$I$504,MATCH($C50,Productos!$A$5:$A$504,0)),0)+SUMIFS($F$5:$F50,$C$5:$C50,$C50,$B$5:$B50,"Entrada")-SUMIFS($F$5:$F50,$C$5:$C50,$C50,$B$5:$B50,"Salida"))</f>
        <v/>
      </c>
      <c r="J50" s="20"/>
      <c r="K50" s="20"/>
      <c r="L50" s="20"/>
      <c r="M50" s="14" t="str">
        <f>IF(AND($C50&lt;&gt;"",$C50=Kardex!$C$4),COUNTIF($C$5:$C50,Kardex!$C$4),"")</f>
        <v/>
      </c>
    </row>
    <row r="51" spans="1:13" x14ac:dyDescent="0.25">
      <c r="A51" s="24"/>
      <c r="B51" s="20"/>
      <c r="C51" s="20"/>
      <c r="D51" s="14" t="str">
        <f>IF($C51="","",IFERROR(INDEX(Productos!$B$5:$B$504,MATCH($C51,Productos!$A$5:$A$504,0)),"Clave no existe"))</f>
        <v/>
      </c>
      <c r="E51" s="14" t="str">
        <f>IF($C51="","",IFERROR(INDEX(Productos!$D$5:$D$504,MATCH($C51,Productos!$A$5:$A$504,0)),""))</f>
        <v/>
      </c>
      <c r="F51" s="20"/>
      <c r="G51" s="22" t="str">
        <f>IF($C51="","",IFERROR(INDEX(Productos!$F$5:$F$504,MATCH($C51,Productos!$A$5:$A$504,0)),0))</f>
        <v/>
      </c>
      <c r="H51" s="22" t="str">
        <f t="shared" si="0"/>
        <v/>
      </c>
      <c r="I51" s="14" t="str">
        <f>IF(OR($C51="",$F51=""),"",IFERROR(INDEX(Productos!$I$5:$I$504,MATCH($C51,Productos!$A$5:$A$504,0)),0)+SUMIFS($F$5:$F51,$C$5:$C51,$C51,$B$5:$B51,"Entrada")-SUMIFS($F$5:$F51,$C$5:$C51,$C51,$B$5:$B51,"Salida"))</f>
        <v/>
      </c>
      <c r="J51" s="20"/>
      <c r="K51" s="20"/>
      <c r="L51" s="20"/>
      <c r="M51" s="14" t="str">
        <f>IF(AND($C51&lt;&gt;"",$C51=Kardex!$C$4),COUNTIF($C$5:$C51,Kardex!$C$4),"")</f>
        <v/>
      </c>
    </row>
    <row r="52" spans="1:13" x14ac:dyDescent="0.25">
      <c r="A52" s="24"/>
      <c r="B52" s="20"/>
      <c r="C52" s="20"/>
      <c r="D52" s="14" t="str">
        <f>IF($C52="","",IFERROR(INDEX(Productos!$B$5:$B$504,MATCH($C52,Productos!$A$5:$A$504,0)),"Clave no existe"))</f>
        <v/>
      </c>
      <c r="E52" s="14" t="str">
        <f>IF($C52="","",IFERROR(INDEX(Productos!$D$5:$D$504,MATCH($C52,Productos!$A$5:$A$504,0)),""))</f>
        <v/>
      </c>
      <c r="F52" s="20"/>
      <c r="G52" s="22" t="str">
        <f>IF($C52="","",IFERROR(INDEX(Productos!$F$5:$F$504,MATCH($C52,Productos!$A$5:$A$504,0)),0))</f>
        <v/>
      </c>
      <c r="H52" s="22" t="str">
        <f t="shared" si="0"/>
        <v/>
      </c>
      <c r="I52" s="14" t="str">
        <f>IF(OR($C52="",$F52=""),"",IFERROR(INDEX(Productos!$I$5:$I$504,MATCH($C52,Productos!$A$5:$A$504,0)),0)+SUMIFS($F$5:$F52,$C$5:$C52,$C52,$B$5:$B52,"Entrada")-SUMIFS($F$5:$F52,$C$5:$C52,$C52,$B$5:$B52,"Salida"))</f>
        <v/>
      </c>
      <c r="J52" s="20"/>
      <c r="K52" s="20"/>
      <c r="L52" s="20"/>
      <c r="M52" s="14" t="str">
        <f>IF(AND($C52&lt;&gt;"",$C52=Kardex!$C$4),COUNTIF($C$5:$C52,Kardex!$C$4),"")</f>
        <v/>
      </c>
    </row>
    <row r="53" spans="1:13" x14ac:dyDescent="0.25">
      <c r="A53" s="24"/>
      <c r="B53" s="20"/>
      <c r="C53" s="20"/>
      <c r="D53" s="14" t="str">
        <f>IF($C53="","",IFERROR(INDEX(Productos!$B$5:$B$504,MATCH($C53,Productos!$A$5:$A$504,0)),"Clave no existe"))</f>
        <v/>
      </c>
      <c r="E53" s="14" t="str">
        <f>IF($C53="","",IFERROR(INDEX(Productos!$D$5:$D$504,MATCH($C53,Productos!$A$5:$A$504,0)),""))</f>
        <v/>
      </c>
      <c r="F53" s="20"/>
      <c r="G53" s="22" t="str">
        <f>IF($C53="","",IFERROR(INDEX(Productos!$F$5:$F$504,MATCH($C53,Productos!$A$5:$A$504,0)),0))</f>
        <v/>
      </c>
      <c r="H53" s="22" t="str">
        <f t="shared" si="0"/>
        <v/>
      </c>
      <c r="I53" s="14" t="str">
        <f>IF(OR($C53="",$F53=""),"",IFERROR(INDEX(Productos!$I$5:$I$504,MATCH($C53,Productos!$A$5:$A$504,0)),0)+SUMIFS($F$5:$F53,$C$5:$C53,$C53,$B$5:$B53,"Entrada")-SUMIFS($F$5:$F53,$C$5:$C53,$C53,$B$5:$B53,"Salida"))</f>
        <v/>
      </c>
      <c r="J53" s="20"/>
      <c r="K53" s="20"/>
      <c r="L53" s="20"/>
      <c r="M53" s="14" t="str">
        <f>IF(AND($C53&lt;&gt;"",$C53=Kardex!$C$4),COUNTIF($C$5:$C53,Kardex!$C$4),"")</f>
        <v/>
      </c>
    </row>
    <row r="54" spans="1:13" x14ac:dyDescent="0.25">
      <c r="A54" s="24"/>
      <c r="B54" s="20"/>
      <c r="C54" s="20"/>
      <c r="D54" s="14" t="str">
        <f>IF($C54="","",IFERROR(INDEX(Productos!$B$5:$B$504,MATCH($C54,Productos!$A$5:$A$504,0)),"Clave no existe"))</f>
        <v/>
      </c>
      <c r="E54" s="14" t="str">
        <f>IF($C54="","",IFERROR(INDEX(Productos!$D$5:$D$504,MATCH($C54,Productos!$A$5:$A$504,0)),""))</f>
        <v/>
      </c>
      <c r="F54" s="20"/>
      <c r="G54" s="22" t="str">
        <f>IF($C54="","",IFERROR(INDEX(Productos!$F$5:$F$504,MATCH($C54,Productos!$A$5:$A$504,0)),0))</f>
        <v/>
      </c>
      <c r="H54" s="22" t="str">
        <f t="shared" si="0"/>
        <v/>
      </c>
      <c r="I54" s="14" t="str">
        <f>IF(OR($C54="",$F54=""),"",IFERROR(INDEX(Productos!$I$5:$I$504,MATCH($C54,Productos!$A$5:$A$504,0)),0)+SUMIFS($F$5:$F54,$C$5:$C54,$C54,$B$5:$B54,"Entrada")-SUMIFS($F$5:$F54,$C$5:$C54,$C54,$B$5:$B54,"Salida"))</f>
        <v/>
      </c>
      <c r="J54" s="20"/>
      <c r="K54" s="20"/>
      <c r="L54" s="20"/>
      <c r="M54" s="14" t="str">
        <f>IF(AND($C54&lt;&gt;"",$C54=Kardex!$C$4),COUNTIF($C$5:$C54,Kardex!$C$4),"")</f>
        <v/>
      </c>
    </row>
    <row r="55" spans="1:13" x14ac:dyDescent="0.25">
      <c r="A55" s="24"/>
      <c r="B55" s="20"/>
      <c r="C55" s="20"/>
      <c r="D55" s="14" t="str">
        <f>IF($C55="","",IFERROR(INDEX(Productos!$B$5:$B$504,MATCH($C55,Productos!$A$5:$A$504,0)),"Clave no existe"))</f>
        <v/>
      </c>
      <c r="E55" s="14" t="str">
        <f>IF($C55="","",IFERROR(INDEX(Productos!$D$5:$D$504,MATCH($C55,Productos!$A$5:$A$504,0)),""))</f>
        <v/>
      </c>
      <c r="F55" s="20"/>
      <c r="G55" s="22" t="str">
        <f>IF($C55="","",IFERROR(INDEX(Productos!$F$5:$F$504,MATCH($C55,Productos!$A$5:$A$504,0)),0))</f>
        <v/>
      </c>
      <c r="H55" s="22" t="str">
        <f t="shared" si="0"/>
        <v/>
      </c>
      <c r="I55" s="14" t="str">
        <f>IF(OR($C55="",$F55=""),"",IFERROR(INDEX(Productos!$I$5:$I$504,MATCH($C55,Productos!$A$5:$A$504,0)),0)+SUMIFS($F$5:$F55,$C$5:$C55,$C55,$B$5:$B55,"Entrada")-SUMIFS($F$5:$F55,$C$5:$C55,$C55,$B$5:$B55,"Salida"))</f>
        <v/>
      </c>
      <c r="J55" s="20"/>
      <c r="K55" s="20"/>
      <c r="L55" s="20"/>
      <c r="M55" s="14" t="str">
        <f>IF(AND($C55&lt;&gt;"",$C55=Kardex!$C$4),COUNTIF($C$5:$C55,Kardex!$C$4),"")</f>
        <v/>
      </c>
    </row>
    <row r="56" spans="1:13" x14ac:dyDescent="0.25">
      <c r="A56" s="24"/>
      <c r="B56" s="20"/>
      <c r="C56" s="20"/>
      <c r="D56" s="14" t="str">
        <f>IF($C56="","",IFERROR(INDEX(Productos!$B$5:$B$504,MATCH($C56,Productos!$A$5:$A$504,0)),"Clave no existe"))</f>
        <v/>
      </c>
      <c r="E56" s="14" t="str">
        <f>IF($C56="","",IFERROR(INDEX(Productos!$D$5:$D$504,MATCH($C56,Productos!$A$5:$A$504,0)),""))</f>
        <v/>
      </c>
      <c r="F56" s="20"/>
      <c r="G56" s="22" t="str">
        <f>IF($C56="","",IFERROR(INDEX(Productos!$F$5:$F$504,MATCH($C56,Productos!$A$5:$A$504,0)),0))</f>
        <v/>
      </c>
      <c r="H56" s="22" t="str">
        <f t="shared" si="0"/>
        <v/>
      </c>
      <c r="I56" s="14" t="str">
        <f>IF(OR($C56="",$F56=""),"",IFERROR(INDEX(Productos!$I$5:$I$504,MATCH($C56,Productos!$A$5:$A$504,0)),0)+SUMIFS($F$5:$F56,$C$5:$C56,$C56,$B$5:$B56,"Entrada")-SUMIFS($F$5:$F56,$C$5:$C56,$C56,$B$5:$B56,"Salida"))</f>
        <v/>
      </c>
      <c r="J56" s="20"/>
      <c r="K56" s="20"/>
      <c r="L56" s="20"/>
      <c r="M56" s="14" t="str">
        <f>IF(AND($C56&lt;&gt;"",$C56=Kardex!$C$4),COUNTIF($C$5:$C56,Kardex!$C$4),"")</f>
        <v/>
      </c>
    </row>
    <row r="57" spans="1:13" x14ac:dyDescent="0.25">
      <c r="A57" s="24"/>
      <c r="B57" s="20"/>
      <c r="C57" s="20"/>
      <c r="D57" s="14" t="str">
        <f>IF($C57="","",IFERROR(INDEX(Productos!$B$5:$B$504,MATCH($C57,Productos!$A$5:$A$504,0)),"Clave no existe"))</f>
        <v/>
      </c>
      <c r="E57" s="14" t="str">
        <f>IF($C57="","",IFERROR(INDEX(Productos!$D$5:$D$504,MATCH($C57,Productos!$A$5:$A$504,0)),""))</f>
        <v/>
      </c>
      <c r="F57" s="20"/>
      <c r="G57" s="22" t="str">
        <f>IF($C57="","",IFERROR(INDEX(Productos!$F$5:$F$504,MATCH($C57,Productos!$A$5:$A$504,0)),0))</f>
        <v/>
      </c>
      <c r="H57" s="22" t="str">
        <f t="shared" si="0"/>
        <v/>
      </c>
      <c r="I57" s="14" t="str">
        <f>IF(OR($C57="",$F57=""),"",IFERROR(INDEX(Productos!$I$5:$I$504,MATCH($C57,Productos!$A$5:$A$504,0)),0)+SUMIFS($F$5:$F57,$C$5:$C57,$C57,$B$5:$B57,"Entrada")-SUMIFS($F$5:$F57,$C$5:$C57,$C57,$B$5:$B57,"Salida"))</f>
        <v/>
      </c>
      <c r="J57" s="20"/>
      <c r="K57" s="20"/>
      <c r="L57" s="20"/>
      <c r="M57" s="14" t="str">
        <f>IF(AND($C57&lt;&gt;"",$C57=Kardex!$C$4),COUNTIF($C$5:$C57,Kardex!$C$4),"")</f>
        <v/>
      </c>
    </row>
    <row r="58" spans="1:13" x14ac:dyDescent="0.25">
      <c r="A58" s="24"/>
      <c r="B58" s="20"/>
      <c r="C58" s="20"/>
      <c r="D58" s="14" t="str">
        <f>IF($C58="","",IFERROR(INDEX(Productos!$B$5:$B$504,MATCH($C58,Productos!$A$5:$A$504,0)),"Clave no existe"))</f>
        <v/>
      </c>
      <c r="E58" s="14" t="str">
        <f>IF($C58="","",IFERROR(INDEX(Productos!$D$5:$D$504,MATCH($C58,Productos!$A$5:$A$504,0)),""))</f>
        <v/>
      </c>
      <c r="F58" s="20"/>
      <c r="G58" s="22" t="str">
        <f>IF($C58="","",IFERROR(INDEX(Productos!$F$5:$F$504,MATCH($C58,Productos!$A$5:$A$504,0)),0))</f>
        <v/>
      </c>
      <c r="H58" s="22" t="str">
        <f t="shared" si="0"/>
        <v/>
      </c>
      <c r="I58" s="14" t="str">
        <f>IF(OR($C58="",$F58=""),"",IFERROR(INDEX(Productos!$I$5:$I$504,MATCH($C58,Productos!$A$5:$A$504,0)),0)+SUMIFS($F$5:$F58,$C$5:$C58,$C58,$B$5:$B58,"Entrada")-SUMIFS($F$5:$F58,$C$5:$C58,$C58,$B$5:$B58,"Salida"))</f>
        <v/>
      </c>
      <c r="J58" s="20"/>
      <c r="K58" s="20"/>
      <c r="L58" s="20"/>
      <c r="M58" s="14" t="str">
        <f>IF(AND($C58&lt;&gt;"",$C58=Kardex!$C$4),COUNTIF($C$5:$C58,Kardex!$C$4),"")</f>
        <v/>
      </c>
    </row>
    <row r="59" spans="1:13" x14ac:dyDescent="0.25">
      <c r="A59" s="24"/>
      <c r="B59" s="20"/>
      <c r="C59" s="20"/>
      <c r="D59" s="14" t="str">
        <f>IF($C59="","",IFERROR(INDEX(Productos!$B$5:$B$504,MATCH($C59,Productos!$A$5:$A$504,0)),"Clave no existe"))</f>
        <v/>
      </c>
      <c r="E59" s="14" t="str">
        <f>IF($C59="","",IFERROR(INDEX(Productos!$D$5:$D$504,MATCH($C59,Productos!$A$5:$A$504,0)),""))</f>
        <v/>
      </c>
      <c r="F59" s="20"/>
      <c r="G59" s="22" t="str">
        <f>IF($C59="","",IFERROR(INDEX(Productos!$F$5:$F$504,MATCH($C59,Productos!$A$5:$A$504,0)),0))</f>
        <v/>
      </c>
      <c r="H59" s="22" t="str">
        <f t="shared" si="0"/>
        <v/>
      </c>
      <c r="I59" s="14" t="str">
        <f>IF(OR($C59="",$F59=""),"",IFERROR(INDEX(Productos!$I$5:$I$504,MATCH($C59,Productos!$A$5:$A$504,0)),0)+SUMIFS($F$5:$F59,$C$5:$C59,$C59,$B$5:$B59,"Entrada")-SUMIFS($F$5:$F59,$C$5:$C59,$C59,$B$5:$B59,"Salida"))</f>
        <v/>
      </c>
      <c r="J59" s="20"/>
      <c r="K59" s="20"/>
      <c r="L59" s="20"/>
      <c r="M59" s="14" t="str">
        <f>IF(AND($C59&lt;&gt;"",$C59=Kardex!$C$4),COUNTIF($C$5:$C59,Kardex!$C$4),"")</f>
        <v/>
      </c>
    </row>
    <row r="60" spans="1:13" x14ac:dyDescent="0.25">
      <c r="A60" s="24"/>
      <c r="B60" s="20"/>
      <c r="C60" s="20"/>
      <c r="D60" s="14" t="str">
        <f>IF($C60="","",IFERROR(INDEX(Productos!$B$5:$B$504,MATCH($C60,Productos!$A$5:$A$504,0)),"Clave no existe"))</f>
        <v/>
      </c>
      <c r="E60" s="14" t="str">
        <f>IF($C60="","",IFERROR(INDEX(Productos!$D$5:$D$504,MATCH($C60,Productos!$A$5:$A$504,0)),""))</f>
        <v/>
      </c>
      <c r="F60" s="20"/>
      <c r="G60" s="22" t="str">
        <f>IF($C60="","",IFERROR(INDEX(Productos!$F$5:$F$504,MATCH($C60,Productos!$A$5:$A$504,0)),0))</f>
        <v/>
      </c>
      <c r="H60" s="22" t="str">
        <f t="shared" si="0"/>
        <v/>
      </c>
      <c r="I60" s="14" t="str">
        <f>IF(OR($C60="",$F60=""),"",IFERROR(INDEX(Productos!$I$5:$I$504,MATCH($C60,Productos!$A$5:$A$504,0)),0)+SUMIFS($F$5:$F60,$C$5:$C60,$C60,$B$5:$B60,"Entrada")-SUMIFS($F$5:$F60,$C$5:$C60,$C60,$B$5:$B60,"Salida"))</f>
        <v/>
      </c>
      <c r="J60" s="20"/>
      <c r="K60" s="20"/>
      <c r="L60" s="20"/>
      <c r="M60" s="14" t="str">
        <f>IF(AND($C60&lt;&gt;"",$C60=Kardex!$C$4),COUNTIF($C$5:$C60,Kardex!$C$4),"")</f>
        <v/>
      </c>
    </row>
    <row r="61" spans="1:13" x14ac:dyDescent="0.25">
      <c r="A61" s="24"/>
      <c r="B61" s="20"/>
      <c r="C61" s="20"/>
      <c r="D61" s="14" t="str">
        <f>IF($C61="","",IFERROR(INDEX(Productos!$B$5:$B$504,MATCH($C61,Productos!$A$5:$A$504,0)),"Clave no existe"))</f>
        <v/>
      </c>
      <c r="E61" s="14" t="str">
        <f>IF($C61="","",IFERROR(INDEX(Productos!$D$5:$D$504,MATCH($C61,Productos!$A$5:$A$504,0)),""))</f>
        <v/>
      </c>
      <c r="F61" s="20"/>
      <c r="G61" s="22" t="str">
        <f>IF($C61="","",IFERROR(INDEX(Productos!$F$5:$F$504,MATCH($C61,Productos!$A$5:$A$504,0)),0))</f>
        <v/>
      </c>
      <c r="H61" s="22" t="str">
        <f t="shared" si="0"/>
        <v/>
      </c>
      <c r="I61" s="14" t="str">
        <f>IF(OR($C61="",$F61=""),"",IFERROR(INDEX(Productos!$I$5:$I$504,MATCH($C61,Productos!$A$5:$A$504,0)),0)+SUMIFS($F$5:$F61,$C$5:$C61,$C61,$B$5:$B61,"Entrada")-SUMIFS($F$5:$F61,$C$5:$C61,$C61,$B$5:$B61,"Salida"))</f>
        <v/>
      </c>
      <c r="J61" s="20"/>
      <c r="K61" s="20"/>
      <c r="L61" s="20"/>
      <c r="M61" s="14" t="str">
        <f>IF(AND($C61&lt;&gt;"",$C61=Kardex!$C$4),COUNTIF($C$5:$C61,Kardex!$C$4),"")</f>
        <v/>
      </c>
    </row>
    <row r="62" spans="1:13" x14ac:dyDescent="0.25">
      <c r="A62" s="24"/>
      <c r="B62" s="20"/>
      <c r="C62" s="20"/>
      <c r="D62" s="14" t="str">
        <f>IF($C62="","",IFERROR(INDEX(Productos!$B$5:$B$504,MATCH($C62,Productos!$A$5:$A$504,0)),"Clave no existe"))</f>
        <v/>
      </c>
      <c r="E62" s="14" t="str">
        <f>IF($C62="","",IFERROR(INDEX(Productos!$D$5:$D$504,MATCH($C62,Productos!$A$5:$A$504,0)),""))</f>
        <v/>
      </c>
      <c r="F62" s="20"/>
      <c r="G62" s="22" t="str">
        <f>IF($C62="","",IFERROR(INDEX(Productos!$F$5:$F$504,MATCH($C62,Productos!$A$5:$A$504,0)),0))</f>
        <v/>
      </c>
      <c r="H62" s="22" t="str">
        <f t="shared" si="0"/>
        <v/>
      </c>
      <c r="I62" s="14" t="str">
        <f>IF(OR($C62="",$F62=""),"",IFERROR(INDEX(Productos!$I$5:$I$504,MATCH($C62,Productos!$A$5:$A$504,0)),0)+SUMIFS($F$5:$F62,$C$5:$C62,$C62,$B$5:$B62,"Entrada")-SUMIFS($F$5:$F62,$C$5:$C62,$C62,$B$5:$B62,"Salida"))</f>
        <v/>
      </c>
      <c r="J62" s="20"/>
      <c r="K62" s="20"/>
      <c r="L62" s="20"/>
      <c r="M62" s="14" t="str">
        <f>IF(AND($C62&lt;&gt;"",$C62=Kardex!$C$4),COUNTIF($C$5:$C62,Kardex!$C$4),"")</f>
        <v/>
      </c>
    </row>
    <row r="63" spans="1:13" x14ac:dyDescent="0.25">
      <c r="A63" s="24"/>
      <c r="B63" s="20"/>
      <c r="C63" s="20"/>
      <c r="D63" s="14" t="str">
        <f>IF($C63="","",IFERROR(INDEX(Productos!$B$5:$B$504,MATCH($C63,Productos!$A$5:$A$504,0)),"Clave no existe"))</f>
        <v/>
      </c>
      <c r="E63" s="14" t="str">
        <f>IF($C63="","",IFERROR(INDEX(Productos!$D$5:$D$504,MATCH($C63,Productos!$A$5:$A$504,0)),""))</f>
        <v/>
      </c>
      <c r="F63" s="20"/>
      <c r="G63" s="22" t="str">
        <f>IF($C63="","",IFERROR(INDEX(Productos!$F$5:$F$504,MATCH($C63,Productos!$A$5:$A$504,0)),0))</f>
        <v/>
      </c>
      <c r="H63" s="22" t="str">
        <f t="shared" si="0"/>
        <v/>
      </c>
      <c r="I63" s="14" t="str">
        <f>IF(OR($C63="",$F63=""),"",IFERROR(INDEX(Productos!$I$5:$I$504,MATCH($C63,Productos!$A$5:$A$504,0)),0)+SUMIFS($F$5:$F63,$C$5:$C63,$C63,$B$5:$B63,"Entrada")-SUMIFS($F$5:$F63,$C$5:$C63,$C63,$B$5:$B63,"Salida"))</f>
        <v/>
      </c>
      <c r="J63" s="20"/>
      <c r="K63" s="20"/>
      <c r="L63" s="20"/>
      <c r="M63" s="14" t="str">
        <f>IF(AND($C63&lt;&gt;"",$C63=Kardex!$C$4),COUNTIF($C$5:$C63,Kardex!$C$4),"")</f>
        <v/>
      </c>
    </row>
    <row r="64" spans="1:13" x14ac:dyDescent="0.25">
      <c r="A64" s="24"/>
      <c r="B64" s="20"/>
      <c r="C64" s="20"/>
      <c r="D64" s="14" t="str">
        <f>IF($C64="","",IFERROR(INDEX(Productos!$B$5:$B$504,MATCH($C64,Productos!$A$5:$A$504,0)),"Clave no existe"))</f>
        <v/>
      </c>
      <c r="E64" s="14" t="str">
        <f>IF($C64="","",IFERROR(INDEX(Productos!$D$5:$D$504,MATCH($C64,Productos!$A$5:$A$504,0)),""))</f>
        <v/>
      </c>
      <c r="F64" s="20"/>
      <c r="G64" s="22" t="str">
        <f>IF($C64="","",IFERROR(INDEX(Productos!$F$5:$F$504,MATCH($C64,Productos!$A$5:$A$504,0)),0))</f>
        <v/>
      </c>
      <c r="H64" s="22" t="str">
        <f t="shared" si="0"/>
        <v/>
      </c>
      <c r="I64" s="14" t="str">
        <f>IF(OR($C64="",$F64=""),"",IFERROR(INDEX(Productos!$I$5:$I$504,MATCH($C64,Productos!$A$5:$A$504,0)),0)+SUMIFS($F$5:$F64,$C$5:$C64,$C64,$B$5:$B64,"Entrada")-SUMIFS($F$5:$F64,$C$5:$C64,$C64,$B$5:$B64,"Salida"))</f>
        <v/>
      </c>
      <c r="J64" s="20"/>
      <c r="K64" s="20"/>
      <c r="L64" s="20"/>
      <c r="M64" s="14" t="str">
        <f>IF(AND($C64&lt;&gt;"",$C64=Kardex!$C$4),COUNTIF($C$5:$C64,Kardex!$C$4),"")</f>
        <v/>
      </c>
    </row>
    <row r="65" spans="1:13" x14ac:dyDescent="0.25">
      <c r="A65" s="24"/>
      <c r="B65" s="20"/>
      <c r="C65" s="20"/>
      <c r="D65" s="14" t="str">
        <f>IF($C65="","",IFERROR(INDEX(Productos!$B$5:$B$504,MATCH($C65,Productos!$A$5:$A$504,0)),"Clave no existe"))</f>
        <v/>
      </c>
      <c r="E65" s="14" t="str">
        <f>IF($C65="","",IFERROR(INDEX(Productos!$D$5:$D$504,MATCH($C65,Productos!$A$5:$A$504,0)),""))</f>
        <v/>
      </c>
      <c r="F65" s="20"/>
      <c r="G65" s="22" t="str">
        <f>IF($C65="","",IFERROR(INDEX(Productos!$F$5:$F$504,MATCH($C65,Productos!$A$5:$A$504,0)),0))</f>
        <v/>
      </c>
      <c r="H65" s="22" t="str">
        <f t="shared" si="0"/>
        <v/>
      </c>
      <c r="I65" s="14" t="str">
        <f>IF(OR($C65="",$F65=""),"",IFERROR(INDEX(Productos!$I$5:$I$504,MATCH($C65,Productos!$A$5:$A$504,0)),0)+SUMIFS($F$5:$F65,$C$5:$C65,$C65,$B$5:$B65,"Entrada")-SUMIFS($F$5:$F65,$C$5:$C65,$C65,$B$5:$B65,"Salida"))</f>
        <v/>
      </c>
      <c r="J65" s="20"/>
      <c r="K65" s="20"/>
      <c r="L65" s="20"/>
      <c r="M65" s="14" t="str">
        <f>IF(AND($C65&lt;&gt;"",$C65=Kardex!$C$4),COUNTIF($C$5:$C65,Kardex!$C$4),"")</f>
        <v/>
      </c>
    </row>
    <row r="66" spans="1:13" x14ac:dyDescent="0.25">
      <c r="A66" s="24"/>
      <c r="B66" s="20"/>
      <c r="C66" s="20"/>
      <c r="D66" s="14" t="str">
        <f>IF($C66="","",IFERROR(INDEX(Productos!$B$5:$B$504,MATCH($C66,Productos!$A$5:$A$504,0)),"Clave no existe"))</f>
        <v/>
      </c>
      <c r="E66" s="14" t="str">
        <f>IF($C66="","",IFERROR(INDEX(Productos!$D$5:$D$504,MATCH($C66,Productos!$A$5:$A$504,0)),""))</f>
        <v/>
      </c>
      <c r="F66" s="20"/>
      <c r="G66" s="22" t="str">
        <f>IF($C66="","",IFERROR(INDEX(Productos!$F$5:$F$504,MATCH($C66,Productos!$A$5:$A$504,0)),0))</f>
        <v/>
      </c>
      <c r="H66" s="22" t="str">
        <f t="shared" si="0"/>
        <v/>
      </c>
      <c r="I66" s="14" t="str">
        <f>IF(OR($C66="",$F66=""),"",IFERROR(INDEX(Productos!$I$5:$I$504,MATCH($C66,Productos!$A$5:$A$504,0)),0)+SUMIFS($F$5:$F66,$C$5:$C66,$C66,$B$5:$B66,"Entrada")-SUMIFS($F$5:$F66,$C$5:$C66,$C66,$B$5:$B66,"Salida"))</f>
        <v/>
      </c>
      <c r="J66" s="20"/>
      <c r="K66" s="20"/>
      <c r="L66" s="20"/>
      <c r="M66" s="14" t="str">
        <f>IF(AND($C66&lt;&gt;"",$C66=Kardex!$C$4),COUNTIF($C$5:$C66,Kardex!$C$4),"")</f>
        <v/>
      </c>
    </row>
    <row r="67" spans="1:13" x14ac:dyDescent="0.25">
      <c r="A67" s="24"/>
      <c r="B67" s="20"/>
      <c r="C67" s="20"/>
      <c r="D67" s="14" t="str">
        <f>IF($C67="","",IFERROR(INDEX(Productos!$B$5:$B$504,MATCH($C67,Productos!$A$5:$A$504,0)),"Clave no existe"))</f>
        <v/>
      </c>
      <c r="E67" s="14" t="str">
        <f>IF($C67="","",IFERROR(INDEX(Productos!$D$5:$D$504,MATCH($C67,Productos!$A$5:$A$504,0)),""))</f>
        <v/>
      </c>
      <c r="F67" s="20"/>
      <c r="G67" s="22" t="str">
        <f>IF($C67="","",IFERROR(INDEX(Productos!$F$5:$F$504,MATCH($C67,Productos!$A$5:$A$504,0)),0))</f>
        <v/>
      </c>
      <c r="H67" s="22" t="str">
        <f t="shared" si="0"/>
        <v/>
      </c>
      <c r="I67" s="14" t="str">
        <f>IF(OR($C67="",$F67=""),"",IFERROR(INDEX(Productos!$I$5:$I$504,MATCH($C67,Productos!$A$5:$A$504,0)),0)+SUMIFS($F$5:$F67,$C$5:$C67,$C67,$B$5:$B67,"Entrada")-SUMIFS($F$5:$F67,$C$5:$C67,$C67,$B$5:$B67,"Salida"))</f>
        <v/>
      </c>
      <c r="J67" s="20"/>
      <c r="K67" s="20"/>
      <c r="L67" s="20"/>
      <c r="M67" s="14" t="str">
        <f>IF(AND($C67&lt;&gt;"",$C67=Kardex!$C$4),COUNTIF($C$5:$C67,Kardex!$C$4),"")</f>
        <v/>
      </c>
    </row>
    <row r="68" spans="1:13" x14ac:dyDescent="0.25">
      <c r="A68" s="24"/>
      <c r="B68" s="20"/>
      <c r="C68" s="20"/>
      <c r="D68" s="14" t="str">
        <f>IF($C68="","",IFERROR(INDEX(Productos!$B$5:$B$504,MATCH($C68,Productos!$A$5:$A$504,0)),"Clave no existe"))</f>
        <v/>
      </c>
      <c r="E68" s="14" t="str">
        <f>IF($C68="","",IFERROR(INDEX(Productos!$D$5:$D$504,MATCH($C68,Productos!$A$5:$A$504,0)),""))</f>
        <v/>
      </c>
      <c r="F68" s="20"/>
      <c r="G68" s="22" t="str">
        <f>IF($C68="","",IFERROR(INDEX(Productos!$F$5:$F$504,MATCH($C68,Productos!$A$5:$A$504,0)),0))</f>
        <v/>
      </c>
      <c r="H68" s="22" t="str">
        <f t="shared" si="0"/>
        <v/>
      </c>
      <c r="I68" s="14" t="str">
        <f>IF(OR($C68="",$F68=""),"",IFERROR(INDEX(Productos!$I$5:$I$504,MATCH($C68,Productos!$A$5:$A$504,0)),0)+SUMIFS($F$5:$F68,$C$5:$C68,$C68,$B$5:$B68,"Entrada")-SUMIFS($F$5:$F68,$C$5:$C68,$C68,$B$5:$B68,"Salida"))</f>
        <v/>
      </c>
      <c r="J68" s="20"/>
      <c r="K68" s="20"/>
      <c r="L68" s="20"/>
      <c r="M68" s="14" t="str">
        <f>IF(AND($C68&lt;&gt;"",$C68=Kardex!$C$4),COUNTIF($C$5:$C68,Kardex!$C$4),"")</f>
        <v/>
      </c>
    </row>
    <row r="69" spans="1:13" x14ac:dyDescent="0.25">
      <c r="A69" s="24"/>
      <c r="B69" s="20"/>
      <c r="C69" s="20"/>
      <c r="D69" s="14" t="str">
        <f>IF($C69="","",IFERROR(INDEX(Productos!$B$5:$B$504,MATCH($C69,Productos!$A$5:$A$504,0)),"Clave no existe"))</f>
        <v/>
      </c>
      <c r="E69" s="14" t="str">
        <f>IF($C69="","",IFERROR(INDEX(Productos!$D$5:$D$504,MATCH($C69,Productos!$A$5:$A$504,0)),""))</f>
        <v/>
      </c>
      <c r="F69" s="20"/>
      <c r="G69" s="22" t="str">
        <f>IF($C69="","",IFERROR(INDEX(Productos!$F$5:$F$504,MATCH($C69,Productos!$A$5:$A$504,0)),0))</f>
        <v/>
      </c>
      <c r="H69" s="22" t="str">
        <f t="shared" ref="H69:H132" si="1">IF(OR($C69="",$F69=""),"",F69*G69)</f>
        <v/>
      </c>
      <c r="I69" s="14" t="str">
        <f>IF(OR($C69="",$F69=""),"",IFERROR(INDEX(Productos!$I$5:$I$504,MATCH($C69,Productos!$A$5:$A$504,0)),0)+SUMIFS($F$5:$F69,$C$5:$C69,$C69,$B$5:$B69,"Entrada")-SUMIFS($F$5:$F69,$C$5:$C69,$C69,$B$5:$B69,"Salida"))</f>
        <v/>
      </c>
      <c r="J69" s="20"/>
      <c r="K69" s="20"/>
      <c r="L69" s="20"/>
      <c r="M69" s="14" t="str">
        <f>IF(AND($C69&lt;&gt;"",$C69=Kardex!$C$4),COUNTIF($C$5:$C69,Kardex!$C$4),"")</f>
        <v/>
      </c>
    </row>
    <row r="70" spans="1:13" x14ac:dyDescent="0.25">
      <c r="A70" s="24"/>
      <c r="B70" s="20"/>
      <c r="C70" s="20"/>
      <c r="D70" s="14" t="str">
        <f>IF($C70="","",IFERROR(INDEX(Productos!$B$5:$B$504,MATCH($C70,Productos!$A$5:$A$504,0)),"Clave no existe"))</f>
        <v/>
      </c>
      <c r="E70" s="14" t="str">
        <f>IF($C70="","",IFERROR(INDEX(Productos!$D$5:$D$504,MATCH($C70,Productos!$A$5:$A$504,0)),""))</f>
        <v/>
      </c>
      <c r="F70" s="20"/>
      <c r="G70" s="22" t="str">
        <f>IF($C70="","",IFERROR(INDEX(Productos!$F$5:$F$504,MATCH($C70,Productos!$A$5:$A$504,0)),0))</f>
        <v/>
      </c>
      <c r="H70" s="22" t="str">
        <f t="shared" si="1"/>
        <v/>
      </c>
      <c r="I70" s="14" t="str">
        <f>IF(OR($C70="",$F70=""),"",IFERROR(INDEX(Productos!$I$5:$I$504,MATCH($C70,Productos!$A$5:$A$504,0)),0)+SUMIFS($F$5:$F70,$C$5:$C70,$C70,$B$5:$B70,"Entrada")-SUMIFS($F$5:$F70,$C$5:$C70,$C70,$B$5:$B70,"Salida"))</f>
        <v/>
      </c>
      <c r="J70" s="20"/>
      <c r="K70" s="20"/>
      <c r="L70" s="20"/>
      <c r="M70" s="14" t="str">
        <f>IF(AND($C70&lt;&gt;"",$C70=Kardex!$C$4),COUNTIF($C$5:$C70,Kardex!$C$4),"")</f>
        <v/>
      </c>
    </row>
    <row r="71" spans="1:13" x14ac:dyDescent="0.25">
      <c r="A71" s="24"/>
      <c r="B71" s="20"/>
      <c r="C71" s="20"/>
      <c r="D71" s="14" t="str">
        <f>IF($C71="","",IFERROR(INDEX(Productos!$B$5:$B$504,MATCH($C71,Productos!$A$5:$A$504,0)),"Clave no existe"))</f>
        <v/>
      </c>
      <c r="E71" s="14" t="str">
        <f>IF($C71="","",IFERROR(INDEX(Productos!$D$5:$D$504,MATCH($C71,Productos!$A$5:$A$504,0)),""))</f>
        <v/>
      </c>
      <c r="F71" s="20"/>
      <c r="G71" s="22" t="str">
        <f>IF($C71="","",IFERROR(INDEX(Productos!$F$5:$F$504,MATCH($C71,Productos!$A$5:$A$504,0)),0))</f>
        <v/>
      </c>
      <c r="H71" s="22" t="str">
        <f t="shared" si="1"/>
        <v/>
      </c>
      <c r="I71" s="14" t="str">
        <f>IF(OR($C71="",$F71=""),"",IFERROR(INDEX(Productos!$I$5:$I$504,MATCH($C71,Productos!$A$5:$A$504,0)),0)+SUMIFS($F$5:$F71,$C$5:$C71,$C71,$B$5:$B71,"Entrada")-SUMIFS($F$5:$F71,$C$5:$C71,$C71,$B$5:$B71,"Salida"))</f>
        <v/>
      </c>
      <c r="J71" s="20"/>
      <c r="K71" s="20"/>
      <c r="L71" s="20"/>
      <c r="M71" s="14" t="str">
        <f>IF(AND($C71&lt;&gt;"",$C71=Kardex!$C$4),COUNTIF($C$5:$C71,Kardex!$C$4),"")</f>
        <v/>
      </c>
    </row>
    <row r="72" spans="1:13" x14ac:dyDescent="0.25">
      <c r="A72" s="24"/>
      <c r="B72" s="20"/>
      <c r="C72" s="20"/>
      <c r="D72" s="14" t="str">
        <f>IF($C72="","",IFERROR(INDEX(Productos!$B$5:$B$504,MATCH($C72,Productos!$A$5:$A$504,0)),"Clave no existe"))</f>
        <v/>
      </c>
      <c r="E72" s="14" t="str">
        <f>IF($C72="","",IFERROR(INDEX(Productos!$D$5:$D$504,MATCH($C72,Productos!$A$5:$A$504,0)),""))</f>
        <v/>
      </c>
      <c r="F72" s="20"/>
      <c r="G72" s="22" t="str">
        <f>IF($C72="","",IFERROR(INDEX(Productos!$F$5:$F$504,MATCH($C72,Productos!$A$5:$A$504,0)),0))</f>
        <v/>
      </c>
      <c r="H72" s="22" t="str">
        <f t="shared" si="1"/>
        <v/>
      </c>
      <c r="I72" s="14" t="str">
        <f>IF(OR($C72="",$F72=""),"",IFERROR(INDEX(Productos!$I$5:$I$504,MATCH($C72,Productos!$A$5:$A$504,0)),0)+SUMIFS($F$5:$F72,$C$5:$C72,$C72,$B$5:$B72,"Entrada")-SUMIFS($F$5:$F72,$C$5:$C72,$C72,$B$5:$B72,"Salida"))</f>
        <v/>
      </c>
      <c r="J72" s="20"/>
      <c r="K72" s="20"/>
      <c r="L72" s="20"/>
      <c r="M72" s="14" t="str">
        <f>IF(AND($C72&lt;&gt;"",$C72=Kardex!$C$4),COUNTIF($C$5:$C72,Kardex!$C$4),"")</f>
        <v/>
      </c>
    </row>
    <row r="73" spans="1:13" x14ac:dyDescent="0.25">
      <c r="A73" s="24"/>
      <c r="B73" s="20"/>
      <c r="C73" s="20"/>
      <c r="D73" s="14" t="str">
        <f>IF($C73="","",IFERROR(INDEX(Productos!$B$5:$B$504,MATCH($C73,Productos!$A$5:$A$504,0)),"Clave no existe"))</f>
        <v/>
      </c>
      <c r="E73" s="14" t="str">
        <f>IF($C73="","",IFERROR(INDEX(Productos!$D$5:$D$504,MATCH($C73,Productos!$A$5:$A$504,0)),""))</f>
        <v/>
      </c>
      <c r="F73" s="20"/>
      <c r="G73" s="22" t="str">
        <f>IF($C73="","",IFERROR(INDEX(Productos!$F$5:$F$504,MATCH($C73,Productos!$A$5:$A$504,0)),0))</f>
        <v/>
      </c>
      <c r="H73" s="22" t="str">
        <f t="shared" si="1"/>
        <v/>
      </c>
      <c r="I73" s="14" t="str">
        <f>IF(OR($C73="",$F73=""),"",IFERROR(INDEX(Productos!$I$5:$I$504,MATCH($C73,Productos!$A$5:$A$504,0)),0)+SUMIFS($F$5:$F73,$C$5:$C73,$C73,$B$5:$B73,"Entrada")-SUMIFS($F$5:$F73,$C$5:$C73,$C73,$B$5:$B73,"Salida"))</f>
        <v/>
      </c>
      <c r="J73" s="20"/>
      <c r="K73" s="20"/>
      <c r="L73" s="20"/>
      <c r="M73" s="14" t="str">
        <f>IF(AND($C73&lt;&gt;"",$C73=Kardex!$C$4),COUNTIF($C$5:$C73,Kardex!$C$4),"")</f>
        <v/>
      </c>
    </row>
    <row r="74" spans="1:13" x14ac:dyDescent="0.25">
      <c r="A74" s="24"/>
      <c r="B74" s="20"/>
      <c r="C74" s="20"/>
      <c r="D74" s="14" t="str">
        <f>IF($C74="","",IFERROR(INDEX(Productos!$B$5:$B$504,MATCH($C74,Productos!$A$5:$A$504,0)),"Clave no existe"))</f>
        <v/>
      </c>
      <c r="E74" s="14" t="str">
        <f>IF($C74="","",IFERROR(INDEX(Productos!$D$5:$D$504,MATCH($C74,Productos!$A$5:$A$504,0)),""))</f>
        <v/>
      </c>
      <c r="F74" s="20"/>
      <c r="G74" s="22" t="str">
        <f>IF($C74="","",IFERROR(INDEX(Productos!$F$5:$F$504,MATCH($C74,Productos!$A$5:$A$504,0)),0))</f>
        <v/>
      </c>
      <c r="H74" s="22" t="str">
        <f t="shared" si="1"/>
        <v/>
      </c>
      <c r="I74" s="14" t="str">
        <f>IF(OR($C74="",$F74=""),"",IFERROR(INDEX(Productos!$I$5:$I$504,MATCH($C74,Productos!$A$5:$A$504,0)),0)+SUMIFS($F$5:$F74,$C$5:$C74,$C74,$B$5:$B74,"Entrada")-SUMIFS($F$5:$F74,$C$5:$C74,$C74,$B$5:$B74,"Salida"))</f>
        <v/>
      </c>
      <c r="J74" s="20"/>
      <c r="K74" s="20"/>
      <c r="L74" s="20"/>
      <c r="M74" s="14" t="str">
        <f>IF(AND($C74&lt;&gt;"",$C74=Kardex!$C$4),COUNTIF($C$5:$C74,Kardex!$C$4),"")</f>
        <v/>
      </c>
    </row>
    <row r="75" spans="1:13" x14ac:dyDescent="0.25">
      <c r="A75" s="24"/>
      <c r="B75" s="20"/>
      <c r="C75" s="20"/>
      <c r="D75" s="14" t="str">
        <f>IF($C75="","",IFERROR(INDEX(Productos!$B$5:$B$504,MATCH($C75,Productos!$A$5:$A$504,0)),"Clave no existe"))</f>
        <v/>
      </c>
      <c r="E75" s="14" t="str">
        <f>IF($C75="","",IFERROR(INDEX(Productos!$D$5:$D$504,MATCH($C75,Productos!$A$5:$A$504,0)),""))</f>
        <v/>
      </c>
      <c r="F75" s="20"/>
      <c r="G75" s="22" t="str">
        <f>IF($C75="","",IFERROR(INDEX(Productos!$F$5:$F$504,MATCH($C75,Productos!$A$5:$A$504,0)),0))</f>
        <v/>
      </c>
      <c r="H75" s="22" t="str">
        <f t="shared" si="1"/>
        <v/>
      </c>
      <c r="I75" s="14" t="str">
        <f>IF(OR($C75="",$F75=""),"",IFERROR(INDEX(Productos!$I$5:$I$504,MATCH($C75,Productos!$A$5:$A$504,0)),0)+SUMIFS($F$5:$F75,$C$5:$C75,$C75,$B$5:$B75,"Entrada")-SUMIFS($F$5:$F75,$C$5:$C75,$C75,$B$5:$B75,"Salida"))</f>
        <v/>
      </c>
      <c r="J75" s="20"/>
      <c r="K75" s="20"/>
      <c r="L75" s="20"/>
      <c r="M75" s="14" t="str">
        <f>IF(AND($C75&lt;&gt;"",$C75=Kardex!$C$4),COUNTIF($C$5:$C75,Kardex!$C$4),"")</f>
        <v/>
      </c>
    </row>
    <row r="76" spans="1:13" x14ac:dyDescent="0.25">
      <c r="A76" s="24"/>
      <c r="B76" s="20"/>
      <c r="C76" s="20"/>
      <c r="D76" s="14" t="str">
        <f>IF($C76="","",IFERROR(INDEX(Productos!$B$5:$B$504,MATCH($C76,Productos!$A$5:$A$504,0)),"Clave no existe"))</f>
        <v/>
      </c>
      <c r="E76" s="14" t="str">
        <f>IF($C76="","",IFERROR(INDEX(Productos!$D$5:$D$504,MATCH($C76,Productos!$A$5:$A$504,0)),""))</f>
        <v/>
      </c>
      <c r="F76" s="20"/>
      <c r="G76" s="22" t="str">
        <f>IF($C76="","",IFERROR(INDEX(Productos!$F$5:$F$504,MATCH($C76,Productos!$A$5:$A$504,0)),0))</f>
        <v/>
      </c>
      <c r="H76" s="22" t="str">
        <f t="shared" si="1"/>
        <v/>
      </c>
      <c r="I76" s="14" t="str">
        <f>IF(OR($C76="",$F76=""),"",IFERROR(INDEX(Productos!$I$5:$I$504,MATCH($C76,Productos!$A$5:$A$504,0)),0)+SUMIFS($F$5:$F76,$C$5:$C76,$C76,$B$5:$B76,"Entrada")-SUMIFS($F$5:$F76,$C$5:$C76,$C76,$B$5:$B76,"Salida"))</f>
        <v/>
      </c>
      <c r="J76" s="20"/>
      <c r="K76" s="20"/>
      <c r="L76" s="20"/>
      <c r="M76" s="14" t="str">
        <f>IF(AND($C76&lt;&gt;"",$C76=Kardex!$C$4),COUNTIF($C$5:$C76,Kardex!$C$4),"")</f>
        <v/>
      </c>
    </row>
    <row r="77" spans="1:13" x14ac:dyDescent="0.25">
      <c r="A77" s="24"/>
      <c r="B77" s="20"/>
      <c r="C77" s="20"/>
      <c r="D77" s="14" t="str">
        <f>IF($C77="","",IFERROR(INDEX(Productos!$B$5:$B$504,MATCH($C77,Productos!$A$5:$A$504,0)),"Clave no existe"))</f>
        <v/>
      </c>
      <c r="E77" s="14" t="str">
        <f>IF($C77="","",IFERROR(INDEX(Productos!$D$5:$D$504,MATCH($C77,Productos!$A$5:$A$504,0)),""))</f>
        <v/>
      </c>
      <c r="F77" s="20"/>
      <c r="G77" s="22" t="str">
        <f>IF($C77="","",IFERROR(INDEX(Productos!$F$5:$F$504,MATCH($C77,Productos!$A$5:$A$504,0)),0))</f>
        <v/>
      </c>
      <c r="H77" s="22" t="str">
        <f t="shared" si="1"/>
        <v/>
      </c>
      <c r="I77" s="14" t="str">
        <f>IF(OR($C77="",$F77=""),"",IFERROR(INDEX(Productos!$I$5:$I$504,MATCH($C77,Productos!$A$5:$A$504,0)),0)+SUMIFS($F$5:$F77,$C$5:$C77,$C77,$B$5:$B77,"Entrada")-SUMIFS($F$5:$F77,$C$5:$C77,$C77,$B$5:$B77,"Salida"))</f>
        <v/>
      </c>
      <c r="J77" s="20"/>
      <c r="K77" s="20"/>
      <c r="L77" s="20"/>
      <c r="M77" s="14" t="str">
        <f>IF(AND($C77&lt;&gt;"",$C77=Kardex!$C$4),COUNTIF($C$5:$C77,Kardex!$C$4),"")</f>
        <v/>
      </c>
    </row>
    <row r="78" spans="1:13" x14ac:dyDescent="0.25">
      <c r="A78" s="24"/>
      <c r="B78" s="20"/>
      <c r="C78" s="20"/>
      <c r="D78" s="14" t="str">
        <f>IF($C78="","",IFERROR(INDEX(Productos!$B$5:$B$504,MATCH($C78,Productos!$A$5:$A$504,0)),"Clave no existe"))</f>
        <v/>
      </c>
      <c r="E78" s="14" t="str">
        <f>IF($C78="","",IFERROR(INDEX(Productos!$D$5:$D$504,MATCH($C78,Productos!$A$5:$A$504,0)),""))</f>
        <v/>
      </c>
      <c r="F78" s="20"/>
      <c r="G78" s="22" t="str">
        <f>IF($C78="","",IFERROR(INDEX(Productos!$F$5:$F$504,MATCH($C78,Productos!$A$5:$A$504,0)),0))</f>
        <v/>
      </c>
      <c r="H78" s="22" t="str">
        <f t="shared" si="1"/>
        <v/>
      </c>
      <c r="I78" s="14" t="str">
        <f>IF(OR($C78="",$F78=""),"",IFERROR(INDEX(Productos!$I$5:$I$504,MATCH($C78,Productos!$A$5:$A$504,0)),0)+SUMIFS($F$5:$F78,$C$5:$C78,$C78,$B$5:$B78,"Entrada")-SUMIFS($F$5:$F78,$C$5:$C78,$C78,$B$5:$B78,"Salida"))</f>
        <v/>
      </c>
      <c r="J78" s="20"/>
      <c r="K78" s="20"/>
      <c r="L78" s="20"/>
      <c r="M78" s="14" t="str">
        <f>IF(AND($C78&lt;&gt;"",$C78=Kardex!$C$4),COUNTIF($C$5:$C78,Kardex!$C$4),"")</f>
        <v/>
      </c>
    </row>
    <row r="79" spans="1:13" x14ac:dyDescent="0.25">
      <c r="A79" s="24"/>
      <c r="B79" s="20"/>
      <c r="C79" s="20"/>
      <c r="D79" s="14" t="str">
        <f>IF($C79="","",IFERROR(INDEX(Productos!$B$5:$B$504,MATCH($C79,Productos!$A$5:$A$504,0)),"Clave no existe"))</f>
        <v/>
      </c>
      <c r="E79" s="14" t="str">
        <f>IF($C79="","",IFERROR(INDEX(Productos!$D$5:$D$504,MATCH($C79,Productos!$A$5:$A$504,0)),""))</f>
        <v/>
      </c>
      <c r="F79" s="20"/>
      <c r="G79" s="22" t="str">
        <f>IF($C79="","",IFERROR(INDEX(Productos!$F$5:$F$504,MATCH($C79,Productos!$A$5:$A$504,0)),0))</f>
        <v/>
      </c>
      <c r="H79" s="22" t="str">
        <f t="shared" si="1"/>
        <v/>
      </c>
      <c r="I79" s="14" t="str">
        <f>IF(OR($C79="",$F79=""),"",IFERROR(INDEX(Productos!$I$5:$I$504,MATCH($C79,Productos!$A$5:$A$504,0)),0)+SUMIFS($F$5:$F79,$C$5:$C79,$C79,$B$5:$B79,"Entrada")-SUMIFS($F$5:$F79,$C$5:$C79,$C79,$B$5:$B79,"Salida"))</f>
        <v/>
      </c>
      <c r="J79" s="20"/>
      <c r="K79" s="20"/>
      <c r="L79" s="20"/>
      <c r="M79" s="14" t="str">
        <f>IF(AND($C79&lt;&gt;"",$C79=Kardex!$C$4),COUNTIF($C$5:$C79,Kardex!$C$4),"")</f>
        <v/>
      </c>
    </row>
    <row r="80" spans="1:13" x14ac:dyDescent="0.25">
      <c r="A80" s="24"/>
      <c r="B80" s="20"/>
      <c r="C80" s="20"/>
      <c r="D80" s="14" t="str">
        <f>IF($C80="","",IFERROR(INDEX(Productos!$B$5:$B$504,MATCH($C80,Productos!$A$5:$A$504,0)),"Clave no existe"))</f>
        <v/>
      </c>
      <c r="E80" s="14" t="str">
        <f>IF($C80="","",IFERROR(INDEX(Productos!$D$5:$D$504,MATCH($C80,Productos!$A$5:$A$504,0)),""))</f>
        <v/>
      </c>
      <c r="F80" s="20"/>
      <c r="G80" s="22" t="str">
        <f>IF($C80="","",IFERROR(INDEX(Productos!$F$5:$F$504,MATCH($C80,Productos!$A$5:$A$504,0)),0))</f>
        <v/>
      </c>
      <c r="H80" s="22" t="str">
        <f t="shared" si="1"/>
        <v/>
      </c>
      <c r="I80" s="14" t="str">
        <f>IF(OR($C80="",$F80=""),"",IFERROR(INDEX(Productos!$I$5:$I$504,MATCH($C80,Productos!$A$5:$A$504,0)),0)+SUMIFS($F$5:$F80,$C$5:$C80,$C80,$B$5:$B80,"Entrada")-SUMIFS($F$5:$F80,$C$5:$C80,$C80,$B$5:$B80,"Salida"))</f>
        <v/>
      </c>
      <c r="J80" s="20"/>
      <c r="K80" s="20"/>
      <c r="L80" s="20"/>
      <c r="M80" s="14" t="str">
        <f>IF(AND($C80&lt;&gt;"",$C80=Kardex!$C$4),COUNTIF($C$5:$C80,Kardex!$C$4),"")</f>
        <v/>
      </c>
    </row>
    <row r="81" spans="1:13" x14ac:dyDescent="0.25">
      <c r="A81" s="24"/>
      <c r="B81" s="20"/>
      <c r="C81" s="20"/>
      <c r="D81" s="14" t="str">
        <f>IF($C81="","",IFERROR(INDEX(Productos!$B$5:$B$504,MATCH($C81,Productos!$A$5:$A$504,0)),"Clave no existe"))</f>
        <v/>
      </c>
      <c r="E81" s="14" t="str">
        <f>IF($C81="","",IFERROR(INDEX(Productos!$D$5:$D$504,MATCH($C81,Productos!$A$5:$A$504,0)),""))</f>
        <v/>
      </c>
      <c r="F81" s="20"/>
      <c r="G81" s="22" t="str">
        <f>IF($C81="","",IFERROR(INDEX(Productos!$F$5:$F$504,MATCH($C81,Productos!$A$5:$A$504,0)),0))</f>
        <v/>
      </c>
      <c r="H81" s="22" t="str">
        <f t="shared" si="1"/>
        <v/>
      </c>
      <c r="I81" s="14" t="str">
        <f>IF(OR($C81="",$F81=""),"",IFERROR(INDEX(Productos!$I$5:$I$504,MATCH($C81,Productos!$A$5:$A$504,0)),0)+SUMIFS($F$5:$F81,$C$5:$C81,$C81,$B$5:$B81,"Entrada")-SUMIFS($F$5:$F81,$C$5:$C81,$C81,$B$5:$B81,"Salida"))</f>
        <v/>
      </c>
      <c r="J81" s="20"/>
      <c r="K81" s="20"/>
      <c r="L81" s="20"/>
      <c r="M81" s="14" t="str">
        <f>IF(AND($C81&lt;&gt;"",$C81=Kardex!$C$4),COUNTIF($C$5:$C81,Kardex!$C$4),"")</f>
        <v/>
      </c>
    </row>
    <row r="82" spans="1:13" x14ac:dyDescent="0.25">
      <c r="A82" s="24"/>
      <c r="B82" s="20"/>
      <c r="C82" s="20"/>
      <c r="D82" s="14" t="str">
        <f>IF($C82="","",IFERROR(INDEX(Productos!$B$5:$B$504,MATCH($C82,Productos!$A$5:$A$504,0)),"Clave no existe"))</f>
        <v/>
      </c>
      <c r="E82" s="14" t="str">
        <f>IF($C82="","",IFERROR(INDEX(Productos!$D$5:$D$504,MATCH($C82,Productos!$A$5:$A$504,0)),""))</f>
        <v/>
      </c>
      <c r="F82" s="20"/>
      <c r="G82" s="22" t="str">
        <f>IF($C82="","",IFERROR(INDEX(Productos!$F$5:$F$504,MATCH($C82,Productos!$A$5:$A$504,0)),0))</f>
        <v/>
      </c>
      <c r="H82" s="22" t="str">
        <f t="shared" si="1"/>
        <v/>
      </c>
      <c r="I82" s="14" t="str">
        <f>IF(OR($C82="",$F82=""),"",IFERROR(INDEX(Productos!$I$5:$I$504,MATCH($C82,Productos!$A$5:$A$504,0)),0)+SUMIFS($F$5:$F82,$C$5:$C82,$C82,$B$5:$B82,"Entrada")-SUMIFS($F$5:$F82,$C$5:$C82,$C82,$B$5:$B82,"Salida"))</f>
        <v/>
      </c>
      <c r="J82" s="20"/>
      <c r="K82" s="20"/>
      <c r="L82" s="20"/>
      <c r="M82" s="14" t="str">
        <f>IF(AND($C82&lt;&gt;"",$C82=Kardex!$C$4),COUNTIF($C$5:$C82,Kardex!$C$4),"")</f>
        <v/>
      </c>
    </row>
    <row r="83" spans="1:13" x14ac:dyDescent="0.25">
      <c r="A83" s="24"/>
      <c r="B83" s="20"/>
      <c r="C83" s="20"/>
      <c r="D83" s="14" t="str">
        <f>IF($C83="","",IFERROR(INDEX(Productos!$B$5:$B$504,MATCH($C83,Productos!$A$5:$A$504,0)),"Clave no existe"))</f>
        <v/>
      </c>
      <c r="E83" s="14" t="str">
        <f>IF($C83="","",IFERROR(INDEX(Productos!$D$5:$D$504,MATCH($C83,Productos!$A$5:$A$504,0)),""))</f>
        <v/>
      </c>
      <c r="F83" s="20"/>
      <c r="G83" s="22" t="str">
        <f>IF($C83="","",IFERROR(INDEX(Productos!$F$5:$F$504,MATCH($C83,Productos!$A$5:$A$504,0)),0))</f>
        <v/>
      </c>
      <c r="H83" s="22" t="str">
        <f t="shared" si="1"/>
        <v/>
      </c>
      <c r="I83" s="14" t="str">
        <f>IF(OR($C83="",$F83=""),"",IFERROR(INDEX(Productos!$I$5:$I$504,MATCH($C83,Productos!$A$5:$A$504,0)),0)+SUMIFS($F$5:$F83,$C$5:$C83,$C83,$B$5:$B83,"Entrada")-SUMIFS($F$5:$F83,$C$5:$C83,$C83,$B$5:$B83,"Salida"))</f>
        <v/>
      </c>
      <c r="J83" s="20"/>
      <c r="K83" s="20"/>
      <c r="L83" s="20"/>
      <c r="M83" s="14" t="str">
        <f>IF(AND($C83&lt;&gt;"",$C83=Kardex!$C$4),COUNTIF($C$5:$C83,Kardex!$C$4),"")</f>
        <v/>
      </c>
    </row>
    <row r="84" spans="1:13" x14ac:dyDescent="0.25">
      <c r="A84" s="24"/>
      <c r="B84" s="20"/>
      <c r="C84" s="20"/>
      <c r="D84" s="14" t="str">
        <f>IF($C84="","",IFERROR(INDEX(Productos!$B$5:$B$504,MATCH($C84,Productos!$A$5:$A$504,0)),"Clave no existe"))</f>
        <v/>
      </c>
      <c r="E84" s="14" t="str">
        <f>IF($C84="","",IFERROR(INDEX(Productos!$D$5:$D$504,MATCH($C84,Productos!$A$5:$A$504,0)),""))</f>
        <v/>
      </c>
      <c r="F84" s="20"/>
      <c r="G84" s="22" t="str">
        <f>IF($C84="","",IFERROR(INDEX(Productos!$F$5:$F$504,MATCH($C84,Productos!$A$5:$A$504,0)),0))</f>
        <v/>
      </c>
      <c r="H84" s="22" t="str">
        <f t="shared" si="1"/>
        <v/>
      </c>
      <c r="I84" s="14" t="str">
        <f>IF(OR($C84="",$F84=""),"",IFERROR(INDEX(Productos!$I$5:$I$504,MATCH($C84,Productos!$A$5:$A$504,0)),0)+SUMIFS($F$5:$F84,$C$5:$C84,$C84,$B$5:$B84,"Entrada")-SUMIFS($F$5:$F84,$C$5:$C84,$C84,$B$5:$B84,"Salida"))</f>
        <v/>
      </c>
      <c r="J84" s="20"/>
      <c r="K84" s="20"/>
      <c r="L84" s="20"/>
      <c r="M84" s="14" t="str">
        <f>IF(AND($C84&lt;&gt;"",$C84=Kardex!$C$4),COUNTIF($C$5:$C84,Kardex!$C$4),"")</f>
        <v/>
      </c>
    </row>
    <row r="85" spans="1:13" x14ac:dyDescent="0.25">
      <c r="A85" s="24"/>
      <c r="B85" s="20"/>
      <c r="C85" s="20"/>
      <c r="D85" s="14" t="str">
        <f>IF($C85="","",IFERROR(INDEX(Productos!$B$5:$B$504,MATCH($C85,Productos!$A$5:$A$504,0)),"Clave no existe"))</f>
        <v/>
      </c>
      <c r="E85" s="14" t="str">
        <f>IF($C85="","",IFERROR(INDEX(Productos!$D$5:$D$504,MATCH($C85,Productos!$A$5:$A$504,0)),""))</f>
        <v/>
      </c>
      <c r="F85" s="20"/>
      <c r="G85" s="22" t="str">
        <f>IF($C85="","",IFERROR(INDEX(Productos!$F$5:$F$504,MATCH($C85,Productos!$A$5:$A$504,0)),0))</f>
        <v/>
      </c>
      <c r="H85" s="22" t="str">
        <f t="shared" si="1"/>
        <v/>
      </c>
      <c r="I85" s="14" t="str">
        <f>IF(OR($C85="",$F85=""),"",IFERROR(INDEX(Productos!$I$5:$I$504,MATCH($C85,Productos!$A$5:$A$504,0)),0)+SUMIFS($F$5:$F85,$C$5:$C85,$C85,$B$5:$B85,"Entrada")-SUMIFS($F$5:$F85,$C$5:$C85,$C85,$B$5:$B85,"Salida"))</f>
        <v/>
      </c>
      <c r="J85" s="20"/>
      <c r="K85" s="20"/>
      <c r="L85" s="20"/>
      <c r="M85" s="14" t="str">
        <f>IF(AND($C85&lt;&gt;"",$C85=Kardex!$C$4),COUNTIF($C$5:$C85,Kardex!$C$4),"")</f>
        <v/>
      </c>
    </row>
    <row r="86" spans="1:13" x14ac:dyDescent="0.25">
      <c r="A86" s="24"/>
      <c r="B86" s="20"/>
      <c r="C86" s="20"/>
      <c r="D86" s="14" t="str">
        <f>IF($C86="","",IFERROR(INDEX(Productos!$B$5:$B$504,MATCH($C86,Productos!$A$5:$A$504,0)),"Clave no existe"))</f>
        <v/>
      </c>
      <c r="E86" s="14" t="str">
        <f>IF($C86="","",IFERROR(INDEX(Productos!$D$5:$D$504,MATCH($C86,Productos!$A$5:$A$504,0)),""))</f>
        <v/>
      </c>
      <c r="F86" s="20"/>
      <c r="G86" s="22" t="str">
        <f>IF($C86="","",IFERROR(INDEX(Productos!$F$5:$F$504,MATCH($C86,Productos!$A$5:$A$504,0)),0))</f>
        <v/>
      </c>
      <c r="H86" s="22" t="str">
        <f t="shared" si="1"/>
        <v/>
      </c>
      <c r="I86" s="14" t="str">
        <f>IF(OR($C86="",$F86=""),"",IFERROR(INDEX(Productos!$I$5:$I$504,MATCH($C86,Productos!$A$5:$A$504,0)),0)+SUMIFS($F$5:$F86,$C$5:$C86,$C86,$B$5:$B86,"Entrada")-SUMIFS($F$5:$F86,$C$5:$C86,$C86,$B$5:$B86,"Salida"))</f>
        <v/>
      </c>
      <c r="J86" s="20"/>
      <c r="K86" s="20"/>
      <c r="L86" s="20"/>
      <c r="M86" s="14" t="str">
        <f>IF(AND($C86&lt;&gt;"",$C86=Kardex!$C$4),COUNTIF($C$5:$C86,Kardex!$C$4),"")</f>
        <v/>
      </c>
    </row>
    <row r="87" spans="1:13" x14ac:dyDescent="0.25">
      <c r="A87" s="24"/>
      <c r="B87" s="20"/>
      <c r="C87" s="20"/>
      <c r="D87" s="14" t="str">
        <f>IF($C87="","",IFERROR(INDEX(Productos!$B$5:$B$504,MATCH($C87,Productos!$A$5:$A$504,0)),"Clave no existe"))</f>
        <v/>
      </c>
      <c r="E87" s="14" t="str">
        <f>IF($C87="","",IFERROR(INDEX(Productos!$D$5:$D$504,MATCH($C87,Productos!$A$5:$A$504,0)),""))</f>
        <v/>
      </c>
      <c r="F87" s="20"/>
      <c r="G87" s="22" t="str">
        <f>IF($C87="","",IFERROR(INDEX(Productos!$F$5:$F$504,MATCH($C87,Productos!$A$5:$A$504,0)),0))</f>
        <v/>
      </c>
      <c r="H87" s="22" t="str">
        <f t="shared" si="1"/>
        <v/>
      </c>
      <c r="I87" s="14" t="str">
        <f>IF(OR($C87="",$F87=""),"",IFERROR(INDEX(Productos!$I$5:$I$504,MATCH($C87,Productos!$A$5:$A$504,0)),0)+SUMIFS($F$5:$F87,$C$5:$C87,$C87,$B$5:$B87,"Entrada")-SUMIFS($F$5:$F87,$C$5:$C87,$C87,$B$5:$B87,"Salida"))</f>
        <v/>
      </c>
      <c r="J87" s="20"/>
      <c r="K87" s="20"/>
      <c r="L87" s="20"/>
      <c r="M87" s="14" t="str">
        <f>IF(AND($C87&lt;&gt;"",$C87=Kardex!$C$4),COUNTIF($C$5:$C87,Kardex!$C$4),"")</f>
        <v/>
      </c>
    </row>
    <row r="88" spans="1:13" x14ac:dyDescent="0.25">
      <c r="A88" s="24"/>
      <c r="B88" s="20"/>
      <c r="C88" s="20"/>
      <c r="D88" s="14" t="str">
        <f>IF($C88="","",IFERROR(INDEX(Productos!$B$5:$B$504,MATCH($C88,Productos!$A$5:$A$504,0)),"Clave no existe"))</f>
        <v/>
      </c>
      <c r="E88" s="14" t="str">
        <f>IF($C88="","",IFERROR(INDEX(Productos!$D$5:$D$504,MATCH($C88,Productos!$A$5:$A$504,0)),""))</f>
        <v/>
      </c>
      <c r="F88" s="20"/>
      <c r="G88" s="22" t="str">
        <f>IF($C88="","",IFERROR(INDEX(Productos!$F$5:$F$504,MATCH($C88,Productos!$A$5:$A$504,0)),0))</f>
        <v/>
      </c>
      <c r="H88" s="22" t="str">
        <f t="shared" si="1"/>
        <v/>
      </c>
      <c r="I88" s="14" t="str">
        <f>IF(OR($C88="",$F88=""),"",IFERROR(INDEX(Productos!$I$5:$I$504,MATCH($C88,Productos!$A$5:$A$504,0)),0)+SUMIFS($F$5:$F88,$C$5:$C88,$C88,$B$5:$B88,"Entrada")-SUMIFS($F$5:$F88,$C$5:$C88,$C88,$B$5:$B88,"Salida"))</f>
        <v/>
      </c>
      <c r="J88" s="20"/>
      <c r="K88" s="20"/>
      <c r="L88" s="20"/>
      <c r="M88" s="14" t="str">
        <f>IF(AND($C88&lt;&gt;"",$C88=Kardex!$C$4),COUNTIF($C$5:$C88,Kardex!$C$4),"")</f>
        <v/>
      </c>
    </row>
    <row r="89" spans="1:13" x14ac:dyDescent="0.25">
      <c r="A89" s="24"/>
      <c r="B89" s="20"/>
      <c r="C89" s="20"/>
      <c r="D89" s="14" t="str">
        <f>IF($C89="","",IFERROR(INDEX(Productos!$B$5:$B$504,MATCH($C89,Productos!$A$5:$A$504,0)),"Clave no existe"))</f>
        <v/>
      </c>
      <c r="E89" s="14" t="str">
        <f>IF($C89="","",IFERROR(INDEX(Productos!$D$5:$D$504,MATCH($C89,Productos!$A$5:$A$504,0)),""))</f>
        <v/>
      </c>
      <c r="F89" s="20"/>
      <c r="G89" s="22" t="str">
        <f>IF($C89="","",IFERROR(INDEX(Productos!$F$5:$F$504,MATCH($C89,Productos!$A$5:$A$504,0)),0))</f>
        <v/>
      </c>
      <c r="H89" s="22" t="str">
        <f t="shared" si="1"/>
        <v/>
      </c>
      <c r="I89" s="14" t="str">
        <f>IF(OR($C89="",$F89=""),"",IFERROR(INDEX(Productos!$I$5:$I$504,MATCH($C89,Productos!$A$5:$A$504,0)),0)+SUMIFS($F$5:$F89,$C$5:$C89,$C89,$B$5:$B89,"Entrada")-SUMIFS($F$5:$F89,$C$5:$C89,$C89,$B$5:$B89,"Salida"))</f>
        <v/>
      </c>
      <c r="J89" s="20"/>
      <c r="K89" s="20"/>
      <c r="L89" s="20"/>
      <c r="M89" s="14" t="str">
        <f>IF(AND($C89&lt;&gt;"",$C89=Kardex!$C$4),COUNTIF($C$5:$C89,Kardex!$C$4),"")</f>
        <v/>
      </c>
    </row>
    <row r="90" spans="1:13" x14ac:dyDescent="0.25">
      <c r="A90" s="24"/>
      <c r="B90" s="20"/>
      <c r="C90" s="20"/>
      <c r="D90" s="14" t="str">
        <f>IF($C90="","",IFERROR(INDEX(Productos!$B$5:$B$504,MATCH($C90,Productos!$A$5:$A$504,0)),"Clave no existe"))</f>
        <v/>
      </c>
      <c r="E90" s="14" t="str">
        <f>IF($C90="","",IFERROR(INDEX(Productos!$D$5:$D$504,MATCH($C90,Productos!$A$5:$A$504,0)),""))</f>
        <v/>
      </c>
      <c r="F90" s="20"/>
      <c r="G90" s="22" t="str">
        <f>IF($C90="","",IFERROR(INDEX(Productos!$F$5:$F$504,MATCH($C90,Productos!$A$5:$A$504,0)),0))</f>
        <v/>
      </c>
      <c r="H90" s="22" t="str">
        <f t="shared" si="1"/>
        <v/>
      </c>
      <c r="I90" s="14" t="str">
        <f>IF(OR($C90="",$F90=""),"",IFERROR(INDEX(Productos!$I$5:$I$504,MATCH($C90,Productos!$A$5:$A$504,0)),0)+SUMIFS($F$5:$F90,$C$5:$C90,$C90,$B$5:$B90,"Entrada")-SUMIFS($F$5:$F90,$C$5:$C90,$C90,$B$5:$B90,"Salida"))</f>
        <v/>
      </c>
      <c r="J90" s="20"/>
      <c r="K90" s="20"/>
      <c r="L90" s="20"/>
      <c r="M90" s="14" t="str">
        <f>IF(AND($C90&lt;&gt;"",$C90=Kardex!$C$4),COUNTIF($C$5:$C90,Kardex!$C$4),"")</f>
        <v/>
      </c>
    </row>
    <row r="91" spans="1:13" x14ac:dyDescent="0.25">
      <c r="A91" s="24"/>
      <c r="B91" s="20"/>
      <c r="C91" s="20"/>
      <c r="D91" s="14" t="str">
        <f>IF($C91="","",IFERROR(INDEX(Productos!$B$5:$B$504,MATCH($C91,Productos!$A$5:$A$504,0)),"Clave no existe"))</f>
        <v/>
      </c>
      <c r="E91" s="14" t="str">
        <f>IF($C91="","",IFERROR(INDEX(Productos!$D$5:$D$504,MATCH($C91,Productos!$A$5:$A$504,0)),""))</f>
        <v/>
      </c>
      <c r="F91" s="20"/>
      <c r="G91" s="22" t="str">
        <f>IF($C91="","",IFERROR(INDEX(Productos!$F$5:$F$504,MATCH($C91,Productos!$A$5:$A$504,0)),0))</f>
        <v/>
      </c>
      <c r="H91" s="22" t="str">
        <f t="shared" si="1"/>
        <v/>
      </c>
      <c r="I91" s="14" t="str">
        <f>IF(OR($C91="",$F91=""),"",IFERROR(INDEX(Productos!$I$5:$I$504,MATCH($C91,Productos!$A$5:$A$504,0)),0)+SUMIFS($F$5:$F91,$C$5:$C91,$C91,$B$5:$B91,"Entrada")-SUMIFS($F$5:$F91,$C$5:$C91,$C91,$B$5:$B91,"Salida"))</f>
        <v/>
      </c>
      <c r="J91" s="20"/>
      <c r="K91" s="20"/>
      <c r="L91" s="20"/>
      <c r="M91" s="14" t="str">
        <f>IF(AND($C91&lt;&gt;"",$C91=Kardex!$C$4),COUNTIF($C$5:$C91,Kardex!$C$4),"")</f>
        <v/>
      </c>
    </row>
    <row r="92" spans="1:13" x14ac:dyDescent="0.25">
      <c r="A92" s="24"/>
      <c r="B92" s="20"/>
      <c r="C92" s="20"/>
      <c r="D92" s="14" t="str">
        <f>IF($C92="","",IFERROR(INDEX(Productos!$B$5:$B$504,MATCH($C92,Productos!$A$5:$A$504,0)),"Clave no existe"))</f>
        <v/>
      </c>
      <c r="E92" s="14" t="str">
        <f>IF($C92="","",IFERROR(INDEX(Productos!$D$5:$D$504,MATCH($C92,Productos!$A$5:$A$504,0)),""))</f>
        <v/>
      </c>
      <c r="F92" s="20"/>
      <c r="G92" s="22" t="str">
        <f>IF($C92="","",IFERROR(INDEX(Productos!$F$5:$F$504,MATCH($C92,Productos!$A$5:$A$504,0)),0))</f>
        <v/>
      </c>
      <c r="H92" s="22" t="str">
        <f t="shared" si="1"/>
        <v/>
      </c>
      <c r="I92" s="14" t="str">
        <f>IF(OR($C92="",$F92=""),"",IFERROR(INDEX(Productos!$I$5:$I$504,MATCH($C92,Productos!$A$5:$A$504,0)),0)+SUMIFS($F$5:$F92,$C$5:$C92,$C92,$B$5:$B92,"Entrada")-SUMIFS($F$5:$F92,$C$5:$C92,$C92,$B$5:$B92,"Salida"))</f>
        <v/>
      </c>
      <c r="J92" s="20"/>
      <c r="K92" s="20"/>
      <c r="L92" s="20"/>
      <c r="M92" s="14" t="str">
        <f>IF(AND($C92&lt;&gt;"",$C92=Kardex!$C$4),COUNTIF($C$5:$C92,Kardex!$C$4),"")</f>
        <v/>
      </c>
    </row>
    <row r="93" spans="1:13" x14ac:dyDescent="0.25">
      <c r="A93" s="24"/>
      <c r="B93" s="20"/>
      <c r="C93" s="20"/>
      <c r="D93" s="14" t="str">
        <f>IF($C93="","",IFERROR(INDEX(Productos!$B$5:$B$504,MATCH($C93,Productos!$A$5:$A$504,0)),"Clave no existe"))</f>
        <v/>
      </c>
      <c r="E93" s="14" t="str">
        <f>IF($C93="","",IFERROR(INDEX(Productos!$D$5:$D$504,MATCH($C93,Productos!$A$5:$A$504,0)),""))</f>
        <v/>
      </c>
      <c r="F93" s="20"/>
      <c r="G93" s="22" t="str">
        <f>IF($C93="","",IFERROR(INDEX(Productos!$F$5:$F$504,MATCH($C93,Productos!$A$5:$A$504,0)),0))</f>
        <v/>
      </c>
      <c r="H93" s="22" t="str">
        <f t="shared" si="1"/>
        <v/>
      </c>
      <c r="I93" s="14" t="str">
        <f>IF(OR($C93="",$F93=""),"",IFERROR(INDEX(Productos!$I$5:$I$504,MATCH($C93,Productos!$A$5:$A$504,0)),0)+SUMIFS($F$5:$F93,$C$5:$C93,$C93,$B$5:$B93,"Entrada")-SUMIFS($F$5:$F93,$C$5:$C93,$C93,$B$5:$B93,"Salida"))</f>
        <v/>
      </c>
      <c r="J93" s="20"/>
      <c r="K93" s="20"/>
      <c r="L93" s="20"/>
      <c r="M93" s="14" t="str">
        <f>IF(AND($C93&lt;&gt;"",$C93=Kardex!$C$4),COUNTIF($C$5:$C93,Kardex!$C$4),"")</f>
        <v/>
      </c>
    </row>
    <row r="94" spans="1:13" x14ac:dyDescent="0.25">
      <c r="A94" s="24"/>
      <c r="B94" s="20"/>
      <c r="C94" s="20"/>
      <c r="D94" s="14" t="str">
        <f>IF($C94="","",IFERROR(INDEX(Productos!$B$5:$B$504,MATCH($C94,Productos!$A$5:$A$504,0)),"Clave no existe"))</f>
        <v/>
      </c>
      <c r="E94" s="14" t="str">
        <f>IF($C94="","",IFERROR(INDEX(Productos!$D$5:$D$504,MATCH($C94,Productos!$A$5:$A$504,0)),""))</f>
        <v/>
      </c>
      <c r="F94" s="20"/>
      <c r="G94" s="22" t="str">
        <f>IF($C94="","",IFERROR(INDEX(Productos!$F$5:$F$504,MATCH($C94,Productos!$A$5:$A$504,0)),0))</f>
        <v/>
      </c>
      <c r="H94" s="22" t="str">
        <f t="shared" si="1"/>
        <v/>
      </c>
      <c r="I94" s="14" t="str">
        <f>IF(OR($C94="",$F94=""),"",IFERROR(INDEX(Productos!$I$5:$I$504,MATCH($C94,Productos!$A$5:$A$504,0)),0)+SUMIFS($F$5:$F94,$C$5:$C94,$C94,$B$5:$B94,"Entrada")-SUMIFS($F$5:$F94,$C$5:$C94,$C94,$B$5:$B94,"Salida"))</f>
        <v/>
      </c>
      <c r="J94" s="20"/>
      <c r="K94" s="20"/>
      <c r="L94" s="20"/>
      <c r="M94" s="14" t="str">
        <f>IF(AND($C94&lt;&gt;"",$C94=Kardex!$C$4),COUNTIF($C$5:$C94,Kardex!$C$4),"")</f>
        <v/>
      </c>
    </row>
    <row r="95" spans="1:13" x14ac:dyDescent="0.25">
      <c r="A95" s="24"/>
      <c r="B95" s="20"/>
      <c r="C95" s="20"/>
      <c r="D95" s="14" t="str">
        <f>IF($C95="","",IFERROR(INDEX(Productos!$B$5:$B$504,MATCH($C95,Productos!$A$5:$A$504,0)),"Clave no existe"))</f>
        <v/>
      </c>
      <c r="E95" s="14" t="str">
        <f>IF($C95="","",IFERROR(INDEX(Productos!$D$5:$D$504,MATCH($C95,Productos!$A$5:$A$504,0)),""))</f>
        <v/>
      </c>
      <c r="F95" s="20"/>
      <c r="G95" s="22" t="str">
        <f>IF($C95="","",IFERROR(INDEX(Productos!$F$5:$F$504,MATCH($C95,Productos!$A$5:$A$504,0)),0))</f>
        <v/>
      </c>
      <c r="H95" s="22" t="str">
        <f t="shared" si="1"/>
        <v/>
      </c>
      <c r="I95" s="14" t="str">
        <f>IF(OR($C95="",$F95=""),"",IFERROR(INDEX(Productos!$I$5:$I$504,MATCH($C95,Productos!$A$5:$A$504,0)),0)+SUMIFS($F$5:$F95,$C$5:$C95,$C95,$B$5:$B95,"Entrada")-SUMIFS($F$5:$F95,$C$5:$C95,$C95,$B$5:$B95,"Salida"))</f>
        <v/>
      </c>
      <c r="J95" s="20"/>
      <c r="K95" s="20"/>
      <c r="L95" s="20"/>
      <c r="M95" s="14" t="str">
        <f>IF(AND($C95&lt;&gt;"",$C95=Kardex!$C$4),COUNTIF($C$5:$C95,Kardex!$C$4),"")</f>
        <v/>
      </c>
    </row>
    <row r="96" spans="1:13" x14ac:dyDescent="0.25">
      <c r="A96" s="24"/>
      <c r="B96" s="20"/>
      <c r="C96" s="20"/>
      <c r="D96" s="14" t="str">
        <f>IF($C96="","",IFERROR(INDEX(Productos!$B$5:$B$504,MATCH($C96,Productos!$A$5:$A$504,0)),"Clave no existe"))</f>
        <v/>
      </c>
      <c r="E96" s="14" t="str">
        <f>IF($C96="","",IFERROR(INDEX(Productos!$D$5:$D$504,MATCH($C96,Productos!$A$5:$A$504,0)),""))</f>
        <v/>
      </c>
      <c r="F96" s="20"/>
      <c r="G96" s="22" t="str">
        <f>IF($C96="","",IFERROR(INDEX(Productos!$F$5:$F$504,MATCH($C96,Productos!$A$5:$A$504,0)),0))</f>
        <v/>
      </c>
      <c r="H96" s="22" t="str">
        <f t="shared" si="1"/>
        <v/>
      </c>
      <c r="I96" s="14" t="str">
        <f>IF(OR($C96="",$F96=""),"",IFERROR(INDEX(Productos!$I$5:$I$504,MATCH($C96,Productos!$A$5:$A$504,0)),0)+SUMIFS($F$5:$F96,$C$5:$C96,$C96,$B$5:$B96,"Entrada")-SUMIFS($F$5:$F96,$C$5:$C96,$C96,$B$5:$B96,"Salida"))</f>
        <v/>
      </c>
      <c r="J96" s="20"/>
      <c r="K96" s="20"/>
      <c r="L96" s="20"/>
      <c r="M96" s="14" t="str">
        <f>IF(AND($C96&lt;&gt;"",$C96=Kardex!$C$4),COUNTIF($C$5:$C96,Kardex!$C$4),"")</f>
        <v/>
      </c>
    </row>
    <row r="97" spans="1:13" x14ac:dyDescent="0.25">
      <c r="A97" s="24"/>
      <c r="B97" s="20"/>
      <c r="C97" s="20"/>
      <c r="D97" s="14" t="str">
        <f>IF($C97="","",IFERROR(INDEX(Productos!$B$5:$B$504,MATCH($C97,Productos!$A$5:$A$504,0)),"Clave no existe"))</f>
        <v/>
      </c>
      <c r="E97" s="14" t="str">
        <f>IF($C97="","",IFERROR(INDEX(Productos!$D$5:$D$504,MATCH($C97,Productos!$A$5:$A$504,0)),""))</f>
        <v/>
      </c>
      <c r="F97" s="20"/>
      <c r="G97" s="22" t="str">
        <f>IF($C97="","",IFERROR(INDEX(Productos!$F$5:$F$504,MATCH($C97,Productos!$A$5:$A$504,0)),0))</f>
        <v/>
      </c>
      <c r="H97" s="22" t="str">
        <f t="shared" si="1"/>
        <v/>
      </c>
      <c r="I97" s="14" t="str">
        <f>IF(OR($C97="",$F97=""),"",IFERROR(INDEX(Productos!$I$5:$I$504,MATCH($C97,Productos!$A$5:$A$504,0)),0)+SUMIFS($F$5:$F97,$C$5:$C97,$C97,$B$5:$B97,"Entrada")-SUMIFS($F$5:$F97,$C$5:$C97,$C97,$B$5:$B97,"Salida"))</f>
        <v/>
      </c>
      <c r="J97" s="20"/>
      <c r="K97" s="20"/>
      <c r="L97" s="20"/>
      <c r="M97" s="14" t="str">
        <f>IF(AND($C97&lt;&gt;"",$C97=Kardex!$C$4),COUNTIF($C$5:$C97,Kardex!$C$4),"")</f>
        <v/>
      </c>
    </row>
    <row r="98" spans="1:13" x14ac:dyDescent="0.25">
      <c r="A98" s="24"/>
      <c r="B98" s="20"/>
      <c r="C98" s="20"/>
      <c r="D98" s="14" t="str">
        <f>IF($C98="","",IFERROR(INDEX(Productos!$B$5:$B$504,MATCH($C98,Productos!$A$5:$A$504,0)),"Clave no existe"))</f>
        <v/>
      </c>
      <c r="E98" s="14" t="str">
        <f>IF($C98="","",IFERROR(INDEX(Productos!$D$5:$D$504,MATCH($C98,Productos!$A$5:$A$504,0)),""))</f>
        <v/>
      </c>
      <c r="F98" s="20"/>
      <c r="G98" s="22" t="str">
        <f>IF($C98="","",IFERROR(INDEX(Productos!$F$5:$F$504,MATCH($C98,Productos!$A$5:$A$504,0)),0))</f>
        <v/>
      </c>
      <c r="H98" s="22" t="str">
        <f t="shared" si="1"/>
        <v/>
      </c>
      <c r="I98" s="14" t="str">
        <f>IF(OR($C98="",$F98=""),"",IFERROR(INDEX(Productos!$I$5:$I$504,MATCH($C98,Productos!$A$5:$A$504,0)),0)+SUMIFS($F$5:$F98,$C$5:$C98,$C98,$B$5:$B98,"Entrada")-SUMIFS($F$5:$F98,$C$5:$C98,$C98,$B$5:$B98,"Salida"))</f>
        <v/>
      </c>
      <c r="J98" s="20"/>
      <c r="K98" s="20"/>
      <c r="L98" s="20"/>
      <c r="M98" s="14" t="str">
        <f>IF(AND($C98&lt;&gt;"",$C98=Kardex!$C$4),COUNTIF($C$5:$C98,Kardex!$C$4),"")</f>
        <v/>
      </c>
    </row>
    <row r="99" spans="1:13" x14ac:dyDescent="0.25">
      <c r="A99" s="24"/>
      <c r="B99" s="20"/>
      <c r="C99" s="20"/>
      <c r="D99" s="14" t="str">
        <f>IF($C99="","",IFERROR(INDEX(Productos!$B$5:$B$504,MATCH($C99,Productos!$A$5:$A$504,0)),"Clave no existe"))</f>
        <v/>
      </c>
      <c r="E99" s="14" t="str">
        <f>IF($C99="","",IFERROR(INDEX(Productos!$D$5:$D$504,MATCH($C99,Productos!$A$5:$A$504,0)),""))</f>
        <v/>
      </c>
      <c r="F99" s="20"/>
      <c r="G99" s="22" t="str">
        <f>IF($C99="","",IFERROR(INDEX(Productos!$F$5:$F$504,MATCH($C99,Productos!$A$5:$A$504,0)),0))</f>
        <v/>
      </c>
      <c r="H99" s="22" t="str">
        <f t="shared" si="1"/>
        <v/>
      </c>
      <c r="I99" s="14" t="str">
        <f>IF(OR($C99="",$F99=""),"",IFERROR(INDEX(Productos!$I$5:$I$504,MATCH($C99,Productos!$A$5:$A$504,0)),0)+SUMIFS($F$5:$F99,$C$5:$C99,$C99,$B$5:$B99,"Entrada")-SUMIFS($F$5:$F99,$C$5:$C99,$C99,$B$5:$B99,"Salida"))</f>
        <v/>
      </c>
      <c r="J99" s="20"/>
      <c r="K99" s="20"/>
      <c r="L99" s="20"/>
      <c r="M99" s="14" t="str">
        <f>IF(AND($C99&lt;&gt;"",$C99=Kardex!$C$4),COUNTIF($C$5:$C99,Kardex!$C$4),"")</f>
        <v/>
      </c>
    </row>
    <row r="100" spans="1:13" x14ac:dyDescent="0.25">
      <c r="A100" s="24"/>
      <c r="B100" s="20"/>
      <c r="C100" s="20"/>
      <c r="D100" s="14" t="str">
        <f>IF($C100="","",IFERROR(INDEX(Productos!$B$5:$B$504,MATCH($C100,Productos!$A$5:$A$504,0)),"Clave no existe"))</f>
        <v/>
      </c>
      <c r="E100" s="14" t="str">
        <f>IF($C100="","",IFERROR(INDEX(Productos!$D$5:$D$504,MATCH($C100,Productos!$A$5:$A$504,0)),""))</f>
        <v/>
      </c>
      <c r="F100" s="20"/>
      <c r="G100" s="22" t="str">
        <f>IF($C100="","",IFERROR(INDEX(Productos!$F$5:$F$504,MATCH($C100,Productos!$A$5:$A$504,0)),0))</f>
        <v/>
      </c>
      <c r="H100" s="22" t="str">
        <f t="shared" si="1"/>
        <v/>
      </c>
      <c r="I100" s="14" t="str">
        <f>IF(OR($C100="",$F100=""),"",IFERROR(INDEX(Productos!$I$5:$I$504,MATCH($C100,Productos!$A$5:$A$504,0)),0)+SUMIFS($F$5:$F100,$C$5:$C100,$C100,$B$5:$B100,"Entrada")-SUMIFS($F$5:$F100,$C$5:$C100,$C100,$B$5:$B100,"Salida"))</f>
        <v/>
      </c>
      <c r="J100" s="20"/>
      <c r="K100" s="20"/>
      <c r="L100" s="20"/>
      <c r="M100" s="14" t="str">
        <f>IF(AND($C100&lt;&gt;"",$C100=Kardex!$C$4),COUNTIF($C$5:$C100,Kardex!$C$4),"")</f>
        <v/>
      </c>
    </row>
    <row r="101" spans="1:13" x14ac:dyDescent="0.25">
      <c r="A101" s="24"/>
      <c r="B101" s="20"/>
      <c r="C101" s="20"/>
      <c r="D101" s="14" t="str">
        <f>IF($C101="","",IFERROR(INDEX(Productos!$B$5:$B$504,MATCH($C101,Productos!$A$5:$A$504,0)),"Clave no existe"))</f>
        <v/>
      </c>
      <c r="E101" s="14" t="str">
        <f>IF($C101="","",IFERROR(INDEX(Productos!$D$5:$D$504,MATCH($C101,Productos!$A$5:$A$504,0)),""))</f>
        <v/>
      </c>
      <c r="F101" s="20"/>
      <c r="G101" s="22" t="str">
        <f>IF($C101="","",IFERROR(INDEX(Productos!$F$5:$F$504,MATCH($C101,Productos!$A$5:$A$504,0)),0))</f>
        <v/>
      </c>
      <c r="H101" s="22" t="str">
        <f t="shared" si="1"/>
        <v/>
      </c>
      <c r="I101" s="14" t="str">
        <f>IF(OR($C101="",$F101=""),"",IFERROR(INDEX(Productos!$I$5:$I$504,MATCH($C101,Productos!$A$5:$A$504,0)),0)+SUMIFS($F$5:$F101,$C$5:$C101,$C101,$B$5:$B101,"Entrada")-SUMIFS($F$5:$F101,$C$5:$C101,$C101,$B$5:$B101,"Salida"))</f>
        <v/>
      </c>
      <c r="J101" s="20"/>
      <c r="K101" s="20"/>
      <c r="L101" s="20"/>
      <c r="M101" s="14" t="str">
        <f>IF(AND($C101&lt;&gt;"",$C101=Kardex!$C$4),COUNTIF($C$5:$C101,Kardex!$C$4),"")</f>
        <v/>
      </c>
    </row>
    <row r="102" spans="1:13" x14ac:dyDescent="0.25">
      <c r="A102" s="24"/>
      <c r="B102" s="20"/>
      <c r="C102" s="20"/>
      <c r="D102" s="14" t="str">
        <f>IF($C102="","",IFERROR(INDEX(Productos!$B$5:$B$504,MATCH($C102,Productos!$A$5:$A$504,0)),"Clave no existe"))</f>
        <v/>
      </c>
      <c r="E102" s="14" t="str">
        <f>IF($C102="","",IFERROR(INDEX(Productos!$D$5:$D$504,MATCH($C102,Productos!$A$5:$A$504,0)),""))</f>
        <v/>
      </c>
      <c r="F102" s="20"/>
      <c r="G102" s="22" t="str">
        <f>IF($C102="","",IFERROR(INDEX(Productos!$F$5:$F$504,MATCH($C102,Productos!$A$5:$A$504,0)),0))</f>
        <v/>
      </c>
      <c r="H102" s="22" t="str">
        <f t="shared" si="1"/>
        <v/>
      </c>
      <c r="I102" s="14" t="str">
        <f>IF(OR($C102="",$F102=""),"",IFERROR(INDEX(Productos!$I$5:$I$504,MATCH($C102,Productos!$A$5:$A$504,0)),0)+SUMIFS($F$5:$F102,$C$5:$C102,$C102,$B$5:$B102,"Entrada")-SUMIFS($F$5:$F102,$C$5:$C102,$C102,$B$5:$B102,"Salida"))</f>
        <v/>
      </c>
      <c r="J102" s="20"/>
      <c r="K102" s="20"/>
      <c r="L102" s="20"/>
      <c r="M102" s="14" t="str">
        <f>IF(AND($C102&lt;&gt;"",$C102=Kardex!$C$4),COUNTIF($C$5:$C102,Kardex!$C$4),"")</f>
        <v/>
      </c>
    </row>
    <row r="103" spans="1:13" x14ac:dyDescent="0.25">
      <c r="A103" s="24"/>
      <c r="B103" s="20"/>
      <c r="C103" s="20"/>
      <c r="D103" s="14" t="str">
        <f>IF($C103="","",IFERROR(INDEX(Productos!$B$5:$B$504,MATCH($C103,Productos!$A$5:$A$504,0)),"Clave no existe"))</f>
        <v/>
      </c>
      <c r="E103" s="14" t="str">
        <f>IF($C103="","",IFERROR(INDEX(Productos!$D$5:$D$504,MATCH($C103,Productos!$A$5:$A$504,0)),""))</f>
        <v/>
      </c>
      <c r="F103" s="20"/>
      <c r="G103" s="22" t="str">
        <f>IF($C103="","",IFERROR(INDEX(Productos!$F$5:$F$504,MATCH($C103,Productos!$A$5:$A$504,0)),0))</f>
        <v/>
      </c>
      <c r="H103" s="22" t="str">
        <f t="shared" si="1"/>
        <v/>
      </c>
      <c r="I103" s="14" t="str">
        <f>IF(OR($C103="",$F103=""),"",IFERROR(INDEX(Productos!$I$5:$I$504,MATCH($C103,Productos!$A$5:$A$504,0)),0)+SUMIFS($F$5:$F103,$C$5:$C103,$C103,$B$5:$B103,"Entrada")-SUMIFS($F$5:$F103,$C$5:$C103,$C103,$B$5:$B103,"Salida"))</f>
        <v/>
      </c>
      <c r="J103" s="20"/>
      <c r="K103" s="20"/>
      <c r="L103" s="20"/>
      <c r="M103" s="14" t="str">
        <f>IF(AND($C103&lt;&gt;"",$C103=Kardex!$C$4),COUNTIF($C$5:$C103,Kardex!$C$4),"")</f>
        <v/>
      </c>
    </row>
    <row r="104" spans="1:13" x14ac:dyDescent="0.25">
      <c r="A104" s="24"/>
      <c r="B104" s="20"/>
      <c r="C104" s="20"/>
      <c r="D104" s="14" t="str">
        <f>IF($C104="","",IFERROR(INDEX(Productos!$B$5:$B$504,MATCH($C104,Productos!$A$5:$A$504,0)),"Clave no existe"))</f>
        <v/>
      </c>
      <c r="E104" s="14" t="str">
        <f>IF($C104="","",IFERROR(INDEX(Productos!$D$5:$D$504,MATCH($C104,Productos!$A$5:$A$504,0)),""))</f>
        <v/>
      </c>
      <c r="F104" s="20"/>
      <c r="G104" s="22" t="str">
        <f>IF($C104="","",IFERROR(INDEX(Productos!$F$5:$F$504,MATCH($C104,Productos!$A$5:$A$504,0)),0))</f>
        <v/>
      </c>
      <c r="H104" s="22" t="str">
        <f t="shared" si="1"/>
        <v/>
      </c>
      <c r="I104" s="14" t="str">
        <f>IF(OR($C104="",$F104=""),"",IFERROR(INDEX(Productos!$I$5:$I$504,MATCH($C104,Productos!$A$5:$A$504,0)),0)+SUMIFS($F$5:$F104,$C$5:$C104,$C104,$B$5:$B104,"Entrada")-SUMIFS($F$5:$F104,$C$5:$C104,$C104,$B$5:$B104,"Salida"))</f>
        <v/>
      </c>
      <c r="J104" s="20"/>
      <c r="K104" s="20"/>
      <c r="L104" s="20"/>
      <c r="M104" s="14" t="str">
        <f>IF(AND($C104&lt;&gt;"",$C104=Kardex!$C$4),COUNTIF($C$5:$C104,Kardex!$C$4),"")</f>
        <v/>
      </c>
    </row>
    <row r="105" spans="1:13" x14ac:dyDescent="0.25">
      <c r="A105" s="24"/>
      <c r="B105" s="20"/>
      <c r="C105" s="20"/>
      <c r="D105" s="14" t="str">
        <f>IF($C105="","",IFERROR(INDEX(Productos!$B$5:$B$504,MATCH($C105,Productos!$A$5:$A$504,0)),"Clave no existe"))</f>
        <v/>
      </c>
      <c r="E105" s="14" t="str">
        <f>IF($C105="","",IFERROR(INDEX(Productos!$D$5:$D$504,MATCH($C105,Productos!$A$5:$A$504,0)),""))</f>
        <v/>
      </c>
      <c r="F105" s="20"/>
      <c r="G105" s="22" t="str">
        <f>IF($C105="","",IFERROR(INDEX(Productos!$F$5:$F$504,MATCH($C105,Productos!$A$5:$A$504,0)),0))</f>
        <v/>
      </c>
      <c r="H105" s="22" t="str">
        <f t="shared" si="1"/>
        <v/>
      </c>
      <c r="I105" s="14" t="str">
        <f>IF(OR($C105="",$F105=""),"",IFERROR(INDEX(Productos!$I$5:$I$504,MATCH($C105,Productos!$A$5:$A$504,0)),0)+SUMIFS($F$5:$F105,$C$5:$C105,$C105,$B$5:$B105,"Entrada")-SUMIFS($F$5:$F105,$C$5:$C105,$C105,$B$5:$B105,"Salida"))</f>
        <v/>
      </c>
      <c r="J105" s="20"/>
      <c r="K105" s="20"/>
      <c r="L105" s="20"/>
      <c r="M105" s="14" t="str">
        <f>IF(AND($C105&lt;&gt;"",$C105=Kardex!$C$4),COUNTIF($C$5:$C105,Kardex!$C$4),"")</f>
        <v/>
      </c>
    </row>
    <row r="106" spans="1:13" x14ac:dyDescent="0.25">
      <c r="A106" s="24"/>
      <c r="B106" s="20"/>
      <c r="C106" s="20"/>
      <c r="D106" s="14" t="str">
        <f>IF($C106="","",IFERROR(INDEX(Productos!$B$5:$B$504,MATCH($C106,Productos!$A$5:$A$504,0)),"Clave no existe"))</f>
        <v/>
      </c>
      <c r="E106" s="14" t="str">
        <f>IF($C106="","",IFERROR(INDEX(Productos!$D$5:$D$504,MATCH($C106,Productos!$A$5:$A$504,0)),""))</f>
        <v/>
      </c>
      <c r="F106" s="20"/>
      <c r="G106" s="22" t="str">
        <f>IF($C106="","",IFERROR(INDEX(Productos!$F$5:$F$504,MATCH($C106,Productos!$A$5:$A$504,0)),0))</f>
        <v/>
      </c>
      <c r="H106" s="22" t="str">
        <f t="shared" si="1"/>
        <v/>
      </c>
      <c r="I106" s="14" t="str">
        <f>IF(OR($C106="",$F106=""),"",IFERROR(INDEX(Productos!$I$5:$I$504,MATCH($C106,Productos!$A$5:$A$504,0)),0)+SUMIFS($F$5:$F106,$C$5:$C106,$C106,$B$5:$B106,"Entrada")-SUMIFS($F$5:$F106,$C$5:$C106,$C106,$B$5:$B106,"Salida"))</f>
        <v/>
      </c>
      <c r="J106" s="20"/>
      <c r="K106" s="20"/>
      <c r="L106" s="20"/>
      <c r="M106" s="14" t="str">
        <f>IF(AND($C106&lt;&gt;"",$C106=Kardex!$C$4),COUNTIF($C$5:$C106,Kardex!$C$4),"")</f>
        <v/>
      </c>
    </row>
    <row r="107" spans="1:13" x14ac:dyDescent="0.25">
      <c r="A107" s="24"/>
      <c r="B107" s="20"/>
      <c r="C107" s="20"/>
      <c r="D107" s="14" t="str">
        <f>IF($C107="","",IFERROR(INDEX(Productos!$B$5:$B$504,MATCH($C107,Productos!$A$5:$A$504,0)),"Clave no existe"))</f>
        <v/>
      </c>
      <c r="E107" s="14" t="str">
        <f>IF($C107="","",IFERROR(INDEX(Productos!$D$5:$D$504,MATCH($C107,Productos!$A$5:$A$504,0)),""))</f>
        <v/>
      </c>
      <c r="F107" s="20"/>
      <c r="G107" s="22" t="str">
        <f>IF($C107="","",IFERROR(INDEX(Productos!$F$5:$F$504,MATCH($C107,Productos!$A$5:$A$504,0)),0))</f>
        <v/>
      </c>
      <c r="H107" s="22" t="str">
        <f t="shared" si="1"/>
        <v/>
      </c>
      <c r="I107" s="14" t="str">
        <f>IF(OR($C107="",$F107=""),"",IFERROR(INDEX(Productos!$I$5:$I$504,MATCH($C107,Productos!$A$5:$A$504,0)),0)+SUMIFS($F$5:$F107,$C$5:$C107,$C107,$B$5:$B107,"Entrada")-SUMIFS($F$5:$F107,$C$5:$C107,$C107,$B$5:$B107,"Salida"))</f>
        <v/>
      </c>
      <c r="J107" s="20"/>
      <c r="K107" s="20"/>
      <c r="L107" s="20"/>
      <c r="M107" s="14" t="str">
        <f>IF(AND($C107&lt;&gt;"",$C107=Kardex!$C$4),COUNTIF($C$5:$C107,Kardex!$C$4),"")</f>
        <v/>
      </c>
    </row>
    <row r="108" spans="1:13" x14ac:dyDescent="0.25">
      <c r="A108" s="24"/>
      <c r="B108" s="20"/>
      <c r="C108" s="20"/>
      <c r="D108" s="14" t="str">
        <f>IF($C108="","",IFERROR(INDEX(Productos!$B$5:$B$504,MATCH($C108,Productos!$A$5:$A$504,0)),"Clave no existe"))</f>
        <v/>
      </c>
      <c r="E108" s="14" t="str">
        <f>IF($C108="","",IFERROR(INDEX(Productos!$D$5:$D$504,MATCH($C108,Productos!$A$5:$A$504,0)),""))</f>
        <v/>
      </c>
      <c r="F108" s="20"/>
      <c r="G108" s="22" t="str">
        <f>IF($C108="","",IFERROR(INDEX(Productos!$F$5:$F$504,MATCH($C108,Productos!$A$5:$A$504,0)),0))</f>
        <v/>
      </c>
      <c r="H108" s="22" t="str">
        <f t="shared" si="1"/>
        <v/>
      </c>
      <c r="I108" s="14" t="str">
        <f>IF(OR($C108="",$F108=""),"",IFERROR(INDEX(Productos!$I$5:$I$504,MATCH($C108,Productos!$A$5:$A$504,0)),0)+SUMIFS($F$5:$F108,$C$5:$C108,$C108,$B$5:$B108,"Entrada")-SUMIFS($F$5:$F108,$C$5:$C108,$C108,$B$5:$B108,"Salida"))</f>
        <v/>
      </c>
      <c r="J108" s="20"/>
      <c r="K108" s="20"/>
      <c r="L108" s="20"/>
      <c r="M108" s="14" t="str">
        <f>IF(AND($C108&lt;&gt;"",$C108=Kardex!$C$4),COUNTIF($C$5:$C108,Kardex!$C$4),"")</f>
        <v/>
      </c>
    </row>
    <row r="109" spans="1:13" x14ac:dyDescent="0.25">
      <c r="A109" s="24"/>
      <c r="B109" s="20"/>
      <c r="C109" s="20"/>
      <c r="D109" s="14" t="str">
        <f>IF($C109="","",IFERROR(INDEX(Productos!$B$5:$B$504,MATCH($C109,Productos!$A$5:$A$504,0)),"Clave no existe"))</f>
        <v/>
      </c>
      <c r="E109" s="14" t="str">
        <f>IF($C109="","",IFERROR(INDEX(Productos!$D$5:$D$504,MATCH($C109,Productos!$A$5:$A$504,0)),""))</f>
        <v/>
      </c>
      <c r="F109" s="20"/>
      <c r="G109" s="22" t="str">
        <f>IF($C109="","",IFERROR(INDEX(Productos!$F$5:$F$504,MATCH($C109,Productos!$A$5:$A$504,0)),0))</f>
        <v/>
      </c>
      <c r="H109" s="22" t="str">
        <f t="shared" si="1"/>
        <v/>
      </c>
      <c r="I109" s="14" t="str">
        <f>IF(OR($C109="",$F109=""),"",IFERROR(INDEX(Productos!$I$5:$I$504,MATCH($C109,Productos!$A$5:$A$504,0)),0)+SUMIFS($F$5:$F109,$C$5:$C109,$C109,$B$5:$B109,"Entrada")-SUMIFS($F$5:$F109,$C$5:$C109,$C109,$B$5:$B109,"Salida"))</f>
        <v/>
      </c>
      <c r="J109" s="20"/>
      <c r="K109" s="20"/>
      <c r="L109" s="20"/>
      <c r="M109" s="14" t="str">
        <f>IF(AND($C109&lt;&gt;"",$C109=Kardex!$C$4),COUNTIF($C$5:$C109,Kardex!$C$4),"")</f>
        <v/>
      </c>
    </row>
    <row r="110" spans="1:13" x14ac:dyDescent="0.25">
      <c r="A110" s="24"/>
      <c r="B110" s="20"/>
      <c r="C110" s="20"/>
      <c r="D110" s="14" t="str">
        <f>IF($C110="","",IFERROR(INDEX(Productos!$B$5:$B$504,MATCH($C110,Productos!$A$5:$A$504,0)),"Clave no existe"))</f>
        <v/>
      </c>
      <c r="E110" s="14" t="str">
        <f>IF($C110="","",IFERROR(INDEX(Productos!$D$5:$D$504,MATCH($C110,Productos!$A$5:$A$504,0)),""))</f>
        <v/>
      </c>
      <c r="F110" s="20"/>
      <c r="G110" s="22" t="str">
        <f>IF($C110="","",IFERROR(INDEX(Productos!$F$5:$F$504,MATCH($C110,Productos!$A$5:$A$504,0)),0))</f>
        <v/>
      </c>
      <c r="H110" s="22" t="str">
        <f t="shared" si="1"/>
        <v/>
      </c>
      <c r="I110" s="14" t="str">
        <f>IF(OR($C110="",$F110=""),"",IFERROR(INDEX(Productos!$I$5:$I$504,MATCH($C110,Productos!$A$5:$A$504,0)),0)+SUMIFS($F$5:$F110,$C$5:$C110,$C110,$B$5:$B110,"Entrada")-SUMIFS($F$5:$F110,$C$5:$C110,$C110,$B$5:$B110,"Salida"))</f>
        <v/>
      </c>
      <c r="J110" s="20"/>
      <c r="K110" s="20"/>
      <c r="L110" s="20"/>
      <c r="M110" s="14" t="str">
        <f>IF(AND($C110&lt;&gt;"",$C110=Kardex!$C$4),COUNTIF($C$5:$C110,Kardex!$C$4),"")</f>
        <v/>
      </c>
    </row>
    <row r="111" spans="1:13" x14ac:dyDescent="0.25">
      <c r="A111" s="24"/>
      <c r="B111" s="20"/>
      <c r="C111" s="20"/>
      <c r="D111" s="14" t="str">
        <f>IF($C111="","",IFERROR(INDEX(Productos!$B$5:$B$504,MATCH($C111,Productos!$A$5:$A$504,0)),"Clave no existe"))</f>
        <v/>
      </c>
      <c r="E111" s="14" t="str">
        <f>IF($C111="","",IFERROR(INDEX(Productos!$D$5:$D$504,MATCH($C111,Productos!$A$5:$A$504,0)),""))</f>
        <v/>
      </c>
      <c r="F111" s="20"/>
      <c r="G111" s="22" t="str">
        <f>IF($C111="","",IFERROR(INDEX(Productos!$F$5:$F$504,MATCH($C111,Productos!$A$5:$A$504,0)),0))</f>
        <v/>
      </c>
      <c r="H111" s="22" t="str">
        <f t="shared" si="1"/>
        <v/>
      </c>
      <c r="I111" s="14" t="str">
        <f>IF(OR($C111="",$F111=""),"",IFERROR(INDEX(Productos!$I$5:$I$504,MATCH($C111,Productos!$A$5:$A$504,0)),0)+SUMIFS($F$5:$F111,$C$5:$C111,$C111,$B$5:$B111,"Entrada")-SUMIFS($F$5:$F111,$C$5:$C111,$C111,$B$5:$B111,"Salida"))</f>
        <v/>
      </c>
      <c r="J111" s="20"/>
      <c r="K111" s="20"/>
      <c r="L111" s="20"/>
      <c r="M111" s="14" t="str">
        <f>IF(AND($C111&lt;&gt;"",$C111=Kardex!$C$4),COUNTIF($C$5:$C111,Kardex!$C$4),"")</f>
        <v/>
      </c>
    </row>
    <row r="112" spans="1:13" x14ac:dyDescent="0.25">
      <c r="A112" s="24"/>
      <c r="B112" s="20"/>
      <c r="C112" s="20"/>
      <c r="D112" s="14" t="str">
        <f>IF($C112="","",IFERROR(INDEX(Productos!$B$5:$B$504,MATCH($C112,Productos!$A$5:$A$504,0)),"Clave no existe"))</f>
        <v/>
      </c>
      <c r="E112" s="14" t="str">
        <f>IF($C112="","",IFERROR(INDEX(Productos!$D$5:$D$504,MATCH($C112,Productos!$A$5:$A$504,0)),""))</f>
        <v/>
      </c>
      <c r="F112" s="20"/>
      <c r="G112" s="22" t="str">
        <f>IF($C112="","",IFERROR(INDEX(Productos!$F$5:$F$504,MATCH($C112,Productos!$A$5:$A$504,0)),0))</f>
        <v/>
      </c>
      <c r="H112" s="22" t="str">
        <f t="shared" si="1"/>
        <v/>
      </c>
      <c r="I112" s="14" t="str">
        <f>IF(OR($C112="",$F112=""),"",IFERROR(INDEX(Productos!$I$5:$I$504,MATCH($C112,Productos!$A$5:$A$504,0)),0)+SUMIFS($F$5:$F112,$C$5:$C112,$C112,$B$5:$B112,"Entrada")-SUMIFS($F$5:$F112,$C$5:$C112,$C112,$B$5:$B112,"Salida"))</f>
        <v/>
      </c>
      <c r="J112" s="20"/>
      <c r="K112" s="20"/>
      <c r="L112" s="20"/>
      <c r="M112" s="14" t="str">
        <f>IF(AND($C112&lt;&gt;"",$C112=Kardex!$C$4),COUNTIF($C$5:$C112,Kardex!$C$4),"")</f>
        <v/>
      </c>
    </row>
    <row r="113" spans="1:13" x14ac:dyDescent="0.25">
      <c r="A113" s="24"/>
      <c r="B113" s="20"/>
      <c r="C113" s="20"/>
      <c r="D113" s="14" t="str">
        <f>IF($C113="","",IFERROR(INDEX(Productos!$B$5:$B$504,MATCH($C113,Productos!$A$5:$A$504,0)),"Clave no existe"))</f>
        <v/>
      </c>
      <c r="E113" s="14" t="str">
        <f>IF($C113="","",IFERROR(INDEX(Productos!$D$5:$D$504,MATCH($C113,Productos!$A$5:$A$504,0)),""))</f>
        <v/>
      </c>
      <c r="F113" s="20"/>
      <c r="G113" s="22" t="str">
        <f>IF($C113="","",IFERROR(INDEX(Productos!$F$5:$F$504,MATCH($C113,Productos!$A$5:$A$504,0)),0))</f>
        <v/>
      </c>
      <c r="H113" s="22" t="str">
        <f t="shared" si="1"/>
        <v/>
      </c>
      <c r="I113" s="14" t="str">
        <f>IF(OR($C113="",$F113=""),"",IFERROR(INDEX(Productos!$I$5:$I$504,MATCH($C113,Productos!$A$5:$A$504,0)),0)+SUMIFS($F$5:$F113,$C$5:$C113,$C113,$B$5:$B113,"Entrada")-SUMIFS($F$5:$F113,$C$5:$C113,$C113,$B$5:$B113,"Salida"))</f>
        <v/>
      </c>
      <c r="J113" s="20"/>
      <c r="K113" s="20"/>
      <c r="L113" s="20"/>
      <c r="M113" s="14" t="str">
        <f>IF(AND($C113&lt;&gt;"",$C113=Kardex!$C$4),COUNTIF($C$5:$C113,Kardex!$C$4),"")</f>
        <v/>
      </c>
    </row>
    <row r="114" spans="1:13" x14ac:dyDescent="0.25">
      <c r="A114" s="24"/>
      <c r="B114" s="20"/>
      <c r="C114" s="20"/>
      <c r="D114" s="14" t="str">
        <f>IF($C114="","",IFERROR(INDEX(Productos!$B$5:$B$504,MATCH($C114,Productos!$A$5:$A$504,0)),"Clave no existe"))</f>
        <v/>
      </c>
      <c r="E114" s="14" t="str">
        <f>IF($C114="","",IFERROR(INDEX(Productos!$D$5:$D$504,MATCH($C114,Productos!$A$5:$A$504,0)),""))</f>
        <v/>
      </c>
      <c r="F114" s="20"/>
      <c r="G114" s="22" t="str">
        <f>IF($C114="","",IFERROR(INDEX(Productos!$F$5:$F$504,MATCH($C114,Productos!$A$5:$A$504,0)),0))</f>
        <v/>
      </c>
      <c r="H114" s="22" t="str">
        <f t="shared" si="1"/>
        <v/>
      </c>
      <c r="I114" s="14" t="str">
        <f>IF(OR($C114="",$F114=""),"",IFERROR(INDEX(Productos!$I$5:$I$504,MATCH($C114,Productos!$A$5:$A$504,0)),0)+SUMIFS($F$5:$F114,$C$5:$C114,$C114,$B$5:$B114,"Entrada")-SUMIFS($F$5:$F114,$C$5:$C114,$C114,$B$5:$B114,"Salida"))</f>
        <v/>
      </c>
      <c r="J114" s="20"/>
      <c r="K114" s="20"/>
      <c r="L114" s="20"/>
      <c r="M114" s="14" t="str">
        <f>IF(AND($C114&lt;&gt;"",$C114=Kardex!$C$4),COUNTIF($C$5:$C114,Kardex!$C$4),"")</f>
        <v/>
      </c>
    </row>
    <row r="115" spans="1:13" x14ac:dyDescent="0.25">
      <c r="A115" s="24"/>
      <c r="B115" s="20"/>
      <c r="C115" s="20"/>
      <c r="D115" s="14" t="str">
        <f>IF($C115="","",IFERROR(INDEX(Productos!$B$5:$B$504,MATCH($C115,Productos!$A$5:$A$504,0)),"Clave no existe"))</f>
        <v/>
      </c>
      <c r="E115" s="14" t="str">
        <f>IF($C115="","",IFERROR(INDEX(Productos!$D$5:$D$504,MATCH($C115,Productos!$A$5:$A$504,0)),""))</f>
        <v/>
      </c>
      <c r="F115" s="20"/>
      <c r="G115" s="22" t="str">
        <f>IF($C115="","",IFERROR(INDEX(Productos!$F$5:$F$504,MATCH($C115,Productos!$A$5:$A$504,0)),0))</f>
        <v/>
      </c>
      <c r="H115" s="22" t="str">
        <f t="shared" si="1"/>
        <v/>
      </c>
      <c r="I115" s="14" t="str">
        <f>IF(OR($C115="",$F115=""),"",IFERROR(INDEX(Productos!$I$5:$I$504,MATCH($C115,Productos!$A$5:$A$504,0)),0)+SUMIFS($F$5:$F115,$C$5:$C115,$C115,$B$5:$B115,"Entrada")-SUMIFS($F$5:$F115,$C$5:$C115,$C115,$B$5:$B115,"Salida"))</f>
        <v/>
      </c>
      <c r="J115" s="20"/>
      <c r="K115" s="20"/>
      <c r="L115" s="20"/>
      <c r="M115" s="14" t="str">
        <f>IF(AND($C115&lt;&gt;"",$C115=Kardex!$C$4),COUNTIF($C$5:$C115,Kardex!$C$4),"")</f>
        <v/>
      </c>
    </row>
    <row r="116" spans="1:13" x14ac:dyDescent="0.25">
      <c r="A116" s="24"/>
      <c r="B116" s="20"/>
      <c r="C116" s="20"/>
      <c r="D116" s="14" t="str">
        <f>IF($C116="","",IFERROR(INDEX(Productos!$B$5:$B$504,MATCH($C116,Productos!$A$5:$A$504,0)),"Clave no existe"))</f>
        <v/>
      </c>
      <c r="E116" s="14" t="str">
        <f>IF($C116="","",IFERROR(INDEX(Productos!$D$5:$D$504,MATCH($C116,Productos!$A$5:$A$504,0)),""))</f>
        <v/>
      </c>
      <c r="F116" s="20"/>
      <c r="G116" s="22" t="str">
        <f>IF($C116="","",IFERROR(INDEX(Productos!$F$5:$F$504,MATCH($C116,Productos!$A$5:$A$504,0)),0))</f>
        <v/>
      </c>
      <c r="H116" s="22" t="str">
        <f t="shared" si="1"/>
        <v/>
      </c>
      <c r="I116" s="14" t="str">
        <f>IF(OR($C116="",$F116=""),"",IFERROR(INDEX(Productos!$I$5:$I$504,MATCH($C116,Productos!$A$5:$A$504,0)),0)+SUMIFS($F$5:$F116,$C$5:$C116,$C116,$B$5:$B116,"Entrada")-SUMIFS($F$5:$F116,$C$5:$C116,$C116,$B$5:$B116,"Salida"))</f>
        <v/>
      </c>
      <c r="J116" s="20"/>
      <c r="K116" s="20"/>
      <c r="L116" s="20"/>
      <c r="M116" s="14" t="str">
        <f>IF(AND($C116&lt;&gt;"",$C116=Kardex!$C$4),COUNTIF($C$5:$C116,Kardex!$C$4),"")</f>
        <v/>
      </c>
    </row>
    <row r="117" spans="1:13" x14ac:dyDescent="0.25">
      <c r="A117" s="24"/>
      <c r="B117" s="20"/>
      <c r="C117" s="20"/>
      <c r="D117" s="14" t="str">
        <f>IF($C117="","",IFERROR(INDEX(Productos!$B$5:$B$504,MATCH($C117,Productos!$A$5:$A$504,0)),"Clave no existe"))</f>
        <v/>
      </c>
      <c r="E117" s="14" t="str">
        <f>IF($C117="","",IFERROR(INDEX(Productos!$D$5:$D$504,MATCH($C117,Productos!$A$5:$A$504,0)),""))</f>
        <v/>
      </c>
      <c r="F117" s="20"/>
      <c r="G117" s="22" t="str">
        <f>IF($C117="","",IFERROR(INDEX(Productos!$F$5:$F$504,MATCH($C117,Productos!$A$5:$A$504,0)),0))</f>
        <v/>
      </c>
      <c r="H117" s="22" t="str">
        <f t="shared" si="1"/>
        <v/>
      </c>
      <c r="I117" s="14" t="str">
        <f>IF(OR($C117="",$F117=""),"",IFERROR(INDEX(Productos!$I$5:$I$504,MATCH($C117,Productos!$A$5:$A$504,0)),0)+SUMIFS($F$5:$F117,$C$5:$C117,$C117,$B$5:$B117,"Entrada")-SUMIFS($F$5:$F117,$C$5:$C117,$C117,$B$5:$B117,"Salida"))</f>
        <v/>
      </c>
      <c r="J117" s="20"/>
      <c r="K117" s="20"/>
      <c r="L117" s="20"/>
      <c r="M117" s="14" t="str">
        <f>IF(AND($C117&lt;&gt;"",$C117=Kardex!$C$4),COUNTIF($C$5:$C117,Kardex!$C$4),"")</f>
        <v/>
      </c>
    </row>
    <row r="118" spans="1:13" x14ac:dyDescent="0.25">
      <c r="A118" s="24"/>
      <c r="B118" s="20"/>
      <c r="C118" s="20"/>
      <c r="D118" s="14" t="str">
        <f>IF($C118="","",IFERROR(INDEX(Productos!$B$5:$B$504,MATCH($C118,Productos!$A$5:$A$504,0)),"Clave no existe"))</f>
        <v/>
      </c>
      <c r="E118" s="14" t="str">
        <f>IF($C118="","",IFERROR(INDEX(Productos!$D$5:$D$504,MATCH($C118,Productos!$A$5:$A$504,0)),""))</f>
        <v/>
      </c>
      <c r="F118" s="20"/>
      <c r="G118" s="22" t="str">
        <f>IF($C118="","",IFERROR(INDEX(Productos!$F$5:$F$504,MATCH($C118,Productos!$A$5:$A$504,0)),0))</f>
        <v/>
      </c>
      <c r="H118" s="22" t="str">
        <f t="shared" si="1"/>
        <v/>
      </c>
      <c r="I118" s="14" t="str">
        <f>IF(OR($C118="",$F118=""),"",IFERROR(INDEX(Productos!$I$5:$I$504,MATCH($C118,Productos!$A$5:$A$504,0)),0)+SUMIFS($F$5:$F118,$C$5:$C118,$C118,$B$5:$B118,"Entrada")-SUMIFS($F$5:$F118,$C$5:$C118,$C118,$B$5:$B118,"Salida"))</f>
        <v/>
      </c>
      <c r="J118" s="20"/>
      <c r="K118" s="20"/>
      <c r="L118" s="20"/>
      <c r="M118" s="14" t="str">
        <f>IF(AND($C118&lt;&gt;"",$C118=Kardex!$C$4),COUNTIF($C$5:$C118,Kardex!$C$4),"")</f>
        <v/>
      </c>
    </row>
    <row r="119" spans="1:13" x14ac:dyDescent="0.25">
      <c r="A119" s="24"/>
      <c r="B119" s="20"/>
      <c r="C119" s="20"/>
      <c r="D119" s="14" t="str">
        <f>IF($C119="","",IFERROR(INDEX(Productos!$B$5:$B$504,MATCH($C119,Productos!$A$5:$A$504,0)),"Clave no existe"))</f>
        <v/>
      </c>
      <c r="E119" s="14" t="str">
        <f>IF($C119="","",IFERROR(INDEX(Productos!$D$5:$D$504,MATCH($C119,Productos!$A$5:$A$504,0)),""))</f>
        <v/>
      </c>
      <c r="F119" s="20"/>
      <c r="G119" s="22" t="str">
        <f>IF($C119="","",IFERROR(INDEX(Productos!$F$5:$F$504,MATCH($C119,Productos!$A$5:$A$504,0)),0))</f>
        <v/>
      </c>
      <c r="H119" s="22" t="str">
        <f t="shared" si="1"/>
        <v/>
      </c>
      <c r="I119" s="14" t="str">
        <f>IF(OR($C119="",$F119=""),"",IFERROR(INDEX(Productos!$I$5:$I$504,MATCH($C119,Productos!$A$5:$A$504,0)),0)+SUMIFS($F$5:$F119,$C$5:$C119,$C119,$B$5:$B119,"Entrada")-SUMIFS($F$5:$F119,$C$5:$C119,$C119,$B$5:$B119,"Salida"))</f>
        <v/>
      </c>
      <c r="J119" s="20"/>
      <c r="K119" s="20"/>
      <c r="L119" s="20"/>
      <c r="M119" s="14" t="str">
        <f>IF(AND($C119&lt;&gt;"",$C119=Kardex!$C$4),COUNTIF($C$5:$C119,Kardex!$C$4),"")</f>
        <v/>
      </c>
    </row>
    <row r="120" spans="1:13" x14ac:dyDescent="0.25">
      <c r="A120" s="24"/>
      <c r="B120" s="20"/>
      <c r="C120" s="20"/>
      <c r="D120" s="14" t="str">
        <f>IF($C120="","",IFERROR(INDEX(Productos!$B$5:$B$504,MATCH($C120,Productos!$A$5:$A$504,0)),"Clave no existe"))</f>
        <v/>
      </c>
      <c r="E120" s="14" t="str">
        <f>IF($C120="","",IFERROR(INDEX(Productos!$D$5:$D$504,MATCH($C120,Productos!$A$5:$A$504,0)),""))</f>
        <v/>
      </c>
      <c r="F120" s="20"/>
      <c r="G120" s="22" t="str">
        <f>IF($C120="","",IFERROR(INDEX(Productos!$F$5:$F$504,MATCH($C120,Productos!$A$5:$A$504,0)),0))</f>
        <v/>
      </c>
      <c r="H120" s="22" t="str">
        <f t="shared" si="1"/>
        <v/>
      </c>
      <c r="I120" s="14" t="str">
        <f>IF(OR($C120="",$F120=""),"",IFERROR(INDEX(Productos!$I$5:$I$504,MATCH($C120,Productos!$A$5:$A$504,0)),0)+SUMIFS($F$5:$F120,$C$5:$C120,$C120,$B$5:$B120,"Entrada")-SUMIFS($F$5:$F120,$C$5:$C120,$C120,$B$5:$B120,"Salida"))</f>
        <v/>
      </c>
      <c r="J120" s="20"/>
      <c r="K120" s="20"/>
      <c r="L120" s="20"/>
      <c r="M120" s="14" t="str">
        <f>IF(AND($C120&lt;&gt;"",$C120=Kardex!$C$4),COUNTIF($C$5:$C120,Kardex!$C$4),"")</f>
        <v/>
      </c>
    </row>
    <row r="121" spans="1:13" x14ac:dyDescent="0.25">
      <c r="A121" s="24"/>
      <c r="B121" s="20"/>
      <c r="C121" s="20"/>
      <c r="D121" s="14" t="str">
        <f>IF($C121="","",IFERROR(INDEX(Productos!$B$5:$B$504,MATCH($C121,Productos!$A$5:$A$504,0)),"Clave no existe"))</f>
        <v/>
      </c>
      <c r="E121" s="14" t="str">
        <f>IF($C121="","",IFERROR(INDEX(Productos!$D$5:$D$504,MATCH($C121,Productos!$A$5:$A$504,0)),""))</f>
        <v/>
      </c>
      <c r="F121" s="20"/>
      <c r="G121" s="22" t="str">
        <f>IF($C121="","",IFERROR(INDEX(Productos!$F$5:$F$504,MATCH($C121,Productos!$A$5:$A$504,0)),0))</f>
        <v/>
      </c>
      <c r="H121" s="22" t="str">
        <f t="shared" si="1"/>
        <v/>
      </c>
      <c r="I121" s="14" t="str">
        <f>IF(OR($C121="",$F121=""),"",IFERROR(INDEX(Productos!$I$5:$I$504,MATCH($C121,Productos!$A$5:$A$504,0)),0)+SUMIFS($F$5:$F121,$C$5:$C121,$C121,$B$5:$B121,"Entrada")-SUMIFS($F$5:$F121,$C$5:$C121,$C121,$B$5:$B121,"Salida"))</f>
        <v/>
      </c>
      <c r="J121" s="20"/>
      <c r="K121" s="20"/>
      <c r="L121" s="20"/>
      <c r="M121" s="14" t="str">
        <f>IF(AND($C121&lt;&gt;"",$C121=Kardex!$C$4),COUNTIF($C$5:$C121,Kardex!$C$4),"")</f>
        <v/>
      </c>
    </row>
    <row r="122" spans="1:13" x14ac:dyDescent="0.25">
      <c r="A122" s="24"/>
      <c r="B122" s="20"/>
      <c r="C122" s="20"/>
      <c r="D122" s="14" t="str">
        <f>IF($C122="","",IFERROR(INDEX(Productos!$B$5:$B$504,MATCH($C122,Productos!$A$5:$A$504,0)),"Clave no existe"))</f>
        <v/>
      </c>
      <c r="E122" s="14" t="str">
        <f>IF($C122="","",IFERROR(INDEX(Productos!$D$5:$D$504,MATCH($C122,Productos!$A$5:$A$504,0)),""))</f>
        <v/>
      </c>
      <c r="F122" s="20"/>
      <c r="G122" s="22" t="str">
        <f>IF($C122="","",IFERROR(INDEX(Productos!$F$5:$F$504,MATCH($C122,Productos!$A$5:$A$504,0)),0))</f>
        <v/>
      </c>
      <c r="H122" s="22" t="str">
        <f t="shared" si="1"/>
        <v/>
      </c>
      <c r="I122" s="14" t="str">
        <f>IF(OR($C122="",$F122=""),"",IFERROR(INDEX(Productos!$I$5:$I$504,MATCH($C122,Productos!$A$5:$A$504,0)),0)+SUMIFS($F$5:$F122,$C$5:$C122,$C122,$B$5:$B122,"Entrada")-SUMIFS($F$5:$F122,$C$5:$C122,$C122,$B$5:$B122,"Salida"))</f>
        <v/>
      </c>
      <c r="J122" s="20"/>
      <c r="K122" s="20"/>
      <c r="L122" s="20"/>
      <c r="M122" s="14" t="str">
        <f>IF(AND($C122&lt;&gt;"",$C122=Kardex!$C$4),COUNTIF($C$5:$C122,Kardex!$C$4),"")</f>
        <v/>
      </c>
    </row>
    <row r="123" spans="1:13" x14ac:dyDescent="0.25">
      <c r="A123" s="24"/>
      <c r="B123" s="20"/>
      <c r="C123" s="20"/>
      <c r="D123" s="14" t="str">
        <f>IF($C123="","",IFERROR(INDEX(Productos!$B$5:$B$504,MATCH($C123,Productos!$A$5:$A$504,0)),"Clave no existe"))</f>
        <v/>
      </c>
      <c r="E123" s="14" t="str">
        <f>IF($C123="","",IFERROR(INDEX(Productos!$D$5:$D$504,MATCH($C123,Productos!$A$5:$A$504,0)),""))</f>
        <v/>
      </c>
      <c r="F123" s="20"/>
      <c r="G123" s="22" t="str">
        <f>IF($C123="","",IFERROR(INDEX(Productos!$F$5:$F$504,MATCH($C123,Productos!$A$5:$A$504,0)),0))</f>
        <v/>
      </c>
      <c r="H123" s="22" t="str">
        <f t="shared" si="1"/>
        <v/>
      </c>
      <c r="I123" s="14" t="str">
        <f>IF(OR($C123="",$F123=""),"",IFERROR(INDEX(Productos!$I$5:$I$504,MATCH($C123,Productos!$A$5:$A$504,0)),0)+SUMIFS($F$5:$F123,$C$5:$C123,$C123,$B$5:$B123,"Entrada")-SUMIFS($F$5:$F123,$C$5:$C123,$C123,$B$5:$B123,"Salida"))</f>
        <v/>
      </c>
      <c r="J123" s="20"/>
      <c r="K123" s="20"/>
      <c r="L123" s="20"/>
      <c r="M123" s="14" t="str">
        <f>IF(AND($C123&lt;&gt;"",$C123=Kardex!$C$4),COUNTIF($C$5:$C123,Kardex!$C$4),"")</f>
        <v/>
      </c>
    </row>
    <row r="124" spans="1:13" x14ac:dyDescent="0.25">
      <c r="A124" s="24"/>
      <c r="B124" s="20"/>
      <c r="C124" s="20"/>
      <c r="D124" s="14" t="str">
        <f>IF($C124="","",IFERROR(INDEX(Productos!$B$5:$B$504,MATCH($C124,Productos!$A$5:$A$504,0)),"Clave no existe"))</f>
        <v/>
      </c>
      <c r="E124" s="14" t="str">
        <f>IF($C124="","",IFERROR(INDEX(Productos!$D$5:$D$504,MATCH($C124,Productos!$A$5:$A$504,0)),""))</f>
        <v/>
      </c>
      <c r="F124" s="20"/>
      <c r="G124" s="22" t="str">
        <f>IF($C124="","",IFERROR(INDEX(Productos!$F$5:$F$504,MATCH($C124,Productos!$A$5:$A$504,0)),0))</f>
        <v/>
      </c>
      <c r="H124" s="22" t="str">
        <f t="shared" si="1"/>
        <v/>
      </c>
      <c r="I124" s="14" t="str">
        <f>IF(OR($C124="",$F124=""),"",IFERROR(INDEX(Productos!$I$5:$I$504,MATCH($C124,Productos!$A$5:$A$504,0)),0)+SUMIFS($F$5:$F124,$C$5:$C124,$C124,$B$5:$B124,"Entrada")-SUMIFS($F$5:$F124,$C$5:$C124,$C124,$B$5:$B124,"Salida"))</f>
        <v/>
      </c>
      <c r="J124" s="20"/>
      <c r="K124" s="20"/>
      <c r="L124" s="20"/>
      <c r="M124" s="14" t="str">
        <f>IF(AND($C124&lt;&gt;"",$C124=Kardex!$C$4),COUNTIF($C$5:$C124,Kardex!$C$4),"")</f>
        <v/>
      </c>
    </row>
    <row r="125" spans="1:13" x14ac:dyDescent="0.25">
      <c r="A125" s="24"/>
      <c r="B125" s="20"/>
      <c r="C125" s="20"/>
      <c r="D125" s="14" t="str">
        <f>IF($C125="","",IFERROR(INDEX(Productos!$B$5:$B$504,MATCH($C125,Productos!$A$5:$A$504,0)),"Clave no existe"))</f>
        <v/>
      </c>
      <c r="E125" s="14" t="str">
        <f>IF($C125="","",IFERROR(INDEX(Productos!$D$5:$D$504,MATCH($C125,Productos!$A$5:$A$504,0)),""))</f>
        <v/>
      </c>
      <c r="F125" s="20"/>
      <c r="G125" s="22" t="str">
        <f>IF($C125="","",IFERROR(INDEX(Productos!$F$5:$F$504,MATCH($C125,Productos!$A$5:$A$504,0)),0))</f>
        <v/>
      </c>
      <c r="H125" s="22" t="str">
        <f t="shared" si="1"/>
        <v/>
      </c>
      <c r="I125" s="14" t="str">
        <f>IF(OR($C125="",$F125=""),"",IFERROR(INDEX(Productos!$I$5:$I$504,MATCH($C125,Productos!$A$5:$A$504,0)),0)+SUMIFS($F$5:$F125,$C$5:$C125,$C125,$B$5:$B125,"Entrada")-SUMIFS($F$5:$F125,$C$5:$C125,$C125,$B$5:$B125,"Salida"))</f>
        <v/>
      </c>
      <c r="J125" s="20"/>
      <c r="K125" s="20"/>
      <c r="L125" s="20"/>
      <c r="M125" s="14" t="str">
        <f>IF(AND($C125&lt;&gt;"",$C125=Kardex!$C$4),COUNTIF($C$5:$C125,Kardex!$C$4),"")</f>
        <v/>
      </c>
    </row>
    <row r="126" spans="1:13" x14ac:dyDescent="0.25">
      <c r="A126" s="24"/>
      <c r="B126" s="20"/>
      <c r="C126" s="20"/>
      <c r="D126" s="14" t="str">
        <f>IF($C126="","",IFERROR(INDEX(Productos!$B$5:$B$504,MATCH($C126,Productos!$A$5:$A$504,0)),"Clave no existe"))</f>
        <v/>
      </c>
      <c r="E126" s="14" t="str">
        <f>IF($C126="","",IFERROR(INDEX(Productos!$D$5:$D$504,MATCH($C126,Productos!$A$5:$A$504,0)),""))</f>
        <v/>
      </c>
      <c r="F126" s="20"/>
      <c r="G126" s="22" t="str">
        <f>IF($C126="","",IFERROR(INDEX(Productos!$F$5:$F$504,MATCH($C126,Productos!$A$5:$A$504,0)),0))</f>
        <v/>
      </c>
      <c r="H126" s="22" t="str">
        <f t="shared" si="1"/>
        <v/>
      </c>
      <c r="I126" s="14" t="str">
        <f>IF(OR($C126="",$F126=""),"",IFERROR(INDEX(Productos!$I$5:$I$504,MATCH($C126,Productos!$A$5:$A$504,0)),0)+SUMIFS($F$5:$F126,$C$5:$C126,$C126,$B$5:$B126,"Entrada")-SUMIFS($F$5:$F126,$C$5:$C126,$C126,$B$5:$B126,"Salida"))</f>
        <v/>
      </c>
      <c r="J126" s="20"/>
      <c r="K126" s="20"/>
      <c r="L126" s="20"/>
      <c r="M126" s="14" t="str">
        <f>IF(AND($C126&lt;&gt;"",$C126=Kardex!$C$4),COUNTIF($C$5:$C126,Kardex!$C$4),"")</f>
        <v/>
      </c>
    </row>
    <row r="127" spans="1:13" x14ac:dyDescent="0.25">
      <c r="A127" s="24"/>
      <c r="B127" s="20"/>
      <c r="C127" s="20"/>
      <c r="D127" s="14" t="str">
        <f>IF($C127="","",IFERROR(INDEX(Productos!$B$5:$B$504,MATCH($C127,Productos!$A$5:$A$504,0)),"Clave no existe"))</f>
        <v/>
      </c>
      <c r="E127" s="14" t="str">
        <f>IF($C127="","",IFERROR(INDEX(Productos!$D$5:$D$504,MATCH($C127,Productos!$A$5:$A$504,0)),""))</f>
        <v/>
      </c>
      <c r="F127" s="20"/>
      <c r="G127" s="22" t="str">
        <f>IF($C127="","",IFERROR(INDEX(Productos!$F$5:$F$504,MATCH($C127,Productos!$A$5:$A$504,0)),0))</f>
        <v/>
      </c>
      <c r="H127" s="22" t="str">
        <f t="shared" si="1"/>
        <v/>
      </c>
      <c r="I127" s="14" t="str">
        <f>IF(OR($C127="",$F127=""),"",IFERROR(INDEX(Productos!$I$5:$I$504,MATCH($C127,Productos!$A$5:$A$504,0)),0)+SUMIFS($F$5:$F127,$C$5:$C127,$C127,$B$5:$B127,"Entrada")-SUMIFS($F$5:$F127,$C$5:$C127,$C127,$B$5:$B127,"Salida"))</f>
        <v/>
      </c>
      <c r="J127" s="20"/>
      <c r="K127" s="20"/>
      <c r="L127" s="20"/>
      <c r="M127" s="14" t="str">
        <f>IF(AND($C127&lt;&gt;"",$C127=Kardex!$C$4),COUNTIF($C$5:$C127,Kardex!$C$4),"")</f>
        <v/>
      </c>
    </row>
    <row r="128" spans="1:13" x14ac:dyDescent="0.25">
      <c r="A128" s="24"/>
      <c r="B128" s="20"/>
      <c r="C128" s="20"/>
      <c r="D128" s="14" t="str">
        <f>IF($C128="","",IFERROR(INDEX(Productos!$B$5:$B$504,MATCH($C128,Productos!$A$5:$A$504,0)),"Clave no existe"))</f>
        <v/>
      </c>
      <c r="E128" s="14" t="str">
        <f>IF($C128="","",IFERROR(INDEX(Productos!$D$5:$D$504,MATCH($C128,Productos!$A$5:$A$504,0)),""))</f>
        <v/>
      </c>
      <c r="F128" s="20"/>
      <c r="G128" s="22" t="str">
        <f>IF($C128="","",IFERROR(INDEX(Productos!$F$5:$F$504,MATCH($C128,Productos!$A$5:$A$504,0)),0))</f>
        <v/>
      </c>
      <c r="H128" s="22" t="str">
        <f t="shared" si="1"/>
        <v/>
      </c>
      <c r="I128" s="14" t="str">
        <f>IF(OR($C128="",$F128=""),"",IFERROR(INDEX(Productos!$I$5:$I$504,MATCH($C128,Productos!$A$5:$A$504,0)),0)+SUMIFS($F$5:$F128,$C$5:$C128,$C128,$B$5:$B128,"Entrada")-SUMIFS($F$5:$F128,$C$5:$C128,$C128,$B$5:$B128,"Salida"))</f>
        <v/>
      </c>
      <c r="J128" s="20"/>
      <c r="K128" s="20"/>
      <c r="L128" s="20"/>
      <c r="M128" s="14" t="str">
        <f>IF(AND($C128&lt;&gt;"",$C128=Kardex!$C$4),COUNTIF($C$5:$C128,Kardex!$C$4),"")</f>
        <v/>
      </c>
    </row>
    <row r="129" spans="1:13" x14ac:dyDescent="0.25">
      <c r="A129" s="24"/>
      <c r="B129" s="20"/>
      <c r="C129" s="20"/>
      <c r="D129" s="14" t="str">
        <f>IF($C129="","",IFERROR(INDEX(Productos!$B$5:$B$504,MATCH($C129,Productos!$A$5:$A$504,0)),"Clave no existe"))</f>
        <v/>
      </c>
      <c r="E129" s="14" t="str">
        <f>IF($C129="","",IFERROR(INDEX(Productos!$D$5:$D$504,MATCH($C129,Productos!$A$5:$A$504,0)),""))</f>
        <v/>
      </c>
      <c r="F129" s="20"/>
      <c r="G129" s="22" t="str">
        <f>IF($C129="","",IFERROR(INDEX(Productos!$F$5:$F$504,MATCH($C129,Productos!$A$5:$A$504,0)),0))</f>
        <v/>
      </c>
      <c r="H129" s="22" t="str">
        <f t="shared" si="1"/>
        <v/>
      </c>
      <c r="I129" s="14" t="str">
        <f>IF(OR($C129="",$F129=""),"",IFERROR(INDEX(Productos!$I$5:$I$504,MATCH($C129,Productos!$A$5:$A$504,0)),0)+SUMIFS($F$5:$F129,$C$5:$C129,$C129,$B$5:$B129,"Entrada")-SUMIFS($F$5:$F129,$C$5:$C129,$C129,$B$5:$B129,"Salida"))</f>
        <v/>
      </c>
      <c r="J129" s="20"/>
      <c r="K129" s="20"/>
      <c r="L129" s="20"/>
      <c r="M129" s="14" t="str">
        <f>IF(AND($C129&lt;&gt;"",$C129=Kardex!$C$4),COUNTIF($C$5:$C129,Kardex!$C$4),"")</f>
        <v/>
      </c>
    </row>
    <row r="130" spans="1:13" x14ac:dyDescent="0.25">
      <c r="A130" s="24"/>
      <c r="B130" s="20"/>
      <c r="C130" s="20"/>
      <c r="D130" s="14" t="str">
        <f>IF($C130="","",IFERROR(INDEX(Productos!$B$5:$B$504,MATCH($C130,Productos!$A$5:$A$504,0)),"Clave no existe"))</f>
        <v/>
      </c>
      <c r="E130" s="14" t="str">
        <f>IF($C130="","",IFERROR(INDEX(Productos!$D$5:$D$504,MATCH($C130,Productos!$A$5:$A$504,0)),""))</f>
        <v/>
      </c>
      <c r="F130" s="20"/>
      <c r="G130" s="22" t="str">
        <f>IF($C130="","",IFERROR(INDEX(Productos!$F$5:$F$504,MATCH($C130,Productos!$A$5:$A$504,0)),0))</f>
        <v/>
      </c>
      <c r="H130" s="22" t="str">
        <f t="shared" si="1"/>
        <v/>
      </c>
      <c r="I130" s="14" t="str">
        <f>IF(OR($C130="",$F130=""),"",IFERROR(INDEX(Productos!$I$5:$I$504,MATCH($C130,Productos!$A$5:$A$504,0)),0)+SUMIFS($F$5:$F130,$C$5:$C130,$C130,$B$5:$B130,"Entrada")-SUMIFS($F$5:$F130,$C$5:$C130,$C130,$B$5:$B130,"Salida"))</f>
        <v/>
      </c>
      <c r="J130" s="20"/>
      <c r="K130" s="20"/>
      <c r="L130" s="20"/>
      <c r="M130" s="14" t="str">
        <f>IF(AND($C130&lt;&gt;"",$C130=Kardex!$C$4),COUNTIF($C$5:$C130,Kardex!$C$4),"")</f>
        <v/>
      </c>
    </row>
    <row r="131" spans="1:13" x14ac:dyDescent="0.25">
      <c r="A131" s="24"/>
      <c r="B131" s="20"/>
      <c r="C131" s="20"/>
      <c r="D131" s="14" t="str">
        <f>IF($C131="","",IFERROR(INDEX(Productos!$B$5:$B$504,MATCH($C131,Productos!$A$5:$A$504,0)),"Clave no existe"))</f>
        <v/>
      </c>
      <c r="E131" s="14" t="str">
        <f>IF($C131="","",IFERROR(INDEX(Productos!$D$5:$D$504,MATCH($C131,Productos!$A$5:$A$504,0)),""))</f>
        <v/>
      </c>
      <c r="F131" s="20"/>
      <c r="G131" s="22" t="str">
        <f>IF($C131="","",IFERROR(INDEX(Productos!$F$5:$F$504,MATCH($C131,Productos!$A$5:$A$504,0)),0))</f>
        <v/>
      </c>
      <c r="H131" s="22" t="str">
        <f t="shared" si="1"/>
        <v/>
      </c>
      <c r="I131" s="14" t="str">
        <f>IF(OR($C131="",$F131=""),"",IFERROR(INDEX(Productos!$I$5:$I$504,MATCH($C131,Productos!$A$5:$A$504,0)),0)+SUMIFS($F$5:$F131,$C$5:$C131,$C131,$B$5:$B131,"Entrada")-SUMIFS($F$5:$F131,$C$5:$C131,$C131,$B$5:$B131,"Salida"))</f>
        <v/>
      </c>
      <c r="J131" s="20"/>
      <c r="K131" s="20"/>
      <c r="L131" s="20"/>
      <c r="M131" s="14" t="str">
        <f>IF(AND($C131&lt;&gt;"",$C131=Kardex!$C$4),COUNTIF($C$5:$C131,Kardex!$C$4),"")</f>
        <v/>
      </c>
    </row>
    <row r="132" spans="1:13" x14ac:dyDescent="0.25">
      <c r="A132" s="24"/>
      <c r="B132" s="20"/>
      <c r="C132" s="20"/>
      <c r="D132" s="14" t="str">
        <f>IF($C132="","",IFERROR(INDEX(Productos!$B$5:$B$504,MATCH($C132,Productos!$A$5:$A$504,0)),"Clave no existe"))</f>
        <v/>
      </c>
      <c r="E132" s="14" t="str">
        <f>IF($C132="","",IFERROR(INDEX(Productos!$D$5:$D$504,MATCH($C132,Productos!$A$5:$A$504,0)),""))</f>
        <v/>
      </c>
      <c r="F132" s="20"/>
      <c r="G132" s="22" t="str">
        <f>IF($C132="","",IFERROR(INDEX(Productos!$F$5:$F$504,MATCH($C132,Productos!$A$5:$A$504,0)),0))</f>
        <v/>
      </c>
      <c r="H132" s="22" t="str">
        <f t="shared" si="1"/>
        <v/>
      </c>
      <c r="I132" s="14" t="str">
        <f>IF(OR($C132="",$F132=""),"",IFERROR(INDEX(Productos!$I$5:$I$504,MATCH($C132,Productos!$A$5:$A$504,0)),0)+SUMIFS($F$5:$F132,$C$5:$C132,$C132,$B$5:$B132,"Entrada")-SUMIFS($F$5:$F132,$C$5:$C132,$C132,$B$5:$B132,"Salida"))</f>
        <v/>
      </c>
      <c r="J132" s="20"/>
      <c r="K132" s="20"/>
      <c r="L132" s="20"/>
      <c r="M132" s="14" t="str">
        <f>IF(AND($C132&lt;&gt;"",$C132=Kardex!$C$4),COUNTIF($C$5:$C132,Kardex!$C$4),"")</f>
        <v/>
      </c>
    </row>
    <row r="133" spans="1:13" x14ac:dyDescent="0.25">
      <c r="A133" s="24"/>
      <c r="B133" s="20"/>
      <c r="C133" s="20"/>
      <c r="D133" s="14" t="str">
        <f>IF($C133="","",IFERROR(INDEX(Productos!$B$5:$B$504,MATCH($C133,Productos!$A$5:$A$504,0)),"Clave no existe"))</f>
        <v/>
      </c>
      <c r="E133" s="14" t="str">
        <f>IF($C133="","",IFERROR(INDEX(Productos!$D$5:$D$504,MATCH($C133,Productos!$A$5:$A$504,0)),""))</f>
        <v/>
      </c>
      <c r="F133" s="20"/>
      <c r="G133" s="22" t="str">
        <f>IF($C133="","",IFERROR(INDEX(Productos!$F$5:$F$504,MATCH($C133,Productos!$A$5:$A$504,0)),0))</f>
        <v/>
      </c>
      <c r="H133" s="22" t="str">
        <f t="shared" ref="H133:H196" si="2">IF(OR($C133="",$F133=""),"",F133*G133)</f>
        <v/>
      </c>
      <c r="I133" s="14" t="str">
        <f>IF(OR($C133="",$F133=""),"",IFERROR(INDEX(Productos!$I$5:$I$504,MATCH($C133,Productos!$A$5:$A$504,0)),0)+SUMIFS($F$5:$F133,$C$5:$C133,$C133,$B$5:$B133,"Entrada")-SUMIFS($F$5:$F133,$C$5:$C133,$C133,$B$5:$B133,"Salida"))</f>
        <v/>
      </c>
      <c r="J133" s="20"/>
      <c r="K133" s="20"/>
      <c r="L133" s="20"/>
      <c r="M133" s="14" t="str">
        <f>IF(AND($C133&lt;&gt;"",$C133=Kardex!$C$4),COUNTIF($C$5:$C133,Kardex!$C$4),"")</f>
        <v/>
      </c>
    </row>
    <row r="134" spans="1:13" x14ac:dyDescent="0.25">
      <c r="A134" s="24"/>
      <c r="B134" s="20"/>
      <c r="C134" s="20"/>
      <c r="D134" s="14" t="str">
        <f>IF($C134="","",IFERROR(INDEX(Productos!$B$5:$B$504,MATCH($C134,Productos!$A$5:$A$504,0)),"Clave no existe"))</f>
        <v/>
      </c>
      <c r="E134" s="14" t="str">
        <f>IF($C134="","",IFERROR(INDEX(Productos!$D$5:$D$504,MATCH($C134,Productos!$A$5:$A$504,0)),""))</f>
        <v/>
      </c>
      <c r="F134" s="20"/>
      <c r="G134" s="22" t="str">
        <f>IF($C134="","",IFERROR(INDEX(Productos!$F$5:$F$504,MATCH($C134,Productos!$A$5:$A$504,0)),0))</f>
        <v/>
      </c>
      <c r="H134" s="22" t="str">
        <f t="shared" si="2"/>
        <v/>
      </c>
      <c r="I134" s="14" t="str">
        <f>IF(OR($C134="",$F134=""),"",IFERROR(INDEX(Productos!$I$5:$I$504,MATCH($C134,Productos!$A$5:$A$504,0)),0)+SUMIFS($F$5:$F134,$C$5:$C134,$C134,$B$5:$B134,"Entrada")-SUMIFS($F$5:$F134,$C$5:$C134,$C134,$B$5:$B134,"Salida"))</f>
        <v/>
      </c>
      <c r="J134" s="20"/>
      <c r="K134" s="20"/>
      <c r="L134" s="20"/>
      <c r="M134" s="14" t="str">
        <f>IF(AND($C134&lt;&gt;"",$C134=Kardex!$C$4),COUNTIF($C$5:$C134,Kardex!$C$4),"")</f>
        <v/>
      </c>
    </row>
    <row r="135" spans="1:13" x14ac:dyDescent="0.25">
      <c r="A135" s="24"/>
      <c r="B135" s="20"/>
      <c r="C135" s="20"/>
      <c r="D135" s="14" t="str">
        <f>IF($C135="","",IFERROR(INDEX(Productos!$B$5:$B$504,MATCH($C135,Productos!$A$5:$A$504,0)),"Clave no existe"))</f>
        <v/>
      </c>
      <c r="E135" s="14" t="str">
        <f>IF($C135="","",IFERROR(INDEX(Productos!$D$5:$D$504,MATCH($C135,Productos!$A$5:$A$504,0)),""))</f>
        <v/>
      </c>
      <c r="F135" s="20"/>
      <c r="G135" s="22" t="str">
        <f>IF($C135="","",IFERROR(INDEX(Productos!$F$5:$F$504,MATCH($C135,Productos!$A$5:$A$504,0)),0))</f>
        <v/>
      </c>
      <c r="H135" s="22" t="str">
        <f t="shared" si="2"/>
        <v/>
      </c>
      <c r="I135" s="14" t="str">
        <f>IF(OR($C135="",$F135=""),"",IFERROR(INDEX(Productos!$I$5:$I$504,MATCH($C135,Productos!$A$5:$A$504,0)),0)+SUMIFS($F$5:$F135,$C$5:$C135,$C135,$B$5:$B135,"Entrada")-SUMIFS($F$5:$F135,$C$5:$C135,$C135,$B$5:$B135,"Salida"))</f>
        <v/>
      </c>
      <c r="J135" s="20"/>
      <c r="K135" s="20"/>
      <c r="L135" s="20"/>
      <c r="M135" s="14" t="str">
        <f>IF(AND($C135&lt;&gt;"",$C135=Kardex!$C$4),COUNTIF($C$5:$C135,Kardex!$C$4),"")</f>
        <v/>
      </c>
    </row>
    <row r="136" spans="1:13" x14ac:dyDescent="0.25">
      <c r="A136" s="24"/>
      <c r="B136" s="20"/>
      <c r="C136" s="20"/>
      <c r="D136" s="14" t="str">
        <f>IF($C136="","",IFERROR(INDEX(Productos!$B$5:$B$504,MATCH($C136,Productos!$A$5:$A$504,0)),"Clave no existe"))</f>
        <v/>
      </c>
      <c r="E136" s="14" t="str">
        <f>IF($C136="","",IFERROR(INDEX(Productos!$D$5:$D$504,MATCH($C136,Productos!$A$5:$A$504,0)),""))</f>
        <v/>
      </c>
      <c r="F136" s="20"/>
      <c r="G136" s="22" t="str">
        <f>IF($C136="","",IFERROR(INDEX(Productos!$F$5:$F$504,MATCH($C136,Productos!$A$5:$A$504,0)),0))</f>
        <v/>
      </c>
      <c r="H136" s="22" t="str">
        <f t="shared" si="2"/>
        <v/>
      </c>
      <c r="I136" s="14" t="str">
        <f>IF(OR($C136="",$F136=""),"",IFERROR(INDEX(Productos!$I$5:$I$504,MATCH($C136,Productos!$A$5:$A$504,0)),0)+SUMIFS($F$5:$F136,$C$5:$C136,$C136,$B$5:$B136,"Entrada")-SUMIFS($F$5:$F136,$C$5:$C136,$C136,$B$5:$B136,"Salida"))</f>
        <v/>
      </c>
      <c r="J136" s="20"/>
      <c r="K136" s="20"/>
      <c r="L136" s="20"/>
      <c r="M136" s="14" t="str">
        <f>IF(AND($C136&lt;&gt;"",$C136=Kardex!$C$4),COUNTIF($C$5:$C136,Kardex!$C$4),"")</f>
        <v/>
      </c>
    </row>
    <row r="137" spans="1:13" x14ac:dyDescent="0.25">
      <c r="A137" s="24"/>
      <c r="B137" s="20"/>
      <c r="C137" s="20"/>
      <c r="D137" s="14" t="str">
        <f>IF($C137="","",IFERROR(INDEX(Productos!$B$5:$B$504,MATCH($C137,Productos!$A$5:$A$504,0)),"Clave no existe"))</f>
        <v/>
      </c>
      <c r="E137" s="14" t="str">
        <f>IF($C137="","",IFERROR(INDEX(Productos!$D$5:$D$504,MATCH($C137,Productos!$A$5:$A$504,0)),""))</f>
        <v/>
      </c>
      <c r="F137" s="20"/>
      <c r="G137" s="22" t="str">
        <f>IF($C137="","",IFERROR(INDEX(Productos!$F$5:$F$504,MATCH($C137,Productos!$A$5:$A$504,0)),0))</f>
        <v/>
      </c>
      <c r="H137" s="22" t="str">
        <f t="shared" si="2"/>
        <v/>
      </c>
      <c r="I137" s="14" t="str">
        <f>IF(OR($C137="",$F137=""),"",IFERROR(INDEX(Productos!$I$5:$I$504,MATCH($C137,Productos!$A$5:$A$504,0)),0)+SUMIFS($F$5:$F137,$C$5:$C137,$C137,$B$5:$B137,"Entrada")-SUMIFS($F$5:$F137,$C$5:$C137,$C137,$B$5:$B137,"Salida"))</f>
        <v/>
      </c>
      <c r="J137" s="20"/>
      <c r="K137" s="20"/>
      <c r="L137" s="20"/>
      <c r="M137" s="14" t="str">
        <f>IF(AND($C137&lt;&gt;"",$C137=Kardex!$C$4),COUNTIF($C$5:$C137,Kardex!$C$4),"")</f>
        <v/>
      </c>
    </row>
    <row r="138" spans="1:13" x14ac:dyDescent="0.25">
      <c r="A138" s="24"/>
      <c r="B138" s="20"/>
      <c r="C138" s="20"/>
      <c r="D138" s="14" t="str">
        <f>IF($C138="","",IFERROR(INDEX(Productos!$B$5:$B$504,MATCH($C138,Productos!$A$5:$A$504,0)),"Clave no existe"))</f>
        <v/>
      </c>
      <c r="E138" s="14" t="str">
        <f>IF($C138="","",IFERROR(INDEX(Productos!$D$5:$D$504,MATCH($C138,Productos!$A$5:$A$504,0)),""))</f>
        <v/>
      </c>
      <c r="F138" s="20"/>
      <c r="G138" s="22" t="str">
        <f>IF($C138="","",IFERROR(INDEX(Productos!$F$5:$F$504,MATCH($C138,Productos!$A$5:$A$504,0)),0))</f>
        <v/>
      </c>
      <c r="H138" s="22" t="str">
        <f t="shared" si="2"/>
        <v/>
      </c>
      <c r="I138" s="14" t="str">
        <f>IF(OR($C138="",$F138=""),"",IFERROR(INDEX(Productos!$I$5:$I$504,MATCH($C138,Productos!$A$5:$A$504,0)),0)+SUMIFS($F$5:$F138,$C$5:$C138,$C138,$B$5:$B138,"Entrada")-SUMIFS($F$5:$F138,$C$5:$C138,$C138,$B$5:$B138,"Salida"))</f>
        <v/>
      </c>
      <c r="J138" s="20"/>
      <c r="K138" s="20"/>
      <c r="L138" s="20"/>
      <c r="M138" s="14" t="str">
        <f>IF(AND($C138&lt;&gt;"",$C138=Kardex!$C$4),COUNTIF($C$5:$C138,Kardex!$C$4),"")</f>
        <v/>
      </c>
    </row>
    <row r="139" spans="1:13" x14ac:dyDescent="0.25">
      <c r="A139" s="24"/>
      <c r="B139" s="20"/>
      <c r="C139" s="20"/>
      <c r="D139" s="14" t="str">
        <f>IF($C139="","",IFERROR(INDEX(Productos!$B$5:$B$504,MATCH($C139,Productos!$A$5:$A$504,0)),"Clave no existe"))</f>
        <v/>
      </c>
      <c r="E139" s="14" t="str">
        <f>IF($C139="","",IFERROR(INDEX(Productos!$D$5:$D$504,MATCH($C139,Productos!$A$5:$A$504,0)),""))</f>
        <v/>
      </c>
      <c r="F139" s="20"/>
      <c r="G139" s="22" t="str">
        <f>IF($C139="","",IFERROR(INDEX(Productos!$F$5:$F$504,MATCH($C139,Productos!$A$5:$A$504,0)),0))</f>
        <v/>
      </c>
      <c r="H139" s="22" t="str">
        <f t="shared" si="2"/>
        <v/>
      </c>
      <c r="I139" s="14" t="str">
        <f>IF(OR($C139="",$F139=""),"",IFERROR(INDEX(Productos!$I$5:$I$504,MATCH($C139,Productos!$A$5:$A$504,0)),0)+SUMIFS($F$5:$F139,$C$5:$C139,$C139,$B$5:$B139,"Entrada")-SUMIFS($F$5:$F139,$C$5:$C139,$C139,$B$5:$B139,"Salida"))</f>
        <v/>
      </c>
      <c r="J139" s="20"/>
      <c r="K139" s="20"/>
      <c r="L139" s="20"/>
      <c r="M139" s="14" t="str">
        <f>IF(AND($C139&lt;&gt;"",$C139=Kardex!$C$4),COUNTIF($C$5:$C139,Kardex!$C$4),"")</f>
        <v/>
      </c>
    </row>
    <row r="140" spans="1:13" x14ac:dyDescent="0.25">
      <c r="A140" s="24"/>
      <c r="B140" s="20"/>
      <c r="C140" s="20"/>
      <c r="D140" s="14" t="str">
        <f>IF($C140="","",IFERROR(INDEX(Productos!$B$5:$B$504,MATCH($C140,Productos!$A$5:$A$504,0)),"Clave no existe"))</f>
        <v/>
      </c>
      <c r="E140" s="14" t="str">
        <f>IF($C140="","",IFERROR(INDEX(Productos!$D$5:$D$504,MATCH($C140,Productos!$A$5:$A$504,0)),""))</f>
        <v/>
      </c>
      <c r="F140" s="20"/>
      <c r="G140" s="22" t="str">
        <f>IF($C140="","",IFERROR(INDEX(Productos!$F$5:$F$504,MATCH($C140,Productos!$A$5:$A$504,0)),0))</f>
        <v/>
      </c>
      <c r="H140" s="22" t="str">
        <f t="shared" si="2"/>
        <v/>
      </c>
      <c r="I140" s="14" t="str">
        <f>IF(OR($C140="",$F140=""),"",IFERROR(INDEX(Productos!$I$5:$I$504,MATCH($C140,Productos!$A$5:$A$504,0)),0)+SUMIFS($F$5:$F140,$C$5:$C140,$C140,$B$5:$B140,"Entrada")-SUMIFS($F$5:$F140,$C$5:$C140,$C140,$B$5:$B140,"Salida"))</f>
        <v/>
      </c>
      <c r="J140" s="20"/>
      <c r="K140" s="20"/>
      <c r="L140" s="20"/>
      <c r="M140" s="14" t="str">
        <f>IF(AND($C140&lt;&gt;"",$C140=Kardex!$C$4),COUNTIF($C$5:$C140,Kardex!$C$4),"")</f>
        <v/>
      </c>
    </row>
    <row r="141" spans="1:13" x14ac:dyDescent="0.25">
      <c r="A141" s="24"/>
      <c r="B141" s="20"/>
      <c r="C141" s="20"/>
      <c r="D141" s="14" t="str">
        <f>IF($C141="","",IFERROR(INDEX(Productos!$B$5:$B$504,MATCH($C141,Productos!$A$5:$A$504,0)),"Clave no existe"))</f>
        <v/>
      </c>
      <c r="E141" s="14" t="str">
        <f>IF($C141="","",IFERROR(INDEX(Productos!$D$5:$D$504,MATCH($C141,Productos!$A$5:$A$504,0)),""))</f>
        <v/>
      </c>
      <c r="F141" s="20"/>
      <c r="G141" s="22" t="str">
        <f>IF($C141="","",IFERROR(INDEX(Productos!$F$5:$F$504,MATCH($C141,Productos!$A$5:$A$504,0)),0))</f>
        <v/>
      </c>
      <c r="H141" s="22" t="str">
        <f t="shared" si="2"/>
        <v/>
      </c>
      <c r="I141" s="14" t="str">
        <f>IF(OR($C141="",$F141=""),"",IFERROR(INDEX(Productos!$I$5:$I$504,MATCH($C141,Productos!$A$5:$A$504,0)),0)+SUMIFS($F$5:$F141,$C$5:$C141,$C141,$B$5:$B141,"Entrada")-SUMIFS($F$5:$F141,$C$5:$C141,$C141,$B$5:$B141,"Salida"))</f>
        <v/>
      </c>
      <c r="J141" s="20"/>
      <c r="K141" s="20"/>
      <c r="L141" s="20"/>
      <c r="M141" s="14" t="str">
        <f>IF(AND($C141&lt;&gt;"",$C141=Kardex!$C$4),COUNTIF($C$5:$C141,Kardex!$C$4),"")</f>
        <v/>
      </c>
    </row>
    <row r="142" spans="1:13" x14ac:dyDescent="0.25">
      <c r="A142" s="24"/>
      <c r="B142" s="20"/>
      <c r="C142" s="20"/>
      <c r="D142" s="14" t="str">
        <f>IF($C142="","",IFERROR(INDEX(Productos!$B$5:$B$504,MATCH($C142,Productos!$A$5:$A$504,0)),"Clave no existe"))</f>
        <v/>
      </c>
      <c r="E142" s="14" t="str">
        <f>IF($C142="","",IFERROR(INDEX(Productos!$D$5:$D$504,MATCH($C142,Productos!$A$5:$A$504,0)),""))</f>
        <v/>
      </c>
      <c r="F142" s="20"/>
      <c r="G142" s="22" t="str">
        <f>IF($C142="","",IFERROR(INDEX(Productos!$F$5:$F$504,MATCH($C142,Productos!$A$5:$A$504,0)),0))</f>
        <v/>
      </c>
      <c r="H142" s="22" t="str">
        <f t="shared" si="2"/>
        <v/>
      </c>
      <c r="I142" s="14" t="str">
        <f>IF(OR($C142="",$F142=""),"",IFERROR(INDEX(Productos!$I$5:$I$504,MATCH($C142,Productos!$A$5:$A$504,0)),0)+SUMIFS($F$5:$F142,$C$5:$C142,$C142,$B$5:$B142,"Entrada")-SUMIFS($F$5:$F142,$C$5:$C142,$C142,$B$5:$B142,"Salida"))</f>
        <v/>
      </c>
      <c r="J142" s="20"/>
      <c r="K142" s="20"/>
      <c r="L142" s="20"/>
      <c r="M142" s="14" t="str">
        <f>IF(AND($C142&lt;&gt;"",$C142=Kardex!$C$4),COUNTIF($C$5:$C142,Kardex!$C$4),"")</f>
        <v/>
      </c>
    </row>
    <row r="143" spans="1:13" x14ac:dyDescent="0.25">
      <c r="A143" s="24"/>
      <c r="B143" s="20"/>
      <c r="C143" s="20"/>
      <c r="D143" s="14" t="str">
        <f>IF($C143="","",IFERROR(INDEX(Productos!$B$5:$B$504,MATCH($C143,Productos!$A$5:$A$504,0)),"Clave no existe"))</f>
        <v/>
      </c>
      <c r="E143" s="14" t="str">
        <f>IF($C143="","",IFERROR(INDEX(Productos!$D$5:$D$504,MATCH($C143,Productos!$A$5:$A$504,0)),""))</f>
        <v/>
      </c>
      <c r="F143" s="20"/>
      <c r="G143" s="22" t="str">
        <f>IF($C143="","",IFERROR(INDEX(Productos!$F$5:$F$504,MATCH($C143,Productos!$A$5:$A$504,0)),0))</f>
        <v/>
      </c>
      <c r="H143" s="22" t="str">
        <f t="shared" si="2"/>
        <v/>
      </c>
      <c r="I143" s="14" t="str">
        <f>IF(OR($C143="",$F143=""),"",IFERROR(INDEX(Productos!$I$5:$I$504,MATCH($C143,Productos!$A$5:$A$504,0)),0)+SUMIFS($F$5:$F143,$C$5:$C143,$C143,$B$5:$B143,"Entrada")-SUMIFS($F$5:$F143,$C$5:$C143,$C143,$B$5:$B143,"Salida"))</f>
        <v/>
      </c>
      <c r="J143" s="20"/>
      <c r="K143" s="20"/>
      <c r="L143" s="20"/>
      <c r="M143" s="14" t="str">
        <f>IF(AND($C143&lt;&gt;"",$C143=Kardex!$C$4),COUNTIF($C$5:$C143,Kardex!$C$4),"")</f>
        <v/>
      </c>
    </row>
    <row r="144" spans="1:13" x14ac:dyDescent="0.25">
      <c r="A144" s="24"/>
      <c r="B144" s="20"/>
      <c r="C144" s="20"/>
      <c r="D144" s="14" t="str">
        <f>IF($C144="","",IFERROR(INDEX(Productos!$B$5:$B$504,MATCH($C144,Productos!$A$5:$A$504,0)),"Clave no existe"))</f>
        <v/>
      </c>
      <c r="E144" s="14" t="str">
        <f>IF($C144="","",IFERROR(INDEX(Productos!$D$5:$D$504,MATCH($C144,Productos!$A$5:$A$504,0)),""))</f>
        <v/>
      </c>
      <c r="F144" s="20"/>
      <c r="G144" s="22" t="str">
        <f>IF($C144="","",IFERROR(INDEX(Productos!$F$5:$F$504,MATCH($C144,Productos!$A$5:$A$504,0)),0))</f>
        <v/>
      </c>
      <c r="H144" s="22" t="str">
        <f t="shared" si="2"/>
        <v/>
      </c>
      <c r="I144" s="14" t="str">
        <f>IF(OR($C144="",$F144=""),"",IFERROR(INDEX(Productos!$I$5:$I$504,MATCH($C144,Productos!$A$5:$A$504,0)),0)+SUMIFS($F$5:$F144,$C$5:$C144,$C144,$B$5:$B144,"Entrada")-SUMIFS($F$5:$F144,$C$5:$C144,$C144,$B$5:$B144,"Salida"))</f>
        <v/>
      </c>
      <c r="J144" s="20"/>
      <c r="K144" s="20"/>
      <c r="L144" s="20"/>
      <c r="M144" s="14" t="str">
        <f>IF(AND($C144&lt;&gt;"",$C144=Kardex!$C$4),COUNTIF($C$5:$C144,Kardex!$C$4),"")</f>
        <v/>
      </c>
    </row>
    <row r="145" spans="1:13" x14ac:dyDescent="0.25">
      <c r="A145" s="24"/>
      <c r="B145" s="20"/>
      <c r="C145" s="20"/>
      <c r="D145" s="14" t="str">
        <f>IF($C145="","",IFERROR(INDEX(Productos!$B$5:$B$504,MATCH($C145,Productos!$A$5:$A$504,0)),"Clave no existe"))</f>
        <v/>
      </c>
      <c r="E145" s="14" t="str">
        <f>IF($C145="","",IFERROR(INDEX(Productos!$D$5:$D$504,MATCH($C145,Productos!$A$5:$A$504,0)),""))</f>
        <v/>
      </c>
      <c r="F145" s="20"/>
      <c r="G145" s="22" t="str">
        <f>IF($C145="","",IFERROR(INDEX(Productos!$F$5:$F$504,MATCH($C145,Productos!$A$5:$A$504,0)),0))</f>
        <v/>
      </c>
      <c r="H145" s="22" t="str">
        <f t="shared" si="2"/>
        <v/>
      </c>
      <c r="I145" s="14" t="str">
        <f>IF(OR($C145="",$F145=""),"",IFERROR(INDEX(Productos!$I$5:$I$504,MATCH($C145,Productos!$A$5:$A$504,0)),0)+SUMIFS($F$5:$F145,$C$5:$C145,$C145,$B$5:$B145,"Entrada")-SUMIFS($F$5:$F145,$C$5:$C145,$C145,$B$5:$B145,"Salida"))</f>
        <v/>
      </c>
      <c r="J145" s="20"/>
      <c r="K145" s="20"/>
      <c r="L145" s="20"/>
      <c r="M145" s="14" t="str">
        <f>IF(AND($C145&lt;&gt;"",$C145=Kardex!$C$4),COUNTIF($C$5:$C145,Kardex!$C$4),"")</f>
        <v/>
      </c>
    </row>
    <row r="146" spans="1:13" x14ac:dyDescent="0.25">
      <c r="A146" s="24"/>
      <c r="B146" s="20"/>
      <c r="C146" s="20"/>
      <c r="D146" s="14" t="str">
        <f>IF($C146="","",IFERROR(INDEX(Productos!$B$5:$B$504,MATCH($C146,Productos!$A$5:$A$504,0)),"Clave no existe"))</f>
        <v/>
      </c>
      <c r="E146" s="14" t="str">
        <f>IF($C146="","",IFERROR(INDEX(Productos!$D$5:$D$504,MATCH($C146,Productos!$A$5:$A$504,0)),""))</f>
        <v/>
      </c>
      <c r="F146" s="20"/>
      <c r="G146" s="22" t="str">
        <f>IF($C146="","",IFERROR(INDEX(Productos!$F$5:$F$504,MATCH($C146,Productos!$A$5:$A$504,0)),0))</f>
        <v/>
      </c>
      <c r="H146" s="22" t="str">
        <f t="shared" si="2"/>
        <v/>
      </c>
      <c r="I146" s="14" t="str">
        <f>IF(OR($C146="",$F146=""),"",IFERROR(INDEX(Productos!$I$5:$I$504,MATCH($C146,Productos!$A$5:$A$504,0)),0)+SUMIFS($F$5:$F146,$C$5:$C146,$C146,$B$5:$B146,"Entrada")-SUMIFS($F$5:$F146,$C$5:$C146,$C146,$B$5:$B146,"Salida"))</f>
        <v/>
      </c>
      <c r="J146" s="20"/>
      <c r="K146" s="20"/>
      <c r="L146" s="20"/>
      <c r="M146" s="14" t="str">
        <f>IF(AND($C146&lt;&gt;"",$C146=Kardex!$C$4),COUNTIF($C$5:$C146,Kardex!$C$4),"")</f>
        <v/>
      </c>
    </row>
    <row r="147" spans="1:13" x14ac:dyDescent="0.25">
      <c r="A147" s="24"/>
      <c r="B147" s="20"/>
      <c r="C147" s="20"/>
      <c r="D147" s="14" t="str">
        <f>IF($C147="","",IFERROR(INDEX(Productos!$B$5:$B$504,MATCH($C147,Productos!$A$5:$A$504,0)),"Clave no existe"))</f>
        <v/>
      </c>
      <c r="E147" s="14" t="str">
        <f>IF($C147="","",IFERROR(INDEX(Productos!$D$5:$D$504,MATCH($C147,Productos!$A$5:$A$504,0)),""))</f>
        <v/>
      </c>
      <c r="F147" s="20"/>
      <c r="G147" s="22" t="str">
        <f>IF($C147="","",IFERROR(INDEX(Productos!$F$5:$F$504,MATCH($C147,Productos!$A$5:$A$504,0)),0))</f>
        <v/>
      </c>
      <c r="H147" s="22" t="str">
        <f t="shared" si="2"/>
        <v/>
      </c>
      <c r="I147" s="14" t="str">
        <f>IF(OR($C147="",$F147=""),"",IFERROR(INDEX(Productos!$I$5:$I$504,MATCH($C147,Productos!$A$5:$A$504,0)),0)+SUMIFS($F$5:$F147,$C$5:$C147,$C147,$B$5:$B147,"Entrada")-SUMIFS($F$5:$F147,$C$5:$C147,$C147,$B$5:$B147,"Salida"))</f>
        <v/>
      </c>
      <c r="J147" s="20"/>
      <c r="K147" s="20"/>
      <c r="L147" s="20"/>
      <c r="M147" s="14" t="str">
        <f>IF(AND($C147&lt;&gt;"",$C147=Kardex!$C$4),COUNTIF($C$5:$C147,Kardex!$C$4),"")</f>
        <v/>
      </c>
    </row>
    <row r="148" spans="1:13" x14ac:dyDescent="0.25">
      <c r="A148" s="24"/>
      <c r="B148" s="20"/>
      <c r="C148" s="20"/>
      <c r="D148" s="14" t="str">
        <f>IF($C148="","",IFERROR(INDEX(Productos!$B$5:$B$504,MATCH($C148,Productos!$A$5:$A$504,0)),"Clave no existe"))</f>
        <v/>
      </c>
      <c r="E148" s="14" t="str">
        <f>IF($C148="","",IFERROR(INDEX(Productos!$D$5:$D$504,MATCH($C148,Productos!$A$5:$A$504,0)),""))</f>
        <v/>
      </c>
      <c r="F148" s="20"/>
      <c r="G148" s="22" t="str">
        <f>IF($C148="","",IFERROR(INDEX(Productos!$F$5:$F$504,MATCH($C148,Productos!$A$5:$A$504,0)),0))</f>
        <v/>
      </c>
      <c r="H148" s="22" t="str">
        <f t="shared" si="2"/>
        <v/>
      </c>
      <c r="I148" s="14" t="str">
        <f>IF(OR($C148="",$F148=""),"",IFERROR(INDEX(Productos!$I$5:$I$504,MATCH($C148,Productos!$A$5:$A$504,0)),0)+SUMIFS($F$5:$F148,$C$5:$C148,$C148,$B$5:$B148,"Entrada")-SUMIFS($F$5:$F148,$C$5:$C148,$C148,$B$5:$B148,"Salida"))</f>
        <v/>
      </c>
      <c r="J148" s="20"/>
      <c r="K148" s="20"/>
      <c r="L148" s="20"/>
      <c r="M148" s="14" t="str">
        <f>IF(AND($C148&lt;&gt;"",$C148=Kardex!$C$4),COUNTIF($C$5:$C148,Kardex!$C$4),"")</f>
        <v/>
      </c>
    </row>
    <row r="149" spans="1:13" x14ac:dyDescent="0.25">
      <c r="A149" s="24"/>
      <c r="B149" s="20"/>
      <c r="C149" s="20"/>
      <c r="D149" s="14" t="str">
        <f>IF($C149="","",IFERROR(INDEX(Productos!$B$5:$B$504,MATCH($C149,Productos!$A$5:$A$504,0)),"Clave no existe"))</f>
        <v/>
      </c>
      <c r="E149" s="14" t="str">
        <f>IF($C149="","",IFERROR(INDEX(Productos!$D$5:$D$504,MATCH($C149,Productos!$A$5:$A$504,0)),""))</f>
        <v/>
      </c>
      <c r="F149" s="20"/>
      <c r="G149" s="22" t="str">
        <f>IF($C149="","",IFERROR(INDEX(Productos!$F$5:$F$504,MATCH($C149,Productos!$A$5:$A$504,0)),0))</f>
        <v/>
      </c>
      <c r="H149" s="22" t="str">
        <f t="shared" si="2"/>
        <v/>
      </c>
      <c r="I149" s="14" t="str">
        <f>IF(OR($C149="",$F149=""),"",IFERROR(INDEX(Productos!$I$5:$I$504,MATCH($C149,Productos!$A$5:$A$504,0)),0)+SUMIFS($F$5:$F149,$C$5:$C149,$C149,$B$5:$B149,"Entrada")-SUMIFS($F$5:$F149,$C$5:$C149,$C149,$B$5:$B149,"Salida"))</f>
        <v/>
      </c>
      <c r="J149" s="20"/>
      <c r="K149" s="20"/>
      <c r="L149" s="20"/>
      <c r="M149" s="14" t="str">
        <f>IF(AND($C149&lt;&gt;"",$C149=Kardex!$C$4),COUNTIF($C$5:$C149,Kardex!$C$4),"")</f>
        <v/>
      </c>
    </row>
    <row r="150" spans="1:13" x14ac:dyDescent="0.25">
      <c r="A150" s="24"/>
      <c r="B150" s="20"/>
      <c r="C150" s="20"/>
      <c r="D150" s="14" t="str">
        <f>IF($C150="","",IFERROR(INDEX(Productos!$B$5:$B$504,MATCH($C150,Productos!$A$5:$A$504,0)),"Clave no existe"))</f>
        <v/>
      </c>
      <c r="E150" s="14" t="str">
        <f>IF($C150="","",IFERROR(INDEX(Productos!$D$5:$D$504,MATCH($C150,Productos!$A$5:$A$504,0)),""))</f>
        <v/>
      </c>
      <c r="F150" s="20"/>
      <c r="G150" s="22" t="str">
        <f>IF($C150="","",IFERROR(INDEX(Productos!$F$5:$F$504,MATCH($C150,Productos!$A$5:$A$504,0)),0))</f>
        <v/>
      </c>
      <c r="H150" s="22" t="str">
        <f t="shared" si="2"/>
        <v/>
      </c>
      <c r="I150" s="14" t="str">
        <f>IF(OR($C150="",$F150=""),"",IFERROR(INDEX(Productos!$I$5:$I$504,MATCH($C150,Productos!$A$5:$A$504,0)),0)+SUMIFS($F$5:$F150,$C$5:$C150,$C150,$B$5:$B150,"Entrada")-SUMIFS($F$5:$F150,$C$5:$C150,$C150,$B$5:$B150,"Salida"))</f>
        <v/>
      </c>
      <c r="J150" s="20"/>
      <c r="K150" s="20"/>
      <c r="L150" s="20"/>
      <c r="M150" s="14" t="str">
        <f>IF(AND($C150&lt;&gt;"",$C150=Kardex!$C$4),COUNTIF($C$5:$C150,Kardex!$C$4),"")</f>
        <v/>
      </c>
    </row>
    <row r="151" spans="1:13" x14ac:dyDescent="0.25">
      <c r="A151" s="24"/>
      <c r="B151" s="20"/>
      <c r="C151" s="20"/>
      <c r="D151" s="14" t="str">
        <f>IF($C151="","",IFERROR(INDEX(Productos!$B$5:$B$504,MATCH($C151,Productos!$A$5:$A$504,0)),"Clave no existe"))</f>
        <v/>
      </c>
      <c r="E151" s="14" t="str">
        <f>IF($C151="","",IFERROR(INDEX(Productos!$D$5:$D$504,MATCH($C151,Productos!$A$5:$A$504,0)),""))</f>
        <v/>
      </c>
      <c r="F151" s="20"/>
      <c r="G151" s="22" t="str">
        <f>IF($C151="","",IFERROR(INDEX(Productos!$F$5:$F$504,MATCH($C151,Productos!$A$5:$A$504,0)),0))</f>
        <v/>
      </c>
      <c r="H151" s="22" t="str">
        <f t="shared" si="2"/>
        <v/>
      </c>
      <c r="I151" s="14" t="str">
        <f>IF(OR($C151="",$F151=""),"",IFERROR(INDEX(Productos!$I$5:$I$504,MATCH($C151,Productos!$A$5:$A$504,0)),0)+SUMIFS($F$5:$F151,$C$5:$C151,$C151,$B$5:$B151,"Entrada")-SUMIFS($F$5:$F151,$C$5:$C151,$C151,$B$5:$B151,"Salida"))</f>
        <v/>
      </c>
      <c r="J151" s="20"/>
      <c r="K151" s="20"/>
      <c r="L151" s="20"/>
      <c r="M151" s="14" t="str">
        <f>IF(AND($C151&lt;&gt;"",$C151=Kardex!$C$4),COUNTIF($C$5:$C151,Kardex!$C$4),"")</f>
        <v/>
      </c>
    </row>
    <row r="152" spans="1:13" x14ac:dyDescent="0.25">
      <c r="A152" s="24"/>
      <c r="B152" s="20"/>
      <c r="C152" s="20"/>
      <c r="D152" s="14" t="str">
        <f>IF($C152="","",IFERROR(INDEX(Productos!$B$5:$B$504,MATCH($C152,Productos!$A$5:$A$504,0)),"Clave no existe"))</f>
        <v/>
      </c>
      <c r="E152" s="14" t="str">
        <f>IF($C152="","",IFERROR(INDEX(Productos!$D$5:$D$504,MATCH($C152,Productos!$A$5:$A$504,0)),""))</f>
        <v/>
      </c>
      <c r="F152" s="20"/>
      <c r="G152" s="22" t="str">
        <f>IF($C152="","",IFERROR(INDEX(Productos!$F$5:$F$504,MATCH($C152,Productos!$A$5:$A$504,0)),0))</f>
        <v/>
      </c>
      <c r="H152" s="22" t="str">
        <f t="shared" si="2"/>
        <v/>
      </c>
      <c r="I152" s="14" t="str">
        <f>IF(OR($C152="",$F152=""),"",IFERROR(INDEX(Productos!$I$5:$I$504,MATCH($C152,Productos!$A$5:$A$504,0)),0)+SUMIFS($F$5:$F152,$C$5:$C152,$C152,$B$5:$B152,"Entrada")-SUMIFS($F$5:$F152,$C$5:$C152,$C152,$B$5:$B152,"Salida"))</f>
        <v/>
      </c>
      <c r="J152" s="20"/>
      <c r="K152" s="20"/>
      <c r="L152" s="20"/>
      <c r="M152" s="14" t="str">
        <f>IF(AND($C152&lt;&gt;"",$C152=Kardex!$C$4),COUNTIF($C$5:$C152,Kardex!$C$4),"")</f>
        <v/>
      </c>
    </row>
    <row r="153" spans="1:13" x14ac:dyDescent="0.25">
      <c r="A153" s="24"/>
      <c r="B153" s="20"/>
      <c r="C153" s="20"/>
      <c r="D153" s="14" t="str">
        <f>IF($C153="","",IFERROR(INDEX(Productos!$B$5:$B$504,MATCH($C153,Productos!$A$5:$A$504,0)),"Clave no existe"))</f>
        <v/>
      </c>
      <c r="E153" s="14" t="str">
        <f>IF($C153="","",IFERROR(INDEX(Productos!$D$5:$D$504,MATCH($C153,Productos!$A$5:$A$504,0)),""))</f>
        <v/>
      </c>
      <c r="F153" s="20"/>
      <c r="G153" s="22" t="str">
        <f>IF($C153="","",IFERROR(INDEX(Productos!$F$5:$F$504,MATCH($C153,Productos!$A$5:$A$504,0)),0))</f>
        <v/>
      </c>
      <c r="H153" s="22" t="str">
        <f t="shared" si="2"/>
        <v/>
      </c>
      <c r="I153" s="14" t="str">
        <f>IF(OR($C153="",$F153=""),"",IFERROR(INDEX(Productos!$I$5:$I$504,MATCH($C153,Productos!$A$5:$A$504,0)),0)+SUMIFS($F$5:$F153,$C$5:$C153,$C153,$B$5:$B153,"Entrada")-SUMIFS($F$5:$F153,$C$5:$C153,$C153,$B$5:$B153,"Salida"))</f>
        <v/>
      </c>
      <c r="J153" s="20"/>
      <c r="K153" s="20"/>
      <c r="L153" s="20"/>
      <c r="M153" s="14" t="str">
        <f>IF(AND($C153&lt;&gt;"",$C153=Kardex!$C$4),COUNTIF($C$5:$C153,Kardex!$C$4),"")</f>
        <v/>
      </c>
    </row>
    <row r="154" spans="1:13" x14ac:dyDescent="0.25">
      <c r="A154" s="24"/>
      <c r="B154" s="20"/>
      <c r="C154" s="20"/>
      <c r="D154" s="14" t="str">
        <f>IF($C154="","",IFERROR(INDEX(Productos!$B$5:$B$504,MATCH($C154,Productos!$A$5:$A$504,0)),"Clave no existe"))</f>
        <v/>
      </c>
      <c r="E154" s="14" t="str">
        <f>IF($C154="","",IFERROR(INDEX(Productos!$D$5:$D$504,MATCH($C154,Productos!$A$5:$A$504,0)),""))</f>
        <v/>
      </c>
      <c r="F154" s="20"/>
      <c r="G154" s="22" t="str">
        <f>IF($C154="","",IFERROR(INDEX(Productos!$F$5:$F$504,MATCH($C154,Productos!$A$5:$A$504,0)),0))</f>
        <v/>
      </c>
      <c r="H154" s="22" t="str">
        <f t="shared" si="2"/>
        <v/>
      </c>
      <c r="I154" s="14" t="str">
        <f>IF(OR($C154="",$F154=""),"",IFERROR(INDEX(Productos!$I$5:$I$504,MATCH($C154,Productos!$A$5:$A$504,0)),0)+SUMIFS($F$5:$F154,$C$5:$C154,$C154,$B$5:$B154,"Entrada")-SUMIFS($F$5:$F154,$C$5:$C154,$C154,$B$5:$B154,"Salida"))</f>
        <v/>
      </c>
      <c r="J154" s="20"/>
      <c r="K154" s="20"/>
      <c r="L154" s="20"/>
      <c r="M154" s="14" t="str">
        <f>IF(AND($C154&lt;&gt;"",$C154=Kardex!$C$4),COUNTIF($C$5:$C154,Kardex!$C$4),"")</f>
        <v/>
      </c>
    </row>
    <row r="155" spans="1:13" x14ac:dyDescent="0.25">
      <c r="A155" s="24"/>
      <c r="B155" s="20"/>
      <c r="C155" s="20"/>
      <c r="D155" s="14" t="str">
        <f>IF($C155="","",IFERROR(INDEX(Productos!$B$5:$B$504,MATCH($C155,Productos!$A$5:$A$504,0)),"Clave no existe"))</f>
        <v/>
      </c>
      <c r="E155" s="14" t="str">
        <f>IF($C155="","",IFERROR(INDEX(Productos!$D$5:$D$504,MATCH($C155,Productos!$A$5:$A$504,0)),""))</f>
        <v/>
      </c>
      <c r="F155" s="20"/>
      <c r="G155" s="22" t="str">
        <f>IF($C155="","",IFERROR(INDEX(Productos!$F$5:$F$504,MATCH($C155,Productos!$A$5:$A$504,0)),0))</f>
        <v/>
      </c>
      <c r="H155" s="22" t="str">
        <f t="shared" si="2"/>
        <v/>
      </c>
      <c r="I155" s="14" t="str">
        <f>IF(OR($C155="",$F155=""),"",IFERROR(INDEX(Productos!$I$5:$I$504,MATCH($C155,Productos!$A$5:$A$504,0)),0)+SUMIFS($F$5:$F155,$C$5:$C155,$C155,$B$5:$B155,"Entrada")-SUMIFS($F$5:$F155,$C$5:$C155,$C155,$B$5:$B155,"Salida"))</f>
        <v/>
      </c>
      <c r="J155" s="20"/>
      <c r="K155" s="20"/>
      <c r="L155" s="20"/>
      <c r="M155" s="14" t="str">
        <f>IF(AND($C155&lt;&gt;"",$C155=Kardex!$C$4),COUNTIF($C$5:$C155,Kardex!$C$4),"")</f>
        <v/>
      </c>
    </row>
    <row r="156" spans="1:13" x14ac:dyDescent="0.25">
      <c r="A156" s="24"/>
      <c r="B156" s="20"/>
      <c r="C156" s="20"/>
      <c r="D156" s="14" t="str">
        <f>IF($C156="","",IFERROR(INDEX(Productos!$B$5:$B$504,MATCH($C156,Productos!$A$5:$A$504,0)),"Clave no existe"))</f>
        <v/>
      </c>
      <c r="E156" s="14" t="str">
        <f>IF($C156="","",IFERROR(INDEX(Productos!$D$5:$D$504,MATCH($C156,Productos!$A$5:$A$504,0)),""))</f>
        <v/>
      </c>
      <c r="F156" s="20"/>
      <c r="G156" s="22" t="str">
        <f>IF($C156="","",IFERROR(INDEX(Productos!$F$5:$F$504,MATCH($C156,Productos!$A$5:$A$504,0)),0))</f>
        <v/>
      </c>
      <c r="H156" s="22" t="str">
        <f t="shared" si="2"/>
        <v/>
      </c>
      <c r="I156" s="14" t="str">
        <f>IF(OR($C156="",$F156=""),"",IFERROR(INDEX(Productos!$I$5:$I$504,MATCH($C156,Productos!$A$5:$A$504,0)),0)+SUMIFS($F$5:$F156,$C$5:$C156,$C156,$B$5:$B156,"Entrada")-SUMIFS($F$5:$F156,$C$5:$C156,$C156,$B$5:$B156,"Salida"))</f>
        <v/>
      </c>
      <c r="J156" s="20"/>
      <c r="K156" s="20"/>
      <c r="L156" s="20"/>
      <c r="M156" s="14" t="str">
        <f>IF(AND($C156&lt;&gt;"",$C156=Kardex!$C$4),COUNTIF($C$5:$C156,Kardex!$C$4),"")</f>
        <v/>
      </c>
    </row>
    <row r="157" spans="1:13" x14ac:dyDescent="0.25">
      <c r="A157" s="24"/>
      <c r="B157" s="20"/>
      <c r="C157" s="20"/>
      <c r="D157" s="14" t="str">
        <f>IF($C157="","",IFERROR(INDEX(Productos!$B$5:$B$504,MATCH($C157,Productos!$A$5:$A$504,0)),"Clave no existe"))</f>
        <v/>
      </c>
      <c r="E157" s="14" t="str">
        <f>IF($C157="","",IFERROR(INDEX(Productos!$D$5:$D$504,MATCH($C157,Productos!$A$5:$A$504,0)),""))</f>
        <v/>
      </c>
      <c r="F157" s="20"/>
      <c r="G157" s="22" t="str">
        <f>IF($C157="","",IFERROR(INDEX(Productos!$F$5:$F$504,MATCH($C157,Productos!$A$5:$A$504,0)),0))</f>
        <v/>
      </c>
      <c r="H157" s="22" t="str">
        <f t="shared" si="2"/>
        <v/>
      </c>
      <c r="I157" s="14" t="str">
        <f>IF(OR($C157="",$F157=""),"",IFERROR(INDEX(Productos!$I$5:$I$504,MATCH($C157,Productos!$A$5:$A$504,0)),0)+SUMIFS($F$5:$F157,$C$5:$C157,$C157,$B$5:$B157,"Entrada")-SUMIFS($F$5:$F157,$C$5:$C157,$C157,$B$5:$B157,"Salida"))</f>
        <v/>
      </c>
      <c r="J157" s="20"/>
      <c r="K157" s="20"/>
      <c r="L157" s="20"/>
      <c r="M157" s="14" t="str">
        <f>IF(AND($C157&lt;&gt;"",$C157=Kardex!$C$4),COUNTIF($C$5:$C157,Kardex!$C$4),"")</f>
        <v/>
      </c>
    </row>
    <row r="158" spans="1:13" x14ac:dyDescent="0.25">
      <c r="A158" s="24"/>
      <c r="B158" s="20"/>
      <c r="C158" s="20"/>
      <c r="D158" s="14" t="str">
        <f>IF($C158="","",IFERROR(INDEX(Productos!$B$5:$B$504,MATCH($C158,Productos!$A$5:$A$504,0)),"Clave no existe"))</f>
        <v/>
      </c>
      <c r="E158" s="14" t="str">
        <f>IF($C158="","",IFERROR(INDEX(Productos!$D$5:$D$504,MATCH($C158,Productos!$A$5:$A$504,0)),""))</f>
        <v/>
      </c>
      <c r="F158" s="20"/>
      <c r="G158" s="22" t="str">
        <f>IF($C158="","",IFERROR(INDEX(Productos!$F$5:$F$504,MATCH($C158,Productos!$A$5:$A$504,0)),0))</f>
        <v/>
      </c>
      <c r="H158" s="22" t="str">
        <f t="shared" si="2"/>
        <v/>
      </c>
      <c r="I158" s="14" t="str">
        <f>IF(OR($C158="",$F158=""),"",IFERROR(INDEX(Productos!$I$5:$I$504,MATCH($C158,Productos!$A$5:$A$504,0)),0)+SUMIFS($F$5:$F158,$C$5:$C158,$C158,$B$5:$B158,"Entrada")-SUMIFS($F$5:$F158,$C$5:$C158,$C158,$B$5:$B158,"Salida"))</f>
        <v/>
      </c>
      <c r="J158" s="20"/>
      <c r="K158" s="20"/>
      <c r="L158" s="20"/>
      <c r="M158" s="14" t="str">
        <f>IF(AND($C158&lt;&gt;"",$C158=Kardex!$C$4),COUNTIF($C$5:$C158,Kardex!$C$4),"")</f>
        <v/>
      </c>
    </row>
    <row r="159" spans="1:13" x14ac:dyDescent="0.25">
      <c r="A159" s="24"/>
      <c r="B159" s="20"/>
      <c r="C159" s="20"/>
      <c r="D159" s="14" t="str">
        <f>IF($C159="","",IFERROR(INDEX(Productos!$B$5:$B$504,MATCH($C159,Productos!$A$5:$A$504,0)),"Clave no existe"))</f>
        <v/>
      </c>
      <c r="E159" s="14" t="str">
        <f>IF($C159="","",IFERROR(INDEX(Productos!$D$5:$D$504,MATCH($C159,Productos!$A$5:$A$504,0)),""))</f>
        <v/>
      </c>
      <c r="F159" s="20"/>
      <c r="G159" s="22" t="str">
        <f>IF($C159="","",IFERROR(INDEX(Productos!$F$5:$F$504,MATCH($C159,Productos!$A$5:$A$504,0)),0))</f>
        <v/>
      </c>
      <c r="H159" s="22" t="str">
        <f t="shared" si="2"/>
        <v/>
      </c>
      <c r="I159" s="14" t="str">
        <f>IF(OR($C159="",$F159=""),"",IFERROR(INDEX(Productos!$I$5:$I$504,MATCH($C159,Productos!$A$5:$A$504,0)),0)+SUMIFS($F$5:$F159,$C$5:$C159,$C159,$B$5:$B159,"Entrada")-SUMIFS($F$5:$F159,$C$5:$C159,$C159,$B$5:$B159,"Salida"))</f>
        <v/>
      </c>
      <c r="J159" s="20"/>
      <c r="K159" s="20"/>
      <c r="L159" s="20"/>
      <c r="M159" s="14" t="str">
        <f>IF(AND($C159&lt;&gt;"",$C159=Kardex!$C$4),COUNTIF($C$5:$C159,Kardex!$C$4),"")</f>
        <v/>
      </c>
    </row>
    <row r="160" spans="1:13" x14ac:dyDescent="0.25">
      <c r="A160" s="24"/>
      <c r="B160" s="20"/>
      <c r="C160" s="20"/>
      <c r="D160" s="14" t="str">
        <f>IF($C160="","",IFERROR(INDEX(Productos!$B$5:$B$504,MATCH($C160,Productos!$A$5:$A$504,0)),"Clave no existe"))</f>
        <v/>
      </c>
      <c r="E160" s="14" t="str">
        <f>IF($C160="","",IFERROR(INDEX(Productos!$D$5:$D$504,MATCH($C160,Productos!$A$5:$A$504,0)),""))</f>
        <v/>
      </c>
      <c r="F160" s="20"/>
      <c r="G160" s="22" t="str">
        <f>IF($C160="","",IFERROR(INDEX(Productos!$F$5:$F$504,MATCH($C160,Productos!$A$5:$A$504,0)),0))</f>
        <v/>
      </c>
      <c r="H160" s="22" t="str">
        <f t="shared" si="2"/>
        <v/>
      </c>
      <c r="I160" s="14" t="str">
        <f>IF(OR($C160="",$F160=""),"",IFERROR(INDEX(Productos!$I$5:$I$504,MATCH($C160,Productos!$A$5:$A$504,0)),0)+SUMIFS($F$5:$F160,$C$5:$C160,$C160,$B$5:$B160,"Entrada")-SUMIFS($F$5:$F160,$C$5:$C160,$C160,$B$5:$B160,"Salida"))</f>
        <v/>
      </c>
      <c r="J160" s="20"/>
      <c r="K160" s="20"/>
      <c r="L160" s="20"/>
      <c r="M160" s="14" t="str">
        <f>IF(AND($C160&lt;&gt;"",$C160=Kardex!$C$4),COUNTIF($C$5:$C160,Kardex!$C$4),"")</f>
        <v/>
      </c>
    </row>
    <row r="161" spans="1:13" x14ac:dyDescent="0.25">
      <c r="A161" s="24"/>
      <c r="B161" s="20"/>
      <c r="C161" s="20"/>
      <c r="D161" s="14" t="str">
        <f>IF($C161="","",IFERROR(INDEX(Productos!$B$5:$B$504,MATCH($C161,Productos!$A$5:$A$504,0)),"Clave no existe"))</f>
        <v/>
      </c>
      <c r="E161" s="14" t="str">
        <f>IF($C161="","",IFERROR(INDEX(Productos!$D$5:$D$504,MATCH($C161,Productos!$A$5:$A$504,0)),""))</f>
        <v/>
      </c>
      <c r="F161" s="20"/>
      <c r="G161" s="22" t="str">
        <f>IF($C161="","",IFERROR(INDEX(Productos!$F$5:$F$504,MATCH($C161,Productos!$A$5:$A$504,0)),0))</f>
        <v/>
      </c>
      <c r="H161" s="22" t="str">
        <f t="shared" si="2"/>
        <v/>
      </c>
      <c r="I161" s="14" t="str">
        <f>IF(OR($C161="",$F161=""),"",IFERROR(INDEX(Productos!$I$5:$I$504,MATCH($C161,Productos!$A$5:$A$504,0)),0)+SUMIFS($F$5:$F161,$C$5:$C161,$C161,$B$5:$B161,"Entrada")-SUMIFS($F$5:$F161,$C$5:$C161,$C161,$B$5:$B161,"Salida"))</f>
        <v/>
      </c>
      <c r="J161" s="20"/>
      <c r="K161" s="20"/>
      <c r="L161" s="20"/>
      <c r="M161" s="14" t="str">
        <f>IF(AND($C161&lt;&gt;"",$C161=Kardex!$C$4),COUNTIF($C$5:$C161,Kardex!$C$4),"")</f>
        <v/>
      </c>
    </row>
    <row r="162" spans="1:13" x14ac:dyDescent="0.25">
      <c r="A162" s="24"/>
      <c r="B162" s="20"/>
      <c r="C162" s="20"/>
      <c r="D162" s="14" t="str">
        <f>IF($C162="","",IFERROR(INDEX(Productos!$B$5:$B$504,MATCH($C162,Productos!$A$5:$A$504,0)),"Clave no existe"))</f>
        <v/>
      </c>
      <c r="E162" s="14" t="str">
        <f>IF($C162="","",IFERROR(INDEX(Productos!$D$5:$D$504,MATCH($C162,Productos!$A$5:$A$504,0)),""))</f>
        <v/>
      </c>
      <c r="F162" s="20"/>
      <c r="G162" s="22" t="str">
        <f>IF($C162="","",IFERROR(INDEX(Productos!$F$5:$F$504,MATCH($C162,Productos!$A$5:$A$504,0)),0))</f>
        <v/>
      </c>
      <c r="H162" s="22" t="str">
        <f t="shared" si="2"/>
        <v/>
      </c>
      <c r="I162" s="14" t="str">
        <f>IF(OR($C162="",$F162=""),"",IFERROR(INDEX(Productos!$I$5:$I$504,MATCH($C162,Productos!$A$5:$A$504,0)),0)+SUMIFS($F$5:$F162,$C$5:$C162,$C162,$B$5:$B162,"Entrada")-SUMIFS($F$5:$F162,$C$5:$C162,$C162,$B$5:$B162,"Salida"))</f>
        <v/>
      </c>
      <c r="J162" s="20"/>
      <c r="K162" s="20"/>
      <c r="L162" s="20"/>
      <c r="M162" s="14" t="str">
        <f>IF(AND($C162&lt;&gt;"",$C162=Kardex!$C$4),COUNTIF($C$5:$C162,Kardex!$C$4),"")</f>
        <v/>
      </c>
    </row>
    <row r="163" spans="1:13" x14ac:dyDescent="0.25">
      <c r="A163" s="24"/>
      <c r="B163" s="20"/>
      <c r="C163" s="20"/>
      <c r="D163" s="14" t="str">
        <f>IF($C163="","",IFERROR(INDEX(Productos!$B$5:$B$504,MATCH($C163,Productos!$A$5:$A$504,0)),"Clave no existe"))</f>
        <v/>
      </c>
      <c r="E163" s="14" t="str">
        <f>IF($C163="","",IFERROR(INDEX(Productos!$D$5:$D$504,MATCH($C163,Productos!$A$5:$A$504,0)),""))</f>
        <v/>
      </c>
      <c r="F163" s="20"/>
      <c r="G163" s="22" t="str">
        <f>IF($C163="","",IFERROR(INDEX(Productos!$F$5:$F$504,MATCH($C163,Productos!$A$5:$A$504,0)),0))</f>
        <v/>
      </c>
      <c r="H163" s="22" t="str">
        <f t="shared" si="2"/>
        <v/>
      </c>
      <c r="I163" s="14" t="str">
        <f>IF(OR($C163="",$F163=""),"",IFERROR(INDEX(Productos!$I$5:$I$504,MATCH($C163,Productos!$A$5:$A$504,0)),0)+SUMIFS($F$5:$F163,$C$5:$C163,$C163,$B$5:$B163,"Entrada")-SUMIFS($F$5:$F163,$C$5:$C163,$C163,$B$5:$B163,"Salida"))</f>
        <v/>
      </c>
      <c r="J163" s="20"/>
      <c r="K163" s="20"/>
      <c r="L163" s="20"/>
      <c r="M163" s="14" t="str">
        <f>IF(AND($C163&lt;&gt;"",$C163=Kardex!$C$4),COUNTIF($C$5:$C163,Kardex!$C$4),"")</f>
        <v/>
      </c>
    </row>
    <row r="164" spans="1:13" x14ac:dyDescent="0.25">
      <c r="A164" s="24"/>
      <c r="B164" s="20"/>
      <c r="C164" s="20"/>
      <c r="D164" s="14" t="str">
        <f>IF($C164="","",IFERROR(INDEX(Productos!$B$5:$B$504,MATCH($C164,Productos!$A$5:$A$504,0)),"Clave no existe"))</f>
        <v/>
      </c>
      <c r="E164" s="14" t="str">
        <f>IF($C164="","",IFERROR(INDEX(Productos!$D$5:$D$504,MATCH($C164,Productos!$A$5:$A$504,0)),""))</f>
        <v/>
      </c>
      <c r="F164" s="20"/>
      <c r="G164" s="22" t="str">
        <f>IF($C164="","",IFERROR(INDEX(Productos!$F$5:$F$504,MATCH($C164,Productos!$A$5:$A$504,0)),0))</f>
        <v/>
      </c>
      <c r="H164" s="22" t="str">
        <f t="shared" si="2"/>
        <v/>
      </c>
      <c r="I164" s="14" t="str">
        <f>IF(OR($C164="",$F164=""),"",IFERROR(INDEX(Productos!$I$5:$I$504,MATCH($C164,Productos!$A$5:$A$504,0)),0)+SUMIFS($F$5:$F164,$C$5:$C164,$C164,$B$5:$B164,"Entrada")-SUMIFS($F$5:$F164,$C$5:$C164,$C164,$B$5:$B164,"Salida"))</f>
        <v/>
      </c>
      <c r="J164" s="20"/>
      <c r="K164" s="20"/>
      <c r="L164" s="20"/>
      <c r="M164" s="14" t="str">
        <f>IF(AND($C164&lt;&gt;"",$C164=Kardex!$C$4),COUNTIF($C$5:$C164,Kardex!$C$4),"")</f>
        <v/>
      </c>
    </row>
    <row r="165" spans="1:13" x14ac:dyDescent="0.25">
      <c r="A165" s="24"/>
      <c r="B165" s="20"/>
      <c r="C165" s="20"/>
      <c r="D165" s="14" t="str">
        <f>IF($C165="","",IFERROR(INDEX(Productos!$B$5:$B$504,MATCH($C165,Productos!$A$5:$A$504,0)),"Clave no existe"))</f>
        <v/>
      </c>
      <c r="E165" s="14" t="str">
        <f>IF($C165="","",IFERROR(INDEX(Productos!$D$5:$D$504,MATCH($C165,Productos!$A$5:$A$504,0)),""))</f>
        <v/>
      </c>
      <c r="F165" s="20"/>
      <c r="G165" s="22" t="str">
        <f>IF($C165="","",IFERROR(INDEX(Productos!$F$5:$F$504,MATCH($C165,Productos!$A$5:$A$504,0)),0))</f>
        <v/>
      </c>
      <c r="H165" s="22" t="str">
        <f t="shared" si="2"/>
        <v/>
      </c>
      <c r="I165" s="14" t="str">
        <f>IF(OR($C165="",$F165=""),"",IFERROR(INDEX(Productos!$I$5:$I$504,MATCH($C165,Productos!$A$5:$A$504,0)),0)+SUMIFS($F$5:$F165,$C$5:$C165,$C165,$B$5:$B165,"Entrada")-SUMIFS($F$5:$F165,$C$5:$C165,$C165,$B$5:$B165,"Salida"))</f>
        <v/>
      </c>
      <c r="J165" s="20"/>
      <c r="K165" s="20"/>
      <c r="L165" s="20"/>
      <c r="M165" s="14" t="str">
        <f>IF(AND($C165&lt;&gt;"",$C165=Kardex!$C$4),COUNTIF($C$5:$C165,Kardex!$C$4),"")</f>
        <v/>
      </c>
    </row>
    <row r="166" spans="1:13" x14ac:dyDescent="0.25">
      <c r="A166" s="24"/>
      <c r="B166" s="20"/>
      <c r="C166" s="20"/>
      <c r="D166" s="14" t="str">
        <f>IF($C166="","",IFERROR(INDEX(Productos!$B$5:$B$504,MATCH($C166,Productos!$A$5:$A$504,0)),"Clave no existe"))</f>
        <v/>
      </c>
      <c r="E166" s="14" t="str">
        <f>IF($C166="","",IFERROR(INDEX(Productos!$D$5:$D$504,MATCH($C166,Productos!$A$5:$A$504,0)),""))</f>
        <v/>
      </c>
      <c r="F166" s="20"/>
      <c r="G166" s="22" t="str">
        <f>IF($C166="","",IFERROR(INDEX(Productos!$F$5:$F$504,MATCH($C166,Productos!$A$5:$A$504,0)),0))</f>
        <v/>
      </c>
      <c r="H166" s="22" t="str">
        <f t="shared" si="2"/>
        <v/>
      </c>
      <c r="I166" s="14" t="str">
        <f>IF(OR($C166="",$F166=""),"",IFERROR(INDEX(Productos!$I$5:$I$504,MATCH($C166,Productos!$A$5:$A$504,0)),0)+SUMIFS($F$5:$F166,$C$5:$C166,$C166,$B$5:$B166,"Entrada")-SUMIFS($F$5:$F166,$C$5:$C166,$C166,$B$5:$B166,"Salida"))</f>
        <v/>
      </c>
      <c r="J166" s="20"/>
      <c r="K166" s="20"/>
      <c r="L166" s="20"/>
      <c r="M166" s="14" t="str">
        <f>IF(AND($C166&lt;&gt;"",$C166=Kardex!$C$4),COUNTIF($C$5:$C166,Kardex!$C$4),"")</f>
        <v/>
      </c>
    </row>
    <row r="167" spans="1:13" x14ac:dyDescent="0.25">
      <c r="A167" s="24"/>
      <c r="B167" s="20"/>
      <c r="C167" s="20"/>
      <c r="D167" s="14" t="str">
        <f>IF($C167="","",IFERROR(INDEX(Productos!$B$5:$B$504,MATCH($C167,Productos!$A$5:$A$504,0)),"Clave no existe"))</f>
        <v/>
      </c>
      <c r="E167" s="14" t="str">
        <f>IF($C167="","",IFERROR(INDEX(Productos!$D$5:$D$504,MATCH($C167,Productos!$A$5:$A$504,0)),""))</f>
        <v/>
      </c>
      <c r="F167" s="20"/>
      <c r="G167" s="22" t="str">
        <f>IF($C167="","",IFERROR(INDEX(Productos!$F$5:$F$504,MATCH($C167,Productos!$A$5:$A$504,0)),0))</f>
        <v/>
      </c>
      <c r="H167" s="22" t="str">
        <f t="shared" si="2"/>
        <v/>
      </c>
      <c r="I167" s="14" t="str">
        <f>IF(OR($C167="",$F167=""),"",IFERROR(INDEX(Productos!$I$5:$I$504,MATCH($C167,Productos!$A$5:$A$504,0)),0)+SUMIFS($F$5:$F167,$C$5:$C167,$C167,$B$5:$B167,"Entrada")-SUMIFS($F$5:$F167,$C$5:$C167,$C167,$B$5:$B167,"Salida"))</f>
        <v/>
      </c>
      <c r="J167" s="20"/>
      <c r="K167" s="20"/>
      <c r="L167" s="20"/>
      <c r="M167" s="14" t="str">
        <f>IF(AND($C167&lt;&gt;"",$C167=Kardex!$C$4),COUNTIF($C$5:$C167,Kardex!$C$4),"")</f>
        <v/>
      </c>
    </row>
    <row r="168" spans="1:13" x14ac:dyDescent="0.25">
      <c r="A168" s="24"/>
      <c r="B168" s="20"/>
      <c r="C168" s="20"/>
      <c r="D168" s="14" t="str">
        <f>IF($C168="","",IFERROR(INDEX(Productos!$B$5:$B$504,MATCH($C168,Productos!$A$5:$A$504,0)),"Clave no existe"))</f>
        <v/>
      </c>
      <c r="E168" s="14" t="str">
        <f>IF($C168="","",IFERROR(INDEX(Productos!$D$5:$D$504,MATCH($C168,Productos!$A$5:$A$504,0)),""))</f>
        <v/>
      </c>
      <c r="F168" s="20"/>
      <c r="G168" s="22" t="str">
        <f>IF($C168="","",IFERROR(INDEX(Productos!$F$5:$F$504,MATCH($C168,Productos!$A$5:$A$504,0)),0))</f>
        <v/>
      </c>
      <c r="H168" s="22" t="str">
        <f t="shared" si="2"/>
        <v/>
      </c>
      <c r="I168" s="14" t="str">
        <f>IF(OR($C168="",$F168=""),"",IFERROR(INDEX(Productos!$I$5:$I$504,MATCH($C168,Productos!$A$5:$A$504,0)),0)+SUMIFS($F$5:$F168,$C$5:$C168,$C168,$B$5:$B168,"Entrada")-SUMIFS($F$5:$F168,$C$5:$C168,$C168,$B$5:$B168,"Salida"))</f>
        <v/>
      </c>
      <c r="J168" s="20"/>
      <c r="K168" s="20"/>
      <c r="L168" s="20"/>
      <c r="M168" s="14" t="str">
        <f>IF(AND($C168&lt;&gt;"",$C168=Kardex!$C$4),COUNTIF($C$5:$C168,Kardex!$C$4),"")</f>
        <v/>
      </c>
    </row>
    <row r="169" spans="1:13" x14ac:dyDescent="0.25">
      <c r="A169" s="24"/>
      <c r="B169" s="20"/>
      <c r="C169" s="20"/>
      <c r="D169" s="14" t="str">
        <f>IF($C169="","",IFERROR(INDEX(Productos!$B$5:$B$504,MATCH($C169,Productos!$A$5:$A$504,0)),"Clave no existe"))</f>
        <v/>
      </c>
      <c r="E169" s="14" t="str">
        <f>IF($C169="","",IFERROR(INDEX(Productos!$D$5:$D$504,MATCH($C169,Productos!$A$5:$A$504,0)),""))</f>
        <v/>
      </c>
      <c r="F169" s="20"/>
      <c r="G169" s="22" t="str">
        <f>IF($C169="","",IFERROR(INDEX(Productos!$F$5:$F$504,MATCH($C169,Productos!$A$5:$A$504,0)),0))</f>
        <v/>
      </c>
      <c r="H169" s="22" t="str">
        <f t="shared" si="2"/>
        <v/>
      </c>
      <c r="I169" s="14" t="str">
        <f>IF(OR($C169="",$F169=""),"",IFERROR(INDEX(Productos!$I$5:$I$504,MATCH($C169,Productos!$A$5:$A$504,0)),0)+SUMIFS($F$5:$F169,$C$5:$C169,$C169,$B$5:$B169,"Entrada")-SUMIFS($F$5:$F169,$C$5:$C169,$C169,$B$5:$B169,"Salida"))</f>
        <v/>
      </c>
      <c r="J169" s="20"/>
      <c r="K169" s="20"/>
      <c r="L169" s="20"/>
      <c r="M169" s="14" t="str">
        <f>IF(AND($C169&lt;&gt;"",$C169=Kardex!$C$4),COUNTIF($C$5:$C169,Kardex!$C$4),"")</f>
        <v/>
      </c>
    </row>
    <row r="170" spans="1:13" x14ac:dyDescent="0.25">
      <c r="A170" s="24"/>
      <c r="B170" s="20"/>
      <c r="C170" s="20"/>
      <c r="D170" s="14" t="str">
        <f>IF($C170="","",IFERROR(INDEX(Productos!$B$5:$B$504,MATCH($C170,Productos!$A$5:$A$504,0)),"Clave no existe"))</f>
        <v/>
      </c>
      <c r="E170" s="14" t="str">
        <f>IF($C170="","",IFERROR(INDEX(Productos!$D$5:$D$504,MATCH($C170,Productos!$A$5:$A$504,0)),""))</f>
        <v/>
      </c>
      <c r="F170" s="20"/>
      <c r="G170" s="22" t="str">
        <f>IF($C170="","",IFERROR(INDEX(Productos!$F$5:$F$504,MATCH($C170,Productos!$A$5:$A$504,0)),0))</f>
        <v/>
      </c>
      <c r="H170" s="22" t="str">
        <f t="shared" si="2"/>
        <v/>
      </c>
      <c r="I170" s="14" t="str">
        <f>IF(OR($C170="",$F170=""),"",IFERROR(INDEX(Productos!$I$5:$I$504,MATCH($C170,Productos!$A$5:$A$504,0)),0)+SUMIFS($F$5:$F170,$C$5:$C170,$C170,$B$5:$B170,"Entrada")-SUMIFS($F$5:$F170,$C$5:$C170,$C170,$B$5:$B170,"Salida"))</f>
        <v/>
      </c>
      <c r="J170" s="20"/>
      <c r="K170" s="20"/>
      <c r="L170" s="20"/>
      <c r="M170" s="14" t="str">
        <f>IF(AND($C170&lt;&gt;"",$C170=Kardex!$C$4),COUNTIF($C$5:$C170,Kardex!$C$4),"")</f>
        <v/>
      </c>
    </row>
    <row r="171" spans="1:13" x14ac:dyDescent="0.25">
      <c r="A171" s="24"/>
      <c r="B171" s="20"/>
      <c r="C171" s="20"/>
      <c r="D171" s="14" t="str">
        <f>IF($C171="","",IFERROR(INDEX(Productos!$B$5:$B$504,MATCH($C171,Productos!$A$5:$A$504,0)),"Clave no existe"))</f>
        <v/>
      </c>
      <c r="E171" s="14" t="str">
        <f>IF($C171="","",IFERROR(INDEX(Productos!$D$5:$D$504,MATCH($C171,Productos!$A$5:$A$504,0)),""))</f>
        <v/>
      </c>
      <c r="F171" s="20"/>
      <c r="G171" s="22" t="str">
        <f>IF($C171="","",IFERROR(INDEX(Productos!$F$5:$F$504,MATCH($C171,Productos!$A$5:$A$504,0)),0))</f>
        <v/>
      </c>
      <c r="H171" s="22" t="str">
        <f t="shared" si="2"/>
        <v/>
      </c>
      <c r="I171" s="14" t="str">
        <f>IF(OR($C171="",$F171=""),"",IFERROR(INDEX(Productos!$I$5:$I$504,MATCH($C171,Productos!$A$5:$A$504,0)),0)+SUMIFS($F$5:$F171,$C$5:$C171,$C171,$B$5:$B171,"Entrada")-SUMIFS($F$5:$F171,$C$5:$C171,$C171,$B$5:$B171,"Salida"))</f>
        <v/>
      </c>
      <c r="J171" s="20"/>
      <c r="K171" s="20"/>
      <c r="L171" s="20"/>
      <c r="M171" s="14" t="str">
        <f>IF(AND($C171&lt;&gt;"",$C171=Kardex!$C$4),COUNTIF($C$5:$C171,Kardex!$C$4),"")</f>
        <v/>
      </c>
    </row>
    <row r="172" spans="1:13" x14ac:dyDescent="0.25">
      <c r="A172" s="24"/>
      <c r="B172" s="20"/>
      <c r="C172" s="20"/>
      <c r="D172" s="14" t="str">
        <f>IF($C172="","",IFERROR(INDEX(Productos!$B$5:$B$504,MATCH($C172,Productos!$A$5:$A$504,0)),"Clave no existe"))</f>
        <v/>
      </c>
      <c r="E172" s="14" t="str">
        <f>IF($C172="","",IFERROR(INDEX(Productos!$D$5:$D$504,MATCH($C172,Productos!$A$5:$A$504,0)),""))</f>
        <v/>
      </c>
      <c r="F172" s="20"/>
      <c r="G172" s="22" t="str">
        <f>IF($C172="","",IFERROR(INDEX(Productos!$F$5:$F$504,MATCH($C172,Productos!$A$5:$A$504,0)),0))</f>
        <v/>
      </c>
      <c r="H172" s="22" t="str">
        <f t="shared" si="2"/>
        <v/>
      </c>
      <c r="I172" s="14" t="str">
        <f>IF(OR($C172="",$F172=""),"",IFERROR(INDEX(Productos!$I$5:$I$504,MATCH($C172,Productos!$A$5:$A$504,0)),0)+SUMIFS($F$5:$F172,$C$5:$C172,$C172,$B$5:$B172,"Entrada")-SUMIFS($F$5:$F172,$C$5:$C172,$C172,$B$5:$B172,"Salida"))</f>
        <v/>
      </c>
      <c r="J172" s="20"/>
      <c r="K172" s="20"/>
      <c r="L172" s="20"/>
      <c r="M172" s="14" t="str">
        <f>IF(AND($C172&lt;&gt;"",$C172=Kardex!$C$4),COUNTIF($C$5:$C172,Kardex!$C$4),"")</f>
        <v/>
      </c>
    </row>
    <row r="173" spans="1:13" x14ac:dyDescent="0.25">
      <c r="A173" s="24"/>
      <c r="B173" s="20"/>
      <c r="C173" s="20"/>
      <c r="D173" s="14" t="str">
        <f>IF($C173="","",IFERROR(INDEX(Productos!$B$5:$B$504,MATCH($C173,Productos!$A$5:$A$504,0)),"Clave no existe"))</f>
        <v/>
      </c>
      <c r="E173" s="14" t="str">
        <f>IF($C173="","",IFERROR(INDEX(Productos!$D$5:$D$504,MATCH($C173,Productos!$A$5:$A$504,0)),""))</f>
        <v/>
      </c>
      <c r="F173" s="20"/>
      <c r="G173" s="22" t="str">
        <f>IF($C173="","",IFERROR(INDEX(Productos!$F$5:$F$504,MATCH($C173,Productos!$A$5:$A$504,0)),0))</f>
        <v/>
      </c>
      <c r="H173" s="22" t="str">
        <f t="shared" si="2"/>
        <v/>
      </c>
      <c r="I173" s="14" t="str">
        <f>IF(OR($C173="",$F173=""),"",IFERROR(INDEX(Productos!$I$5:$I$504,MATCH($C173,Productos!$A$5:$A$504,0)),0)+SUMIFS($F$5:$F173,$C$5:$C173,$C173,$B$5:$B173,"Entrada")-SUMIFS($F$5:$F173,$C$5:$C173,$C173,$B$5:$B173,"Salida"))</f>
        <v/>
      </c>
      <c r="J173" s="20"/>
      <c r="K173" s="20"/>
      <c r="L173" s="20"/>
      <c r="M173" s="14" t="str">
        <f>IF(AND($C173&lt;&gt;"",$C173=Kardex!$C$4),COUNTIF($C$5:$C173,Kardex!$C$4),"")</f>
        <v/>
      </c>
    </row>
    <row r="174" spans="1:13" x14ac:dyDescent="0.25">
      <c r="A174" s="24"/>
      <c r="B174" s="20"/>
      <c r="C174" s="20"/>
      <c r="D174" s="14" t="str">
        <f>IF($C174="","",IFERROR(INDEX(Productos!$B$5:$B$504,MATCH($C174,Productos!$A$5:$A$504,0)),"Clave no existe"))</f>
        <v/>
      </c>
      <c r="E174" s="14" t="str">
        <f>IF($C174="","",IFERROR(INDEX(Productos!$D$5:$D$504,MATCH($C174,Productos!$A$5:$A$504,0)),""))</f>
        <v/>
      </c>
      <c r="F174" s="20"/>
      <c r="G174" s="22" t="str">
        <f>IF($C174="","",IFERROR(INDEX(Productos!$F$5:$F$504,MATCH($C174,Productos!$A$5:$A$504,0)),0))</f>
        <v/>
      </c>
      <c r="H174" s="22" t="str">
        <f t="shared" si="2"/>
        <v/>
      </c>
      <c r="I174" s="14" t="str">
        <f>IF(OR($C174="",$F174=""),"",IFERROR(INDEX(Productos!$I$5:$I$504,MATCH($C174,Productos!$A$5:$A$504,0)),0)+SUMIFS($F$5:$F174,$C$5:$C174,$C174,$B$5:$B174,"Entrada")-SUMIFS($F$5:$F174,$C$5:$C174,$C174,$B$5:$B174,"Salida"))</f>
        <v/>
      </c>
      <c r="J174" s="20"/>
      <c r="K174" s="20"/>
      <c r="L174" s="20"/>
      <c r="M174" s="14" t="str">
        <f>IF(AND($C174&lt;&gt;"",$C174=Kardex!$C$4),COUNTIF($C$5:$C174,Kardex!$C$4),"")</f>
        <v/>
      </c>
    </row>
    <row r="175" spans="1:13" x14ac:dyDescent="0.25">
      <c r="A175" s="24"/>
      <c r="B175" s="20"/>
      <c r="C175" s="20"/>
      <c r="D175" s="14" t="str">
        <f>IF($C175="","",IFERROR(INDEX(Productos!$B$5:$B$504,MATCH($C175,Productos!$A$5:$A$504,0)),"Clave no existe"))</f>
        <v/>
      </c>
      <c r="E175" s="14" t="str">
        <f>IF($C175="","",IFERROR(INDEX(Productos!$D$5:$D$504,MATCH($C175,Productos!$A$5:$A$504,0)),""))</f>
        <v/>
      </c>
      <c r="F175" s="20"/>
      <c r="G175" s="22" t="str">
        <f>IF($C175="","",IFERROR(INDEX(Productos!$F$5:$F$504,MATCH($C175,Productos!$A$5:$A$504,0)),0))</f>
        <v/>
      </c>
      <c r="H175" s="22" t="str">
        <f t="shared" si="2"/>
        <v/>
      </c>
      <c r="I175" s="14" t="str">
        <f>IF(OR($C175="",$F175=""),"",IFERROR(INDEX(Productos!$I$5:$I$504,MATCH($C175,Productos!$A$5:$A$504,0)),0)+SUMIFS($F$5:$F175,$C$5:$C175,$C175,$B$5:$B175,"Entrada")-SUMIFS($F$5:$F175,$C$5:$C175,$C175,$B$5:$B175,"Salida"))</f>
        <v/>
      </c>
      <c r="J175" s="20"/>
      <c r="K175" s="20"/>
      <c r="L175" s="20"/>
      <c r="M175" s="14" t="str">
        <f>IF(AND($C175&lt;&gt;"",$C175=Kardex!$C$4),COUNTIF($C$5:$C175,Kardex!$C$4),"")</f>
        <v/>
      </c>
    </row>
    <row r="176" spans="1:13" x14ac:dyDescent="0.25">
      <c r="A176" s="24"/>
      <c r="B176" s="20"/>
      <c r="C176" s="20"/>
      <c r="D176" s="14" t="str">
        <f>IF($C176="","",IFERROR(INDEX(Productos!$B$5:$B$504,MATCH($C176,Productos!$A$5:$A$504,0)),"Clave no existe"))</f>
        <v/>
      </c>
      <c r="E176" s="14" t="str">
        <f>IF($C176="","",IFERROR(INDEX(Productos!$D$5:$D$504,MATCH($C176,Productos!$A$5:$A$504,0)),""))</f>
        <v/>
      </c>
      <c r="F176" s="20"/>
      <c r="G176" s="22" t="str">
        <f>IF($C176="","",IFERROR(INDEX(Productos!$F$5:$F$504,MATCH($C176,Productos!$A$5:$A$504,0)),0))</f>
        <v/>
      </c>
      <c r="H176" s="22" t="str">
        <f t="shared" si="2"/>
        <v/>
      </c>
      <c r="I176" s="14" t="str">
        <f>IF(OR($C176="",$F176=""),"",IFERROR(INDEX(Productos!$I$5:$I$504,MATCH($C176,Productos!$A$5:$A$504,0)),0)+SUMIFS($F$5:$F176,$C$5:$C176,$C176,$B$5:$B176,"Entrada")-SUMIFS($F$5:$F176,$C$5:$C176,$C176,$B$5:$B176,"Salida"))</f>
        <v/>
      </c>
      <c r="J176" s="20"/>
      <c r="K176" s="20"/>
      <c r="L176" s="20"/>
      <c r="M176" s="14" t="str">
        <f>IF(AND($C176&lt;&gt;"",$C176=Kardex!$C$4),COUNTIF($C$5:$C176,Kardex!$C$4),"")</f>
        <v/>
      </c>
    </row>
    <row r="177" spans="1:13" x14ac:dyDescent="0.25">
      <c r="A177" s="24"/>
      <c r="B177" s="20"/>
      <c r="C177" s="20"/>
      <c r="D177" s="14" t="str">
        <f>IF($C177="","",IFERROR(INDEX(Productos!$B$5:$B$504,MATCH($C177,Productos!$A$5:$A$504,0)),"Clave no existe"))</f>
        <v/>
      </c>
      <c r="E177" s="14" t="str">
        <f>IF($C177="","",IFERROR(INDEX(Productos!$D$5:$D$504,MATCH($C177,Productos!$A$5:$A$504,0)),""))</f>
        <v/>
      </c>
      <c r="F177" s="20"/>
      <c r="G177" s="22" t="str">
        <f>IF($C177="","",IFERROR(INDEX(Productos!$F$5:$F$504,MATCH($C177,Productos!$A$5:$A$504,0)),0))</f>
        <v/>
      </c>
      <c r="H177" s="22" t="str">
        <f t="shared" si="2"/>
        <v/>
      </c>
      <c r="I177" s="14" t="str">
        <f>IF(OR($C177="",$F177=""),"",IFERROR(INDEX(Productos!$I$5:$I$504,MATCH($C177,Productos!$A$5:$A$504,0)),0)+SUMIFS($F$5:$F177,$C$5:$C177,$C177,$B$5:$B177,"Entrada")-SUMIFS($F$5:$F177,$C$5:$C177,$C177,$B$5:$B177,"Salida"))</f>
        <v/>
      </c>
      <c r="J177" s="20"/>
      <c r="K177" s="20"/>
      <c r="L177" s="20"/>
      <c r="M177" s="14" t="str">
        <f>IF(AND($C177&lt;&gt;"",$C177=Kardex!$C$4),COUNTIF($C$5:$C177,Kardex!$C$4),"")</f>
        <v/>
      </c>
    </row>
    <row r="178" spans="1:13" x14ac:dyDescent="0.25">
      <c r="A178" s="24"/>
      <c r="B178" s="20"/>
      <c r="C178" s="20"/>
      <c r="D178" s="14" t="str">
        <f>IF($C178="","",IFERROR(INDEX(Productos!$B$5:$B$504,MATCH($C178,Productos!$A$5:$A$504,0)),"Clave no existe"))</f>
        <v/>
      </c>
      <c r="E178" s="14" t="str">
        <f>IF($C178="","",IFERROR(INDEX(Productos!$D$5:$D$504,MATCH($C178,Productos!$A$5:$A$504,0)),""))</f>
        <v/>
      </c>
      <c r="F178" s="20"/>
      <c r="G178" s="22" t="str">
        <f>IF($C178="","",IFERROR(INDEX(Productos!$F$5:$F$504,MATCH($C178,Productos!$A$5:$A$504,0)),0))</f>
        <v/>
      </c>
      <c r="H178" s="22" t="str">
        <f t="shared" si="2"/>
        <v/>
      </c>
      <c r="I178" s="14" t="str">
        <f>IF(OR($C178="",$F178=""),"",IFERROR(INDEX(Productos!$I$5:$I$504,MATCH($C178,Productos!$A$5:$A$504,0)),0)+SUMIFS($F$5:$F178,$C$5:$C178,$C178,$B$5:$B178,"Entrada")-SUMIFS($F$5:$F178,$C$5:$C178,$C178,$B$5:$B178,"Salida"))</f>
        <v/>
      </c>
      <c r="J178" s="20"/>
      <c r="K178" s="20"/>
      <c r="L178" s="20"/>
      <c r="M178" s="14" t="str">
        <f>IF(AND($C178&lt;&gt;"",$C178=Kardex!$C$4),COUNTIF($C$5:$C178,Kardex!$C$4),"")</f>
        <v/>
      </c>
    </row>
    <row r="179" spans="1:13" x14ac:dyDescent="0.25">
      <c r="A179" s="24"/>
      <c r="B179" s="20"/>
      <c r="C179" s="20"/>
      <c r="D179" s="14" t="str">
        <f>IF($C179="","",IFERROR(INDEX(Productos!$B$5:$B$504,MATCH($C179,Productos!$A$5:$A$504,0)),"Clave no existe"))</f>
        <v/>
      </c>
      <c r="E179" s="14" t="str">
        <f>IF($C179="","",IFERROR(INDEX(Productos!$D$5:$D$504,MATCH($C179,Productos!$A$5:$A$504,0)),""))</f>
        <v/>
      </c>
      <c r="F179" s="20"/>
      <c r="G179" s="22" t="str">
        <f>IF($C179="","",IFERROR(INDEX(Productos!$F$5:$F$504,MATCH($C179,Productos!$A$5:$A$504,0)),0))</f>
        <v/>
      </c>
      <c r="H179" s="22" t="str">
        <f t="shared" si="2"/>
        <v/>
      </c>
      <c r="I179" s="14" t="str">
        <f>IF(OR($C179="",$F179=""),"",IFERROR(INDEX(Productos!$I$5:$I$504,MATCH($C179,Productos!$A$5:$A$504,0)),0)+SUMIFS($F$5:$F179,$C$5:$C179,$C179,$B$5:$B179,"Entrada")-SUMIFS($F$5:$F179,$C$5:$C179,$C179,$B$5:$B179,"Salida"))</f>
        <v/>
      </c>
      <c r="J179" s="20"/>
      <c r="K179" s="20"/>
      <c r="L179" s="20"/>
      <c r="M179" s="14" t="str">
        <f>IF(AND($C179&lt;&gt;"",$C179=Kardex!$C$4),COUNTIF($C$5:$C179,Kardex!$C$4),"")</f>
        <v/>
      </c>
    </row>
    <row r="180" spans="1:13" x14ac:dyDescent="0.25">
      <c r="A180" s="24"/>
      <c r="B180" s="20"/>
      <c r="C180" s="20"/>
      <c r="D180" s="14" t="str">
        <f>IF($C180="","",IFERROR(INDEX(Productos!$B$5:$B$504,MATCH($C180,Productos!$A$5:$A$504,0)),"Clave no existe"))</f>
        <v/>
      </c>
      <c r="E180" s="14" t="str">
        <f>IF($C180="","",IFERROR(INDEX(Productos!$D$5:$D$504,MATCH($C180,Productos!$A$5:$A$504,0)),""))</f>
        <v/>
      </c>
      <c r="F180" s="20"/>
      <c r="G180" s="22" t="str">
        <f>IF($C180="","",IFERROR(INDEX(Productos!$F$5:$F$504,MATCH($C180,Productos!$A$5:$A$504,0)),0))</f>
        <v/>
      </c>
      <c r="H180" s="22" t="str">
        <f t="shared" si="2"/>
        <v/>
      </c>
      <c r="I180" s="14" t="str">
        <f>IF(OR($C180="",$F180=""),"",IFERROR(INDEX(Productos!$I$5:$I$504,MATCH($C180,Productos!$A$5:$A$504,0)),0)+SUMIFS($F$5:$F180,$C$5:$C180,$C180,$B$5:$B180,"Entrada")-SUMIFS($F$5:$F180,$C$5:$C180,$C180,$B$5:$B180,"Salida"))</f>
        <v/>
      </c>
      <c r="J180" s="20"/>
      <c r="K180" s="20"/>
      <c r="L180" s="20"/>
      <c r="M180" s="14" t="str">
        <f>IF(AND($C180&lt;&gt;"",$C180=Kardex!$C$4),COUNTIF($C$5:$C180,Kardex!$C$4),"")</f>
        <v/>
      </c>
    </row>
    <row r="181" spans="1:13" x14ac:dyDescent="0.25">
      <c r="A181" s="24"/>
      <c r="B181" s="20"/>
      <c r="C181" s="20"/>
      <c r="D181" s="14" t="str">
        <f>IF($C181="","",IFERROR(INDEX(Productos!$B$5:$B$504,MATCH($C181,Productos!$A$5:$A$504,0)),"Clave no existe"))</f>
        <v/>
      </c>
      <c r="E181" s="14" t="str">
        <f>IF($C181="","",IFERROR(INDEX(Productos!$D$5:$D$504,MATCH($C181,Productos!$A$5:$A$504,0)),""))</f>
        <v/>
      </c>
      <c r="F181" s="20"/>
      <c r="G181" s="22" t="str">
        <f>IF($C181="","",IFERROR(INDEX(Productos!$F$5:$F$504,MATCH($C181,Productos!$A$5:$A$504,0)),0))</f>
        <v/>
      </c>
      <c r="H181" s="22" t="str">
        <f t="shared" si="2"/>
        <v/>
      </c>
      <c r="I181" s="14" t="str">
        <f>IF(OR($C181="",$F181=""),"",IFERROR(INDEX(Productos!$I$5:$I$504,MATCH($C181,Productos!$A$5:$A$504,0)),0)+SUMIFS($F$5:$F181,$C$5:$C181,$C181,$B$5:$B181,"Entrada")-SUMIFS($F$5:$F181,$C$5:$C181,$C181,$B$5:$B181,"Salida"))</f>
        <v/>
      </c>
      <c r="J181" s="20"/>
      <c r="K181" s="20"/>
      <c r="L181" s="20"/>
      <c r="M181" s="14" t="str">
        <f>IF(AND($C181&lt;&gt;"",$C181=Kardex!$C$4),COUNTIF($C$5:$C181,Kardex!$C$4),"")</f>
        <v/>
      </c>
    </row>
    <row r="182" spans="1:13" x14ac:dyDescent="0.25">
      <c r="A182" s="24"/>
      <c r="B182" s="20"/>
      <c r="C182" s="20"/>
      <c r="D182" s="14" t="str">
        <f>IF($C182="","",IFERROR(INDEX(Productos!$B$5:$B$504,MATCH($C182,Productos!$A$5:$A$504,0)),"Clave no existe"))</f>
        <v/>
      </c>
      <c r="E182" s="14" t="str">
        <f>IF($C182="","",IFERROR(INDEX(Productos!$D$5:$D$504,MATCH($C182,Productos!$A$5:$A$504,0)),""))</f>
        <v/>
      </c>
      <c r="F182" s="20"/>
      <c r="G182" s="22" t="str">
        <f>IF($C182="","",IFERROR(INDEX(Productos!$F$5:$F$504,MATCH($C182,Productos!$A$5:$A$504,0)),0))</f>
        <v/>
      </c>
      <c r="H182" s="22" t="str">
        <f t="shared" si="2"/>
        <v/>
      </c>
      <c r="I182" s="14" t="str">
        <f>IF(OR($C182="",$F182=""),"",IFERROR(INDEX(Productos!$I$5:$I$504,MATCH($C182,Productos!$A$5:$A$504,0)),0)+SUMIFS($F$5:$F182,$C$5:$C182,$C182,$B$5:$B182,"Entrada")-SUMIFS($F$5:$F182,$C$5:$C182,$C182,$B$5:$B182,"Salida"))</f>
        <v/>
      </c>
      <c r="J182" s="20"/>
      <c r="K182" s="20"/>
      <c r="L182" s="20"/>
      <c r="M182" s="14" t="str">
        <f>IF(AND($C182&lt;&gt;"",$C182=Kardex!$C$4),COUNTIF($C$5:$C182,Kardex!$C$4),"")</f>
        <v/>
      </c>
    </row>
    <row r="183" spans="1:13" x14ac:dyDescent="0.25">
      <c r="A183" s="24"/>
      <c r="B183" s="20"/>
      <c r="C183" s="20"/>
      <c r="D183" s="14" t="str">
        <f>IF($C183="","",IFERROR(INDEX(Productos!$B$5:$B$504,MATCH($C183,Productos!$A$5:$A$504,0)),"Clave no existe"))</f>
        <v/>
      </c>
      <c r="E183" s="14" t="str">
        <f>IF($C183="","",IFERROR(INDEX(Productos!$D$5:$D$504,MATCH($C183,Productos!$A$5:$A$504,0)),""))</f>
        <v/>
      </c>
      <c r="F183" s="20"/>
      <c r="G183" s="22" t="str">
        <f>IF($C183="","",IFERROR(INDEX(Productos!$F$5:$F$504,MATCH($C183,Productos!$A$5:$A$504,0)),0))</f>
        <v/>
      </c>
      <c r="H183" s="22" t="str">
        <f t="shared" si="2"/>
        <v/>
      </c>
      <c r="I183" s="14" t="str">
        <f>IF(OR($C183="",$F183=""),"",IFERROR(INDEX(Productos!$I$5:$I$504,MATCH($C183,Productos!$A$5:$A$504,0)),0)+SUMIFS($F$5:$F183,$C$5:$C183,$C183,$B$5:$B183,"Entrada")-SUMIFS($F$5:$F183,$C$5:$C183,$C183,$B$5:$B183,"Salida"))</f>
        <v/>
      </c>
      <c r="J183" s="20"/>
      <c r="K183" s="20"/>
      <c r="L183" s="20"/>
      <c r="M183" s="14" t="str">
        <f>IF(AND($C183&lt;&gt;"",$C183=Kardex!$C$4),COUNTIF($C$5:$C183,Kardex!$C$4),"")</f>
        <v/>
      </c>
    </row>
    <row r="184" spans="1:13" x14ac:dyDescent="0.25">
      <c r="A184" s="24"/>
      <c r="B184" s="20"/>
      <c r="C184" s="20"/>
      <c r="D184" s="14" t="str">
        <f>IF($C184="","",IFERROR(INDEX(Productos!$B$5:$B$504,MATCH($C184,Productos!$A$5:$A$504,0)),"Clave no existe"))</f>
        <v/>
      </c>
      <c r="E184" s="14" t="str">
        <f>IF($C184="","",IFERROR(INDEX(Productos!$D$5:$D$504,MATCH($C184,Productos!$A$5:$A$504,0)),""))</f>
        <v/>
      </c>
      <c r="F184" s="20"/>
      <c r="G184" s="22" t="str">
        <f>IF($C184="","",IFERROR(INDEX(Productos!$F$5:$F$504,MATCH($C184,Productos!$A$5:$A$504,0)),0))</f>
        <v/>
      </c>
      <c r="H184" s="22" t="str">
        <f t="shared" si="2"/>
        <v/>
      </c>
      <c r="I184" s="14" t="str">
        <f>IF(OR($C184="",$F184=""),"",IFERROR(INDEX(Productos!$I$5:$I$504,MATCH($C184,Productos!$A$5:$A$504,0)),0)+SUMIFS($F$5:$F184,$C$5:$C184,$C184,$B$5:$B184,"Entrada")-SUMIFS($F$5:$F184,$C$5:$C184,$C184,$B$5:$B184,"Salida"))</f>
        <v/>
      </c>
      <c r="J184" s="20"/>
      <c r="K184" s="20"/>
      <c r="L184" s="20"/>
      <c r="M184" s="14" t="str">
        <f>IF(AND($C184&lt;&gt;"",$C184=Kardex!$C$4),COUNTIF($C$5:$C184,Kardex!$C$4),"")</f>
        <v/>
      </c>
    </row>
    <row r="185" spans="1:13" x14ac:dyDescent="0.25">
      <c r="A185" s="24"/>
      <c r="B185" s="20"/>
      <c r="C185" s="20"/>
      <c r="D185" s="14" t="str">
        <f>IF($C185="","",IFERROR(INDEX(Productos!$B$5:$B$504,MATCH($C185,Productos!$A$5:$A$504,0)),"Clave no existe"))</f>
        <v/>
      </c>
      <c r="E185" s="14" t="str">
        <f>IF($C185="","",IFERROR(INDEX(Productos!$D$5:$D$504,MATCH($C185,Productos!$A$5:$A$504,0)),""))</f>
        <v/>
      </c>
      <c r="F185" s="20"/>
      <c r="G185" s="22" t="str">
        <f>IF($C185="","",IFERROR(INDEX(Productos!$F$5:$F$504,MATCH($C185,Productos!$A$5:$A$504,0)),0))</f>
        <v/>
      </c>
      <c r="H185" s="22" t="str">
        <f t="shared" si="2"/>
        <v/>
      </c>
      <c r="I185" s="14" t="str">
        <f>IF(OR($C185="",$F185=""),"",IFERROR(INDEX(Productos!$I$5:$I$504,MATCH($C185,Productos!$A$5:$A$504,0)),0)+SUMIFS($F$5:$F185,$C$5:$C185,$C185,$B$5:$B185,"Entrada")-SUMIFS($F$5:$F185,$C$5:$C185,$C185,$B$5:$B185,"Salida"))</f>
        <v/>
      </c>
      <c r="J185" s="20"/>
      <c r="K185" s="20"/>
      <c r="L185" s="20"/>
      <c r="M185" s="14" t="str">
        <f>IF(AND($C185&lt;&gt;"",$C185=Kardex!$C$4),COUNTIF($C$5:$C185,Kardex!$C$4),"")</f>
        <v/>
      </c>
    </row>
    <row r="186" spans="1:13" x14ac:dyDescent="0.25">
      <c r="A186" s="24"/>
      <c r="B186" s="20"/>
      <c r="C186" s="20"/>
      <c r="D186" s="14" t="str">
        <f>IF($C186="","",IFERROR(INDEX(Productos!$B$5:$B$504,MATCH($C186,Productos!$A$5:$A$504,0)),"Clave no existe"))</f>
        <v/>
      </c>
      <c r="E186" s="14" t="str">
        <f>IF($C186="","",IFERROR(INDEX(Productos!$D$5:$D$504,MATCH($C186,Productos!$A$5:$A$504,0)),""))</f>
        <v/>
      </c>
      <c r="F186" s="20"/>
      <c r="G186" s="22" t="str">
        <f>IF($C186="","",IFERROR(INDEX(Productos!$F$5:$F$504,MATCH($C186,Productos!$A$5:$A$504,0)),0))</f>
        <v/>
      </c>
      <c r="H186" s="22" t="str">
        <f t="shared" si="2"/>
        <v/>
      </c>
      <c r="I186" s="14" t="str">
        <f>IF(OR($C186="",$F186=""),"",IFERROR(INDEX(Productos!$I$5:$I$504,MATCH($C186,Productos!$A$5:$A$504,0)),0)+SUMIFS($F$5:$F186,$C$5:$C186,$C186,$B$5:$B186,"Entrada")-SUMIFS($F$5:$F186,$C$5:$C186,$C186,$B$5:$B186,"Salida"))</f>
        <v/>
      </c>
      <c r="J186" s="20"/>
      <c r="K186" s="20"/>
      <c r="L186" s="20"/>
      <c r="M186" s="14" t="str">
        <f>IF(AND($C186&lt;&gt;"",$C186=Kardex!$C$4),COUNTIF($C$5:$C186,Kardex!$C$4),"")</f>
        <v/>
      </c>
    </row>
    <row r="187" spans="1:13" x14ac:dyDescent="0.25">
      <c r="A187" s="24"/>
      <c r="B187" s="20"/>
      <c r="C187" s="20"/>
      <c r="D187" s="14" t="str">
        <f>IF($C187="","",IFERROR(INDEX(Productos!$B$5:$B$504,MATCH($C187,Productos!$A$5:$A$504,0)),"Clave no existe"))</f>
        <v/>
      </c>
      <c r="E187" s="14" t="str">
        <f>IF($C187="","",IFERROR(INDEX(Productos!$D$5:$D$504,MATCH($C187,Productos!$A$5:$A$504,0)),""))</f>
        <v/>
      </c>
      <c r="F187" s="20"/>
      <c r="G187" s="22" t="str">
        <f>IF($C187="","",IFERROR(INDEX(Productos!$F$5:$F$504,MATCH($C187,Productos!$A$5:$A$504,0)),0))</f>
        <v/>
      </c>
      <c r="H187" s="22" t="str">
        <f t="shared" si="2"/>
        <v/>
      </c>
      <c r="I187" s="14" t="str">
        <f>IF(OR($C187="",$F187=""),"",IFERROR(INDEX(Productos!$I$5:$I$504,MATCH($C187,Productos!$A$5:$A$504,0)),0)+SUMIFS($F$5:$F187,$C$5:$C187,$C187,$B$5:$B187,"Entrada")-SUMIFS($F$5:$F187,$C$5:$C187,$C187,$B$5:$B187,"Salida"))</f>
        <v/>
      </c>
      <c r="J187" s="20"/>
      <c r="K187" s="20"/>
      <c r="L187" s="20"/>
      <c r="M187" s="14" t="str">
        <f>IF(AND($C187&lt;&gt;"",$C187=Kardex!$C$4),COUNTIF($C$5:$C187,Kardex!$C$4),"")</f>
        <v/>
      </c>
    </row>
    <row r="188" spans="1:13" x14ac:dyDescent="0.25">
      <c r="A188" s="24"/>
      <c r="B188" s="20"/>
      <c r="C188" s="20"/>
      <c r="D188" s="14" t="str">
        <f>IF($C188="","",IFERROR(INDEX(Productos!$B$5:$B$504,MATCH($C188,Productos!$A$5:$A$504,0)),"Clave no existe"))</f>
        <v/>
      </c>
      <c r="E188" s="14" t="str">
        <f>IF($C188="","",IFERROR(INDEX(Productos!$D$5:$D$504,MATCH($C188,Productos!$A$5:$A$504,0)),""))</f>
        <v/>
      </c>
      <c r="F188" s="20"/>
      <c r="G188" s="22" t="str">
        <f>IF($C188="","",IFERROR(INDEX(Productos!$F$5:$F$504,MATCH($C188,Productos!$A$5:$A$504,0)),0))</f>
        <v/>
      </c>
      <c r="H188" s="22" t="str">
        <f t="shared" si="2"/>
        <v/>
      </c>
      <c r="I188" s="14" t="str">
        <f>IF(OR($C188="",$F188=""),"",IFERROR(INDEX(Productos!$I$5:$I$504,MATCH($C188,Productos!$A$5:$A$504,0)),0)+SUMIFS($F$5:$F188,$C$5:$C188,$C188,$B$5:$B188,"Entrada")-SUMIFS($F$5:$F188,$C$5:$C188,$C188,$B$5:$B188,"Salida"))</f>
        <v/>
      </c>
      <c r="J188" s="20"/>
      <c r="K188" s="20"/>
      <c r="L188" s="20"/>
      <c r="M188" s="14" t="str">
        <f>IF(AND($C188&lt;&gt;"",$C188=Kardex!$C$4),COUNTIF($C$5:$C188,Kardex!$C$4),"")</f>
        <v/>
      </c>
    </row>
    <row r="189" spans="1:13" x14ac:dyDescent="0.25">
      <c r="A189" s="24"/>
      <c r="B189" s="20"/>
      <c r="C189" s="20"/>
      <c r="D189" s="14" t="str">
        <f>IF($C189="","",IFERROR(INDEX(Productos!$B$5:$B$504,MATCH($C189,Productos!$A$5:$A$504,0)),"Clave no existe"))</f>
        <v/>
      </c>
      <c r="E189" s="14" t="str">
        <f>IF($C189="","",IFERROR(INDEX(Productos!$D$5:$D$504,MATCH($C189,Productos!$A$5:$A$504,0)),""))</f>
        <v/>
      </c>
      <c r="F189" s="20"/>
      <c r="G189" s="22" t="str">
        <f>IF($C189="","",IFERROR(INDEX(Productos!$F$5:$F$504,MATCH($C189,Productos!$A$5:$A$504,0)),0))</f>
        <v/>
      </c>
      <c r="H189" s="22" t="str">
        <f t="shared" si="2"/>
        <v/>
      </c>
      <c r="I189" s="14" t="str">
        <f>IF(OR($C189="",$F189=""),"",IFERROR(INDEX(Productos!$I$5:$I$504,MATCH($C189,Productos!$A$5:$A$504,0)),0)+SUMIFS($F$5:$F189,$C$5:$C189,$C189,$B$5:$B189,"Entrada")-SUMIFS($F$5:$F189,$C$5:$C189,$C189,$B$5:$B189,"Salida"))</f>
        <v/>
      </c>
      <c r="J189" s="20"/>
      <c r="K189" s="20"/>
      <c r="L189" s="20"/>
      <c r="M189" s="14" t="str">
        <f>IF(AND($C189&lt;&gt;"",$C189=Kardex!$C$4),COUNTIF($C$5:$C189,Kardex!$C$4),"")</f>
        <v/>
      </c>
    </row>
    <row r="190" spans="1:13" x14ac:dyDescent="0.25">
      <c r="A190" s="24"/>
      <c r="B190" s="20"/>
      <c r="C190" s="20"/>
      <c r="D190" s="14" t="str">
        <f>IF($C190="","",IFERROR(INDEX(Productos!$B$5:$B$504,MATCH($C190,Productos!$A$5:$A$504,0)),"Clave no existe"))</f>
        <v/>
      </c>
      <c r="E190" s="14" t="str">
        <f>IF($C190="","",IFERROR(INDEX(Productos!$D$5:$D$504,MATCH($C190,Productos!$A$5:$A$504,0)),""))</f>
        <v/>
      </c>
      <c r="F190" s="20"/>
      <c r="G190" s="22" t="str">
        <f>IF($C190="","",IFERROR(INDEX(Productos!$F$5:$F$504,MATCH($C190,Productos!$A$5:$A$504,0)),0))</f>
        <v/>
      </c>
      <c r="H190" s="22" t="str">
        <f t="shared" si="2"/>
        <v/>
      </c>
      <c r="I190" s="14" t="str">
        <f>IF(OR($C190="",$F190=""),"",IFERROR(INDEX(Productos!$I$5:$I$504,MATCH($C190,Productos!$A$5:$A$504,0)),0)+SUMIFS($F$5:$F190,$C$5:$C190,$C190,$B$5:$B190,"Entrada")-SUMIFS($F$5:$F190,$C$5:$C190,$C190,$B$5:$B190,"Salida"))</f>
        <v/>
      </c>
      <c r="J190" s="20"/>
      <c r="K190" s="20"/>
      <c r="L190" s="20"/>
      <c r="M190" s="14" t="str">
        <f>IF(AND($C190&lt;&gt;"",$C190=Kardex!$C$4),COUNTIF($C$5:$C190,Kardex!$C$4),"")</f>
        <v/>
      </c>
    </row>
    <row r="191" spans="1:13" x14ac:dyDescent="0.25">
      <c r="A191" s="24"/>
      <c r="B191" s="20"/>
      <c r="C191" s="20"/>
      <c r="D191" s="14" t="str">
        <f>IF($C191="","",IFERROR(INDEX(Productos!$B$5:$B$504,MATCH($C191,Productos!$A$5:$A$504,0)),"Clave no existe"))</f>
        <v/>
      </c>
      <c r="E191" s="14" t="str">
        <f>IF($C191="","",IFERROR(INDEX(Productos!$D$5:$D$504,MATCH($C191,Productos!$A$5:$A$504,0)),""))</f>
        <v/>
      </c>
      <c r="F191" s="20"/>
      <c r="G191" s="22" t="str">
        <f>IF($C191="","",IFERROR(INDEX(Productos!$F$5:$F$504,MATCH($C191,Productos!$A$5:$A$504,0)),0))</f>
        <v/>
      </c>
      <c r="H191" s="22" t="str">
        <f t="shared" si="2"/>
        <v/>
      </c>
      <c r="I191" s="14" t="str">
        <f>IF(OR($C191="",$F191=""),"",IFERROR(INDEX(Productos!$I$5:$I$504,MATCH($C191,Productos!$A$5:$A$504,0)),0)+SUMIFS($F$5:$F191,$C$5:$C191,$C191,$B$5:$B191,"Entrada")-SUMIFS($F$5:$F191,$C$5:$C191,$C191,$B$5:$B191,"Salida"))</f>
        <v/>
      </c>
      <c r="J191" s="20"/>
      <c r="K191" s="20"/>
      <c r="L191" s="20"/>
      <c r="M191" s="14" t="str">
        <f>IF(AND($C191&lt;&gt;"",$C191=Kardex!$C$4),COUNTIF($C$5:$C191,Kardex!$C$4),"")</f>
        <v/>
      </c>
    </row>
    <row r="192" spans="1:13" x14ac:dyDescent="0.25">
      <c r="A192" s="24"/>
      <c r="B192" s="20"/>
      <c r="C192" s="20"/>
      <c r="D192" s="14" t="str">
        <f>IF($C192="","",IFERROR(INDEX(Productos!$B$5:$B$504,MATCH($C192,Productos!$A$5:$A$504,0)),"Clave no existe"))</f>
        <v/>
      </c>
      <c r="E192" s="14" t="str">
        <f>IF($C192="","",IFERROR(INDEX(Productos!$D$5:$D$504,MATCH($C192,Productos!$A$5:$A$504,0)),""))</f>
        <v/>
      </c>
      <c r="F192" s="20"/>
      <c r="G192" s="22" t="str">
        <f>IF($C192="","",IFERROR(INDEX(Productos!$F$5:$F$504,MATCH($C192,Productos!$A$5:$A$504,0)),0))</f>
        <v/>
      </c>
      <c r="H192" s="22" t="str">
        <f t="shared" si="2"/>
        <v/>
      </c>
      <c r="I192" s="14" t="str">
        <f>IF(OR($C192="",$F192=""),"",IFERROR(INDEX(Productos!$I$5:$I$504,MATCH($C192,Productos!$A$5:$A$504,0)),0)+SUMIFS($F$5:$F192,$C$5:$C192,$C192,$B$5:$B192,"Entrada")-SUMIFS($F$5:$F192,$C$5:$C192,$C192,$B$5:$B192,"Salida"))</f>
        <v/>
      </c>
      <c r="J192" s="20"/>
      <c r="K192" s="20"/>
      <c r="L192" s="20"/>
      <c r="M192" s="14" t="str">
        <f>IF(AND($C192&lt;&gt;"",$C192=Kardex!$C$4),COUNTIF($C$5:$C192,Kardex!$C$4),"")</f>
        <v/>
      </c>
    </row>
    <row r="193" spans="1:13" x14ac:dyDescent="0.25">
      <c r="A193" s="24"/>
      <c r="B193" s="20"/>
      <c r="C193" s="20"/>
      <c r="D193" s="14" t="str">
        <f>IF($C193="","",IFERROR(INDEX(Productos!$B$5:$B$504,MATCH($C193,Productos!$A$5:$A$504,0)),"Clave no existe"))</f>
        <v/>
      </c>
      <c r="E193" s="14" t="str">
        <f>IF($C193="","",IFERROR(INDEX(Productos!$D$5:$D$504,MATCH($C193,Productos!$A$5:$A$504,0)),""))</f>
        <v/>
      </c>
      <c r="F193" s="20"/>
      <c r="G193" s="22" t="str">
        <f>IF($C193="","",IFERROR(INDEX(Productos!$F$5:$F$504,MATCH($C193,Productos!$A$5:$A$504,0)),0))</f>
        <v/>
      </c>
      <c r="H193" s="22" t="str">
        <f t="shared" si="2"/>
        <v/>
      </c>
      <c r="I193" s="14" t="str">
        <f>IF(OR($C193="",$F193=""),"",IFERROR(INDEX(Productos!$I$5:$I$504,MATCH($C193,Productos!$A$5:$A$504,0)),0)+SUMIFS($F$5:$F193,$C$5:$C193,$C193,$B$5:$B193,"Entrada")-SUMIFS($F$5:$F193,$C$5:$C193,$C193,$B$5:$B193,"Salida"))</f>
        <v/>
      </c>
      <c r="J193" s="20"/>
      <c r="K193" s="20"/>
      <c r="L193" s="20"/>
      <c r="M193" s="14" t="str">
        <f>IF(AND($C193&lt;&gt;"",$C193=Kardex!$C$4),COUNTIF($C$5:$C193,Kardex!$C$4),"")</f>
        <v/>
      </c>
    </row>
    <row r="194" spans="1:13" x14ac:dyDescent="0.25">
      <c r="A194" s="24"/>
      <c r="B194" s="20"/>
      <c r="C194" s="20"/>
      <c r="D194" s="14" t="str">
        <f>IF($C194="","",IFERROR(INDEX(Productos!$B$5:$B$504,MATCH($C194,Productos!$A$5:$A$504,0)),"Clave no existe"))</f>
        <v/>
      </c>
      <c r="E194" s="14" t="str">
        <f>IF($C194="","",IFERROR(INDEX(Productos!$D$5:$D$504,MATCH($C194,Productos!$A$5:$A$504,0)),""))</f>
        <v/>
      </c>
      <c r="F194" s="20"/>
      <c r="G194" s="22" t="str">
        <f>IF($C194="","",IFERROR(INDEX(Productos!$F$5:$F$504,MATCH($C194,Productos!$A$5:$A$504,0)),0))</f>
        <v/>
      </c>
      <c r="H194" s="22" t="str">
        <f t="shared" si="2"/>
        <v/>
      </c>
      <c r="I194" s="14" t="str">
        <f>IF(OR($C194="",$F194=""),"",IFERROR(INDEX(Productos!$I$5:$I$504,MATCH($C194,Productos!$A$5:$A$504,0)),0)+SUMIFS($F$5:$F194,$C$5:$C194,$C194,$B$5:$B194,"Entrada")-SUMIFS($F$5:$F194,$C$5:$C194,$C194,$B$5:$B194,"Salida"))</f>
        <v/>
      </c>
      <c r="J194" s="20"/>
      <c r="K194" s="20"/>
      <c r="L194" s="20"/>
      <c r="M194" s="14" t="str">
        <f>IF(AND($C194&lt;&gt;"",$C194=Kardex!$C$4),COUNTIF($C$5:$C194,Kardex!$C$4),"")</f>
        <v/>
      </c>
    </row>
    <row r="195" spans="1:13" x14ac:dyDescent="0.25">
      <c r="A195" s="24"/>
      <c r="B195" s="20"/>
      <c r="C195" s="20"/>
      <c r="D195" s="14" t="str">
        <f>IF($C195="","",IFERROR(INDEX(Productos!$B$5:$B$504,MATCH($C195,Productos!$A$5:$A$504,0)),"Clave no existe"))</f>
        <v/>
      </c>
      <c r="E195" s="14" t="str">
        <f>IF($C195="","",IFERROR(INDEX(Productos!$D$5:$D$504,MATCH($C195,Productos!$A$5:$A$504,0)),""))</f>
        <v/>
      </c>
      <c r="F195" s="20"/>
      <c r="G195" s="22" t="str">
        <f>IF($C195="","",IFERROR(INDEX(Productos!$F$5:$F$504,MATCH($C195,Productos!$A$5:$A$504,0)),0))</f>
        <v/>
      </c>
      <c r="H195" s="22" t="str">
        <f t="shared" si="2"/>
        <v/>
      </c>
      <c r="I195" s="14" t="str">
        <f>IF(OR($C195="",$F195=""),"",IFERROR(INDEX(Productos!$I$5:$I$504,MATCH($C195,Productos!$A$5:$A$504,0)),0)+SUMIFS($F$5:$F195,$C$5:$C195,$C195,$B$5:$B195,"Entrada")-SUMIFS($F$5:$F195,$C$5:$C195,$C195,$B$5:$B195,"Salida"))</f>
        <v/>
      </c>
      <c r="J195" s="20"/>
      <c r="K195" s="20"/>
      <c r="L195" s="20"/>
      <c r="M195" s="14" t="str">
        <f>IF(AND($C195&lt;&gt;"",$C195=Kardex!$C$4),COUNTIF($C$5:$C195,Kardex!$C$4),"")</f>
        <v/>
      </c>
    </row>
    <row r="196" spans="1:13" x14ac:dyDescent="0.25">
      <c r="A196" s="24"/>
      <c r="B196" s="20"/>
      <c r="C196" s="20"/>
      <c r="D196" s="14" t="str">
        <f>IF($C196="","",IFERROR(INDEX(Productos!$B$5:$B$504,MATCH($C196,Productos!$A$5:$A$504,0)),"Clave no existe"))</f>
        <v/>
      </c>
      <c r="E196" s="14" t="str">
        <f>IF($C196="","",IFERROR(INDEX(Productos!$D$5:$D$504,MATCH($C196,Productos!$A$5:$A$504,0)),""))</f>
        <v/>
      </c>
      <c r="F196" s="20"/>
      <c r="G196" s="22" t="str">
        <f>IF($C196="","",IFERROR(INDEX(Productos!$F$5:$F$504,MATCH($C196,Productos!$A$5:$A$504,0)),0))</f>
        <v/>
      </c>
      <c r="H196" s="22" t="str">
        <f t="shared" si="2"/>
        <v/>
      </c>
      <c r="I196" s="14" t="str">
        <f>IF(OR($C196="",$F196=""),"",IFERROR(INDEX(Productos!$I$5:$I$504,MATCH($C196,Productos!$A$5:$A$504,0)),0)+SUMIFS($F$5:$F196,$C$5:$C196,$C196,$B$5:$B196,"Entrada")-SUMIFS($F$5:$F196,$C$5:$C196,$C196,$B$5:$B196,"Salida"))</f>
        <v/>
      </c>
      <c r="J196" s="20"/>
      <c r="K196" s="20"/>
      <c r="L196" s="20"/>
      <c r="M196" s="14" t="str">
        <f>IF(AND($C196&lt;&gt;"",$C196=Kardex!$C$4),COUNTIF($C$5:$C196,Kardex!$C$4),"")</f>
        <v/>
      </c>
    </row>
    <row r="197" spans="1:13" x14ac:dyDescent="0.25">
      <c r="A197" s="24"/>
      <c r="B197" s="20"/>
      <c r="C197" s="20"/>
      <c r="D197" s="14" t="str">
        <f>IF($C197="","",IFERROR(INDEX(Productos!$B$5:$B$504,MATCH($C197,Productos!$A$5:$A$504,0)),"Clave no existe"))</f>
        <v/>
      </c>
      <c r="E197" s="14" t="str">
        <f>IF($C197="","",IFERROR(INDEX(Productos!$D$5:$D$504,MATCH($C197,Productos!$A$5:$A$504,0)),""))</f>
        <v/>
      </c>
      <c r="F197" s="20"/>
      <c r="G197" s="22" t="str">
        <f>IF($C197="","",IFERROR(INDEX(Productos!$F$5:$F$504,MATCH($C197,Productos!$A$5:$A$504,0)),0))</f>
        <v/>
      </c>
      <c r="H197" s="22" t="str">
        <f t="shared" ref="H197:H260" si="3">IF(OR($C197="",$F197=""),"",F197*G197)</f>
        <v/>
      </c>
      <c r="I197" s="14" t="str">
        <f>IF(OR($C197="",$F197=""),"",IFERROR(INDEX(Productos!$I$5:$I$504,MATCH($C197,Productos!$A$5:$A$504,0)),0)+SUMIFS($F$5:$F197,$C$5:$C197,$C197,$B$5:$B197,"Entrada")-SUMIFS($F$5:$F197,$C$5:$C197,$C197,$B$5:$B197,"Salida"))</f>
        <v/>
      </c>
      <c r="J197" s="20"/>
      <c r="K197" s="20"/>
      <c r="L197" s="20"/>
      <c r="M197" s="14" t="str">
        <f>IF(AND($C197&lt;&gt;"",$C197=Kardex!$C$4),COUNTIF($C$5:$C197,Kardex!$C$4),"")</f>
        <v/>
      </c>
    </row>
    <row r="198" spans="1:13" x14ac:dyDescent="0.25">
      <c r="A198" s="24"/>
      <c r="B198" s="20"/>
      <c r="C198" s="20"/>
      <c r="D198" s="14" t="str">
        <f>IF($C198="","",IFERROR(INDEX(Productos!$B$5:$B$504,MATCH($C198,Productos!$A$5:$A$504,0)),"Clave no existe"))</f>
        <v/>
      </c>
      <c r="E198" s="14" t="str">
        <f>IF($C198="","",IFERROR(INDEX(Productos!$D$5:$D$504,MATCH($C198,Productos!$A$5:$A$504,0)),""))</f>
        <v/>
      </c>
      <c r="F198" s="20"/>
      <c r="G198" s="22" t="str">
        <f>IF($C198="","",IFERROR(INDEX(Productos!$F$5:$F$504,MATCH($C198,Productos!$A$5:$A$504,0)),0))</f>
        <v/>
      </c>
      <c r="H198" s="22" t="str">
        <f t="shared" si="3"/>
        <v/>
      </c>
      <c r="I198" s="14" t="str">
        <f>IF(OR($C198="",$F198=""),"",IFERROR(INDEX(Productos!$I$5:$I$504,MATCH($C198,Productos!$A$5:$A$504,0)),0)+SUMIFS($F$5:$F198,$C$5:$C198,$C198,$B$5:$B198,"Entrada")-SUMIFS($F$5:$F198,$C$5:$C198,$C198,$B$5:$B198,"Salida"))</f>
        <v/>
      </c>
      <c r="J198" s="20"/>
      <c r="K198" s="20"/>
      <c r="L198" s="20"/>
      <c r="M198" s="14" t="str">
        <f>IF(AND($C198&lt;&gt;"",$C198=Kardex!$C$4),COUNTIF($C$5:$C198,Kardex!$C$4),"")</f>
        <v/>
      </c>
    </row>
    <row r="199" spans="1:13" x14ac:dyDescent="0.25">
      <c r="A199" s="24"/>
      <c r="B199" s="20"/>
      <c r="C199" s="20"/>
      <c r="D199" s="14" t="str">
        <f>IF($C199="","",IFERROR(INDEX(Productos!$B$5:$B$504,MATCH($C199,Productos!$A$5:$A$504,0)),"Clave no existe"))</f>
        <v/>
      </c>
      <c r="E199" s="14" t="str">
        <f>IF($C199="","",IFERROR(INDEX(Productos!$D$5:$D$504,MATCH($C199,Productos!$A$5:$A$504,0)),""))</f>
        <v/>
      </c>
      <c r="F199" s="20"/>
      <c r="G199" s="22" t="str">
        <f>IF($C199="","",IFERROR(INDEX(Productos!$F$5:$F$504,MATCH($C199,Productos!$A$5:$A$504,0)),0))</f>
        <v/>
      </c>
      <c r="H199" s="22" t="str">
        <f t="shared" si="3"/>
        <v/>
      </c>
      <c r="I199" s="14" t="str">
        <f>IF(OR($C199="",$F199=""),"",IFERROR(INDEX(Productos!$I$5:$I$504,MATCH($C199,Productos!$A$5:$A$504,0)),0)+SUMIFS($F$5:$F199,$C$5:$C199,$C199,$B$5:$B199,"Entrada")-SUMIFS($F$5:$F199,$C$5:$C199,$C199,$B$5:$B199,"Salida"))</f>
        <v/>
      </c>
      <c r="J199" s="20"/>
      <c r="K199" s="20"/>
      <c r="L199" s="20"/>
      <c r="M199" s="14" t="str">
        <f>IF(AND($C199&lt;&gt;"",$C199=Kardex!$C$4),COUNTIF($C$5:$C199,Kardex!$C$4),"")</f>
        <v/>
      </c>
    </row>
    <row r="200" spans="1:13" x14ac:dyDescent="0.25">
      <c r="A200" s="24"/>
      <c r="B200" s="20"/>
      <c r="C200" s="20"/>
      <c r="D200" s="14" t="str">
        <f>IF($C200="","",IFERROR(INDEX(Productos!$B$5:$B$504,MATCH($C200,Productos!$A$5:$A$504,0)),"Clave no existe"))</f>
        <v/>
      </c>
      <c r="E200" s="14" t="str">
        <f>IF($C200="","",IFERROR(INDEX(Productos!$D$5:$D$504,MATCH($C200,Productos!$A$5:$A$504,0)),""))</f>
        <v/>
      </c>
      <c r="F200" s="20"/>
      <c r="G200" s="22" t="str">
        <f>IF($C200="","",IFERROR(INDEX(Productos!$F$5:$F$504,MATCH($C200,Productos!$A$5:$A$504,0)),0))</f>
        <v/>
      </c>
      <c r="H200" s="22" t="str">
        <f t="shared" si="3"/>
        <v/>
      </c>
      <c r="I200" s="14" t="str">
        <f>IF(OR($C200="",$F200=""),"",IFERROR(INDEX(Productos!$I$5:$I$504,MATCH($C200,Productos!$A$5:$A$504,0)),0)+SUMIFS($F$5:$F200,$C$5:$C200,$C200,$B$5:$B200,"Entrada")-SUMIFS($F$5:$F200,$C$5:$C200,$C200,$B$5:$B200,"Salida"))</f>
        <v/>
      </c>
      <c r="J200" s="20"/>
      <c r="K200" s="20"/>
      <c r="L200" s="20"/>
      <c r="M200" s="14" t="str">
        <f>IF(AND($C200&lt;&gt;"",$C200=Kardex!$C$4),COUNTIF($C$5:$C200,Kardex!$C$4),"")</f>
        <v/>
      </c>
    </row>
    <row r="201" spans="1:13" x14ac:dyDescent="0.25">
      <c r="A201" s="24"/>
      <c r="B201" s="20"/>
      <c r="C201" s="20"/>
      <c r="D201" s="14" t="str">
        <f>IF($C201="","",IFERROR(INDEX(Productos!$B$5:$B$504,MATCH($C201,Productos!$A$5:$A$504,0)),"Clave no existe"))</f>
        <v/>
      </c>
      <c r="E201" s="14" t="str">
        <f>IF($C201="","",IFERROR(INDEX(Productos!$D$5:$D$504,MATCH($C201,Productos!$A$5:$A$504,0)),""))</f>
        <v/>
      </c>
      <c r="F201" s="20"/>
      <c r="G201" s="22" t="str">
        <f>IF($C201="","",IFERROR(INDEX(Productos!$F$5:$F$504,MATCH($C201,Productos!$A$5:$A$504,0)),0))</f>
        <v/>
      </c>
      <c r="H201" s="22" t="str">
        <f t="shared" si="3"/>
        <v/>
      </c>
      <c r="I201" s="14" t="str">
        <f>IF(OR($C201="",$F201=""),"",IFERROR(INDEX(Productos!$I$5:$I$504,MATCH($C201,Productos!$A$5:$A$504,0)),0)+SUMIFS($F$5:$F201,$C$5:$C201,$C201,$B$5:$B201,"Entrada")-SUMIFS($F$5:$F201,$C$5:$C201,$C201,$B$5:$B201,"Salida"))</f>
        <v/>
      </c>
      <c r="J201" s="20"/>
      <c r="K201" s="20"/>
      <c r="L201" s="20"/>
      <c r="M201" s="14" t="str">
        <f>IF(AND($C201&lt;&gt;"",$C201=Kardex!$C$4),COUNTIF($C$5:$C201,Kardex!$C$4),"")</f>
        <v/>
      </c>
    </row>
    <row r="202" spans="1:13" x14ac:dyDescent="0.25">
      <c r="A202" s="24"/>
      <c r="B202" s="20"/>
      <c r="C202" s="20"/>
      <c r="D202" s="14" t="str">
        <f>IF($C202="","",IFERROR(INDEX(Productos!$B$5:$B$504,MATCH($C202,Productos!$A$5:$A$504,0)),"Clave no existe"))</f>
        <v/>
      </c>
      <c r="E202" s="14" t="str">
        <f>IF($C202="","",IFERROR(INDEX(Productos!$D$5:$D$504,MATCH($C202,Productos!$A$5:$A$504,0)),""))</f>
        <v/>
      </c>
      <c r="F202" s="20"/>
      <c r="G202" s="22" t="str">
        <f>IF($C202="","",IFERROR(INDEX(Productos!$F$5:$F$504,MATCH($C202,Productos!$A$5:$A$504,0)),0))</f>
        <v/>
      </c>
      <c r="H202" s="22" t="str">
        <f t="shared" si="3"/>
        <v/>
      </c>
      <c r="I202" s="14" t="str">
        <f>IF(OR($C202="",$F202=""),"",IFERROR(INDEX(Productos!$I$5:$I$504,MATCH($C202,Productos!$A$5:$A$504,0)),0)+SUMIFS($F$5:$F202,$C$5:$C202,$C202,$B$5:$B202,"Entrada")-SUMIFS($F$5:$F202,$C$5:$C202,$C202,$B$5:$B202,"Salida"))</f>
        <v/>
      </c>
      <c r="J202" s="20"/>
      <c r="K202" s="20"/>
      <c r="L202" s="20"/>
      <c r="M202" s="14" t="str">
        <f>IF(AND($C202&lt;&gt;"",$C202=Kardex!$C$4),COUNTIF($C$5:$C202,Kardex!$C$4),"")</f>
        <v/>
      </c>
    </row>
    <row r="203" spans="1:13" x14ac:dyDescent="0.25">
      <c r="A203" s="24"/>
      <c r="B203" s="20"/>
      <c r="C203" s="20"/>
      <c r="D203" s="14" t="str">
        <f>IF($C203="","",IFERROR(INDEX(Productos!$B$5:$B$504,MATCH($C203,Productos!$A$5:$A$504,0)),"Clave no existe"))</f>
        <v/>
      </c>
      <c r="E203" s="14" t="str">
        <f>IF($C203="","",IFERROR(INDEX(Productos!$D$5:$D$504,MATCH($C203,Productos!$A$5:$A$504,0)),""))</f>
        <v/>
      </c>
      <c r="F203" s="20"/>
      <c r="G203" s="22" t="str">
        <f>IF($C203="","",IFERROR(INDEX(Productos!$F$5:$F$504,MATCH($C203,Productos!$A$5:$A$504,0)),0))</f>
        <v/>
      </c>
      <c r="H203" s="22" t="str">
        <f t="shared" si="3"/>
        <v/>
      </c>
      <c r="I203" s="14" t="str">
        <f>IF(OR($C203="",$F203=""),"",IFERROR(INDEX(Productos!$I$5:$I$504,MATCH($C203,Productos!$A$5:$A$504,0)),0)+SUMIFS($F$5:$F203,$C$5:$C203,$C203,$B$5:$B203,"Entrada")-SUMIFS($F$5:$F203,$C$5:$C203,$C203,$B$5:$B203,"Salida"))</f>
        <v/>
      </c>
      <c r="J203" s="20"/>
      <c r="K203" s="20"/>
      <c r="L203" s="20"/>
      <c r="M203" s="14" t="str">
        <f>IF(AND($C203&lt;&gt;"",$C203=Kardex!$C$4),COUNTIF($C$5:$C203,Kardex!$C$4),"")</f>
        <v/>
      </c>
    </row>
    <row r="204" spans="1:13" x14ac:dyDescent="0.25">
      <c r="A204" s="24"/>
      <c r="B204" s="20"/>
      <c r="C204" s="20"/>
      <c r="D204" s="14" t="str">
        <f>IF($C204="","",IFERROR(INDEX(Productos!$B$5:$B$504,MATCH($C204,Productos!$A$5:$A$504,0)),"Clave no existe"))</f>
        <v/>
      </c>
      <c r="E204" s="14" t="str">
        <f>IF($C204="","",IFERROR(INDEX(Productos!$D$5:$D$504,MATCH($C204,Productos!$A$5:$A$504,0)),""))</f>
        <v/>
      </c>
      <c r="F204" s="20"/>
      <c r="G204" s="22" t="str">
        <f>IF($C204="","",IFERROR(INDEX(Productos!$F$5:$F$504,MATCH($C204,Productos!$A$5:$A$504,0)),0))</f>
        <v/>
      </c>
      <c r="H204" s="22" t="str">
        <f t="shared" si="3"/>
        <v/>
      </c>
      <c r="I204" s="14" t="str">
        <f>IF(OR($C204="",$F204=""),"",IFERROR(INDEX(Productos!$I$5:$I$504,MATCH($C204,Productos!$A$5:$A$504,0)),0)+SUMIFS($F$5:$F204,$C$5:$C204,$C204,$B$5:$B204,"Entrada")-SUMIFS($F$5:$F204,$C$5:$C204,$C204,$B$5:$B204,"Salida"))</f>
        <v/>
      </c>
      <c r="J204" s="20"/>
      <c r="K204" s="20"/>
      <c r="L204" s="20"/>
      <c r="M204" s="14" t="str">
        <f>IF(AND($C204&lt;&gt;"",$C204=Kardex!$C$4),COUNTIF($C$5:$C204,Kardex!$C$4),"")</f>
        <v/>
      </c>
    </row>
    <row r="205" spans="1:13" x14ac:dyDescent="0.25">
      <c r="A205" s="24"/>
      <c r="B205" s="20"/>
      <c r="C205" s="20"/>
      <c r="D205" s="14" t="str">
        <f>IF($C205="","",IFERROR(INDEX(Productos!$B$5:$B$504,MATCH($C205,Productos!$A$5:$A$504,0)),"Clave no existe"))</f>
        <v/>
      </c>
      <c r="E205" s="14" t="str">
        <f>IF($C205="","",IFERROR(INDEX(Productos!$D$5:$D$504,MATCH($C205,Productos!$A$5:$A$504,0)),""))</f>
        <v/>
      </c>
      <c r="F205" s="20"/>
      <c r="G205" s="22" t="str">
        <f>IF($C205="","",IFERROR(INDEX(Productos!$F$5:$F$504,MATCH($C205,Productos!$A$5:$A$504,0)),0))</f>
        <v/>
      </c>
      <c r="H205" s="22" t="str">
        <f t="shared" si="3"/>
        <v/>
      </c>
      <c r="I205" s="14" t="str">
        <f>IF(OR($C205="",$F205=""),"",IFERROR(INDEX(Productos!$I$5:$I$504,MATCH($C205,Productos!$A$5:$A$504,0)),0)+SUMIFS($F$5:$F205,$C$5:$C205,$C205,$B$5:$B205,"Entrada")-SUMIFS($F$5:$F205,$C$5:$C205,$C205,$B$5:$B205,"Salida"))</f>
        <v/>
      </c>
      <c r="J205" s="20"/>
      <c r="K205" s="20"/>
      <c r="L205" s="20"/>
      <c r="M205" s="14" t="str">
        <f>IF(AND($C205&lt;&gt;"",$C205=Kardex!$C$4),COUNTIF($C$5:$C205,Kardex!$C$4),"")</f>
        <v/>
      </c>
    </row>
    <row r="206" spans="1:13" x14ac:dyDescent="0.25">
      <c r="A206" s="24"/>
      <c r="B206" s="20"/>
      <c r="C206" s="20"/>
      <c r="D206" s="14" t="str">
        <f>IF($C206="","",IFERROR(INDEX(Productos!$B$5:$B$504,MATCH($C206,Productos!$A$5:$A$504,0)),"Clave no existe"))</f>
        <v/>
      </c>
      <c r="E206" s="14" t="str">
        <f>IF($C206="","",IFERROR(INDEX(Productos!$D$5:$D$504,MATCH($C206,Productos!$A$5:$A$504,0)),""))</f>
        <v/>
      </c>
      <c r="F206" s="20"/>
      <c r="G206" s="22" t="str">
        <f>IF($C206="","",IFERROR(INDEX(Productos!$F$5:$F$504,MATCH($C206,Productos!$A$5:$A$504,0)),0))</f>
        <v/>
      </c>
      <c r="H206" s="22" t="str">
        <f t="shared" si="3"/>
        <v/>
      </c>
      <c r="I206" s="14" t="str">
        <f>IF(OR($C206="",$F206=""),"",IFERROR(INDEX(Productos!$I$5:$I$504,MATCH($C206,Productos!$A$5:$A$504,0)),0)+SUMIFS($F$5:$F206,$C$5:$C206,$C206,$B$5:$B206,"Entrada")-SUMIFS($F$5:$F206,$C$5:$C206,$C206,$B$5:$B206,"Salida"))</f>
        <v/>
      </c>
      <c r="J206" s="20"/>
      <c r="K206" s="20"/>
      <c r="L206" s="20"/>
      <c r="M206" s="14" t="str">
        <f>IF(AND($C206&lt;&gt;"",$C206=Kardex!$C$4),COUNTIF($C$5:$C206,Kardex!$C$4),"")</f>
        <v/>
      </c>
    </row>
    <row r="207" spans="1:13" x14ac:dyDescent="0.25">
      <c r="A207" s="24"/>
      <c r="B207" s="20"/>
      <c r="C207" s="20"/>
      <c r="D207" s="14" t="str">
        <f>IF($C207="","",IFERROR(INDEX(Productos!$B$5:$B$504,MATCH($C207,Productos!$A$5:$A$504,0)),"Clave no existe"))</f>
        <v/>
      </c>
      <c r="E207" s="14" t="str">
        <f>IF($C207="","",IFERROR(INDEX(Productos!$D$5:$D$504,MATCH($C207,Productos!$A$5:$A$504,0)),""))</f>
        <v/>
      </c>
      <c r="F207" s="20"/>
      <c r="G207" s="22" t="str">
        <f>IF($C207="","",IFERROR(INDEX(Productos!$F$5:$F$504,MATCH($C207,Productos!$A$5:$A$504,0)),0))</f>
        <v/>
      </c>
      <c r="H207" s="22" t="str">
        <f t="shared" si="3"/>
        <v/>
      </c>
      <c r="I207" s="14" t="str">
        <f>IF(OR($C207="",$F207=""),"",IFERROR(INDEX(Productos!$I$5:$I$504,MATCH($C207,Productos!$A$5:$A$504,0)),0)+SUMIFS($F$5:$F207,$C$5:$C207,$C207,$B$5:$B207,"Entrada")-SUMIFS($F$5:$F207,$C$5:$C207,$C207,$B$5:$B207,"Salida"))</f>
        <v/>
      </c>
      <c r="J207" s="20"/>
      <c r="K207" s="20"/>
      <c r="L207" s="20"/>
      <c r="M207" s="14" t="str">
        <f>IF(AND($C207&lt;&gt;"",$C207=Kardex!$C$4),COUNTIF($C$5:$C207,Kardex!$C$4),"")</f>
        <v/>
      </c>
    </row>
    <row r="208" spans="1:13" x14ac:dyDescent="0.25">
      <c r="A208" s="24"/>
      <c r="B208" s="20"/>
      <c r="C208" s="20"/>
      <c r="D208" s="14" t="str">
        <f>IF($C208="","",IFERROR(INDEX(Productos!$B$5:$B$504,MATCH($C208,Productos!$A$5:$A$504,0)),"Clave no existe"))</f>
        <v/>
      </c>
      <c r="E208" s="14" t="str">
        <f>IF($C208="","",IFERROR(INDEX(Productos!$D$5:$D$504,MATCH($C208,Productos!$A$5:$A$504,0)),""))</f>
        <v/>
      </c>
      <c r="F208" s="20"/>
      <c r="G208" s="22" t="str">
        <f>IF($C208="","",IFERROR(INDEX(Productos!$F$5:$F$504,MATCH($C208,Productos!$A$5:$A$504,0)),0))</f>
        <v/>
      </c>
      <c r="H208" s="22" t="str">
        <f t="shared" si="3"/>
        <v/>
      </c>
      <c r="I208" s="14" t="str">
        <f>IF(OR($C208="",$F208=""),"",IFERROR(INDEX(Productos!$I$5:$I$504,MATCH($C208,Productos!$A$5:$A$504,0)),0)+SUMIFS($F$5:$F208,$C$5:$C208,$C208,$B$5:$B208,"Entrada")-SUMIFS($F$5:$F208,$C$5:$C208,$C208,$B$5:$B208,"Salida"))</f>
        <v/>
      </c>
      <c r="J208" s="20"/>
      <c r="K208" s="20"/>
      <c r="L208" s="20"/>
      <c r="M208" s="14" t="str">
        <f>IF(AND($C208&lt;&gt;"",$C208=Kardex!$C$4),COUNTIF($C$5:$C208,Kardex!$C$4),"")</f>
        <v/>
      </c>
    </row>
    <row r="209" spans="1:13" x14ac:dyDescent="0.25">
      <c r="A209" s="24"/>
      <c r="B209" s="20"/>
      <c r="C209" s="20"/>
      <c r="D209" s="14" t="str">
        <f>IF($C209="","",IFERROR(INDEX(Productos!$B$5:$B$504,MATCH($C209,Productos!$A$5:$A$504,0)),"Clave no existe"))</f>
        <v/>
      </c>
      <c r="E209" s="14" t="str">
        <f>IF($C209="","",IFERROR(INDEX(Productos!$D$5:$D$504,MATCH($C209,Productos!$A$5:$A$504,0)),""))</f>
        <v/>
      </c>
      <c r="F209" s="20"/>
      <c r="G209" s="22" t="str">
        <f>IF($C209="","",IFERROR(INDEX(Productos!$F$5:$F$504,MATCH($C209,Productos!$A$5:$A$504,0)),0))</f>
        <v/>
      </c>
      <c r="H209" s="22" t="str">
        <f t="shared" si="3"/>
        <v/>
      </c>
      <c r="I209" s="14" t="str">
        <f>IF(OR($C209="",$F209=""),"",IFERROR(INDEX(Productos!$I$5:$I$504,MATCH($C209,Productos!$A$5:$A$504,0)),0)+SUMIFS($F$5:$F209,$C$5:$C209,$C209,$B$5:$B209,"Entrada")-SUMIFS($F$5:$F209,$C$5:$C209,$C209,$B$5:$B209,"Salida"))</f>
        <v/>
      </c>
      <c r="J209" s="20"/>
      <c r="K209" s="20"/>
      <c r="L209" s="20"/>
      <c r="M209" s="14" t="str">
        <f>IF(AND($C209&lt;&gt;"",$C209=Kardex!$C$4),COUNTIF($C$5:$C209,Kardex!$C$4),"")</f>
        <v/>
      </c>
    </row>
    <row r="210" spans="1:13" x14ac:dyDescent="0.25">
      <c r="A210" s="24"/>
      <c r="B210" s="20"/>
      <c r="C210" s="20"/>
      <c r="D210" s="14" t="str">
        <f>IF($C210="","",IFERROR(INDEX(Productos!$B$5:$B$504,MATCH($C210,Productos!$A$5:$A$504,0)),"Clave no existe"))</f>
        <v/>
      </c>
      <c r="E210" s="14" t="str">
        <f>IF($C210="","",IFERROR(INDEX(Productos!$D$5:$D$504,MATCH($C210,Productos!$A$5:$A$504,0)),""))</f>
        <v/>
      </c>
      <c r="F210" s="20"/>
      <c r="G210" s="22" t="str">
        <f>IF($C210="","",IFERROR(INDEX(Productos!$F$5:$F$504,MATCH($C210,Productos!$A$5:$A$504,0)),0))</f>
        <v/>
      </c>
      <c r="H210" s="22" t="str">
        <f t="shared" si="3"/>
        <v/>
      </c>
      <c r="I210" s="14" t="str">
        <f>IF(OR($C210="",$F210=""),"",IFERROR(INDEX(Productos!$I$5:$I$504,MATCH($C210,Productos!$A$5:$A$504,0)),0)+SUMIFS($F$5:$F210,$C$5:$C210,$C210,$B$5:$B210,"Entrada")-SUMIFS($F$5:$F210,$C$5:$C210,$C210,$B$5:$B210,"Salida"))</f>
        <v/>
      </c>
      <c r="J210" s="20"/>
      <c r="K210" s="20"/>
      <c r="L210" s="20"/>
      <c r="M210" s="14" t="str">
        <f>IF(AND($C210&lt;&gt;"",$C210=Kardex!$C$4),COUNTIF($C$5:$C210,Kardex!$C$4),"")</f>
        <v/>
      </c>
    </row>
    <row r="211" spans="1:13" x14ac:dyDescent="0.25">
      <c r="A211" s="24"/>
      <c r="B211" s="20"/>
      <c r="C211" s="20"/>
      <c r="D211" s="14" t="str">
        <f>IF($C211="","",IFERROR(INDEX(Productos!$B$5:$B$504,MATCH($C211,Productos!$A$5:$A$504,0)),"Clave no existe"))</f>
        <v/>
      </c>
      <c r="E211" s="14" t="str">
        <f>IF($C211="","",IFERROR(INDEX(Productos!$D$5:$D$504,MATCH($C211,Productos!$A$5:$A$504,0)),""))</f>
        <v/>
      </c>
      <c r="F211" s="20"/>
      <c r="G211" s="22" t="str">
        <f>IF($C211="","",IFERROR(INDEX(Productos!$F$5:$F$504,MATCH($C211,Productos!$A$5:$A$504,0)),0))</f>
        <v/>
      </c>
      <c r="H211" s="22" t="str">
        <f t="shared" si="3"/>
        <v/>
      </c>
      <c r="I211" s="14" t="str">
        <f>IF(OR($C211="",$F211=""),"",IFERROR(INDEX(Productos!$I$5:$I$504,MATCH($C211,Productos!$A$5:$A$504,0)),0)+SUMIFS($F$5:$F211,$C$5:$C211,$C211,$B$5:$B211,"Entrada")-SUMIFS($F$5:$F211,$C$5:$C211,$C211,$B$5:$B211,"Salida"))</f>
        <v/>
      </c>
      <c r="J211" s="20"/>
      <c r="K211" s="20"/>
      <c r="L211" s="20"/>
      <c r="M211" s="14" t="str">
        <f>IF(AND($C211&lt;&gt;"",$C211=Kardex!$C$4),COUNTIF($C$5:$C211,Kardex!$C$4),"")</f>
        <v/>
      </c>
    </row>
    <row r="212" spans="1:13" x14ac:dyDescent="0.25">
      <c r="A212" s="24"/>
      <c r="B212" s="20"/>
      <c r="C212" s="20"/>
      <c r="D212" s="14" t="str">
        <f>IF($C212="","",IFERROR(INDEX(Productos!$B$5:$B$504,MATCH($C212,Productos!$A$5:$A$504,0)),"Clave no existe"))</f>
        <v/>
      </c>
      <c r="E212" s="14" t="str">
        <f>IF($C212="","",IFERROR(INDEX(Productos!$D$5:$D$504,MATCH($C212,Productos!$A$5:$A$504,0)),""))</f>
        <v/>
      </c>
      <c r="F212" s="20"/>
      <c r="G212" s="22" t="str">
        <f>IF($C212="","",IFERROR(INDEX(Productos!$F$5:$F$504,MATCH($C212,Productos!$A$5:$A$504,0)),0))</f>
        <v/>
      </c>
      <c r="H212" s="22" t="str">
        <f t="shared" si="3"/>
        <v/>
      </c>
      <c r="I212" s="14" t="str">
        <f>IF(OR($C212="",$F212=""),"",IFERROR(INDEX(Productos!$I$5:$I$504,MATCH($C212,Productos!$A$5:$A$504,0)),0)+SUMIFS($F$5:$F212,$C$5:$C212,$C212,$B$5:$B212,"Entrada")-SUMIFS($F$5:$F212,$C$5:$C212,$C212,$B$5:$B212,"Salida"))</f>
        <v/>
      </c>
      <c r="J212" s="20"/>
      <c r="K212" s="20"/>
      <c r="L212" s="20"/>
      <c r="M212" s="14" t="str">
        <f>IF(AND($C212&lt;&gt;"",$C212=Kardex!$C$4),COUNTIF($C$5:$C212,Kardex!$C$4),"")</f>
        <v/>
      </c>
    </row>
    <row r="213" spans="1:13" x14ac:dyDescent="0.25">
      <c r="A213" s="24"/>
      <c r="B213" s="20"/>
      <c r="C213" s="20"/>
      <c r="D213" s="14" t="str">
        <f>IF($C213="","",IFERROR(INDEX(Productos!$B$5:$B$504,MATCH($C213,Productos!$A$5:$A$504,0)),"Clave no existe"))</f>
        <v/>
      </c>
      <c r="E213" s="14" t="str">
        <f>IF($C213="","",IFERROR(INDEX(Productos!$D$5:$D$504,MATCH($C213,Productos!$A$5:$A$504,0)),""))</f>
        <v/>
      </c>
      <c r="F213" s="20"/>
      <c r="G213" s="22" t="str">
        <f>IF($C213="","",IFERROR(INDEX(Productos!$F$5:$F$504,MATCH($C213,Productos!$A$5:$A$504,0)),0))</f>
        <v/>
      </c>
      <c r="H213" s="22" t="str">
        <f t="shared" si="3"/>
        <v/>
      </c>
      <c r="I213" s="14" t="str">
        <f>IF(OR($C213="",$F213=""),"",IFERROR(INDEX(Productos!$I$5:$I$504,MATCH($C213,Productos!$A$5:$A$504,0)),0)+SUMIFS($F$5:$F213,$C$5:$C213,$C213,$B$5:$B213,"Entrada")-SUMIFS($F$5:$F213,$C$5:$C213,$C213,$B$5:$B213,"Salida"))</f>
        <v/>
      </c>
      <c r="J213" s="20"/>
      <c r="K213" s="20"/>
      <c r="L213" s="20"/>
      <c r="M213" s="14" t="str">
        <f>IF(AND($C213&lt;&gt;"",$C213=Kardex!$C$4),COUNTIF($C$5:$C213,Kardex!$C$4),"")</f>
        <v/>
      </c>
    </row>
    <row r="214" spans="1:13" x14ac:dyDescent="0.25">
      <c r="A214" s="24"/>
      <c r="B214" s="20"/>
      <c r="C214" s="20"/>
      <c r="D214" s="14" t="str">
        <f>IF($C214="","",IFERROR(INDEX(Productos!$B$5:$B$504,MATCH($C214,Productos!$A$5:$A$504,0)),"Clave no existe"))</f>
        <v/>
      </c>
      <c r="E214" s="14" t="str">
        <f>IF($C214="","",IFERROR(INDEX(Productos!$D$5:$D$504,MATCH($C214,Productos!$A$5:$A$504,0)),""))</f>
        <v/>
      </c>
      <c r="F214" s="20"/>
      <c r="G214" s="22" t="str">
        <f>IF($C214="","",IFERROR(INDEX(Productos!$F$5:$F$504,MATCH($C214,Productos!$A$5:$A$504,0)),0))</f>
        <v/>
      </c>
      <c r="H214" s="22" t="str">
        <f t="shared" si="3"/>
        <v/>
      </c>
      <c r="I214" s="14" t="str">
        <f>IF(OR($C214="",$F214=""),"",IFERROR(INDEX(Productos!$I$5:$I$504,MATCH($C214,Productos!$A$5:$A$504,0)),0)+SUMIFS($F$5:$F214,$C$5:$C214,$C214,$B$5:$B214,"Entrada")-SUMIFS($F$5:$F214,$C$5:$C214,$C214,$B$5:$B214,"Salida"))</f>
        <v/>
      </c>
      <c r="J214" s="20"/>
      <c r="K214" s="20"/>
      <c r="L214" s="20"/>
      <c r="M214" s="14" t="str">
        <f>IF(AND($C214&lt;&gt;"",$C214=Kardex!$C$4),COUNTIF($C$5:$C214,Kardex!$C$4),"")</f>
        <v/>
      </c>
    </row>
    <row r="215" spans="1:13" x14ac:dyDescent="0.25">
      <c r="A215" s="24"/>
      <c r="B215" s="20"/>
      <c r="C215" s="20"/>
      <c r="D215" s="14" t="str">
        <f>IF($C215="","",IFERROR(INDEX(Productos!$B$5:$B$504,MATCH($C215,Productos!$A$5:$A$504,0)),"Clave no existe"))</f>
        <v/>
      </c>
      <c r="E215" s="14" t="str">
        <f>IF($C215="","",IFERROR(INDEX(Productos!$D$5:$D$504,MATCH($C215,Productos!$A$5:$A$504,0)),""))</f>
        <v/>
      </c>
      <c r="F215" s="20"/>
      <c r="G215" s="22" t="str">
        <f>IF($C215="","",IFERROR(INDEX(Productos!$F$5:$F$504,MATCH($C215,Productos!$A$5:$A$504,0)),0))</f>
        <v/>
      </c>
      <c r="H215" s="22" t="str">
        <f t="shared" si="3"/>
        <v/>
      </c>
      <c r="I215" s="14" t="str">
        <f>IF(OR($C215="",$F215=""),"",IFERROR(INDEX(Productos!$I$5:$I$504,MATCH($C215,Productos!$A$5:$A$504,0)),0)+SUMIFS($F$5:$F215,$C$5:$C215,$C215,$B$5:$B215,"Entrada")-SUMIFS($F$5:$F215,$C$5:$C215,$C215,$B$5:$B215,"Salida"))</f>
        <v/>
      </c>
      <c r="J215" s="20"/>
      <c r="K215" s="20"/>
      <c r="L215" s="20"/>
      <c r="M215" s="14" t="str">
        <f>IF(AND($C215&lt;&gt;"",$C215=Kardex!$C$4),COUNTIF($C$5:$C215,Kardex!$C$4),"")</f>
        <v/>
      </c>
    </row>
    <row r="216" spans="1:13" x14ac:dyDescent="0.25">
      <c r="A216" s="24"/>
      <c r="B216" s="20"/>
      <c r="C216" s="20"/>
      <c r="D216" s="14" t="str">
        <f>IF($C216="","",IFERROR(INDEX(Productos!$B$5:$B$504,MATCH($C216,Productos!$A$5:$A$504,0)),"Clave no existe"))</f>
        <v/>
      </c>
      <c r="E216" s="14" t="str">
        <f>IF($C216="","",IFERROR(INDEX(Productos!$D$5:$D$504,MATCH($C216,Productos!$A$5:$A$504,0)),""))</f>
        <v/>
      </c>
      <c r="F216" s="20"/>
      <c r="G216" s="22" t="str">
        <f>IF($C216="","",IFERROR(INDEX(Productos!$F$5:$F$504,MATCH($C216,Productos!$A$5:$A$504,0)),0))</f>
        <v/>
      </c>
      <c r="H216" s="22" t="str">
        <f t="shared" si="3"/>
        <v/>
      </c>
      <c r="I216" s="14" t="str">
        <f>IF(OR($C216="",$F216=""),"",IFERROR(INDEX(Productos!$I$5:$I$504,MATCH($C216,Productos!$A$5:$A$504,0)),0)+SUMIFS($F$5:$F216,$C$5:$C216,$C216,$B$5:$B216,"Entrada")-SUMIFS($F$5:$F216,$C$5:$C216,$C216,$B$5:$B216,"Salida"))</f>
        <v/>
      </c>
      <c r="J216" s="20"/>
      <c r="K216" s="20"/>
      <c r="L216" s="20"/>
      <c r="M216" s="14" t="str">
        <f>IF(AND($C216&lt;&gt;"",$C216=Kardex!$C$4),COUNTIF($C$5:$C216,Kardex!$C$4),"")</f>
        <v/>
      </c>
    </row>
    <row r="217" spans="1:13" x14ac:dyDescent="0.25">
      <c r="A217" s="24"/>
      <c r="B217" s="20"/>
      <c r="C217" s="20"/>
      <c r="D217" s="14" t="str">
        <f>IF($C217="","",IFERROR(INDEX(Productos!$B$5:$B$504,MATCH($C217,Productos!$A$5:$A$504,0)),"Clave no existe"))</f>
        <v/>
      </c>
      <c r="E217" s="14" t="str">
        <f>IF($C217="","",IFERROR(INDEX(Productos!$D$5:$D$504,MATCH($C217,Productos!$A$5:$A$504,0)),""))</f>
        <v/>
      </c>
      <c r="F217" s="20"/>
      <c r="G217" s="22" t="str">
        <f>IF($C217="","",IFERROR(INDEX(Productos!$F$5:$F$504,MATCH($C217,Productos!$A$5:$A$504,0)),0))</f>
        <v/>
      </c>
      <c r="H217" s="22" t="str">
        <f t="shared" si="3"/>
        <v/>
      </c>
      <c r="I217" s="14" t="str">
        <f>IF(OR($C217="",$F217=""),"",IFERROR(INDEX(Productos!$I$5:$I$504,MATCH($C217,Productos!$A$5:$A$504,0)),0)+SUMIFS($F$5:$F217,$C$5:$C217,$C217,$B$5:$B217,"Entrada")-SUMIFS($F$5:$F217,$C$5:$C217,$C217,$B$5:$B217,"Salida"))</f>
        <v/>
      </c>
      <c r="J217" s="20"/>
      <c r="K217" s="20"/>
      <c r="L217" s="20"/>
      <c r="M217" s="14" t="str">
        <f>IF(AND($C217&lt;&gt;"",$C217=Kardex!$C$4),COUNTIF($C$5:$C217,Kardex!$C$4),"")</f>
        <v/>
      </c>
    </row>
    <row r="218" spans="1:13" x14ac:dyDescent="0.25">
      <c r="A218" s="24"/>
      <c r="B218" s="20"/>
      <c r="C218" s="20"/>
      <c r="D218" s="14" t="str">
        <f>IF($C218="","",IFERROR(INDEX(Productos!$B$5:$B$504,MATCH($C218,Productos!$A$5:$A$504,0)),"Clave no existe"))</f>
        <v/>
      </c>
      <c r="E218" s="14" t="str">
        <f>IF($C218="","",IFERROR(INDEX(Productos!$D$5:$D$504,MATCH($C218,Productos!$A$5:$A$504,0)),""))</f>
        <v/>
      </c>
      <c r="F218" s="20"/>
      <c r="G218" s="22" t="str">
        <f>IF($C218="","",IFERROR(INDEX(Productos!$F$5:$F$504,MATCH($C218,Productos!$A$5:$A$504,0)),0))</f>
        <v/>
      </c>
      <c r="H218" s="22" t="str">
        <f t="shared" si="3"/>
        <v/>
      </c>
      <c r="I218" s="14" t="str">
        <f>IF(OR($C218="",$F218=""),"",IFERROR(INDEX(Productos!$I$5:$I$504,MATCH($C218,Productos!$A$5:$A$504,0)),0)+SUMIFS($F$5:$F218,$C$5:$C218,$C218,$B$5:$B218,"Entrada")-SUMIFS($F$5:$F218,$C$5:$C218,$C218,$B$5:$B218,"Salida"))</f>
        <v/>
      </c>
      <c r="J218" s="20"/>
      <c r="K218" s="20"/>
      <c r="L218" s="20"/>
      <c r="M218" s="14" t="str">
        <f>IF(AND($C218&lt;&gt;"",$C218=Kardex!$C$4),COUNTIF($C$5:$C218,Kardex!$C$4),"")</f>
        <v/>
      </c>
    </row>
    <row r="219" spans="1:13" x14ac:dyDescent="0.25">
      <c r="A219" s="24"/>
      <c r="B219" s="20"/>
      <c r="C219" s="20"/>
      <c r="D219" s="14" t="str">
        <f>IF($C219="","",IFERROR(INDEX(Productos!$B$5:$B$504,MATCH($C219,Productos!$A$5:$A$504,0)),"Clave no existe"))</f>
        <v/>
      </c>
      <c r="E219" s="14" t="str">
        <f>IF($C219="","",IFERROR(INDEX(Productos!$D$5:$D$504,MATCH($C219,Productos!$A$5:$A$504,0)),""))</f>
        <v/>
      </c>
      <c r="F219" s="20"/>
      <c r="G219" s="22" t="str">
        <f>IF($C219="","",IFERROR(INDEX(Productos!$F$5:$F$504,MATCH($C219,Productos!$A$5:$A$504,0)),0))</f>
        <v/>
      </c>
      <c r="H219" s="22" t="str">
        <f t="shared" si="3"/>
        <v/>
      </c>
      <c r="I219" s="14" t="str">
        <f>IF(OR($C219="",$F219=""),"",IFERROR(INDEX(Productos!$I$5:$I$504,MATCH($C219,Productos!$A$5:$A$504,0)),0)+SUMIFS($F$5:$F219,$C$5:$C219,$C219,$B$5:$B219,"Entrada")-SUMIFS($F$5:$F219,$C$5:$C219,$C219,$B$5:$B219,"Salida"))</f>
        <v/>
      </c>
      <c r="J219" s="20"/>
      <c r="K219" s="20"/>
      <c r="L219" s="20"/>
      <c r="M219" s="14" t="str">
        <f>IF(AND($C219&lt;&gt;"",$C219=Kardex!$C$4),COUNTIF($C$5:$C219,Kardex!$C$4),"")</f>
        <v/>
      </c>
    </row>
    <row r="220" spans="1:13" x14ac:dyDescent="0.25">
      <c r="A220" s="24"/>
      <c r="B220" s="20"/>
      <c r="C220" s="20"/>
      <c r="D220" s="14" t="str">
        <f>IF($C220="","",IFERROR(INDEX(Productos!$B$5:$B$504,MATCH($C220,Productos!$A$5:$A$504,0)),"Clave no existe"))</f>
        <v/>
      </c>
      <c r="E220" s="14" t="str">
        <f>IF($C220="","",IFERROR(INDEX(Productos!$D$5:$D$504,MATCH($C220,Productos!$A$5:$A$504,0)),""))</f>
        <v/>
      </c>
      <c r="F220" s="20"/>
      <c r="G220" s="22" t="str">
        <f>IF($C220="","",IFERROR(INDEX(Productos!$F$5:$F$504,MATCH($C220,Productos!$A$5:$A$504,0)),0))</f>
        <v/>
      </c>
      <c r="H220" s="22" t="str">
        <f t="shared" si="3"/>
        <v/>
      </c>
      <c r="I220" s="14" t="str">
        <f>IF(OR($C220="",$F220=""),"",IFERROR(INDEX(Productos!$I$5:$I$504,MATCH($C220,Productos!$A$5:$A$504,0)),0)+SUMIFS($F$5:$F220,$C$5:$C220,$C220,$B$5:$B220,"Entrada")-SUMIFS($F$5:$F220,$C$5:$C220,$C220,$B$5:$B220,"Salida"))</f>
        <v/>
      </c>
      <c r="J220" s="20"/>
      <c r="K220" s="20"/>
      <c r="L220" s="20"/>
      <c r="M220" s="14" t="str">
        <f>IF(AND($C220&lt;&gt;"",$C220=Kardex!$C$4),COUNTIF($C$5:$C220,Kardex!$C$4),"")</f>
        <v/>
      </c>
    </row>
    <row r="221" spans="1:13" x14ac:dyDescent="0.25">
      <c r="A221" s="24"/>
      <c r="B221" s="20"/>
      <c r="C221" s="20"/>
      <c r="D221" s="14" t="str">
        <f>IF($C221="","",IFERROR(INDEX(Productos!$B$5:$B$504,MATCH($C221,Productos!$A$5:$A$504,0)),"Clave no existe"))</f>
        <v/>
      </c>
      <c r="E221" s="14" t="str">
        <f>IF($C221="","",IFERROR(INDEX(Productos!$D$5:$D$504,MATCH($C221,Productos!$A$5:$A$504,0)),""))</f>
        <v/>
      </c>
      <c r="F221" s="20"/>
      <c r="G221" s="22" t="str">
        <f>IF($C221="","",IFERROR(INDEX(Productos!$F$5:$F$504,MATCH($C221,Productos!$A$5:$A$504,0)),0))</f>
        <v/>
      </c>
      <c r="H221" s="22" t="str">
        <f t="shared" si="3"/>
        <v/>
      </c>
      <c r="I221" s="14" t="str">
        <f>IF(OR($C221="",$F221=""),"",IFERROR(INDEX(Productos!$I$5:$I$504,MATCH($C221,Productos!$A$5:$A$504,0)),0)+SUMIFS($F$5:$F221,$C$5:$C221,$C221,$B$5:$B221,"Entrada")-SUMIFS($F$5:$F221,$C$5:$C221,$C221,$B$5:$B221,"Salida"))</f>
        <v/>
      </c>
      <c r="J221" s="20"/>
      <c r="K221" s="20"/>
      <c r="L221" s="20"/>
      <c r="M221" s="14" t="str">
        <f>IF(AND($C221&lt;&gt;"",$C221=Kardex!$C$4),COUNTIF($C$5:$C221,Kardex!$C$4),"")</f>
        <v/>
      </c>
    </row>
    <row r="222" spans="1:13" x14ac:dyDescent="0.25">
      <c r="A222" s="24"/>
      <c r="B222" s="20"/>
      <c r="C222" s="20"/>
      <c r="D222" s="14" t="str">
        <f>IF($C222="","",IFERROR(INDEX(Productos!$B$5:$B$504,MATCH($C222,Productos!$A$5:$A$504,0)),"Clave no existe"))</f>
        <v/>
      </c>
      <c r="E222" s="14" t="str">
        <f>IF($C222="","",IFERROR(INDEX(Productos!$D$5:$D$504,MATCH($C222,Productos!$A$5:$A$504,0)),""))</f>
        <v/>
      </c>
      <c r="F222" s="20"/>
      <c r="G222" s="22" t="str">
        <f>IF($C222="","",IFERROR(INDEX(Productos!$F$5:$F$504,MATCH($C222,Productos!$A$5:$A$504,0)),0))</f>
        <v/>
      </c>
      <c r="H222" s="22" t="str">
        <f t="shared" si="3"/>
        <v/>
      </c>
      <c r="I222" s="14" t="str">
        <f>IF(OR($C222="",$F222=""),"",IFERROR(INDEX(Productos!$I$5:$I$504,MATCH($C222,Productos!$A$5:$A$504,0)),0)+SUMIFS($F$5:$F222,$C$5:$C222,$C222,$B$5:$B222,"Entrada")-SUMIFS($F$5:$F222,$C$5:$C222,$C222,$B$5:$B222,"Salida"))</f>
        <v/>
      </c>
      <c r="J222" s="20"/>
      <c r="K222" s="20"/>
      <c r="L222" s="20"/>
      <c r="M222" s="14" t="str">
        <f>IF(AND($C222&lt;&gt;"",$C222=Kardex!$C$4),COUNTIF($C$5:$C222,Kardex!$C$4),"")</f>
        <v/>
      </c>
    </row>
    <row r="223" spans="1:13" x14ac:dyDescent="0.25">
      <c r="A223" s="24"/>
      <c r="B223" s="20"/>
      <c r="C223" s="20"/>
      <c r="D223" s="14" t="str">
        <f>IF($C223="","",IFERROR(INDEX(Productos!$B$5:$B$504,MATCH($C223,Productos!$A$5:$A$504,0)),"Clave no existe"))</f>
        <v/>
      </c>
      <c r="E223" s="14" t="str">
        <f>IF($C223="","",IFERROR(INDEX(Productos!$D$5:$D$504,MATCH($C223,Productos!$A$5:$A$504,0)),""))</f>
        <v/>
      </c>
      <c r="F223" s="20"/>
      <c r="G223" s="22" t="str">
        <f>IF($C223="","",IFERROR(INDEX(Productos!$F$5:$F$504,MATCH($C223,Productos!$A$5:$A$504,0)),0))</f>
        <v/>
      </c>
      <c r="H223" s="22" t="str">
        <f t="shared" si="3"/>
        <v/>
      </c>
      <c r="I223" s="14" t="str">
        <f>IF(OR($C223="",$F223=""),"",IFERROR(INDEX(Productos!$I$5:$I$504,MATCH($C223,Productos!$A$5:$A$504,0)),0)+SUMIFS($F$5:$F223,$C$5:$C223,$C223,$B$5:$B223,"Entrada")-SUMIFS($F$5:$F223,$C$5:$C223,$C223,$B$5:$B223,"Salida"))</f>
        <v/>
      </c>
      <c r="J223" s="20"/>
      <c r="K223" s="20"/>
      <c r="L223" s="20"/>
      <c r="M223" s="14" t="str">
        <f>IF(AND($C223&lt;&gt;"",$C223=Kardex!$C$4),COUNTIF($C$5:$C223,Kardex!$C$4),"")</f>
        <v/>
      </c>
    </row>
    <row r="224" spans="1:13" x14ac:dyDescent="0.25">
      <c r="A224" s="24"/>
      <c r="B224" s="20"/>
      <c r="C224" s="20"/>
      <c r="D224" s="14" t="str">
        <f>IF($C224="","",IFERROR(INDEX(Productos!$B$5:$B$504,MATCH($C224,Productos!$A$5:$A$504,0)),"Clave no existe"))</f>
        <v/>
      </c>
      <c r="E224" s="14" t="str">
        <f>IF($C224="","",IFERROR(INDEX(Productos!$D$5:$D$504,MATCH($C224,Productos!$A$5:$A$504,0)),""))</f>
        <v/>
      </c>
      <c r="F224" s="20"/>
      <c r="G224" s="22" t="str">
        <f>IF($C224="","",IFERROR(INDEX(Productos!$F$5:$F$504,MATCH($C224,Productos!$A$5:$A$504,0)),0))</f>
        <v/>
      </c>
      <c r="H224" s="22" t="str">
        <f t="shared" si="3"/>
        <v/>
      </c>
      <c r="I224" s="14" t="str">
        <f>IF(OR($C224="",$F224=""),"",IFERROR(INDEX(Productos!$I$5:$I$504,MATCH($C224,Productos!$A$5:$A$504,0)),0)+SUMIFS($F$5:$F224,$C$5:$C224,$C224,$B$5:$B224,"Entrada")-SUMIFS($F$5:$F224,$C$5:$C224,$C224,$B$5:$B224,"Salida"))</f>
        <v/>
      </c>
      <c r="J224" s="20"/>
      <c r="K224" s="20"/>
      <c r="L224" s="20"/>
      <c r="M224" s="14" t="str">
        <f>IF(AND($C224&lt;&gt;"",$C224=Kardex!$C$4),COUNTIF($C$5:$C224,Kardex!$C$4),"")</f>
        <v/>
      </c>
    </row>
    <row r="225" spans="1:13" x14ac:dyDescent="0.25">
      <c r="A225" s="24"/>
      <c r="B225" s="20"/>
      <c r="C225" s="20"/>
      <c r="D225" s="14" t="str">
        <f>IF($C225="","",IFERROR(INDEX(Productos!$B$5:$B$504,MATCH($C225,Productos!$A$5:$A$504,0)),"Clave no existe"))</f>
        <v/>
      </c>
      <c r="E225" s="14" t="str">
        <f>IF($C225="","",IFERROR(INDEX(Productos!$D$5:$D$504,MATCH($C225,Productos!$A$5:$A$504,0)),""))</f>
        <v/>
      </c>
      <c r="F225" s="20"/>
      <c r="G225" s="22" t="str">
        <f>IF($C225="","",IFERROR(INDEX(Productos!$F$5:$F$504,MATCH($C225,Productos!$A$5:$A$504,0)),0))</f>
        <v/>
      </c>
      <c r="H225" s="22" t="str">
        <f t="shared" si="3"/>
        <v/>
      </c>
      <c r="I225" s="14" t="str">
        <f>IF(OR($C225="",$F225=""),"",IFERROR(INDEX(Productos!$I$5:$I$504,MATCH($C225,Productos!$A$5:$A$504,0)),0)+SUMIFS($F$5:$F225,$C$5:$C225,$C225,$B$5:$B225,"Entrada")-SUMIFS($F$5:$F225,$C$5:$C225,$C225,$B$5:$B225,"Salida"))</f>
        <v/>
      </c>
      <c r="J225" s="20"/>
      <c r="K225" s="20"/>
      <c r="L225" s="20"/>
      <c r="M225" s="14" t="str">
        <f>IF(AND($C225&lt;&gt;"",$C225=Kardex!$C$4),COUNTIF($C$5:$C225,Kardex!$C$4),"")</f>
        <v/>
      </c>
    </row>
    <row r="226" spans="1:13" x14ac:dyDescent="0.25">
      <c r="A226" s="24"/>
      <c r="B226" s="20"/>
      <c r="C226" s="20"/>
      <c r="D226" s="14" t="str">
        <f>IF($C226="","",IFERROR(INDEX(Productos!$B$5:$B$504,MATCH($C226,Productos!$A$5:$A$504,0)),"Clave no existe"))</f>
        <v/>
      </c>
      <c r="E226" s="14" t="str">
        <f>IF($C226="","",IFERROR(INDEX(Productos!$D$5:$D$504,MATCH($C226,Productos!$A$5:$A$504,0)),""))</f>
        <v/>
      </c>
      <c r="F226" s="20"/>
      <c r="G226" s="22" t="str">
        <f>IF($C226="","",IFERROR(INDEX(Productos!$F$5:$F$504,MATCH($C226,Productos!$A$5:$A$504,0)),0))</f>
        <v/>
      </c>
      <c r="H226" s="22" t="str">
        <f t="shared" si="3"/>
        <v/>
      </c>
      <c r="I226" s="14" t="str">
        <f>IF(OR($C226="",$F226=""),"",IFERROR(INDEX(Productos!$I$5:$I$504,MATCH($C226,Productos!$A$5:$A$504,0)),0)+SUMIFS($F$5:$F226,$C$5:$C226,$C226,$B$5:$B226,"Entrada")-SUMIFS($F$5:$F226,$C$5:$C226,$C226,$B$5:$B226,"Salida"))</f>
        <v/>
      </c>
      <c r="J226" s="20"/>
      <c r="K226" s="20"/>
      <c r="L226" s="20"/>
      <c r="M226" s="14" t="str">
        <f>IF(AND($C226&lt;&gt;"",$C226=Kardex!$C$4),COUNTIF($C$5:$C226,Kardex!$C$4),"")</f>
        <v/>
      </c>
    </row>
    <row r="227" spans="1:13" x14ac:dyDescent="0.25">
      <c r="A227" s="24"/>
      <c r="B227" s="20"/>
      <c r="C227" s="20"/>
      <c r="D227" s="14" t="str">
        <f>IF($C227="","",IFERROR(INDEX(Productos!$B$5:$B$504,MATCH($C227,Productos!$A$5:$A$504,0)),"Clave no existe"))</f>
        <v/>
      </c>
      <c r="E227" s="14" t="str">
        <f>IF($C227="","",IFERROR(INDEX(Productos!$D$5:$D$504,MATCH($C227,Productos!$A$5:$A$504,0)),""))</f>
        <v/>
      </c>
      <c r="F227" s="20"/>
      <c r="G227" s="22" t="str">
        <f>IF($C227="","",IFERROR(INDEX(Productos!$F$5:$F$504,MATCH($C227,Productos!$A$5:$A$504,0)),0))</f>
        <v/>
      </c>
      <c r="H227" s="22" t="str">
        <f t="shared" si="3"/>
        <v/>
      </c>
      <c r="I227" s="14" t="str">
        <f>IF(OR($C227="",$F227=""),"",IFERROR(INDEX(Productos!$I$5:$I$504,MATCH($C227,Productos!$A$5:$A$504,0)),0)+SUMIFS($F$5:$F227,$C$5:$C227,$C227,$B$5:$B227,"Entrada")-SUMIFS($F$5:$F227,$C$5:$C227,$C227,$B$5:$B227,"Salida"))</f>
        <v/>
      </c>
      <c r="J227" s="20"/>
      <c r="K227" s="20"/>
      <c r="L227" s="20"/>
      <c r="M227" s="14" t="str">
        <f>IF(AND($C227&lt;&gt;"",$C227=Kardex!$C$4),COUNTIF($C$5:$C227,Kardex!$C$4),"")</f>
        <v/>
      </c>
    </row>
    <row r="228" spans="1:13" x14ac:dyDescent="0.25">
      <c r="A228" s="24"/>
      <c r="B228" s="20"/>
      <c r="C228" s="20"/>
      <c r="D228" s="14" t="str">
        <f>IF($C228="","",IFERROR(INDEX(Productos!$B$5:$B$504,MATCH($C228,Productos!$A$5:$A$504,0)),"Clave no existe"))</f>
        <v/>
      </c>
      <c r="E228" s="14" t="str">
        <f>IF($C228="","",IFERROR(INDEX(Productos!$D$5:$D$504,MATCH($C228,Productos!$A$5:$A$504,0)),""))</f>
        <v/>
      </c>
      <c r="F228" s="20"/>
      <c r="G228" s="22" t="str">
        <f>IF($C228="","",IFERROR(INDEX(Productos!$F$5:$F$504,MATCH($C228,Productos!$A$5:$A$504,0)),0))</f>
        <v/>
      </c>
      <c r="H228" s="22" t="str">
        <f t="shared" si="3"/>
        <v/>
      </c>
      <c r="I228" s="14" t="str">
        <f>IF(OR($C228="",$F228=""),"",IFERROR(INDEX(Productos!$I$5:$I$504,MATCH($C228,Productos!$A$5:$A$504,0)),0)+SUMIFS($F$5:$F228,$C$5:$C228,$C228,$B$5:$B228,"Entrada")-SUMIFS($F$5:$F228,$C$5:$C228,$C228,$B$5:$B228,"Salida"))</f>
        <v/>
      </c>
      <c r="J228" s="20"/>
      <c r="K228" s="20"/>
      <c r="L228" s="20"/>
      <c r="M228" s="14" t="str">
        <f>IF(AND($C228&lt;&gt;"",$C228=Kardex!$C$4),COUNTIF($C$5:$C228,Kardex!$C$4),"")</f>
        <v/>
      </c>
    </row>
    <row r="229" spans="1:13" x14ac:dyDescent="0.25">
      <c r="A229" s="24"/>
      <c r="B229" s="20"/>
      <c r="C229" s="20"/>
      <c r="D229" s="14" t="str">
        <f>IF($C229="","",IFERROR(INDEX(Productos!$B$5:$B$504,MATCH($C229,Productos!$A$5:$A$504,0)),"Clave no existe"))</f>
        <v/>
      </c>
      <c r="E229" s="14" t="str">
        <f>IF($C229="","",IFERROR(INDEX(Productos!$D$5:$D$504,MATCH($C229,Productos!$A$5:$A$504,0)),""))</f>
        <v/>
      </c>
      <c r="F229" s="20"/>
      <c r="G229" s="22" t="str">
        <f>IF($C229="","",IFERROR(INDEX(Productos!$F$5:$F$504,MATCH($C229,Productos!$A$5:$A$504,0)),0))</f>
        <v/>
      </c>
      <c r="H229" s="22" t="str">
        <f t="shared" si="3"/>
        <v/>
      </c>
      <c r="I229" s="14" t="str">
        <f>IF(OR($C229="",$F229=""),"",IFERROR(INDEX(Productos!$I$5:$I$504,MATCH($C229,Productos!$A$5:$A$504,0)),0)+SUMIFS($F$5:$F229,$C$5:$C229,$C229,$B$5:$B229,"Entrada")-SUMIFS($F$5:$F229,$C$5:$C229,$C229,$B$5:$B229,"Salida"))</f>
        <v/>
      </c>
      <c r="J229" s="20"/>
      <c r="K229" s="20"/>
      <c r="L229" s="20"/>
      <c r="M229" s="14" t="str">
        <f>IF(AND($C229&lt;&gt;"",$C229=Kardex!$C$4),COUNTIF($C$5:$C229,Kardex!$C$4),"")</f>
        <v/>
      </c>
    </row>
    <row r="230" spans="1:13" x14ac:dyDescent="0.25">
      <c r="A230" s="24"/>
      <c r="B230" s="20"/>
      <c r="C230" s="20"/>
      <c r="D230" s="14" t="str">
        <f>IF($C230="","",IFERROR(INDEX(Productos!$B$5:$B$504,MATCH($C230,Productos!$A$5:$A$504,0)),"Clave no existe"))</f>
        <v/>
      </c>
      <c r="E230" s="14" t="str">
        <f>IF($C230="","",IFERROR(INDEX(Productos!$D$5:$D$504,MATCH($C230,Productos!$A$5:$A$504,0)),""))</f>
        <v/>
      </c>
      <c r="F230" s="20"/>
      <c r="G230" s="22" t="str">
        <f>IF($C230="","",IFERROR(INDEX(Productos!$F$5:$F$504,MATCH($C230,Productos!$A$5:$A$504,0)),0))</f>
        <v/>
      </c>
      <c r="H230" s="22" t="str">
        <f t="shared" si="3"/>
        <v/>
      </c>
      <c r="I230" s="14" t="str">
        <f>IF(OR($C230="",$F230=""),"",IFERROR(INDEX(Productos!$I$5:$I$504,MATCH($C230,Productos!$A$5:$A$504,0)),0)+SUMIFS($F$5:$F230,$C$5:$C230,$C230,$B$5:$B230,"Entrada")-SUMIFS($F$5:$F230,$C$5:$C230,$C230,$B$5:$B230,"Salida"))</f>
        <v/>
      </c>
      <c r="J230" s="20"/>
      <c r="K230" s="20"/>
      <c r="L230" s="20"/>
      <c r="M230" s="14" t="str">
        <f>IF(AND($C230&lt;&gt;"",$C230=Kardex!$C$4),COUNTIF($C$5:$C230,Kardex!$C$4),"")</f>
        <v/>
      </c>
    </row>
    <row r="231" spans="1:13" x14ac:dyDescent="0.25">
      <c r="A231" s="24"/>
      <c r="B231" s="20"/>
      <c r="C231" s="20"/>
      <c r="D231" s="14" t="str">
        <f>IF($C231="","",IFERROR(INDEX(Productos!$B$5:$B$504,MATCH($C231,Productos!$A$5:$A$504,0)),"Clave no existe"))</f>
        <v/>
      </c>
      <c r="E231" s="14" t="str">
        <f>IF($C231="","",IFERROR(INDEX(Productos!$D$5:$D$504,MATCH($C231,Productos!$A$5:$A$504,0)),""))</f>
        <v/>
      </c>
      <c r="F231" s="20"/>
      <c r="G231" s="22" t="str">
        <f>IF($C231="","",IFERROR(INDEX(Productos!$F$5:$F$504,MATCH($C231,Productos!$A$5:$A$504,0)),0))</f>
        <v/>
      </c>
      <c r="H231" s="22" t="str">
        <f t="shared" si="3"/>
        <v/>
      </c>
      <c r="I231" s="14" t="str">
        <f>IF(OR($C231="",$F231=""),"",IFERROR(INDEX(Productos!$I$5:$I$504,MATCH($C231,Productos!$A$5:$A$504,0)),0)+SUMIFS($F$5:$F231,$C$5:$C231,$C231,$B$5:$B231,"Entrada")-SUMIFS($F$5:$F231,$C$5:$C231,$C231,$B$5:$B231,"Salida"))</f>
        <v/>
      </c>
      <c r="J231" s="20"/>
      <c r="K231" s="20"/>
      <c r="L231" s="20"/>
      <c r="M231" s="14" t="str">
        <f>IF(AND($C231&lt;&gt;"",$C231=Kardex!$C$4),COUNTIF($C$5:$C231,Kardex!$C$4),"")</f>
        <v/>
      </c>
    </row>
    <row r="232" spans="1:13" x14ac:dyDescent="0.25">
      <c r="A232" s="24"/>
      <c r="B232" s="20"/>
      <c r="C232" s="20"/>
      <c r="D232" s="14" t="str">
        <f>IF($C232="","",IFERROR(INDEX(Productos!$B$5:$B$504,MATCH($C232,Productos!$A$5:$A$504,0)),"Clave no existe"))</f>
        <v/>
      </c>
      <c r="E232" s="14" t="str">
        <f>IF($C232="","",IFERROR(INDEX(Productos!$D$5:$D$504,MATCH($C232,Productos!$A$5:$A$504,0)),""))</f>
        <v/>
      </c>
      <c r="F232" s="20"/>
      <c r="G232" s="22" t="str">
        <f>IF($C232="","",IFERROR(INDEX(Productos!$F$5:$F$504,MATCH($C232,Productos!$A$5:$A$504,0)),0))</f>
        <v/>
      </c>
      <c r="H232" s="22" t="str">
        <f t="shared" si="3"/>
        <v/>
      </c>
      <c r="I232" s="14" t="str">
        <f>IF(OR($C232="",$F232=""),"",IFERROR(INDEX(Productos!$I$5:$I$504,MATCH($C232,Productos!$A$5:$A$504,0)),0)+SUMIFS($F$5:$F232,$C$5:$C232,$C232,$B$5:$B232,"Entrada")-SUMIFS($F$5:$F232,$C$5:$C232,$C232,$B$5:$B232,"Salida"))</f>
        <v/>
      </c>
      <c r="J232" s="20"/>
      <c r="K232" s="20"/>
      <c r="L232" s="20"/>
      <c r="M232" s="14" t="str">
        <f>IF(AND($C232&lt;&gt;"",$C232=Kardex!$C$4),COUNTIF($C$5:$C232,Kardex!$C$4),"")</f>
        <v/>
      </c>
    </row>
    <row r="233" spans="1:13" x14ac:dyDescent="0.25">
      <c r="A233" s="24"/>
      <c r="B233" s="20"/>
      <c r="C233" s="20"/>
      <c r="D233" s="14" t="str">
        <f>IF($C233="","",IFERROR(INDEX(Productos!$B$5:$B$504,MATCH($C233,Productos!$A$5:$A$504,0)),"Clave no existe"))</f>
        <v/>
      </c>
      <c r="E233" s="14" t="str">
        <f>IF($C233="","",IFERROR(INDEX(Productos!$D$5:$D$504,MATCH($C233,Productos!$A$5:$A$504,0)),""))</f>
        <v/>
      </c>
      <c r="F233" s="20"/>
      <c r="G233" s="22" t="str">
        <f>IF($C233="","",IFERROR(INDEX(Productos!$F$5:$F$504,MATCH($C233,Productos!$A$5:$A$504,0)),0))</f>
        <v/>
      </c>
      <c r="H233" s="22" t="str">
        <f t="shared" si="3"/>
        <v/>
      </c>
      <c r="I233" s="14" t="str">
        <f>IF(OR($C233="",$F233=""),"",IFERROR(INDEX(Productos!$I$5:$I$504,MATCH($C233,Productos!$A$5:$A$504,0)),0)+SUMIFS($F$5:$F233,$C$5:$C233,$C233,$B$5:$B233,"Entrada")-SUMIFS($F$5:$F233,$C$5:$C233,$C233,$B$5:$B233,"Salida"))</f>
        <v/>
      </c>
      <c r="J233" s="20"/>
      <c r="K233" s="20"/>
      <c r="L233" s="20"/>
      <c r="M233" s="14" t="str">
        <f>IF(AND($C233&lt;&gt;"",$C233=Kardex!$C$4),COUNTIF($C$5:$C233,Kardex!$C$4),"")</f>
        <v/>
      </c>
    </row>
    <row r="234" spans="1:13" x14ac:dyDescent="0.25">
      <c r="A234" s="24"/>
      <c r="B234" s="20"/>
      <c r="C234" s="20"/>
      <c r="D234" s="14" t="str">
        <f>IF($C234="","",IFERROR(INDEX(Productos!$B$5:$B$504,MATCH($C234,Productos!$A$5:$A$504,0)),"Clave no existe"))</f>
        <v/>
      </c>
      <c r="E234" s="14" t="str">
        <f>IF($C234="","",IFERROR(INDEX(Productos!$D$5:$D$504,MATCH($C234,Productos!$A$5:$A$504,0)),""))</f>
        <v/>
      </c>
      <c r="F234" s="20"/>
      <c r="G234" s="22" t="str">
        <f>IF($C234="","",IFERROR(INDEX(Productos!$F$5:$F$504,MATCH($C234,Productos!$A$5:$A$504,0)),0))</f>
        <v/>
      </c>
      <c r="H234" s="22" t="str">
        <f t="shared" si="3"/>
        <v/>
      </c>
      <c r="I234" s="14" t="str">
        <f>IF(OR($C234="",$F234=""),"",IFERROR(INDEX(Productos!$I$5:$I$504,MATCH($C234,Productos!$A$5:$A$504,0)),0)+SUMIFS($F$5:$F234,$C$5:$C234,$C234,$B$5:$B234,"Entrada")-SUMIFS($F$5:$F234,$C$5:$C234,$C234,$B$5:$B234,"Salida"))</f>
        <v/>
      </c>
      <c r="J234" s="20"/>
      <c r="K234" s="20"/>
      <c r="L234" s="20"/>
      <c r="M234" s="14" t="str">
        <f>IF(AND($C234&lt;&gt;"",$C234=Kardex!$C$4),COUNTIF($C$5:$C234,Kardex!$C$4),"")</f>
        <v/>
      </c>
    </row>
    <row r="235" spans="1:13" x14ac:dyDescent="0.25">
      <c r="A235" s="24"/>
      <c r="B235" s="20"/>
      <c r="C235" s="20"/>
      <c r="D235" s="14" t="str">
        <f>IF($C235="","",IFERROR(INDEX(Productos!$B$5:$B$504,MATCH($C235,Productos!$A$5:$A$504,0)),"Clave no existe"))</f>
        <v/>
      </c>
      <c r="E235" s="14" t="str">
        <f>IF($C235="","",IFERROR(INDEX(Productos!$D$5:$D$504,MATCH($C235,Productos!$A$5:$A$504,0)),""))</f>
        <v/>
      </c>
      <c r="F235" s="20"/>
      <c r="G235" s="22" t="str">
        <f>IF($C235="","",IFERROR(INDEX(Productos!$F$5:$F$504,MATCH($C235,Productos!$A$5:$A$504,0)),0))</f>
        <v/>
      </c>
      <c r="H235" s="22" t="str">
        <f t="shared" si="3"/>
        <v/>
      </c>
      <c r="I235" s="14" t="str">
        <f>IF(OR($C235="",$F235=""),"",IFERROR(INDEX(Productos!$I$5:$I$504,MATCH($C235,Productos!$A$5:$A$504,0)),0)+SUMIFS($F$5:$F235,$C$5:$C235,$C235,$B$5:$B235,"Entrada")-SUMIFS($F$5:$F235,$C$5:$C235,$C235,$B$5:$B235,"Salida"))</f>
        <v/>
      </c>
      <c r="J235" s="20"/>
      <c r="K235" s="20"/>
      <c r="L235" s="20"/>
      <c r="M235" s="14" t="str">
        <f>IF(AND($C235&lt;&gt;"",$C235=Kardex!$C$4),COUNTIF($C$5:$C235,Kardex!$C$4),"")</f>
        <v/>
      </c>
    </row>
    <row r="236" spans="1:13" x14ac:dyDescent="0.25">
      <c r="A236" s="24"/>
      <c r="B236" s="20"/>
      <c r="C236" s="20"/>
      <c r="D236" s="14" t="str">
        <f>IF($C236="","",IFERROR(INDEX(Productos!$B$5:$B$504,MATCH($C236,Productos!$A$5:$A$504,0)),"Clave no existe"))</f>
        <v/>
      </c>
      <c r="E236" s="14" t="str">
        <f>IF($C236="","",IFERROR(INDEX(Productos!$D$5:$D$504,MATCH($C236,Productos!$A$5:$A$504,0)),""))</f>
        <v/>
      </c>
      <c r="F236" s="20"/>
      <c r="G236" s="22" t="str">
        <f>IF($C236="","",IFERROR(INDEX(Productos!$F$5:$F$504,MATCH($C236,Productos!$A$5:$A$504,0)),0))</f>
        <v/>
      </c>
      <c r="H236" s="22" t="str">
        <f t="shared" si="3"/>
        <v/>
      </c>
      <c r="I236" s="14" t="str">
        <f>IF(OR($C236="",$F236=""),"",IFERROR(INDEX(Productos!$I$5:$I$504,MATCH($C236,Productos!$A$5:$A$504,0)),0)+SUMIFS($F$5:$F236,$C$5:$C236,$C236,$B$5:$B236,"Entrada")-SUMIFS($F$5:$F236,$C$5:$C236,$C236,$B$5:$B236,"Salida"))</f>
        <v/>
      </c>
      <c r="J236" s="20"/>
      <c r="K236" s="20"/>
      <c r="L236" s="20"/>
      <c r="M236" s="14" t="str">
        <f>IF(AND($C236&lt;&gt;"",$C236=Kardex!$C$4),COUNTIF($C$5:$C236,Kardex!$C$4),"")</f>
        <v/>
      </c>
    </row>
    <row r="237" spans="1:13" x14ac:dyDescent="0.25">
      <c r="A237" s="24"/>
      <c r="B237" s="20"/>
      <c r="C237" s="20"/>
      <c r="D237" s="14" t="str">
        <f>IF($C237="","",IFERROR(INDEX(Productos!$B$5:$B$504,MATCH($C237,Productos!$A$5:$A$504,0)),"Clave no existe"))</f>
        <v/>
      </c>
      <c r="E237" s="14" t="str">
        <f>IF($C237="","",IFERROR(INDEX(Productos!$D$5:$D$504,MATCH($C237,Productos!$A$5:$A$504,0)),""))</f>
        <v/>
      </c>
      <c r="F237" s="20"/>
      <c r="G237" s="22" t="str">
        <f>IF($C237="","",IFERROR(INDEX(Productos!$F$5:$F$504,MATCH($C237,Productos!$A$5:$A$504,0)),0))</f>
        <v/>
      </c>
      <c r="H237" s="22" t="str">
        <f t="shared" si="3"/>
        <v/>
      </c>
      <c r="I237" s="14" t="str">
        <f>IF(OR($C237="",$F237=""),"",IFERROR(INDEX(Productos!$I$5:$I$504,MATCH($C237,Productos!$A$5:$A$504,0)),0)+SUMIFS($F$5:$F237,$C$5:$C237,$C237,$B$5:$B237,"Entrada")-SUMIFS($F$5:$F237,$C$5:$C237,$C237,$B$5:$B237,"Salida"))</f>
        <v/>
      </c>
      <c r="J237" s="20"/>
      <c r="K237" s="20"/>
      <c r="L237" s="20"/>
      <c r="M237" s="14" t="str">
        <f>IF(AND($C237&lt;&gt;"",$C237=Kardex!$C$4),COUNTIF($C$5:$C237,Kardex!$C$4),"")</f>
        <v/>
      </c>
    </row>
    <row r="238" spans="1:13" x14ac:dyDescent="0.25">
      <c r="A238" s="24"/>
      <c r="B238" s="20"/>
      <c r="C238" s="20"/>
      <c r="D238" s="14" t="str">
        <f>IF($C238="","",IFERROR(INDEX(Productos!$B$5:$B$504,MATCH($C238,Productos!$A$5:$A$504,0)),"Clave no existe"))</f>
        <v/>
      </c>
      <c r="E238" s="14" t="str">
        <f>IF($C238="","",IFERROR(INDEX(Productos!$D$5:$D$504,MATCH($C238,Productos!$A$5:$A$504,0)),""))</f>
        <v/>
      </c>
      <c r="F238" s="20"/>
      <c r="G238" s="22" t="str">
        <f>IF($C238="","",IFERROR(INDEX(Productos!$F$5:$F$504,MATCH($C238,Productos!$A$5:$A$504,0)),0))</f>
        <v/>
      </c>
      <c r="H238" s="22" t="str">
        <f t="shared" si="3"/>
        <v/>
      </c>
      <c r="I238" s="14" t="str">
        <f>IF(OR($C238="",$F238=""),"",IFERROR(INDEX(Productos!$I$5:$I$504,MATCH($C238,Productos!$A$5:$A$504,0)),0)+SUMIFS($F$5:$F238,$C$5:$C238,$C238,$B$5:$B238,"Entrada")-SUMIFS($F$5:$F238,$C$5:$C238,$C238,$B$5:$B238,"Salida"))</f>
        <v/>
      </c>
      <c r="J238" s="20"/>
      <c r="K238" s="20"/>
      <c r="L238" s="20"/>
      <c r="M238" s="14" t="str">
        <f>IF(AND($C238&lt;&gt;"",$C238=Kardex!$C$4),COUNTIF($C$5:$C238,Kardex!$C$4),"")</f>
        <v/>
      </c>
    </row>
    <row r="239" spans="1:13" x14ac:dyDescent="0.25">
      <c r="A239" s="24"/>
      <c r="B239" s="20"/>
      <c r="C239" s="20"/>
      <c r="D239" s="14" t="str">
        <f>IF($C239="","",IFERROR(INDEX(Productos!$B$5:$B$504,MATCH($C239,Productos!$A$5:$A$504,0)),"Clave no existe"))</f>
        <v/>
      </c>
      <c r="E239" s="14" t="str">
        <f>IF($C239="","",IFERROR(INDEX(Productos!$D$5:$D$504,MATCH($C239,Productos!$A$5:$A$504,0)),""))</f>
        <v/>
      </c>
      <c r="F239" s="20"/>
      <c r="G239" s="22" t="str">
        <f>IF($C239="","",IFERROR(INDEX(Productos!$F$5:$F$504,MATCH($C239,Productos!$A$5:$A$504,0)),0))</f>
        <v/>
      </c>
      <c r="H239" s="22" t="str">
        <f t="shared" si="3"/>
        <v/>
      </c>
      <c r="I239" s="14" t="str">
        <f>IF(OR($C239="",$F239=""),"",IFERROR(INDEX(Productos!$I$5:$I$504,MATCH($C239,Productos!$A$5:$A$504,0)),0)+SUMIFS($F$5:$F239,$C$5:$C239,$C239,$B$5:$B239,"Entrada")-SUMIFS($F$5:$F239,$C$5:$C239,$C239,$B$5:$B239,"Salida"))</f>
        <v/>
      </c>
      <c r="J239" s="20"/>
      <c r="K239" s="20"/>
      <c r="L239" s="20"/>
      <c r="M239" s="14" t="str">
        <f>IF(AND($C239&lt;&gt;"",$C239=Kardex!$C$4),COUNTIF($C$5:$C239,Kardex!$C$4),"")</f>
        <v/>
      </c>
    </row>
    <row r="240" spans="1:13" x14ac:dyDescent="0.25">
      <c r="A240" s="24"/>
      <c r="B240" s="20"/>
      <c r="C240" s="20"/>
      <c r="D240" s="14" t="str">
        <f>IF($C240="","",IFERROR(INDEX(Productos!$B$5:$B$504,MATCH($C240,Productos!$A$5:$A$504,0)),"Clave no existe"))</f>
        <v/>
      </c>
      <c r="E240" s="14" t="str">
        <f>IF($C240="","",IFERROR(INDEX(Productos!$D$5:$D$504,MATCH($C240,Productos!$A$5:$A$504,0)),""))</f>
        <v/>
      </c>
      <c r="F240" s="20"/>
      <c r="G240" s="22" t="str">
        <f>IF($C240="","",IFERROR(INDEX(Productos!$F$5:$F$504,MATCH($C240,Productos!$A$5:$A$504,0)),0))</f>
        <v/>
      </c>
      <c r="H240" s="22" t="str">
        <f t="shared" si="3"/>
        <v/>
      </c>
      <c r="I240" s="14" t="str">
        <f>IF(OR($C240="",$F240=""),"",IFERROR(INDEX(Productos!$I$5:$I$504,MATCH($C240,Productos!$A$5:$A$504,0)),0)+SUMIFS($F$5:$F240,$C$5:$C240,$C240,$B$5:$B240,"Entrada")-SUMIFS($F$5:$F240,$C$5:$C240,$C240,$B$5:$B240,"Salida"))</f>
        <v/>
      </c>
      <c r="J240" s="20"/>
      <c r="K240" s="20"/>
      <c r="L240" s="20"/>
      <c r="M240" s="14" t="str">
        <f>IF(AND($C240&lt;&gt;"",$C240=Kardex!$C$4),COUNTIF($C$5:$C240,Kardex!$C$4),"")</f>
        <v/>
      </c>
    </row>
    <row r="241" spans="1:13" x14ac:dyDescent="0.25">
      <c r="A241" s="24"/>
      <c r="B241" s="20"/>
      <c r="C241" s="20"/>
      <c r="D241" s="14" t="str">
        <f>IF($C241="","",IFERROR(INDEX(Productos!$B$5:$B$504,MATCH($C241,Productos!$A$5:$A$504,0)),"Clave no existe"))</f>
        <v/>
      </c>
      <c r="E241" s="14" t="str">
        <f>IF($C241="","",IFERROR(INDEX(Productos!$D$5:$D$504,MATCH($C241,Productos!$A$5:$A$504,0)),""))</f>
        <v/>
      </c>
      <c r="F241" s="20"/>
      <c r="G241" s="22" t="str">
        <f>IF($C241="","",IFERROR(INDEX(Productos!$F$5:$F$504,MATCH($C241,Productos!$A$5:$A$504,0)),0))</f>
        <v/>
      </c>
      <c r="H241" s="22" t="str">
        <f t="shared" si="3"/>
        <v/>
      </c>
      <c r="I241" s="14" t="str">
        <f>IF(OR($C241="",$F241=""),"",IFERROR(INDEX(Productos!$I$5:$I$504,MATCH($C241,Productos!$A$5:$A$504,0)),0)+SUMIFS($F$5:$F241,$C$5:$C241,$C241,$B$5:$B241,"Entrada")-SUMIFS($F$5:$F241,$C$5:$C241,$C241,$B$5:$B241,"Salida"))</f>
        <v/>
      </c>
      <c r="J241" s="20"/>
      <c r="K241" s="20"/>
      <c r="L241" s="20"/>
      <c r="M241" s="14" t="str">
        <f>IF(AND($C241&lt;&gt;"",$C241=Kardex!$C$4),COUNTIF($C$5:$C241,Kardex!$C$4),"")</f>
        <v/>
      </c>
    </row>
    <row r="242" spans="1:13" x14ac:dyDescent="0.25">
      <c r="A242" s="24"/>
      <c r="B242" s="20"/>
      <c r="C242" s="20"/>
      <c r="D242" s="14" t="str">
        <f>IF($C242="","",IFERROR(INDEX(Productos!$B$5:$B$504,MATCH($C242,Productos!$A$5:$A$504,0)),"Clave no existe"))</f>
        <v/>
      </c>
      <c r="E242" s="14" t="str">
        <f>IF($C242="","",IFERROR(INDEX(Productos!$D$5:$D$504,MATCH($C242,Productos!$A$5:$A$504,0)),""))</f>
        <v/>
      </c>
      <c r="F242" s="20"/>
      <c r="G242" s="22" t="str">
        <f>IF($C242="","",IFERROR(INDEX(Productos!$F$5:$F$504,MATCH($C242,Productos!$A$5:$A$504,0)),0))</f>
        <v/>
      </c>
      <c r="H242" s="22" t="str">
        <f t="shared" si="3"/>
        <v/>
      </c>
      <c r="I242" s="14" t="str">
        <f>IF(OR($C242="",$F242=""),"",IFERROR(INDEX(Productos!$I$5:$I$504,MATCH($C242,Productos!$A$5:$A$504,0)),0)+SUMIFS($F$5:$F242,$C$5:$C242,$C242,$B$5:$B242,"Entrada")-SUMIFS($F$5:$F242,$C$5:$C242,$C242,$B$5:$B242,"Salida"))</f>
        <v/>
      </c>
      <c r="J242" s="20"/>
      <c r="K242" s="20"/>
      <c r="L242" s="20"/>
      <c r="M242" s="14" t="str">
        <f>IF(AND($C242&lt;&gt;"",$C242=Kardex!$C$4),COUNTIF($C$5:$C242,Kardex!$C$4),"")</f>
        <v/>
      </c>
    </row>
    <row r="243" spans="1:13" x14ac:dyDescent="0.25">
      <c r="A243" s="24"/>
      <c r="B243" s="20"/>
      <c r="C243" s="20"/>
      <c r="D243" s="14" t="str">
        <f>IF($C243="","",IFERROR(INDEX(Productos!$B$5:$B$504,MATCH($C243,Productos!$A$5:$A$504,0)),"Clave no existe"))</f>
        <v/>
      </c>
      <c r="E243" s="14" t="str">
        <f>IF($C243="","",IFERROR(INDEX(Productos!$D$5:$D$504,MATCH($C243,Productos!$A$5:$A$504,0)),""))</f>
        <v/>
      </c>
      <c r="F243" s="20"/>
      <c r="G243" s="22" t="str">
        <f>IF($C243="","",IFERROR(INDEX(Productos!$F$5:$F$504,MATCH($C243,Productos!$A$5:$A$504,0)),0))</f>
        <v/>
      </c>
      <c r="H243" s="22" t="str">
        <f t="shared" si="3"/>
        <v/>
      </c>
      <c r="I243" s="14" t="str">
        <f>IF(OR($C243="",$F243=""),"",IFERROR(INDEX(Productos!$I$5:$I$504,MATCH($C243,Productos!$A$5:$A$504,0)),0)+SUMIFS($F$5:$F243,$C$5:$C243,$C243,$B$5:$B243,"Entrada")-SUMIFS($F$5:$F243,$C$5:$C243,$C243,$B$5:$B243,"Salida"))</f>
        <v/>
      </c>
      <c r="J243" s="20"/>
      <c r="K243" s="20"/>
      <c r="L243" s="20"/>
      <c r="M243" s="14" t="str">
        <f>IF(AND($C243&lt;&gt;"",$C243=Kardex!$C$4),COUNTIF($C$5:$C243,Kardex!$C$4),"")</f>
        <v/>
      </c>
    </row>
    <row r="244" spans="1:13" x14ac:dyDescent="0.25">
      <c r="A244" s="24"/>
      <c r="B244" s="20"/>
      <c r="C244" s="20"/>
      <c r="D244" s="14" t="str">
        <f>IF($C244="","",IFERROR(INDEX(Productos!$B$5:$B$504,MATCH($C244,Productos!$A$5:$A$504,0)),"Clave no existe"))</f>
        <v/>
      </c>
      <c r="E244" s="14" t="str">
        <f>IF($C244="","",IFERROR(INDEX(Productos!$D$5:$D$504,MATCH($C244,Productos!$A$5:$A$504,0)),""))</f>
        <v/>
      </c>
      <c r="F244" s="20"/>
      <c r="G244" s="22" t="str">
        <f>IF($C244="","",IFERROR(INDEX(Productos!$F$5:$F$504,MATCH($C244,Productos!$A$5:$A$504,0)),0))</f>
        <v/>
      </c>
      <c r="H244" s="22" t="str">
        <f t="shared" si="3"/>
        <v/>
      </c>
      <c r="I244" s="14" t="str">
        <f>IF(OR($C244="",$F244=""),"",IFERROR(INDEX(Productos!$I$5:$I$504,MATCH($C244,Productos!$A$5:$A$504,0)),0)+SUMIFS($F$5:$F244,$C$5:$C244,$C244,$B$5:$B244,"Entrada")-SUMIFS($F$5:$F244,$C$5:$C244,$C244,$B$5:$B244,"Salida"))</f>
        <v/>
      </c>
      <c r="J244" s="20"/>
      <c r="K244" s="20"/>
      <c r="L244" s="20"/>
      <c r="M244" s="14" t="str">
        <f>IF(AND($C244&lt;&gt;"",$C244=Kardex!$C$4),COUNTIF($C$5:$C244,Kardex!$C$4),"")</f>
        <v/>
      </c>
    </row>
    <row r="245" spans="1:13" x14ac:dyDescent="0.25">
      <c r="A245" s="24"/>
      <c r="B245" s="20"/>
      <c r="C245" s="20"/>
      <c r="D245" s="14" t="str">
        <f>IF($C245="","",IFERROR(INDEX(Productos!$B$5:$B$504,MATCH($C245,Productos!$A$5:$A$504,0)),"Clave no existe"))</f>
        <v/>
      </c>
      <c r="E245" s="14" t="str">
        <f>IF($C245="","",IFERROR(INDEX(Productos!$D$5:$D$504,MATCH($C245,Productos!$A$5:$A$504,0)),""))</f>
        <v/>
      </c>
      <c r="F245" s="20"/>
      <c r="G245" s="22" t="str">
        <f>IF($C245="","",IFERROR(INDEX(Productos!$F$5:$F$504,MATCH($C245,Productos!$A$5:$A$504,0)),0))</f>
        <v/>
      </c>
      <c r="H245" s="22" t="str">
        <f t="shared" si="3"/>
        <v/>
      </c>
      <c r="I245" s="14" t="str">
        <f>IF(OR($C245="",$F245=""),"",IFERROR(INDEX(Productos!$I$5:$I$504,MATCH($C245,Productos!$A$5:$A$504,0)),0)+SUMIFS($F$5:$F245,$C$5:$C245,$C245,$B$5:$B245,"Entrada")-SUMIFS($F$5:$F245,$C$5:$C245,$C245,$B$5:$B245,"Salida"))</f>
        <v/>
      </c>
      <c r="J245" s="20"/>
      <c r="K245" s="20"/>
      <c r="L245" s="20"/>
      <c r="M245" s="14" t="str">
        <f>IF(AND($C245&lt;&gt;"",$C245=Kardex!$C$4),COUNTIF($C$5:$C245,Kardex!$C$4),"")</f>
        <v/>
      </c>
    </row>
    <row r="246" spans="1:13" x14ac:dyDescent="0.25">
      <c r="A246" s="24"/>
      <c r="B246" s="20"/>
      <c r="C246" s="20"/>
      <c r="D246" s="14" t="str">
        <f>IF($C246="","",IFERROR(INDEX(Productos!$B$5:$B$504,MATCH($C246,Productos!$A$5:$A$504,0)),"Clave no existe"))</f>
        <v/>
      </c>
      <c r="E246" s="14" t="str">
        <f>IF($C246="","",IFERROR(INDEX(Productos!$D$5:$D$504,MATCH($C246,Productos!$A$5:$A$504,0)),""))</f>
        <v/>
      </c>
      <c r="F246" s="20"/>
      <c r="G246" s="22" t="str">
        <f>IF($C246="","",IFERROR(INDEX(Productos!$F$5:$F$504,MATCH($C246,Productos!$A$5:$A$504,0)),0))</f>
        <v/>
      </c>
      <c r="H246" s="22" t="str">
        <f t="shared" si="3"/>
        <v/>
      </c>
      <c r="I246" s="14" t="str">
        <f>IF(OR($C246="",$F246=""),"",IFERROR(INDEX(Productos!$I$5:$I$504,MATCH($C246,Productos!$A$5:$A$504,0)),0)+SUMIFS($F$5:$F246,$C$5:$C246,$C246,$B$5:$B246,"Entrada")-SUMIFS($F$5:$F246,$C$5:$C246,$C246,$B$5:$B246,"Salida"))</f>
        <v/>
      </c>
      <c r="J246" s="20"/>
      <c r="K246" s="20"/>
      <c r="L246" s="20"/>
      <c r="M246" s="14" t="str">
        <f>IF(AND($C246&lt;&gt;"",$C246=Kardex!$C$4),COUNTIF($C$5:$C246,Kardex!$C$4),"")</f>
        <v/>
      </c>
    </row>
    <row r="247" spans="1:13" x14ac:dyDescent="0.25">
      <c r="A247" s="24"/>
      <c r="B247" s="20"/>
      <c r="C247" s="20"/>
      <c r="D247" s="14" t="str">
        <f>IF($C247="","",IFERROR(INDEX(Productos!$B$5:$B$504,MATCH($C247,Productos!$A$5:$A$504,0)),"Clave no existe"))</f>
        <v/>
      </c>
      <c r="E247" s="14" t="str">
        <f>IF($C247="","",IFERROR(INDEX(Productos!$D$5:$D$504,MATCH($C247,Productos!$A$5:$A$504,0)),""))</f>
        <v/>
      </c>
      <c r="F247" s="20"/>
      <c r="G247" s="22" t="str">
        <f>IF($C247="","",IFERROR(INDEX(Productos!$F$5:$F$504,MATCH($C247,Productos!$A$5:$A$504,0)),0))</f>
        <v/>
      </c>
      <c r="H247" s="22" t="str">
        <f t="shared" si="3"/>
        <v/>
      </c>
      <c r="I247" s="14" t="str">
        <f>IF(OR($C247="",$F247=""),"",IFERROR(INDEX(Productos!$I$5:$I$504,MATCH($C247,Productos!$A$5:$A$504,0)),0)+SUMIFS($F$5:$F247,$C$5:$C247,$C247,$B$5:$B247,"Entrada")-SUMIFS($F$5:$F247,$C$5:$C247,$C247,$B$5:$B247,"Salida"))</f>
        <v/>
      </c>
      <c r="J247" s="20"/>
      <c r="K247" s="20"/>
      <c r="L247" s="20"/>
      <c r="M247" s="14" t="str">
        <f>IF(AND($C247&lt;&gt;"",$C247=Kardex!$C$4),COUNTIF($C$5:$C247,Kardex!$C$4),"")</f>
        <v/>
      </c>
    </row>
    <row r="248" spans="1:13" x14ac:dyDescent="0.25">
      <c r="A248" s="24"/>
      <c r="B248" s="20"/>
      <c r="C248" s="20"/>
      <c r="D248" s="14" t="str">
        <f>IF($C248="","",IFERROR(INDEX(Productos!$B$5:$B$504,MATCH($C248,Productos!$A$5:$A$504,0)),"Clave no existe"))</f>
        <v/>
      </c>
      <c r="E248" s="14" t="str">
        <f>IF($C248="","",IFERROR(INDEX(Productos!$D$5:$D$504,MATCH($C248,Productos!$A$5:$A$504,0)),""))</f>
        <v/>
      </c>
      <c r="F248" s="20"/>
      <c r="G248" s="22" t="str">
        <f>IF($C248="","",IFERROR(INDEX(Productos!$F$5:$F$504,MATCH($C248,Productos!$A$5:$A$504,0)),0))</f>
        <v/>
      </c>
      <c r="H248" s="22" t="str">
        <f t="shared" si="3"/>
        <v/>
      </c>
      <c r="I248" s="14" t="str">
        <f>IF(OR($C248="",$F248=""),"",IFERROR(INDEX(Productos!$I$5:$I$504,MATCH($C248,Productos!$A$5:$A$504,0)),0)+SUMIFS($F$5:$F248,$C$5:$C248,$C248,$B$5:$B248,"Entrada")-SUMIFS($F$5:$F248,$C$5:$C248,$C248,$B$5:$B248,"Salida"))</f>
        <v/>
      </c>
      <c r="J248" s="20"/>
      <c r="K248" s="20"/>
      <c r="L248" s="20"/>
      <c r="M248" s="14" t="str">
        <f>IF(AND($C248&lt;&gt;"",$C248=Kardex!$C$4),COUNTIF($C$5:$C248,Kardex!$C$4),"")</f>
        <v/>
      </c>
    </row>
    <row r="249" spans="1:13" x14ac:dyDescent="0.25">
      <c r="A249" s="24"/>
      <c r="B249" s="20"/>
      <c r="C249" s="20"/>
      <c r="D249" s="14" t="str">
        <f>IF($C249="","",IFERROR(INDEX(Productos!$B$5:$B$504,MATCH($C249,Productos!$A$5:$A$504,0)),"Clave no existe"))</f>
        <v/>
      </c>
      <c r="E249" s="14" t="str">
        <f>IF($C249="","",IFERROR(INDEX(Productos!$D$5:$D$504,MATCH($C249,Productos!$A$5:$A$504,0)),""))</f>
        <v/>
      </c>
      <c r="F249" s="20"/>
      <c r="G249" s="22" t="str">
        <f>IF($C249="","",IFERROR(INDEX(Productos!$F$5:$F$504,MATCH($C249,Productos!$A$5:$A$504,0)),0))</f>
        <v/>
      </c>
      <c r="H249" s="22" t="str">
        <f t="shared" si="3"/>
        <v/>
      </c>
      <c r="I249" s="14" t="str">
        <f>IF(OR($C249="",$F249=""),"",IFERROR(INDEX(Productos!$I$5:$I$504,MATCH($C249,Productos!$A$5:$A$504,0)),0)+SUMIFS($F$5:$F249,$C$5:$C249,$C249,$B$5:$B249,"Entrada")-SUMIFS($F$5:$F249,$C$5:$C249,$C249,$B$5:$B249,"Salida"))</f>
        <v/>
      </c>
      <c r="J249" s="20"/>
      <c r="K249" s="20"/>
      <c r="L249" s="20"/>
      <c r="M249" s="14" t="str">
        <f>IF(AND($C249&lt;&gt;"",$C249=Kardex!$C$4),COUNTIF($C$5:$C249,Kardex!$C$4),"")</f>
        <v/>
      </c>
    </row>
    <row r="250" spans="1:13" x14ac:dyDescent="0.25">
      <c r="A250" s="24"/>
      <c r="B250" s="20"/>
      <c r="C250" s="20"/>
      <c r="D250" s="14" t="str">
        <f>IF($C250="","",IFERROR(INDEX(Productos!$B$5:$B$504,MATCH($C250,Productos!$A$5:$A$504,0)),"Clave no existe"))</f>
        <v/>
      </c>
      <c r="E250" s="14" t="str">
        <f>IF($C250="","",IFERROR(INDEX(Productos!$D$5:$D$504,MATCH($C250,Productos!$A$5:$A$504,0)),""))</f>
        <v/>
      </c>
      <c r="F250" s="20"/>
      <c r="G250" s="22" t="str">
        <f>IF($C250="","",IFERROR(INDEX(Productos!$F$5:$F$504,MATCH($C250,Productos!$A$5:$A$504,0)),0))</f>
        <v/>
      </c>
      <c r="H250" s="22" t="str">
        <f t="shared" si="3"/>
        <v/>
      </c>
      <c r="I250" s="14" t="str">
        <f>IF(OR($C250="",$F250=""),"",IFERROR(INDEX(Productos!$I$5:$I$504,MATCH($C250,Productos!$A$5:$A$504,0)),0)+SUMIFS($F$5:$F250,$C$5:$C250,$C250,$B$5:$B250,"Entrada")-SUMIFS($F$5:$F250,$C$5:$C250,$C250,$B$5:$B250,"Salida"))</f>
        <v/>
      </c>
      <c r="J250" s="20"/>
      <c r="K250" s="20"/>
      <c r="L250" s="20"/>
      <c r="M250" s="14" t="str">
        <f>IF(AND($C250&lt;&gt;"",$C250=Kardex!$C$4),COUNTIF($C$5:$C250,Kardex!$C$4),"")</f>
        <v/>
      </c>
    </row>
    <row r="251" spans="1:13" x14ac:dyDescent="0.25">
      <c r="A251" s="24"/>
      <c r="B251" s="20"/>
      <c r="C251" s="20"/>
      <c r="D251" s="14" t="str">
        <f>IF($C251="","",IFERROR(INDEX(Productos!$B$5:$B$504,MATCH($C251,Productos!$A$5:$A$504,0)),"Clave no existe"))</f>
        <v/>
      </c>
      <c r="E251" s="14" t="str">
        <f>IF($C251="","",IFERROR(INDEX(Productos!$D$5:$D$504,MATCH($C251,Productos!$A$5:$A$504,0)),""))</f>
        <v/>
      </c>
      <c r="F251" s="20"/>
      <c r="G251" s="22" t="str">
        <f>IF($C251="","",IFERROR(INDEX(Productos!$F$5:$F$504,MATCH($C251,Productos!$A$5:$A$504,0)),0))</f>
        <v/>
      </c>
      <c r="H251" s="22" t="str">
        <f t="shared" si="3"/>
        <v/>
      </c>
      <c r="I251" s="14" t="str">
        <f>IF(OR($C251="",$F251=""),"",IFERROR(INDEX(Productos!$I$5:$I$504,MATCH($C251,Productos!$A$5:$A$504,0)),0)+SUMIFS($F$5:$F251,$C$5:$C251,$C251,$B$5:$B251,"Entrada")-SUMIFS($F$5:$F251,$C$5:$C251,$C251,$B$5:$B251,"Salida"))</f>
        <v/>
      </c>
      <c r="J251" s="20"/>
      <c r="K251" s="20"/>
      <c r="L251" s="20"/>
      <c r="M251" s="14" t="str">
        <f>IF(AND($C251&lt;&gt;"",$C251=Kardex!$C$4),COUNTIF($C$5:$C251,Kardex!$C$4),"")</f>
        <v/>
      </c>
    </row>
    <row r="252" spans="1:13" x14ac:dyDescent="0.25">
      <c r="A252" s="24"/>
      <c r="B252" s="20"/>
      <c r="C252" s="20"/>
      <c r="D252" s="14" t="str">
        <f>IF($C252="","",IFERROR(INDEX(Productos!$B$5:$B$504,MATCH($C252,Productos!$A$5:$A$504,0)),"Clave no existe"))</f>
        <v/>
      </c>
      <c r="E252" s="14" t="str">
        <f>IF($C252="","",IFERROR(INDEX(Productos!$D$5:$D$504,MATCH($C252,Productos!$A$5:$A$504,0)),""))</f>
        <v/>
      </c>
      <c r="F252" s="20"/>
      <c r="G252" s="22" t="str">
        <f>IF($C252="","",IFERROR(INDEX(Productos!$F$5:$F$504,MATCH($C252,Productos!$A$5:$A$504,0)),0))</f>
        <v/>
      </c>
      <c r="H252" s="22" t="str">
        <f t="shared" si="3"/>
        <v/>
      </c>
      <c r="I252" s="14" t="str">
        <f>IF(OR($C252="",$F252=""),"",IFERROR(INDEX(Productos!$I$5:$I$504,MATCH($C252,Productos!$A$5:$A$504,0)),0)+SUMIFS($F$5:$F252,$C$5:$C252,$C252,$B$5:$B252,"Entrada")-SUMIFS($F$5:$F252,$C$5:$C252,$C252,$B$5:$B252,"Salida"))</f>
        <v/>
      </c>
      <c r="J252" s="20"/>
      <c r="K252" s="20"/>
      <c r="L252" s="20"/>
      <c r="M252" s="14" t="str">
        <f>IF(AND($C252&lt;&gt;"",$C252=Kardex!$C$4),COUNTIF($C$5:$C252,Kardex!$C$4),"")</f>
        <v/>
      </c>
    </row>
    <row r="253" spans="1:13" x14ac:dyDescent="0.25">
      <c r="A253" s="24"/>
      <c r="B253" s="20"/>
      <c r="C253" s="20"/>
      <c r="D253" s="14" t="str">
        <f>IF($C253="","",IFERROR(INDEX(Productos!$B$5:$B$504,MATCH($C253,Productos!$A$5:$A$504,0)),"Clave no existe"))</f>
        <v/>
      </c>
      <c r="E253" s="14" t="str">
        <f>IF($C253="","",IFERROR(INDEX(Productos!$D$5:$D$504,MATCH($C253,Productos!$A$5:$A$504,0)),""))</f>
        <v/>
      </c>
      <c r="F253" s="20"/>
      <c r="G253" s="22" t="str">
        <f>IF($C253="","",IFERROR(INDEX(Productos!$F$5:$F$504,MATCH($C253,Productos!$A$5:$A$504,0)),0))</f>
        <v/>
      </c>
      <c r="H253" s="22" t="str">
        <f t="shared" si="3"/>
        <v/>
      </c>
      <c r="I253" s="14" t="str">
        <f>IF(OR($C253="",$F253=""),"",IFERROR(INDEX(Productos!$I$5:$I$504,MATCH($C253,Productos!$A$5:$A$504,0)),0)+SUMIFS($F$5:$F253,$C$5:$C253,$C253,$B$5:$B253,"Entrada")-SUMIFS($F$5:$F253,$C$5:$C253,$C253,$B$5:$B253,"Salida"))</f>
        <v/>
      </c>
      <c r="J253" s="20"/>
      <c r="K253" s="20"/>
      <c r="L253" s="20"/>
      <c r="M253" s="14" t="str">
        <f>IF(AND($C253&lt;&gt;"",$C253=Kardex!$C$4),COUNTIF($C$5:$C253,Kardex!$C$4),"")</f>
        <v/>
      </c>
    </row>
    <row r="254" spans="1:13" x14ac:dyDescent="0.25">
      <c r="A254" s="24"/>
      <c r="B254" s="20"/>
      <c r="C254" s="20"/>
      <c r="D254" s="14" t="str">
        <f>IF($C254="","",IFERROR(INDEX(Productos!$B$5:$B$504,MATCH($C254,Productos!$A$5:$A$504,0)),"Clave no existe"))</f>
        <v/>
      </c>
      <c r="E254" s="14" t="str">
        <f>IF($C254="","",IFERROR(INDEX(Productos!$D$5:$D$504,MATCH($C254,Productos!$A$5:$A$504,0)),""))</f>
        <v/>
      </c>
      <c r="F254" s="20"/>
      <c r="G254" s="22" t="str">
        <f>IF($C254="","",IFERROR(INDEX(Productos!$F$5:$F$504,MATCH($C254,Productos!$A$5:$A$504,0)),0))</f>
        <v/>
      </c>
      <c r="H254" s="22" t="str">
        <f t="shared" si="3"/>
        <v/>
      </c>
      <c r="I254" s="14" t="str">
        <f>IF(OR($C254="",$F254=""),"",IFERROR(INDEX(Productos!$I$5:$I$504,MATCH($C254,Productos!$A$5:$A$504,0)),0)+SUMIFS($F$5:$F254,$C$5:$C254,$C254,$B$5:$B254,"Entrada")-SUMIFS($F$5:$F254,$C$5:$C254,$C254,$B$5:$B254,"Salida"))</f>
        <v/>
      </c>
      <c r="J254" s="20"/>
      <c r="K254" s="20"/>
      <c r="L254" s="20"/>
      <c r="M254" s="14" t="str">
        <f>IF(AND($C254&lt;&gt;"",$C254=Kardex!$C$4),COUNTIF($C$5:$C254,Kardex!$C$4),"")</f>
        <v/>
      </c>
    </row>
    <row r="255" spans="1:13" x14ac:dyDescent="0.25">
      <c r="A255" s="24"/>
      <c r="B255" s="20"/>
      <c r="C255" s="20"/>
      <c r="D255" s="14" t="str">
        <f>IF($C255="","",IFERROR(INDEX(Productos!$B$5:$B$504,MATCH($C255,Productos!$A$5:$A$504,0)),"Clave no existe"))</f>
        <v/>
      </c>
      <c r="E255" s="14" t="str">
        <f>IF($C255="","",IFERROR(INDEX(Productos!$D$5:$D$504,MATCH($C255,Productos!$A$5:$A$504,0)),""))</f>
        <v/>
      </c>
      <c r="F255" s="20"/>
      <c r="G255" s="22" t="str">
        <f>IF($C255="","",IFERROR(INDEX(Productos!$F$5:$F$504,MATCH($C255,Productos!$A$5:$A$504,0)),0))</f>
        <v/>
      </c>
      <c r="H255" s="22" t="str">
        <f t="shared" si="3"/>
        <v/>
      </c>
      <c r="I255" s="14" t="str">
        <f>IF(OR($C255="",$F255=""),"",IFERROR(INDEX(Productos!$I$5:$I$504,MATCH($C255,Productos!$A$5:$A$504,0)),0)+SUMIFS($F$5:$F255,$C$5:$C255,$C255,$B$5:$B255,"Entrada")-SUMIFS($F$5:$F255,$C$5:$C255,$C255,$B$5:$B255,"Salida"))</f>
        <v/>
      </c>
      <c r="J255" s="20"/>
      <c r="K255" s="20"/>
      <c r="L255" s="20"/>
      <c r="M255" s="14" t="str">
        <f>IF(AND($C255&lt;&gt;"",$C255=Kardex!$C$4),COUNTIF($C$5:$C255,Kardex!$C$4),"")</f>
        <v/>
      </c>
    </row>
    <row r="256" spans="1:13" x14ac:dyDescent="0.25">
      <c r="A256" s="24"/>
      <c r="B256" s="20"/>
      <c r="C256" s="20"/>
      <c r="D256" s="14" t="str">
        <f>IF($C256="","",IFERROR(INDEX(Productos!$B$5:$B$504,MATCH($C256,Productos!$A$5:$A$504,0)),"Clave no existe"))</f>
        <v/>
      </c>
      <c r="E256" s="14" t="str">
        <f>IF($C256="","",IFERROR(INDEX(Productos!$D$5:$D$504,MATCH($C256,Productos!$A$5:$A$504,0)),""))</f>
        <v/>
      </c>
      <c r="F256" s="20"/>
      <c r="G256" s="22" t="str">
        <f>IF($C256="","",IFERROR(INDEX(Productos!$F$5:$F$504,MATCH($C256,Productos!$A$5:$A$504,0)),0))</f>
        <v/>
      </c>
      <c r="H256" s="22" t="str">
        <f t="shared" si="3"/>
        <v/>
      </c>
      <c r="I256" s="14" t="str">
        <f>IF(OR($C256="",$F256=""),"",IFERROR(INDEX(Productos!$I$5:$I$504,MATCH($C256,Productos!$A$5:$A$504,0)),0)+SUMIFS($F$5:$F256,$C$5:$C256,$C256,$B$5:$B256,"Entrada")-SUMIFS($F$5:$F256,$C$5:$C256,$C256,$B$5:$B256,"Salida"))</f>
        <v/>
      </c>
      <c r="J256" s="20"/>
      <c r="K256" s="20"/>
      <c r="L256" s="20"/>
      <c r="M256" s="14" t="str">
        <f>IF(AND($C256&lt;&gt;"",$C256=Kardex!$C$4),COUNTIF($C$5:$C256,Kardex!$C$4),"")</f>
        <v/>
      </c>
    </row>
    <row r="257" spans="1:13" x14ac:dyDescent="0.25">
      <c r="A257" s="24"/>
      <c r="B257" s="20"/>
      <c r="C257" s="20"/>
      <c r="D257" s="14" t="str">
        <f>IF($C257="","",IFERROR(INDEX(Productos!$B$5:$B$504,MATCH($C257,Productos!$A$5:$A$504,0)),"Clave no existe"))</f>
        <v/>
      </c>
      <c r="E257" s="14" t="str">
        <f>IF($C257="","",IFERROR(INDEX(Productos!$D$5:$D$504,MATCH($C257,Productos!$A$5:$A$504,0)),""))</f>
        <v/>
      </c>
      <c r="F257" s="20"/>
      <c r="G257" s="22" t="str">
        <f>IF($C257="","",IFERROR(INDEX(Productos!$F$5:$F$504,MATCH($C257,Productos!$A$5:$A$504,0)),0))</f>
        <v/>
      </c>
      <c r="H257" s="22" t="str">
        <f t="shared" si="3"/>
        <v/>
      </c>
      <c r="I257" s="14" t="str">
        <f>IF(OR($C257="",$F257=""),"",IFERROR(INDEX(Productos!$I$5:$I$504,MATCH($C257,Productos!$A$5:$A$504,0)),0)+SUMIFS($F$5:$F257,$C$5:$C257,$C257,$B$5:$B257,"Entrada")-SUMIFS($F$5:$F257,$C$5:$C257,$C257,$B$5:$B257,"Salida"))</f>
        <v/>
      </c>
      <c r="J257" s="20"/>
      <c r="K257" s="20"/>
      <c r="L257" s="20"/>
      <c r="M257" s="14" t="str">
        <f>IF(AND($C257&lt;&gt;"",$C257=Kardex!$C$4),COUNTIF($C$5:$C257,Kardex!$C$4),"")</f>
        <v/>
      </c>
    </row>
    <row r="258" spans="1:13" x14ac:dyDescent="0.25">
      <c r="A258" s="24"/>
      <c r="B258" s="20"/>
      <c r="C258" s="20"/>
      <c r="D258" s="14" t="str">
        <f>IF($C258="","",IFERROR(INDEX(Productos!$B$5:$B$504,MATCH($C258,Productos!$A$5:$A$504,0)),"Clave no existe"))</f>
        <v/>
      </c>
      <c r="E258" s="14" t="str">
        <f>IF($C258="","",IFERROR(INDEX(Productos!$D$5:$D$504,MATCH($C258,Productos!$A$5:$A$504,0)),""))</f>
        <v/>
      </c>
      <c r="F258" s="20"/>
      <c r="G258" s="22" t="str">
        <f>IF($C258="","",IFERROR(INDEX(Productos!$F$5:$F$504,MATCH($C258,Productos!$A$5:$A$504,0)),0))</f>
        <v/>
      </c>
      <c r="H258" s="22" t="str">
        <f t="shared" si="3"/>
        <v/>
      </c>
      <c r="I258" s="14" t="str">
        <f>IF(OR($C258="",$F258=""),"",IFERROR(INDEX(Productos!$I$5:$I$504,MATCH($C258,Productos!$A$5:$A$504,0)),0)+SUMIFS($F$5:$F258,$C$5:$C258,$C258,$B$5:$B258,"Entrada")-SUMIFS($F$5:$F258,$C$5:$C258,$C258,$B$5:$B258,"Salida"))</f>
        <v/>
      </c>
      <c r="J258" s="20"/>
      <c r="K258" s="20"/>
      <c r="L258" s="20"/>
      <c r="M258" s="14" t="str">
        <f>IF(AND($C258&lt;&gt;"",$C258=Kardex!$C$4),COUNTIF($C$5:$C258,Kardex!$C$4),"")</f>
        <v/>
      </c>
    </row>
    <row r="259" spans="1:13" x14ac:dyDescent="0.25">
      <c r="A259" s="24"/>
      <c r="B259" s="20"/>
      <c r="C259" s="20"/>
      <c r="D259" s="14" t="str">
        <f>IF($C259="","",IFERROR(INDEX(Productos!$B$5:$B$504,MATCH($C259,Productos!$A$5:$A$504,0)),"Clave no existe"))</f>
        <v/>
      </c>
      <c r="E259" s="14" t="str">
        <f>IF($C259="","",IFERROR(INDEX(Productos!$D$5:$D$504,MATCH($C259,Productos!$A$5:$A$504,0)),""))</f>
        <v/>
      </c>
      <c r="F259" s="20"/>
      <c r="G259" s="22" t="str">
        <f>IF($C259="","",IFERROR(INDEX(Productos!$F$5:$F$504,MATCH($C259,Productos!$A$5:$A$504,0)),0))</f>
        <v/>
      </c>
      <c r="H259" s="22" t="str">
        <f t="shared" si="3"/>
        <v/>
      </c>
      <c r="I259" s="14" t="str">
        <f>IF(OR($C259="",$F259=""),"",IFERROR(INDEX(Productos!$I$5:$I$504,MATCH($C259,Productos!$A$5:$A$504,0)),0)+SUMIFS($F$5:$F259,$C$5:$C259,$C259,$B$5:$B259,"Entrada")-SUMIFS($F$5:$F259,$C$5:$C259,$C259,$B$5:$B259,"Salida"))</f>
        <v/>
      </c>
      <c r="J259" s="20"/>
      <c r="K259" s="20"/>
      <c r="L259" s="20"/>
      <c r="M259" s="14" t="str">
        <f>IF(AND($C259&lt;&gt;"",$C259=Kardex!$C$4),COUNTIF($C$5:$C259,Kardex!$C$4),"")</f>
        <v/>
      </c>
    </row>
    <row r="260" spans="1:13" x14ac:dyDescent="0.25">
      <c r="A260" s="24"/>
      <c r="B260" s="20"/>
      <c r="C260" s="20"/>
      <c r="D260" s="14" t="str">
        <f>IF($C260="","",IFERROR(INDEX(Productos!$B$5:$B$504,MATCH($C260,Productos!$A$5:$A$504,0)),"Clave no existe"))</f>
        <v/>
      </c>
      <c r="E260" s="14" t="str">
        <f>IF($C260="","",IFERROR(INDEX(Productos!$D$5:$D$504,MATCH($C260,Productos!$A$5:$A$504,0)),""))</f>
        <v/>
      </c>
      <c r="F260" s="20"/>
      <c r="G260" s="22" t="str">
        <f>IF($C260="","",IFERROR(INDEX(Productos!$F$5:$F$504,MATCH($C260,Productos!$A$5:$A$504,0)),0))</f>
        <v/>
      </c>
      <c r="H260" s="22" t="str">
        <f t="shared" si="3"/>
        <v/>
      </c>
      <c r="I260" s="14" t="str">
        <f>IF(OR($C260="",$F260=""),"",IFERROR(INDEX(Productos!$I$5:$I$504,MATCH($C260,Productos!$A$5:$A$504,0)),0)+SUMIFS($F$5:$F260,$C$5:$C260,$C260,$B$5:$B260,"Entrada")-SUMIFS($F$5:$F260,$C$5:$C260,$C260,$B$5:$B260,"Salida"))</f>
        <v/>
      </c>
      <c r="J260" s="20"/>
      <c r="K260" s="20"/>
      <c r="L260" s="20"/>
      <c r="M260" s="14" t="str">
        <f>IF(AND($C260&lt;&gt;"",$C260=Kardex!$C$4),COUNTIF($C$5:$C260,Kardex!$C$4),"")</f>
        <v/>
      </c>
    </row>
    <row r="261" spans="1:13" x14ac:dyDescent="0.25">
      <c r="A261" s="24"/>
      <c r="B261" s="20"/>
      <c r="C261" s="20"/>
      <c r="D261" s="14" t="str">
        <f>IF($C261="","",IFERROR(INDEX(Productos!$B$5:$B$504,MATCH($C261,Productos!$A$5:$A$504,0)),"Clave no existe"))</f>
        <v/>
      </c>
      <c r="E261" s="14" t="str">
        <f>IF($C261="","",IFERROR(INDEX(Productos!$D$5:$D$504,MATCH($C261,Productos!$A$5:$A$504,0)),""))</f>
        <v/>
      </c>
      <c r="F261" s="20"/>
      <c r="G261" s="22" t="str">
        <f>IF($C261="","",IFERROR(INDEX(Productos!$F$5:$F$504,MATCH($C261,Productos!$A$5:$A$504,0)),0))</f>
        <v/>
      </c>
      <c r="H261" s="22" t="str">
        <f t="shared" ref="H261:H324" si="4">IF(OR($C261="",$F261=""),"",F261*G261)</f>
        <v/>
      </c>
      <c r="I261" s="14" t="str">
        <f>IF(OR($C261="",$F261=""),"",IFERROR(INDEX(Productos!$I$5:$I$504,MATCH($C261,Productos!$A$5:$A$504,0)),0)+SUMIFS($F$5:$F261,$C$5:$C261,$C261,$B$5:$B261,"Entrada")-SUMIFS($F$5:$F261,$C$5:$C261,$C261,$B$5:$B261,"Salida"))</f>
        <v/>
      </c>
      <c r="J261" s="20"/>
      <c r="K261" s="20"/>
      <c r="L261" s="20"/>
      <c r="M261" s="14" t="str">
        <f>IF(AND($C261&lt;&gt;"",$C261=Kardex!$C$4),COUNTIF($C$5:$C261,Kardex!$C$4),"")</f>
        <v/>
      </c>
    </row>
    <row r="262" spans="1:13" x14ac:dyDescent="0.25">
      <c r="A262" s="24"/>
      <c r="B262" s="20"/>
      <c r="C262" s="20"/>
      <c r="D262" s="14" t="str">
        <f>IF($C262="","",IFERROR(INDEX(Productos!$B$5:$B$504,MATCH($C262,Productos!$A$5:$A$504,0)),"Clave no existe"))</f>
        <v/>
      </c>
      <c r="E262" s="14" t="str">
        <f>IF($C262="","",IFERROR(INDEX(Productos!$D$5:$D$504,MATCH($C262,Productos!$A$5:$A$504,0)),""))</f>
        <v/>
      </c>
      <c r="F262" s="20"/>
      <c r="G262" s="22" t="str">
        <f>IF($C262="","",IFERROR(INDEX(Productos!$F$5:$F$504,MATCH($C262,Productos!$A$5:$A$504,0)),0))</f>
        <v/>
      </c>
      <c r="H262" s="22" t="str">
        <f t="shared" si="4"/>
        <v/>
      </c>
      <c r="I262" s="14" t="str">
        <f>IF(OR($C262="",$F262=""),"",IFERROR(INDEX(Productos!$I$5:$I$504,MATCH($C262,Productos!$A$5:$A$504,0)),0)+SUMIFS($F$5:$F262,$C$5:$C262,$C262,$B$5:$B262,"Entrada")-SUMIFS($F$5:$F262,$C$5:$C262,$C262,$B$5:$B262,"Salida"))</f>
        <v/>
      </c>
      <c r="J262" s="20"/>
      <c r="K262" s="20"/>
      <c r="L262" s="20"/>
      <c r="M262" s="14" t="str">
        <f>IF(AND($C262&lt;&gt;"",$C262=Kardex!$C$4),COUNTIF($C$5:$C262,Kardex!$C$4),"")</f>
        <v/>
      </c>
    </row>
    <row r="263" spans="1:13" x14ac:dyDescent="0.25">
      <c r="A263" s="24"/>
      <c r="B263" s="20"/>
      <c r="C263" s="20"/>
      <c r="D263" s="14" t="str">
        <f>IF($C263="","",IFERROR(INDEX(Productos!$B$5:$B$504,MATCH($C263,Productos!$A$5:$A$504,0)),"Clave no existe"))</f>
        <v/>
      </c>
      <c r="E263" s="14" t="str">
        <f>IF($C263="","",IFERROR(INDEX(Productos!$D$5:$D$504,MATCH($C263,Productos!$A$5:$A$504,0)),""))</f>
        <v/>
      </c>
      <c r="F263" s="20"/>
      <c r="G263" s="22" t="str">
        <f>IF($C263="","",IFERROR(INDEX(Productos!$F$5:$F$504,MATCH($C263,Productos!$A$5:$A$504,0)),0))</f>
        <v/>
      </c>
      <c r="H263" s="22" t="str">
        <f t="shared" si="4"/>
        <v/>
      </c>
      <c r="I263" s="14" t="str">
        <f>IF(OR($C263="",$F263=""),"",IFERROR(INDEX(Productos!$I$5:$I$504,MATCH($C263,Productos!$A$5:$A$504,0)),0)+SUMIFS($F$5:$F263,$C$5:$C263,$C263,$B$5:$B263,"Entrada")-SUMIFS($F$5:$F263,$C$5:$C263,$C263,$B$5:$B263,"Salida"))</f>
        <v/>
      </c>
      <c r="J263" s="20"/>
      <c r="K263" s="20"/>
      <c r="L263" s="20"/>
      <c r="M263" s="14" t="str">
        <f>IF(AND($C263&lt;&gt;"",$C263=Kardex!$C$4),COUNTIF($C$5:$C263,Kardex!$C$4),"")</f>
        <v/>
      </c>
    </row>
    <row r="264" spans="1:13" x14ac:dyDescent="0.25">
      <c r="A264" s="24"/>
      <c r="B264" s="20"/>
      <c r="C264" s="20"/>
      <c r="D264" s="14" t="str">
        <f>IF($C264="","",IFERROR(INDEX(Productos!$B$5:$B$504,MATCH($C264,Productos!$A$5:$A$504,0)),"Clave no existe"))</f>
        <v/>
      </c>
      <c r="E264" s="14" t="str">
        <f>IF($C264="","",IFERROR(INDEX(Productos!$D$5:$D$504,MATCH($C264,Productos!$A$5:$A$504,0)),""))</f>
        <v/>
      </c>
      <c r="F264" s="20"/>
      <c r="G264" s="22" t="str">
        <f>IF($C264="","",IFERROR(INDEX(Productos!$F$5:$F$504,MATCH($C264,Productos!$A$5:$A$504,0)),0))</f>
        <v/>
      </c>
      <c r="H264" s="22" t="str">
        <f t="shared" si="4"/>
        <v/>
      </c>
      <c r="I264" s="14" t="str">
        <f>IF(OR($C264="",$F264=""),"",IFERROR(INDEX(Productos!$I$5:$I$504,MATCH($C264,Productos!$A$5:$A$504,0)),0)+SUMIFS($F$5:$F264,$C$5:$C264,$C264,$B$5:$B264,"Entrada")-SUMIFS($F$5:$F264,$C$5:$C264,$C264,$B$5:$B264,"Salida"))</f>
        <v/>
      </c>
      <c r="J264" s="20"/>
      <c r="K264" s="20"/>
      <c r="L264" s="20"/>
      <c r="M264" s="14" t="str">
        <f>IF(AND($C264&lt;&gt;"",$C264=Kardex!$C$4),COUNTIF($C$5:$C264,Kardex!$C$4),"")</f>
        <v/>
      </c>
    </row>
    <row r="265" spans="1:13" x14ac:dyDescent="0.25">
      <c r="A265" s="24"/>
      <c r="B265" s="20"/>
      <c r="C265" s="20"/>
      <c r="D265" s="14" t="str">
        <f>IF($C265="","",IFERROR(INDEX(Productos!$B$5:$B$504,MATCH($C265,Productos!$A$5:$A$504,0)),"Clave no existe"))</f>
        <v/>
      </c>
      <c r="E265" s="14" t="str">
        <f>IF($C265="","",IFERROR(INDEX(Productos!$D$5:$D$504,MATCH($C265,Productos!$A$5:$A$504,0)),""))</f>
        <v/>
      </c>
      <c r="F265" s="20"/>
      <c r="G265" s="22" t="str">
        <f>IF($C265="","",IFERROR(INDEX(Productos!$F$5:$F$504,MATCH($C265,Productos!$A$5:$A$504,0)),0))</f>
        <v/>
      </c>
      <c r="H265" s="22" t="str">
        <f t="shared" si="4"/>
        <v/>
      </c>
      <c r="I265" s="14" t="str">
        <f>IF(OR($C265="",$F265=""),"",IFERROR(INDEX(Productos!$I$5:$I$504,MATCH($C265,Productos!$A$5:$A$504,0)),0)+SUMIFS($F$5:$F265,$C$5:$C265,$C265,$B$5:$B265,"Entrada")-SUMIFS($F$5:$F265,$C$5:$C265,$C265,$B$5:$B265,"Salida"))</f>
        <v/>
      </c>
      <c r="J265" s="20"/>
      <c r="K265" s="20"/>
      <c r="L265" s="20"/>
      <c r="M265" s="14" t="str">
        <f>IF(AND($C265&lt;&gt;"",$C265=Kardex!$C$4),COUNTIF($C$5:$C265,Kardex!$C$4),"")</f>
        <v/>
      </c>
    </row>
    <row r="266" spans="1:13" x14ac:dyDescent="0.25">
      <c r="A266" s="24"/>
      <c r="B266" s="20"/>
      <c r="C266" s="20"/>
      <c r="D266" s="14" t="str">
        <f>IF($C266="","",IFERROR(INDEX(Productos!$B$5:$B$504,MATCH($C266,Productos!$A$5:$A$504,0)),"Clave no existe"))</f>
        <v/>
      </c>
      <c r="E266" s="14" t="str">
        <f>IF($C266="","",IFERROR(INDEX(Productos!$D$5:$D$504,MATCH($C266,Productos!$A$5:$A$504,0)),""))</f>
        <v/>
      </c>
      <c r="F266" s="20"/>
      <c r="G266" s="22" t="str">
        <f>IF($C266="","",IFERROR(INDEX(Productos!$F$5:$F$504,MATCH($C266,Productos!$A$5:$A$504,0)),0))</f>
        <v/>
      </c>
      <c r="H266" s="22" t="str">
        <f t="shared" si="4"/>
        <v/>
      </c>
      <c r="I266" s="14" t="str">
        <f>IF(OR($C266="",$F266=""),"",IFERROR(INDEX(Productos!$I$5:$I$504,MATCH($C266,Productos!$A$5:$A$504,0)),0)+SUMIFS($F$5:$F266,$C$5:$C266,$C266,$B$5:$B266,"Entrada")-SUMIFS($F$5:$F266,$C$5:$C266,$C266,$B$5:$B266,"Salida"))</f>
        <v/>
      </c>
      <c r="J266" s="20"/>
      <c r="K266" s="20"/>
      <c r="L266" s="20"/>
      <c r="M266" s="14" t="str">
        <f>IF(AND($C266&lt;&gt;"",$C266=Kardex!$C$4),COUNTIF($C$5:$C266,Kardex!$C$4),"")</f>
        <v/>
      </c>
    </row>
    <row r="267" spans="1:13" x14ac:dyDescent="0.25">
      <c r="A267" s="24"/>
      <c r="B267" s="20"/>
      <c r="C267" s="20"/>
      <c r="D267" s="14" t="str">
        <f>IF($C267="","",IFERROR(INDEX(Productos!$B$5:$B$504,MATCH($C267,Productos!$A$5:$A$504,0)),"Clave no existe"))</f>
        <v/>
      </c>
      <c r="E267" s="14" t="str">
        <f>IF($C267="","",IFERROR(INDEX(Productos!$D$5:$D$504,MATCH($C267,Productos!$A$5:$A$504,0)),""))</f>
        <v/>
      </c>
      <c r="F267" s="20"/>
      <c r="G267" s="22" t="str">
        <f>IF($C267="","",IFERROR(INDEX(Productos!$F$5:$F$504,MATCH($C267,Productos!$A$5:$A$504,0)),0))</f>
        <v/>
      </c>
      <c r="H267" s="22" t="str">
        <f t="shared" si="4"/>
        <v/>
      </c>
      <c r="I267" s="14" t="str">
        <f>IF(OR($C267="",$F267=""),"",IFERROR(INDEX(Productos!$I$5:$I$504,MATCH($C267,Productos!$A$5:$A$504,0)),0)+SUMIFS($F$5:$F267,$C$5:$C267,$C267,$B$5:$B267,"Entrada")-SUMIFS($F$5:$F267,$C$5:$C267,$C267,$B$5:$B267,"Salida"))</f>
        <v/>
      </c>
      <c r="J267" s="20"/>
      <c r="K267" s="20"/>
      <c r="L267" s="20"/>
      <c r="M267" s="14" t="str">
        <f>IF(AND($C267&lt;&gt;"",$C267=Kardex!$C$4),COUNTIF($C$5:$C267,Kardex!$C$4),"")</f>
        <v/>
      </c>
    </row>
    <row r="268" spans="1:13" x14ac:dyDescent="0.25">
      <c r="A268" s="24"/>
      <c r="B268" s="20"/>
      <c r="C268" s="20"/>
      <c r="D268" s="14" t="str">
        <f>IF($C268="","",IFERROR(INDEX(Productos!$B$5:$B$504,MATCH($C268,Productos!$A$5:$A$504,0)),"Clave no existe"))</f>
        <v/>
      </c>
      <c r="E268" s="14" t="str">
        <f>IF($C268="","",IFERROR(INDEX(Productos!$D$5:$D$504,MATCH($C268,Productos!$A$5:$A$504,0)),""))</f>
        <v/>
      </c>
      <c r="F268" s="20"/>
      <c r="G268" s="22" t="str">
        <f>IF($C268="","",IFERROR(INDEX(Productos!$F$5:$F$504,MATCH($C268,Productos!$A$5:$A$504,0)),0))</f>
        <v/>
      </c>
      <c r="H268" s="22" t="str">
        <f t="shared" si="4"/>
        <v/>
      </c>
      <c r="I268" s="14" t="str">
        <f>IF(OR($C268="",$F268=""),"",IFERROR(INDEX(Productos!$I$5:$I$504,MATCH($C268,Productos!$A$5:$A$504,0)),0)+SUMIFS($F$5:$F268,$C$5:$C268,$C268,$B$5:$B268,"Entrada")-SUMIFS($F$5:$F268,$C$5:$C268,$C268,$B$5:$B268,"Salida"))</f>
        <v/>
      </c>
      <c r="J268" s="20"/>
      <c r="K268" s="20"/>
      <c r="L268" s="20"/>
      <c r="M268" s="14" t="str">
        <f>IF(AND($C268&lt;&gt;"",$C268=Kardex!$C$4),COUNTIF($C$5:$C268,Kardex!$C$4),"")</f>
        <v/>
      </c>
    </row>
    <row r="269" spans="1:13" x14ac:dyDescent="0.25">
      <c r="A269" s="24"/>
      <c r="B269" s="20"/>
      <c r="C269" s="20"/>
      <c r="D269" s="14" t="str">
        <f>IF($C269="","",IFERROR(INDEX(Productos!$B$5:$B$504,MATCH($C269,Productos!$A$5:$A$504,0)),"Clave no existe"))</f>
        <v/>
      </c>
      <c r="E269" s="14" t="str">
        <f>IF($C269="","",IFERROR(INDEX(Productos!$D$5:$D$504,MATCH($C269,Productos!$A$5:$A$504,0)),""))</f>
        <v/>
      </c>
      <c r="F269" s="20"/>
      <c r="G269" s="22" t="str">
        <f>IF($C269="","",IFERROR(INDEX(Productos!$F$5:$F$504,MATCH($C269,Productos!$A$5:$A$504,0)),0))</f>
        <v/>
      </c>
      <c r="H269" s="22" t="str">
        <f t="shared" si="4"/>
        <v/>
      </c>
      <c r="I269" s="14" t="str">
        <f>IF(OR($C269="",$F269=""),"",IFERROR(INDEX(Productos!$I$5:$I$504,MATCH($C269,Productos!$A$5:$A$504,0)),0)+SUMIFS($F$5:$F269,$C$5:$C269,$C269,$B$5:$B269,"Entrada")-SUMIFS($F$5:$F269,$C$5:$C269,$C269,$B$5:$B269,"Salida"))</f>
        <v/>
      </c>
      <c r="J269" s="20"/>
      <c r="K269" s="20"/>
      <c r="L269" s="20"/>
      <c r="M269" s="14" t="str">
        <f>IF(AND($C269&lt;&gt;"",$C269=Kardex!$C$4),COUNTIF($C$5:$C269,Kardex!$C$4),"")</f>
        <v/>
      </c>
    </row>
    <row r="270" spans="1:13" x14ac:dyDescent="0.25">
      <c r="A270" s="24"/>
      <c r="B270" s="20"/>
      <c r="C270" s="20"/>
      <c r="D270" s="14" t="str">
        <f>IF($C270="","",IFERROR(INDEX(Productos!$B$5:$B$504,MATCH($C270,Productos!$A$5:$A$504,0)),"Clave no existe"))</f>
        <v/>
      </c>
      <c r="E270" s="14" t="str">
        <f>IF($C270="","",IFERROR(INDEX(Productos!$D$5:$D$504,MATCH($C270,Productos!$A$5:$A$504,0)),""))</f>
        <v/>
      </c>
      <c r="F270" s="20"/>
      <c r="G270" s="22" t="str">
        <f>IF($C270="","",IFERROR(INDEX(Productos!$F$5:$F$504,MATCH($C270,Productos!$A$5:$A$504,0)),0))</f>
        <v/>
      </c>
      <c r="H270" s="22" t="str">
        <f t="shared" si="4"/>
        <v/>
      </c>
      <c r="I270" s="14" t="str">
        <f>IF(OR($C270="",$F270=""),"",IFERROR(INDEX(Productos!$I$5:$I$504,MATCH($C270,Productos!$A$5:$A$504,0)),0)+SUMIFS($F$5:$F270,$C$5:$C270,$C270,$B$5:$B270,"Entrada")-SUMIFS($F$5:$F270,$C$5:$C270,$C270,$B$5:$B270,"Salida"))</f>
        <v/>
      </c>
      <c r="J270" s="20"/>
      <c r="K270" s="20"/>
      <c r="L270" s="20"/>
      <c r="M270" s="14" t="str">
        <f>IF(AND($C270&lt;&gt;"",$C270=Kardex!$C$4),COUNTIF($C$5:$C270,Kardex!$C$4),"")</f>
        <v/>
      </c>
    </row>
    <row r="271" spans="1:13" x14ac:dyDescent="0.25">
      <c r="A271" s="24"/>
      <c r="B271" s="20"/>
      <c r="C271" s="20"/>
      <c r="D271" s="14" t="str">
        <f>IF($C271="","",IFERROR(INDEX(Productos!$B$5:$B$504,MATCH($C271,Productos!$A$5:$A$504,0)),"Clave no existe"))</f>
        <v/>
      </c>
      <c r="E271" s="14" t="str">
        <f>IF($C271="","",IFERROR(INDEX(Productos!$D$5:$D$504,MATCH($C271,Productos!$A$5:$A$504,0)),""))</f>
        <v/>
      </c>
      <c r="F271" s="20"/>
      <c r="G271" s="22" t="str">
        <f>IF($C271="","",IFERROR(INDEX(Productos!$F$5:$F$504,MATCH($C271,Productos!$A$5:$A$504,0)),0))</f>
        <v/>
      </c>
      <c r="H271" s="22" t="str">
        <f t="shared" si="4"/>
        <v/>
      </c>
      <c r="I271" s="14" t="str">
        <f>IF(OR($C271="",$F271=""),"",IFERROR(INDEX(Productos!$I$5:$I$504,MATCH($C271,Productos!$A$5:$A$504,0)),0)+SUMIFS($F$5:$F271,$C$5:$C271,$C271,$B$5:$B271,"Entrada")-SUMIFS($F$5:$F271,$C$5:$C271,$C271,$B$5:$B271,"Salida"))</f>
        <v/>
      </c>
      <c r="J271" s="20"/>
      <c r="K271" s="20"/>
      <c r="L271" s="20"/>
      <c r="M271" s="14" t="str">
        <f>IF(AND($C271&lt;&gt;"",$C271=Kardex!$C$4),COUNTIF($C$5:$C271,Kardex!$C$4),"")</f>
        <v/>
      </c>
    </row>
    <row r="272" spans="1:13" x14ac:dyDescent="0.25">
      <c r="A272" s="24"/>
      <c r="B272" s="20"/>
      <c r="C272" s="20"/>
      <c r="D272" s="14" t="str">
        <f>IF($C272="","",IFERROR(INDEX(Productos!$B$5:$B$504,MATCH($C272,Productos!$A$5:$A$504,0)),"Clave no existe"))</f>
        <v/>
      </c>
      <c r="E272" s="14" t="str">
        <f>IF($C272="","",IFERROR(INDEX(Productos!$D$5:$D$504,MATCH($C272,Productos!$A$5:$A$504,0)),""))</f>
        <v/>
      </c>
      <c r="F272" s="20"/>
      <c r="G272" s="22" t="str">
        <f>IF($C272="","",IFERROR(INDEX(Productos!$F$5:$F$504,MATCH($C272,Productos!$A$5:$A$504,0)),0))</f>
        <v/>
      </c>
      <c r="H272" s="22" t="str">
        <f t="shared" si="4"/>
        <v/>
      </c>
      <c r="I272" s="14" t="str">
        <f>IF(OR($C272="",$F272=""),"",IFERROR(INDEX(Productos!$I$5:$I$504,MATCH($C272,Productos!$A$5:$A$504,0)),0)+SUMIFS($F$5:$F272,$C$5:$C272,$C272,$B$5:$B272,"Entrada")-SUMIFS($F$5:$F272,$C$5:$C272,$C272,$B$5:$B272,"Salida"))</f>
        <v/>
      </c>
      <c r="J272" s="20"/>
      <c r="K272" s="20"/>
      <c r="L272" s="20"/>
      <c r="M272" s="14" t="str">
        <f>IF(AND($C272&lt;&gt;"",$C272=Kardex!$C$4),COUNTIF($C$5:$C272,Kardex!$C$4),"")</f>
        <v/>
      </c>
    </row>
    <row r="273" spans="1:13" x14ac:dyDescent="0.25">
      <c r="A273" s="24"/>
      <c r="B273" s="20"/>
      <c r="C273" s="20"/>
      <c r="D273" s="14" t="str">
        <f>IF($C273="","",IFERROR(INDEX(Productos!$B$5:$B$504,MATCH($C273,Productos!$A$5:$A$504,0)),"Clave no existe"))</f>
        <v/>
      </c>
      <c r="E273" s="14" t="str">
        <f>IF($C273="","",IFERROR(INDEX(Productos!$D$5:$D$504,MATCH($C273,Productos!$A$5:$A$504,0)),""))</f>
        <v/>
      </c>
      <c r="F273" s="20"/>
      <c r="G273" s="22" t="str">
        <f>IF($C273="","",IFERROR(INDEX(Productos!$F$5:$F$504,MATCH($C273,Productos!$A$5:$A$504,0)),0))</f>
        <v/>
      </c>
      <c r="H273" s="22" t="str">
        <f t="shared" si="4"/>
        <v/>
      </c>
      <c r="I273" s="14" t="str">
        <f>IF(OR($C273="",$F273=""),"",IFERROR(INDEX(Productos!$I$5:$I$504,MATCH($C273,Productos!$A$5:$A$504,0)),0)+SUMIFS($F$5:$F273,$C$5:$C273,$C273,$B$5:$B273,"Entrada")-SUMIFS($F$5:$F273,$C$5:$C273,$C273,$B$5:$B273,"Salida"))</f>
        <v/>
      </c>
      <c r="J273" s="20"/>
      <c r="K273" s="20"/>
      <c r="L273" s="20"/>
      <c r="M273" s="14" t="str">
        <f>IF(AND($C273&lt;&gt;"",$C273=Kardex!$C$4),COUNTIF($C$5:$C273,Kardex!$C$4),"")</f>
        <v/>
      </c>
    </row>
    <row r="274" spans="1:13" x14ac:dyDescent="0.25">
      <c r="A274" s="24"/>
      <c r="B274" s="20"/>
      <c r="C274" s="20"/>
      <c r="D274" s="14" t="str">
        <f>IF($C274="","",IFERROR(INDEX(Productos!$B$5:$B$504,MATCH($C274,Productos!$A$5:$A$504,0)),"Clave no existe"))</f>
        <v/>
      </c>
      <c r="E274" s="14" t="str">
        <f>IF($C274="","",IFERROR(INDEX(Productos!$D$5:$D$504,MATCH($C274,Productos!$A$5:$A$504,0)),""))</f>
        <v/>
      </c>
      <c r="F274" s="20"/>
      <c r="G274" s="22" t="str">
        <f>IF($C274="","",IFERROR(INDEX(Productos!$F$5:$F$504,MATCH($C274,Productos!$A$5:$A$504,0)),0))</f>
        <v/>
      </c>
      <c r="H274" s="22" t="str">
        <f t="shared" si="4"/>
        <v/>
      </c>
      <c r="I274" s="14" t="str">
        <f>IF(OR($C274="",$F274=""),"",IFERROR(INDEX(Productos!$I$5:$I$504,MATCH($C274,Productos!$A$5:$A$504,0)),0)+SUMIFS($F$5:$F274,$C$5:$C274,$C274,$B$5:$B274,"Entrada")-SUMIFS($F$5:$F274,$C$5:$C274,$C274,$B$5:$B274,"Salida"))</f>
        <v/>
      </c>
      <c r="J274" s="20"/>
      <c r="K274" s="20"/>
      <c r="L274" s="20"/>
      <c r="M274" s="14" t="str">
        <f>IF(AND($C274&lt;&gt;"",$C274=Kardex!$C$4),COUNTIF($C$5:$C274,Kardex!$C$4),"")</f>
        <v/>
      </c>
    </row>
    <row r="275" spans="1:13" x14ac:dyDescent="0.25">
      <c r="A275" s="24"/>
      <c r="B275" s="20"/>
      <c r="C275" s="20"/>
      <c r="D275" s="14" t="str">
        <f>IF($C275="","",IFERROR(INDEX(Productos!$B$5:$B$504,MATCH($C275,Productos!$A$5:$A$504,0)),"Clave no existe"))</f>
        <v/>
      </c>
      <c r="E275" s="14" t="str">
        <f>IF($C275="","",IFERROR(INDEX(Productos!$D$5:$D$504,MATCH($C275,Productos!$A$5:$A$504,0)),""))</f>
        <v/>
      </c>
      <c r="F275" s="20"/>
      <c r="G275" s="22" t="str">
        <f>IF($C275="","",IFERROR(INDEX(Productos!$F$5:$F$504,MATCH($C275,Productos!$A$5:$A$504,0)),0))</f>
        <v/>
      </c>
      <c r="H275" s="22" t="str">
        <f t="shared" si="4"/>
        <v/>
      </c>
      <c r="I275" s="14" t="str">
        <f>IF(OR($C275="",$F275=""),"",IFERROR(INDEX(Productos!$I$5:$I$504,MATCH($C275,Productos!$A$5:$A$504,0)),0)+SUMIFS($F$5:$F275,$C$5:$C275,$C275,$B$5:$B275,"Entrada")-SUMIFS($F$5:$F275,$C$5:$C275,$C275,$B$5:$B275,"Salida"))</f>
        <v/>
      </c>
      <c r="J275" s="20"/>
      <c r="K275" s="20"/>
      <c r="L275" s="20"/>
      <c r="M275" s="14" t="str">
        <f>IF(AND($C275&lt;&gt;"",$C275=Kardex!$C$4),COUNTIF($C$5:$C275,Kardex!$C$4),"")</f>
        <v/>
      </c>
    </row>
    <row r="276" spans="1:13" x14ac:dyDescent="0.25">
      <c r="A276" s="24"/>
      <c r="B276" s="20"/>
      <c r="C276" s="20"/>
      <c r="D276" s="14" t="str">
        <f>IF($C276="","",IFERROR(INDEX(Productos!$B$5:$B$504,MATCH($C276,Productos!$A$5:$A$504,0)),"Clave no existe"))</f>
        <v/>
      </c>
      <c r="E276" s="14" t="str">
        <f>IF($C276="","",IFERROR(INDEX(Productos!$D$5:$D$504,MATCH($C276,Productos!$A$5:$A$504,0)),""))</f>
        <v/>
      </c>
      <c r="F276" s="20"/>
      <c r="G276" s="22" t="str">
        <f>IF($C276="","",IFERROR(INDEX(Productos!$F$5:$F$504,MATCH($C276,Productos!$A$5:$A$504,0)),0))</f>
        <v/>
      </c>
      <c r="H276" s="22" t="str">
        <f t="shared" si="4"/>
        <v/>
      </c>
      <c r="I276" s="14" t="str">
        <f>IF(OR($C276="",$F276=""),"",IFERROR(INDEX(Productos!$I$5:$I$504,MATCH($C276,Productos!$A$5:$A$504,0)),0)+SUMIFS($F$5:$F276,$C$5:$C276,$C276,$B$5:$B276,"Entrada")-SUMIFS($F$5:$F276,$C$5:$C276,$C276,$B$5:$B276,"Salida"))</f>
        <v/>
      </c>
      <c r="J276" s="20"/>
      <c r="K276" s="20"/>
      <c r="L276" s="20"/>
      <c r="M276" s="14" t="str">
        <f>IF(AND($C276&lt;&gt;"",$C276=Kardex!$C$4),COUNTIF($C$5:$C276,Kardex!$C$4),"")</f>
        <v/>
      </c>
    </row>
    <row r="277" spans="1:13" x14ac:dyDescent="0.25">
      <c r="A277" s="24"/>
      <c r="B277" s="20"/>
      <c r="C277" s="20"/>
      <c r="D277" s="14" t="str">
        <f>IF($C277="","",IFERROR(INDEX(Productos!$B$5:$B$504,MATCH($C277,Productos!$A$5:$A$504,0)),"Clave no existe"))</f>
        <v/>
      </c>
      <c r="E277" s="14" t="str">
        <f>IF($C277="","",IFERROR(INDEX(Productos!$D$5:$D$504,MATCH($C277,Productos!$A$5:$A$504,0)),""))</f>
        <v/>
      </c>
      <c r="F277" s="20"/>
      <c r="G277" s="22" t="str">
        <f>IF($C277="","",IFERROR(INDEX(Productos!$F$5:$F$504,MATCH($C277,Productos!$A$5:$A$504,0)),0))</f>
        <v/>
      </c>
      <c r="H277" s="22" t="str">
        <f t="shared" si="4"/>
        <v/>
      </c>
      <c r="I277" s="14" t="str">
        <f>IF(OR($C277="",$F277=""),"",IFERROR(INDEX(Productos!$I$5:$I$504,MATCH($C277,Productos!$A$5:$A$504,0)),0)+SUMIFS($F$5:$F277,$C$5:$C277,$C277,$B$5:$B277,"Entrada")-SUMIFS($F$5:$F277,$C$5:$C277,$C277,$B$5:$B277,"Salida"))</f>
        <v/>
      </c>
      <c r="J277" s="20"/>
      <c r="K277" s="20"/>
      <c r="L277" s="20"/>
      <c r="M277" s="14" t="str">
        <f>IF(AND($C277&lt;&gt;"",$C277=Kardex!$C$4),COUNTIF($C$5:$C277,Kardex!$C$4),"")</f>
        <v/>
      </c>
    </row>
    <row r="278" spans="1:13" x14ac:dyDescent="0.25">
      <c r="A278" s="24"/>
      <c r="B278" s="20"/>
      <c r="C278" s="20"/>
      <c r="D278" s="14" t="str">
        <f>IF($C278="","",IFERROR(INDEX(Productos!$B$5:$B$504,MATCH($C278,Productos!$A$5:$A$504,0)),"Clave no existe"))</f>
        <v/>
      </c>
      <c r="E278" s="14" t="str">
        <f>IF($C278="","",IFERROR(INDEX(Productos!$D$5:$D$504,MATCH($C278,Productos!$A$5:$A$504,0)),""))</f>
        <v/>
      </c>
      <c r="F278" s="20"/>
      <c r="G278" s="22" t="str">
        <f>IF($C278="","",IFERROR(INDEX(Productos!$F$5:$F$504,MATCH($C278,Productos!$A$5:$A$504,0)),0))</f>
        <v/>
      </c>
      <c r="H278" s="22" t="str">
        <f t="shared" si="4"/>
        <v/>
      </c>
      <c r="I278" s="14" t="str">
        <f>IF(OR($C278="",$F278=""),"",IFERROR(INDEX(Productos!$I$5:$I$504,MATCH($C278,Productos!$A$5:$A$504,0)),0)+SUMIFS($F$5:$F278,$C$5:$C278,$C278,$B$5:$B278,"Entrada")-SUMIFS($F$5:$F278,$C$5:$C278,$C278,$B$5:$B278,"Salida"))</f>
        <v/>
      </c>
      <c r="J278" s="20"/>
      <c r="K278" s="20"/>
      <c r="L278" s="20"/>
      <c r="M278" s="14" t="str">
        <f>IF(AND($C278&lt;&gt;"",$C278=Kardex!$C$4),COUNTIF($C$5:$C278,Kardex!$C$4),"")</f>
        <v/>
      </c>
    </row>
    <row r="279" spans="1:13" x14ac:dyDescent="0.25">
      <c r="A279" s="24"/>
      <c r="B279" s="20"/>
      <c r="C279" s="20"/>
      <c r="D279" s="14" t="str">
        <f>IF($C279="","",IFERROR(INDEX(Productos!$B$5:$B$504,MATCH($C279,Productos!$A$5:$A$504,0)),"Clave no existe"))</f>
        <v/>
      </c>
      <c r="E279" s="14" t="str">
        <f>IF($C279="","",IFERROR(INDEX(Productos!$D$5:$D$504,MATCH($C279,Productos!$A$5:$A$504,0)),""))</f>
        <v/>
      </c>
      <c r="F279" s="20"/>
      <c r="G279" s="22" t="str">
        <f>IF($C279="","",IFERROR(INDEX(Productos!$F$5:$F$504,MATCH($C279,Productos!$A$5:$A$504,0)),0))</f>
        <v/>
      </c>
      <c r="H279" s="22" t="str">
        <f t="shared" si="4"/>
        <v/>
      </c>
      <c r="I279" s="14" t="str">
        <f>IF(OR($C279="",$F279=""),"",IFERROR(INDEX(Productos!$I$5:$I$504,MATCH($C279,Productos!$A$5:$A$504,0)),0)+SUMIFS($F$5:$F279,$C$5:$C279,$C279,$B$5:$B279,"Entrada")-SUMIFS($F$5:$F279,$C$5:$C279,$C279,$B$5:$B279,"Salida"))</f>
        <v/>
      </c>
      <c r="J279" s="20"/>
      <c r="K279" s="20"/>
      <c r="L279" s="20"/>
      <c r="M279" s="14" t="str">
        <f>IF(AND($C279&lt;&gt;"",$C279=Kardex!$C$4),COUNTIF($C$5:$C279,Kardex!$C$4),"")</f>
        <v/>
      </c>
    </row>
    <row r="280" spans="1:13" x14ac:dyDescent="0.25">
      <c r="A280" s="24"/>
      <c r="B280" s="20"/>
      <c r="C280" s="20"/>
      <c r="D280" s="14" t="str">
        <f>IF($C280="","",IFERROR(INDEX(Productos!$B$5:$B$504,MATCH($C280,Productos!$A$5:$A$504,0)),"Clave no existe"))</f>
        <v/>
      </c>
      <c r="E280" s="14" t="str">
        <f>IF($C280="","",IFERROR(INDEX(Productos!$D$5:$D$504,MATCH($C280,Productos!$A$5:$A$504,0)),""))</f>
        <v/>
      </c>
      <c r="F280" s="20"/>
      <c r="G280" s="22" t="str">
        <f>IF($C280="","",IFERROR(INDEX(Productos!$F$5:$F$504,MATCH($C280,Productos!$A$5:$A$504,0)),0))</f>
        <v/>
      </c>
      <c r="H280" s="22" t="str">
        <f t="shared" si="4"/>
        <v/>
      </c>
      <c r="I280" s="14" t="str">
        <f>IF(OR($C280="",$F280=""),"",IFERROR(INDEX(Productos!$I$5:$I$504,MATCH($C280,Productos!$A$5:$A$504,0)),0)+SUMIFS($F$5:$F280,$C$5:$C280,$C280,$B$5:$B280,"Entrada")-SUMIFS($F$5:$F280,$C$5:$C280,$C280,$B$5:$B280,"Salida"))</f>
        <v/>
      </c>
      <c r="J280" s="20"/>
      <c r="K280" s="20"/>
      <c r="L280" s="20"/>
      <c r="M280" s="14" t="str">
        <f>IF(AND($C280&lt;&gt;"",$C280=Kardex!$C$4),COUNTIF($C$5:$C280,Kardex!$C$4),"")</f>
        <v/>
      </c>
    </row>
    <row r="281" spans="1:13" x14ac:dyDescent="0.25">
      <c r="A281" s="24"/>
      <c r="B281" s="20"/>
      <c r="C281" s="20"/>
      <c r="D281" s="14" t="str">
        <f>IF($C281="","",IFERROR(INDEX(Productos!$B$5:$B$504,MATCH($C281,Productos!$A$5:$A$504,0)),"Clave no existe"))</f>
        <v/>
      </c>
      <c r="E281" s="14" t="str">
        <f>IF($C281="","",IFERROR(INDEX(Productos!$D$5:$D$504,MATCH($C281,Productos!$A$5:$A$504,0)),""))</f>
        <v/>
      </c>
      <c r="F281" s="20"/>
      <c r="G281" s="22" t="str">
        <f>IF($C281="","",IFERROR(INDEX(Productos!$F$5:$F$504,MATCH($C281,Productos!$A$5:$A$504,0)),0))</f>
        <v/>
      </c>
      <c r="H281" s="22" t="str">
        <f t="shared" si="4"/>
        <v/>
      </c>
      <c r="I281" s="14" t="str">
        <f>IF(OR($C281="",$F281=""),"",IFERROR(INDEX(Productos!$I$5:$I$504,MATCH($C281,Productos!$A$5:$A$504,0)),0)+SUMIFS($F$5:$F281,$C$5:$C281,$C281,$B$5:$B281,"Entrada")-SUMIFS($F$5:$F281,$C$5:$C281,$C281,$B$5:$B281,"Salida"))</f>
        <v/>
      </c>
      <c r="J281" s="20"/>
      <c r="K281" s="20"/>
      <c r="L281" s="20"/>
      <c r="M281" s="14" t="str">
        <f>IF(AND($C281&lt;&gt;"",$C281=Kardex!$C$4),COUNTIF($C$5:$C281,Kardex!$C$4),"")</f>
        <v/>
      </c>
    </row>
    <row r="282" spans="1:13" x14ac:dyDescent="0.25">
      <c r="A282" s="24"/>
      <c r="B282" s="20"/>
      <c r="C282" s="20"/>
      <c r="D282" s="14" t="str">
        <f>IF($C282="","",IFERROR(INDEX(Productos!$B$5:$B$504,MATCH($C282,Productos!$A$5:$A$504,0)),"Clave no existe"))</f>
        <v/>
      </c>
      <c r="E282" s="14" t="str">
        <f>IF($C282="","",IFERROR(INDEX(Productos!$D$5:$D$504,MATCH($C282,Productos!$A$5:$A$504,0)),""))</f>
        <v/>
      </c>
      <c r="F282" s="20"/>
      <c r="G282" s="22" t="str">
        <f>IF($C282="","",IFERROR(INDEX(Productos!$F$5:$F$504,MATCH($C282,Productos!$A$5:$A$504,0)),0))</f>
        <v/>
      </c>
      <c r="H282" s="22" t="str">
        <f t="shared" si="4"/>
        <v/>
      </c>
      <c r="I282" s="14" t="str">
        <f>IF(OR($C282="",$F282=""),"",IFERROR(INDEX(Productos!$I$5:$I$504,MATCH($C282,Productos!$A$5:$A$504,0)),0)+SUMIFS($F$5:$F282,$C$5:$C282,$C282,$B$5:$B282,"Entrada")-SUMIFS($F$5:$F282,$C$5:$C282,$C282,$B$5:$B282,"Salida"))</f>
        <v/>
      </c>
      <c r="J282" s="20"/>
      <c r="K282" s="20"/>
      <c r="L282" s="20"/>
      <c r="M282" s="14" t="str">
        <f>IF(AND($C282&lt;&gt;"",$C282=Kardex!$C$4),COUNTIF($C$5:$C282,Kardex!$C$4),"")</f>
        <v/>
      </c>
    </row>
    <row r="283" spans="1:13" x14ac:dyDescent="0.25">
      <c r="A283" s="24"/>
      <c r="B283" s="20"/>
      <c r="C283" s="20"/>
      <c r="D283" s="14" t="str">
        <f>IF($C283="","",IFERROR(INDEX(Productos!$B$5:$B$504,MATCH($C283,Productos!$A$5:$A$504,0)),"Clave no existe"))</f>
        <v/>
      </c>
      <c r="E283" s="14" t="str">
        <f>IF($C283="","",IFERROR(INDEX(Productos!$D$5:$D$504,MATCH($C283,Productos!$A$5:$A$504,0)),""))</f>
        <v/>
      </c>
      <c r="F283" s="20"/>
      <c r="G283" s="22" t="str">
        <f>IF($C283="","",IFERROR(INDEX(Productos!$F$5:$F$504,MATCH($C283,Productos!$A$5:$A$504,0)),0))</f>
        <v/>
      </c>
      <c r="H283" s="22" t="str">
        <f t="shared" si="4"/>
        <v/>
      </c>
      <c r="I283" s="14" t="str">
        <f>IF(OR($C283="",$F283=""),"",IFERROR(INDEX(Productos!$I$5:$I$504,MATCH($C283,Productos!$A$5:$A$504,0)),0)+SUMIFS($F$5:$F283,$C$5:$C283,$C283,$B$5:$B283,"Entrada")-SUMIFS($F$5:$F283,$C$5:$C283,$C283,$B$5:$B283,"Salida"))</f>
        <v/>
      </c>
      <c r="J283" s="20"/>
      <c r="K283" s="20"/>
      <c r="L283" s="20"/>
      <c r="M283" s="14" t="str">
        <f>IF(AND($C283&lt;&gt;"",$C283=Kardex!$C$4),COUNTIF($C$5:$C283,Kardex!$C$4),"")</f>
        <v/>
      </c>
    </row>
    <row r="284" spans="1:13" x14ac:dyDescent="0.25">
      <c r="A284" s="24"/>
      <c r="B284" s="20"/>
      <c r="C284" s="20"/>
      <c r="D284" s="14" t="str">
        <f>IF($C284="","",IFERROR(INDEX(Productos!$B$5:$B$504,MATCH($C284,Productos!$A$5:$A$504,0)),"Clave no existe"))</f>
        <v/>
      </c>
      <c r="E284" s="14" t="str">
        <f>IF($C284="","",IFERROR(INDEX(Productos!$D$5:$D$504,MATCH($C284,Productos!$A$5:$A$504,0)),""))</f>
        <v/>
      </c>
      <c r="F284" s="20"/>
      <c r="G284" s="22" t="str">
        <f>IF($C284="","",IFERROR(INDEX(Productos!$F$5:$F$504,MATCH($C284,Productos!$A$5:$A$504,0)),0))</f>
        <v/>
      </c>
      <c r="H284" s="22" t="str">
        <f t="shared" si="4"/>
        <v/>
      </c>
      <c r="I284" s="14" t="str">
        <f>IF(OR($C284="",$F284=""),"",IFERROR(INDEX(Productos!$I$5:$I$504,MATCH($C284,Productos!$A$5:$A$504,0)),0)+SUMIFS($F$5:$F284,$C$5:$C284,$C284,$B$5:$B284,"Entrada")-SUMIFS($F$5:$F284,$C$5:$C284,$C284,$B$5:$B284,"Salida"))</f>
        <v/>
      </c>
      <c r="J284" s="20"/>
      <c r="K284" s="20"/>
      <c r="L284" s="20"/>
      <c r="M284" s="14" t="str">
        <f>IF(AND($C284&lt;&gt;"",$C284=Kardex!$C$4),COUNTIF($C$5:$C284,Kardex!$C$4),"")</f>
        <v/>
      </c>
    </row>
    <row r="285" spans="1:13" x14ac:dyDescent="0.25">
      <c r="A285" s="24"/>
      <c r="B285" s="20"/>
      <c r="C285" s="20"/>
      <c r="D285" s="14" t="str">
        <f>IF($C285="","",IFERROR(INDEX(Productos!$B$5:$B$504,MATCH($C285,Productos!$A$5:$A$504,0)),"Clave no existe"))</f>
        <v/>
      </c>
      <c r="E285" s="14" t="str">
        <f>IF($C285="","",IFERROR(INDEX(Productos!$D$5:$D$504,MATCH($C285,Productos!$A$5:$A$504,0)),""))</f>
        <v/>
      </c>
      <c r="F285" s="20"/>
      <c r="G285" s="22" t="str">
        <f>IF($C285="","",IFERROR(INDEX(Productos!$F$5:$F$504,MATCH($C285,Productos!$A$5:$A$504,0)),0))</f>
        <v/>
      </c>
      <c r="H285" s="22" t="str">
        <f t="shared" si="4"/>
        <v/>
      </c>
      <c r="I285" s="14" t="str">
        <f>IF(OR($C285="",$F285=""),"",IFERROR(INDEX(Productos!$I$5:$I$504,MATCH($C285,Productos!$A$5:$A$504,0)),0)+SUMIFS($F$5:$F285,$C$5:$C285,$C285,$B$5:$B285,"Entrada")-SUMIFS($F$5:$F285,$C$5:$C285,$C285,$B$5:$B285,"Salida"))</f>
        <v/>
      </c>
      <c r="J285" s="20"/>
      <c r="K285" s="20"/>
      <c r="L285" s="20"/>
      <c r="M285" s="14" t="str">
        <f>IF(AND($C285&lt;&gt;"",$C285=Kardex!$C$4),COUNTIF($C$5:$C285,Kardex!$C$4),"")</f>
        <v/>
      </c>
    </row>
    <row r="286" spans="1:13" x14ac:dyDescent="0.25">
      <c r="A286" s="24"/>
      <c r="B286" s="20"/>
      <c r="C286" s="20"/>
      <c r="D286" s="14" t="str">
        <f>IF($C286="","",IFERROR(INDEX(Productos!$B$5:$B$504,MATCH($C286,Productos!$A$5:$A$504,0)),"Clave no existe"))</f>
        <v/>
      </c>
      <c r="E286" s="14" t="str">
        <f>IF($C286="","",IFERROR(INDEX(Productos!$D$5:$D$504,MATCH($C286,Productos!$A$5:$A$504,0)),""))</f>
        <v/>
      </c>
      <c r="F286" s="20"/>
      <c r="G286" s="22" t="str">
        <f>IF($C286="","",IFERROR(INDEX(Productos!$F$5:$F$504,MATCH($C286,Productos!$A$5:$A$504,0)),0))</f>
        <v/>
      </c>
      <c r="H286" s="22" t="str">
        <f t="shared" si="4"/>
        <v/>
      </c>
      <c r="I286" s="14" t="str">
        <f>IF(OR($C286="",$F286=""),"",IFERROR(INDEX(Productos!$I$5:$I$504,MATCH($C286,Productos!$A$5:$A$504,0)),0)+SUMIFS($F$5:$F286,$C$5:$C286,$C286,$B$5:$B286,"Entrada")-SUMIFS($F$5:$F286,$C$5:$C286,$C286,$B$5:$B286,"Salida"))</f>
        <v/>
      </c>
      <c r="J286" s="20"/>
      <c r="K286" s="20"/>
      <c r="L286" s="20"/>
      <c r="M286" s="14" t="str">
        <f>IF(AND($C286&lt;&gt;"",$C286=Kardex!$C$4),COUNTIF($C$5:$C286,Kardex!$C$4),"")</f>
        <v/>
      </c>
    </row>
    <row r="287" spans="1:13" x14ac:dyDescent="0.25">
      <c r="A287" s="24"/>
      <c r="B287" s="20"/>
      <c r="C287" s="20"/>
      <c r="D287" s="14" t="str">
        <f>IF($C287="","",IFERROR(INDEX(Productos!$B$5:$B$504,MATCH($C287,Productos!$A$5:$A$504,0)),"Clave no existe"))</f>
        <v/>
      </c>
      <c r="E287" s="14" t="str">
        <f>IF($C287="","",IFERROR(INDEX(Productos!$D$5:$D$504,MATCH($C287,Productos!$A$5:$A$504,0)),""))</f>
        <v/>
      </c>
      <c r="F287" s="20"/>
      <c r="G287" s="22" t="str">
        <f>IF($C287="","",IFERROR(INDEX(Productos!$F$5:$F$504,MATCH($C287,Productos!$A$5:$A$504,0)),0))</f>
        <v/>
      </c>
      <c r="H287" s="22" t="str">
        <f t="shared" si="4"/>
        <v/>
      </c>
      <c r="I287" s="14" t="str">
        <f>IF(OR($C287="",$F287=""),"",IFERROR(INDEX(Productos!$I$5:$I$504,MATCH($C287,Productos!$A$5:$A$504,0)),0)+SUMIFS($F$5:$F287,$C$5:$C287,$C287,$B$5:$B287,"Entrada")-SUMIFS($F$5:$F287,$C$5:$C287,$C287,$B$5:$B287,"Salida"))</f>
        <v/>
      </c>
      <c r="J287" s="20"/>
      <c r="K287" s="20"/>
      <c r="L287" s="20"/>
      <c r="M287" s="14" t="str">
        <f>IF(AND($C287&lt;&gt;"",$C287=Kardex!$C$4),COUNTIF($C$5:$C287,Kardex!$C$4),"")</f>
        <v/>
      </c>
    </row>
    <row r="288" spans="1:13" x14ac:dyDescent="0.25">
      <c r="A288" s="24"/>
      <c r="B288" s="20"/>
      <c r="C288" s="20"/>
      <c r="D288" s="14" t="str">
        <f>IF($C288="","",IFERROR(INDEX(Productos!$B$5:$B$504,MATCH($C288,Productos!$A$5:$A$504,0)),"Clave no existe"))</f>
        <v/>
      </c>
      <c r="E288" s="14" t="str">
        <f>IF($C288="","",IFERROR(INDEX(Productos!$D$5:$D$504,MATCH($C288,Productos!$A$5:$A$504,0)),""))</f>
        <v/>
      </c>
      <c r="F288" s="20"/>
      <c r="G288" s="22" t="str">
        <f>IF($C288="","",IFERROR(INDEX(Productos!$F$5:$F$504,MATCH($C288,Productos!$A$5:$A$504,0)),0))</f>
        <v/>
      </c>
      <c r="H288" s="22" t="str">
        <f t="shared" si="4"/>
        <v/>
      </c>
      <c r="I288" s="14" t="str">
        <f>IF(OR($C288="",$F288=""),"",IFERROR(INDEX(Productos!$I$5:$I$504,MATCH($C288,Productos!$A$5:$A$504,0)),0)+SUMIFS($F$5:$F288,$C$5:$C288,$C288,$B$5:$B288,"Entrada")-SUMIFS($F$5:$F288,$C$5:$C288,$C288,$B$5:$B288,"Salida"))</f>
        <v/>
      </c>
      <c r="J288" s="20"/>
      <c r="K288" s="20"/>
      <c r="L288" s="20"/>
      <c r="M288" s="14" t="str">
        <f>IF(AND($C288&lt;&gt;"",$C288=Kardex!$C$4),COUNTIF($C$5:$C288,Kardex!$C$4),"")</f>
        <v/>
      </c>
    </row>
    <row r="289" spans="1:13" x14ac:dyDescent="0.25">
      <c r="A289" s="24"/>
      <c r="B289" s="20"/>
      <c r="C289" s="20"/>
      <c r="D289" s="14" t="str">
        <f>IF($C289="","",IFERROR(INDEX(Productos!$B$5:$B$504,MATCH($C289,Productos!$A$5:$A$504,0)),"Clave no existe"))</f>
        <v/>
      </c>
      <c r="E289" s="14" t="str">
        <f>IF($C289="","",IFERROR(INDEX(Productos!$D$5:$D$504,MATCH($C289,Productos!$A$5:$A$504,0)),""))</f>
        <v/>
      </c>
      <c r="F289" s="20"/>
      <c r="G289" s="22" t="str">
        <f>IF($C289="","",IFERROR(INDEX(Productos!$F$5:$F$504,MATCH($C289,Productos!$A$5:$A$504,0)),0))</f>
        <v/>
      </c>
      <c r="H289" s="22" t="str">
        <f t="shared" si="4"/>
        <v/>
      </c>
      <c r="I289" s="14" t="str">
        <f>IF(OR($C289="",$F289=""),"",IFERROR(INDEX(Productos!$I$5:$I$504,MATCH($C289,Productos!$A$5:$A$504,0)),0)+SUMIFS($F$5:$F289,$C$5:$C289,$C289,$B$5:$B289,"Entrada")-SUMIFS($F$5:$F289,$C$5:$C289,$C289,$B$5:$B289,"Salida"))</f>
        <v/>
      </c>
      <c r="J289" s="20"/>
      <c r="K289" s="20"/>
      <c r="L289" s="20"/>
      <c r="M289" s="14" t="str">
        <f>IF(AND($C289&lt;&gt;"",$C289=Kardex!$C$4),COUNTIF($C$5:$C289,Kardex!$C$4),"")</f>
        <v/>
      </c>
    </row>
    <row r="290" spans="1:13" x14ac:dyDescent="0.25">
      <c r="A290" s="24"/>
      <c r="B290" s="20"/>
      <c r="C290" s="20"/>
      <c r="D290" s="14" t="str">
        <f>IF($C290="","",IFERROR(INDEX(Productos!$B$5:$B$504,MATCH($C290,Productos!$A$5:$A$504,0)),"Clave no existe"))</f>
        <v/>
      </c>
      <c r="E290" s="14" t="str">
        <f>IF($C290="","",IFERROR(INDEX(Productos!$D$5:$D$504,MATCH($C290,Productos!$A$5:$A$504,0)),""))</f>
        <v/>
      </c>
      <c r="F290" s="20"/>
      <c r="G290" s="22" t="str">
        <f>IF($C290="","",IFERROR(INDEX(Productos!$F$5:$F$504,MATCH($C290,Productos!$A$5:$A$504,0)),0))</f>
        <v/>
      </c>
      <c r="H290" s="22" t="str">
        <f t="shared" si="4"/>
        <v/>
      </c>
      <c r="I290" s="14" t="str">
        <f>IF(OR($C290="",$F290=""),"",IFERROR(INDEX(Productos!$I$5:$I$504,MATCH($C290,Productos!$A$5:$A$504,0)),0)+SUMIFS($F$5:$F290,$C$5:$C290,$C290,$B$5:$B290,"Entrada")-SUMIFS($F$5:$F290,$C$5:$C290,$C290,$B$5:$B290,"Salida"))</f>
        <v/>
      </c>
      <c r="J290" s="20"/>
      <c r="K290" s="20"/>
      <c r="L290" s="20"/>
      <c r="M290" s="14" t="str">
        <f>IF(AND($C290&lt;&gt;"",$C290=Kardex!$C$4),COUNTIF($C$5:$C290,Kardex!$C$4),"")</f>
        <v/>
      </c>
    </row>
    <row r="291" spans="1:13" x14ac:dyDescent="0.25">
      <c r="A291" s="24"/>
      <c r="B291" s="20"/>
      <c r="C291" s="20"/>
      <c r="D291" s="14" t="str">
        <f>IF($C291="","",IFERROR(INDEX(Productos!$B$5:$B$504,MATCH($C291,Productos!$A$5:$A$504,0)),"Clave no existe"))</f>
        <v/>
      </c>
      <c r="E291" s="14" t="str">
        <f>IF($C291="","",IFERROR(INDEX(Productos!$D$5:$D$504,MATCH($C291,Productos!$A$5:$A$504,0)),""))</f>
        <v/>
      </c>
      <c r="F291" s="20"/>
      <c r="G291" s="22" t="str">
        <f>IF($C291="","",IFERROR(INDEX(Productos!$F$5:$F$504,MATCH($C291,Productos!$A$5:$A$504,0)),0))</f>
        <v/>
      </c>
      <c r="H291" s="22" t="str">
        <f t="shared" si="4"/>
        <v/>
      </c>
      <c r="I291" s="14" t="str">
        <f>IF(OR($C291="",$F291=""),"",IFERROR(INDEX(Productos!$I$5:$I$504,MATCH($C291,Productos!$A$5:$A$504,0)),0)+SUMIFS($F$5:$F291,$C$5:$C291,$C291,$B$5:$B291,"Entrada")-SUMIFS($F$5:$F291,$C$5:$C291,$C291,$B$5:$B291,"Salida"))</f>
        <v/>
      </c>
      <c r="J291" s="20"/>
      <c r="K291" s="20"/>
      <c r="L291" s="20"/>
      <c r="M291" s="14" t="str">
        <f>IF(AND($C291&lt;&gt;"",$C291=Kardex!$C$4),COUNTIF($C$5:$C291,Kardex!$C$4),"")</f>
        <v/>
      </c>
    </row>
    <row r="292" spans="1:13" x14ac:dyDescent="0.25">
      <c r="A292" s="24"/>
      <c r="B292" s="20"/>
      <c r="C292" s="20"/>
      <c r="D292" s="14" t="str">
        <f>IF($C292="","",IFERROR(INDEX(Productos!$B$5:$B$504,MATCH($C292,Productos!$A$5:$A$504,0)),"Clave no existe"))</f>
        <v/>
      </c>
      <c r="E292" s="14" t="str">
        <f>IF($C292="","",IFERROR(INDEX(Productos!$D$5:$D$504,MATCH($C292,Productos!$A$5:$A$504,0)),""))</f>
        <v/>
      </c>
      <c r="F292" s="20"/>
      <c r="G292" s="22" t="str">
        <f>IF($C292="","",IFERROR(INDEX(Productos!$F$5:$F$504,MATCH($C292,Productos!$A$5:$A$504,0)),0))</f>
        <v/>
      </c>
      <c r="H292" s="22" t="str">
        <f t="shared" si="4"/>
        <v/>
      </c>
      <c r="I292" s="14" t="str">
        <f>IF(OR($C292="",$F292=""),"",IFERROR(INDEX(Productos!$I$5:$I$504,MATCH($C292,Productos!$A$5:$A$504,0)),0)+SUMIFS($F$5:$F292,$C$5:$C292,$C292,$B$5:$B292,"Entrada")-SUMIFS($F$5:$F292,$C$5:$C292,$C292,$B$5:$B292,"Salida"))</f>
        <v/>
      </c>
      <c r="J292" s="20"/>
      <c r="K292" s="20"/>
      <c r="L292" s="20"/>
      <c r="M292" s="14" t="str">
        <f>IF(AND($C292&lt;&gt;"",$C292=Kardex!$C$4),COUNTIF($C$5:$C292,Kardex!$C$4),"")</f>
        <v/>
      </c>
    </row>
    <row r="293" spans="1:13" x14ac:dyDescent="0.25">
      <c r="A293" s="24"/>
      <c r="B293" s="20"/>
      <c r="C293" s="20"/>
      <c r="D293" s="14" t="str">
        <f>IF($C293="","",IFERROR(INDEX(Productos!$B$5:$B$504,MATCH($C293,Productos!$A$5:$A$504,0)),"Clave no existe"))</f>
        <v/>
      </c>
      <c r="E293" s="14" t="str">
        <f>IF($C293="","",IFERROR(INDEX(Productos!$D$5:$D$504,MATCH($C293,Productos!$A$5:$A$504,0)),""))</f>
        <v/>
      </c>
      <c r="F293" s="20"/>
      <c r="G293" s="22" t="str">
        <f>IF($C293="","",IFERROR(INDEX(Productos!$F$5:$F$504,MATCH($C293,Productos!$A$5:$A$504,0)),0))</f>
        <v/>
      </c>
      <c r="H293" s="22" t="str">
        <f t="shared" si="4"/>
        <v/>
      </c>
      <c r="I293" s="14" t="str">
        <f>IF(OR($C293="",$F293=""),"",IFERROR(INDEX(Productos!$I$5:$I$504,MATCH($C293,Productos!$A$5:$A$504,0)),0)+SUMIFS($F$5:$F293,$C$5:$C293,$C293,$B$5:$B293,"Entrada")-SUMIFS($F$5:$F293,$C$5:$C293,$C293,$B$5:$B293,"Salida"))</f>
        <v/>
      </c>
      <c r="J293" s="20"/>
      <c r="K293" s="20"/>
      <c r="L293" s="20"/>
      <c r="M293" s="14" t="str">
        <f>IF(AND($C293&lt;&gt;"",$C293=Kardex!$C$4),COUNTIF($C$5:$C293,Kardex!$C$4),"")</f>
        <v/>
      </c>
    </row>
    <row r="294" spans="1:13" x14ac:dyDescent="0.25">
      <c r="A294" s="24"/>
      <c r="B294" s="20"/>
      <c r="C294" s="20"/>
      <c r="D294" s="14" t="str">
        <f>IF($C294="","",IFERROR(INDEX(Productos!$B$5:$B$504,MATCH($C294,Productos!$A$5:$A$504,0)),"Clave no existe"))</f>
        <v/>
      </c>
      <c r="E294" s="14" t="str">
        <f>IF($C294="","",IFERROR(INDEX(Productos!$D$5:$D$504,MATCH($C294,Productos!$A$5:$A$504,0)),""))</f>
        <v/>
      </c>
      <c r="F294" s="20"/>
      <c r="G294" s="22" t="str">
        <f>IF($C294="","",IFERROR(INDEX(Productos!$F$5:$F$504,MATCH($C294,Productos!$A$5:$A$504,0)),0))</f>
        <v/>
      </c>
      <c r="H294" s="22" t="str">
        <f t="shared" si="4"/>
        <v/>
      </c>
      <c r="I294" s="14" t="str">
        <f>IF(OR($C294="",$F294=""),"",IFERROR(INDEX(Productos!$I$5:$I$504,MATCH($C294,Productos!$A$5:$A$504,0)),0)+SUMIFS($F$5:$F294,$C$5:$C294,$C294,$B$5:$B294,"Entrada")-SUMIFS($F$5:$F294,$C$5:$C294,$C294,$B$5:$B294,"Salida"))</f>
        <v/>
      </c>
      <c r="J294" s="20"/>
      <c r="K294" s="20"/>
      <c r="L294" s="20"/>
      <c r="M294" s="14" t="str">
        <f>IF(AND($C294&lt;&gt;"",$C294=Kardex!$C$4),COUNTIF($C$5:$C294,Kardex!$C$4),"")</f>
        <v/>
      </c>
    </row>
    <row r="295" spans="1:13" x14ac:dyDescent="0.25">
      <c r="A295" s="24"/>
      <c r="B295" s="20"/>
      <c r="C295" s="20"/>
      <c r="D295" s="14" t="str">
        <f>IF($C295="","",IFERROR(INDEX(Productos!$B$5:$B$504,MATCH($C295,Productos!$A$5:$A$504,0)),"Clave no existe"))</f>
        <v/>
      </c>
      <c r="E295" s="14" t="str">
        <f>IF($C295="","",IFERROR(INDEX(Productos!$D$5:$D$504,MATCH($C295,Productos!$A$5:$A$504,0)),""))</f>
        <v/>
      </c>
      <c r="F295" s="20"/>
      <c r="G295" s="22" t="str">
        <f>IF($C295="","",IFERROR(INDEX(Productos!$F$5:$F$504,MATCH($C295,Productos!$A$5:$A$504,0)),0))</f>
        <v/>
      </c>
      <c r="H295" s="22" t="str">
        <f t="shared" si="4"/>
        <v/>
      </c>
      <c r="I295" s="14" t="str">
        <f>IF(OR($C295="",$F295=""),"",IFERROR(INDEX(Productos!$I$5:$I$504,MATCH($C295,Productos!$A$5:$A$504,0)),0)+SUMIFS($F$5:$F295,$C$5:$C295,$C295,$B$5:$B295,"Entrada")-SUMIFS($F$5:$F295,$C$5:$C295,$C295,$B$5:$B295,"Salida"))</f>
        <v/>
      </c>
      <c r="J295" s="20"/>
      <c r="K295" s="20"/>
      <c r="L295" s="20"/>
      <c r="M295" s="14" t="str">
        <f>IF(AND($C295&lt;&gt;"",$C295=Kardex!$C$4),COUNTIF($C$5:$C295,Kardex!$C$4),"")</f>
        <v/>
      </c>
    </row>
    <row r="296" spans="1:13" x14ac:dyDescent="0.25">
      <c r="A296" s="24"/>
      <c r="B296" s="20"/>
      <c r="C296" s="20"/>
      <c r="D296" s="14" t="str">
        <f>IF($C296="","",IFERROR(INDEX(Productos!$B$5:$B$504,MATCH($C296,Productos!$A$5:$A$504,0)),"Clave no existe"))</f>
        <v/>
      </c>
      <c r="E296" s="14" t="str">
        <f>IF($C296="","",IFERROR(INDEX(Productos!$D$5:$D$504,MATCH($C296,Productos!$A$5:$A$504,0)),""))</f>
        <v/>
      </c>
      <c r="F296" s="20"/>
      <c r="G296" s="22" t="str">
        <f>IF($C296="","",IFERROR(INDEX(Productos!$F$5:$F$504,MATCH($C296,Productos!$A$5:$A$504,0)),0))</f>
        <v/>
      </c>
      <c r="H296" s="22" t="str">
        <f t="shared" si="4"/>
        <v/>
      </c>
      <c r="I296" s="14" t="str">
        <f>IF(OR($C296="",$F296=""),"",IFERROR(INDEX(Productos!$I$5:$I$504,MATCH($C296,Productos!$A$5:$A$504,0)),0)+SUMIFS($F$5:$F296,$C$5:$C296,$C296,$B$5:$B296,"Entrada")-SUMIFS($F$5:$F296,$C$5:$C296,$C296,$B$5:$B296,"Salida"))</f>
        <v/>
      </c>
      <c r="J296" s="20"/>
      <c r="K296" s="20"/>
      <c r="L296" s="20"/>
      <c r="M296" s="14" t="str">
        <f>IF(AND($C296&lt;&gt;"",$C296=Kardex!$C$4),COUNTIF($C$5:$C296,Kardex!$C$4),"")</f>
        <v/>
      </c>
    </row>
    <row r="297" spans="1:13" x14ac:dyDescent="0.25">
      <c r="A297" s="24"/>
      <c r="B297" s="20"/>
      <c r="C297" s="20"/>
      <c r="D297" s="14" t="str">
        <f>IF($C297="","",IFERROR(INDEX(Productos!$B$5:$B$504,MATCH($C297,Productos!$A$5:$A$504,0)),"Clave no existe"))</f>
        <v/>
      </c>
      <c r="E297" s="14" t="str">
        <f>IF($C297="","",IFERROR(INDEX(Productos!$D$5:$D$504,MATCH($C297,Productos!$A$5:$A$504,0)),""))</f>
        <v/>
      </c>
      <c r="F297" s="20"/>
      <c r="G297" s="22" t="str">
        <f>IF($C297="","",IFERROR(INDEX(Productos!$F$5:$F$504,MATCH($C297,Productos!$A$5:$A$504,0)),0))</f>
        <v/>
      </c>
      <c r="H297" s="22" t="str">
        <f t="shared" si="4"/>
        <v/>
      </c>
      <c r="I297" s="14" t="str">
        <f>IF(OR($C297="",$F297=""),"",IFERROR(INDEX(Productos!$I$5:$I$504,MATCH($C297,Productos!$A$5:$A$504,0)),0)+SUMIFS($F$5:$F297,$C$5:$C297,$C297,$B$5:$B297,"Entrada")-SUMIFS($F$5:$F297,$C$5:$C297,$C297,$B$5:$B297,"Salida"))</f>
        <v/>
      </c>
      <c r="J297" s="20"/>
      <c r="K297" s="20"/>
      <c r="L297" s="20"/>
      <c r="M297" s="14" t="str">
        <f>IF(AND($C297&lt;&gt;"",$C297=Kardex!$C$4),COUNTIF($C$5:$C297,Kardex!$C$4),"")</f>
        <v/>
      </c>
    </row>
    <row r="298" spans="1:13" x14ac:dyDescent="0.25">
      <c r="A298" s="24"/>
      <c r="B298" s="20"/>
      <c r="C298" s="20"/>
      <c r="D298" s="14" t="str">
        <f>IF($C298="","",IFERROR(INDEX(Productos!$B$5:$B$504,MATCH($C298,Productos!$A$5:$A$504,0)),"Clave no existe"))</f>
        <v/>
      </c>
      <c r="E298" s="14" t="str">
        <f>IF($C298="","",IFERROR(INDEX(Productos!$D$5:$D$504,MATCH($C298,Productos!$A$5:$A$504,0)),""))</f>
        <v/>
      </c>
      <c r="F298" s="20"/>
      <c r="G298" s="22" t="str">
        <f>IF($C298="","",IFERROR(INDEX(Productos!$F$5:$F$504,MATCH($C298,Productos!$A$5:$A$504,0)),0))</f>
        <v/>
      </c>
      <c r="H298" s="22" t="str">
        <f t="shared" si="4"/>
        <v/>
      </c>
      <c r="I298" s="14" t="str">
        <f>IF(OR($C298="",$F298=""),"",IFERROR(INDEX(Productos!$I$5:$I$504,MATCH($C298,Productos!$A$5:$A$504,0)),0)+SUMIFS($F$5:$F298,$C$5:$C298,$C298,$B$5:$B298,"Entrada")-SUMIFS($F$5:$F298,$C$5:$C298,$C298,$B$5:$B298,"Salida"))</f>
        <v/>
      </c>
      <c r="J298" s="20"/>
      <c r="K298" s="20"/>
      <c r="L298" s="20"/>
      <c r="M298" s="14" t="str">
        <f>IF(AND($C298&lt;&gt;"",$C298=Kardex!$C$4),COUNTIF($C$5:$C298,Kardex!$C$4),"")</f>
        <v/>
      </c>
    </row>
    <row r="299" spans="1:13" x14ac:dyDescent="0.25">
      <c r="A299" s="24"/>
      <c r="B299" s="20"/>
      <c r="C299" s="20"/>
      <c r="D299" s="14" t="str">
        <f>IF($C299="","",IFERROR(INDEX(Productos!$B$5:$B$504,MATCH($C299,Productos!$A$5:$A$504,0)),"Clave no existe"))</f>
        <v/>
      </c>
      <c r="E299" s="14" t="str">
        <f>IF($C299="","",IFERROR(INDEX(Productos!$D$5:$D$504,MATCH($C299,Productos!$A$5:$A$504,0)),""))</f>
        <v/>
      </c>
      <c r="F299" s="20"/>
      <c r="G299" s="22" t="str">
        <f>IF($C299="","",IFERROR(INDEX(Productos!$F$5:$F$504,MATCH($C299,Productos!$A$5:$A$504,0)),0))</f>
        <v/>
      </c>
      <c r="H299" s="22" t="str">
        <f t="shared" si="4"/>
        <v/>
      </c>
      <c r="I299" s="14" t="str">
        <f>IF(OR($C299="",$F299=""),"",IFERROR(INDEX(Productos!$I$5:$I$504,MATCH($C299,Productos!$A$5:$A$504,0)),0)+SUMIFS($F$5:$F299,$C$5:$C299,$C299,$B$5:$B299,"Entrada")-SUMIFS($F$5:$F299,$C$5:$C299,$C299,$B$5:$B299,"Salida"))</f>
        <v/>
      </c>
      <c r="J299" s="20"/>
      <c r="K299" s="20"/>
      <c r="L299" s="20"/>
      <c r="M299" s="14" t="str">
        <f>IF(AND($C299&lt;&gt;"",$C299=Kardex!$C$4),COUNTIF($C$5:$C299,Kardex!$C$4),"")</f>
        <v/>
      </c>
    </row>
    <row r="300" spans="1:13" x14ac:dyDescent="0.25">
      <c r="A300" s="24"/>
      <c r="B300" s="20"/>
      <c r="C300" s="20"/>
      <c r="D300" s="14" t="str">
        <f>IF($C300="","",IFERROR(INDEX(Productos!$B$5:$B$504,MATCH($C300,Productos!$A$5:$A$504,0)),"Clave no existe"))</f>
        <v/>
      </c>
      <c r="E300" s="14" t="str">
        <f>IF($C300="","",IFERROR(INDEX(Productos!$D$5:$D$504,MATCH($C300,Productos!$A$5:$A$504,0)),""))</f>
        <v/>
      </c>
      <c r="F300" s="20"/>
      <c r="G300" s="22" t="str">
        <f>IF($C300="","",IFERROR(INDEX(Productos!$F$5:$F$504,MATCH($C300,Productos!$A$5:$A$504,0)),0))</f>
        <v/>
      </c>
      <c r="H300" s="22" t="str">
        <f t="shared" si="4"/>
        <v/>
      </c>
      <c r="I300" s="14" t="str">
        <f>IF(OR($C300="",$F300=""),"",IFERROR(INDEX(Productos!$I$5:$I$504,MATCH($C300,Productos!$A$5:$A$504,0)),0)+SUMIFS($F$5:$F300,$C$5:$C300,$C300,$B$5:$B300,"Entrada")-SUMIFS($F$5:$F300,$C$5:$C300,$C300,$B$5:$B300,"Salida"))</f>
        <v/>
      </c>
      <c r="J300" s="20"/>
      <c r="K300" s="20"/>
      <c r="L300" s="20"/>
      <c r="M300" s="14" t="str">
        <f>IF(AND($C300&lt;&gt;"",$C300=Kardex!$C$4),COUNTIF($C$5:$C300,Kardex!$C$4),"")</f>
        <v/>
      </c>
    </row>
    <row r="301" spans="1:13" x14ac:dyDescent="0.25">
      <c r="A301" s="24"/>
      <c r="B301" s="20"/>
      <c r="C301" s="20"/>
      <c r="D301" s="14" t="str">
        <f>IF($C301="","",IFERROR(INDEX(Productos!$B$5:$B$504,MATCH($C301,Productos!$A$5:$A$504,0)),"Clave no existe"))</f>
        <v/>
      </c>
      <c r="E301" s="14" t="str">
        <f>IF($C301="","",IFERROR(INDEX(Productos!$D$5:$D$504,MATCH($C301,Productos!$A$5:$A$504,0)),""))</f>
        <v/>
      </c>
      <c r="F301" s="20"/>
      <c r="G301" s="22" t="str">
        <f>IF($C301="","",IFERROR(INDEX(Productos!$F$5:$F$504,MATCH($C301,Productos!$A$5:$A$504,0)),0))</f>
        <v/>
      </c>
      <c r="H301" s="22" t="str">
        <f t="shared" si="4"/>
        <v/>
      </c>
      <c r="I301" s="14" t="str">
        <f>IF(OR($C301="",$F301=""),"",IFERROR(INDEX(Productos!$I$5:$I$504,MATCH($C301,Productos!$A$5:$A$504,0)),0)+SUMIFS($F$5:$F301,$C$5:$C301,$C301,$B$5:$B301,"Entrada")-SUMIFS($F$5:$F301,$C$5:$C301,$C301,$B$5:$B301,"Salida"))</f>
        <v/>
      </c>
      <c r="J301" s="20"/>
      <c r="K301" s="20"/>
      <c r="L301" s="20"/>
      <c r="M301" s="14" t="str">
        <f>IF(AND($C301&lt;&gt;"",$C301=Kardex!$C$4),COUNTIF($C$5:$C301,Kardex!$C$4),"")</f>
        <v/>
      </c>
    </row>
    <row r="302" spans="1:13" x14ac:dyDescent="0.25">
      <c r="A302" s="24"/>
      <c r="B302" s="20"/>
      <c r="C302" s="20"/>
      <c r="D302" s="14" t="str">
        <f>IF($C302="","",IFERROR(INDEX(Productos!$B$5:$B$504,MATCH($C302,Productos!$A$5:$A$504,0)),"Clave no existe"))</f>
        <v/>
      </c>
      <c r="E302" s="14" t="str">
        <f>IF($C302="","",IFERROR(INDEX(Productos!$D$5:$D$504,MATCH($C302,Productos!$A$5:$A$504,0)),""))</f>
        <v/>
      </c>
      <c r="F302" s="20"/>
      <c r="G302" s="22" t="str">
        <f>IF($C302="","",IFERROR(INDEX(Productos!$F$5:$F$504,MATCH($C302,Productos!$A$5:$A$504,0)),0))</f>
        <v/>
      </c>
      <c r="H302" s="22" t="str">
        <f t="shared" si="4"/>
        <v/>
      </c>
      <c r="I302" s="14" t="str">
        <f>IF(OR($C302="",$F302=""),"",IFERROR(INDEX(Productos!$I$5:$I$504,MATCH($C302,Productos!$A$5:$A$504,0)),0)+SUMIFS($F$5:$F302,$C$5:$C302,$C302,$B$5:$B302,"Entrada")-SUMIFS($F$5:$F302,$C$5:$C302,$C302,$B$5:$B302,"Salida"))</f>
        <v/>
      </c>
      <c r="J302" s="20"/>
      <c r="K302" s="20"/>
      <c r="L302" s="20"/>
      <c r="M302" s="14" t="str">
        <f>IF(AND($C302&lt;&gt;"",$C302=Kardex!$C$4),COUNTIF($C$5:$C302,Kardex!$C$4),"")</f>
        <v/>
      </c>
    </row>
    <row r="303" spans="1:13" x14ac:dyDescent="0.25">
      <c r="A303" s="24"/>
      <c r="B303" s="20"/>
      <c r="C303" s="20"/>
      <c r="D303" s="14" t="str">
        <f>IF($C303="","",IFERROR(INDEX(Productos!$B$5:$B$504,MATCH($C303,Productos!$A$5:$A$504,0)),"Clave no existe"))</f>
        <v/>
      </c>
      <c r="E303" s="14" t="str">
        <f>IF($C303="","",IFERROR(INDEX(Productos!$D$5:$D$504,MATCH($C303,Productos!$A$5:$A$504,0)),""))</f>
        <v/>
      </c>
      <c r="F303" s="20"/>
      <c r="G303" s="22" t="str">
        <f>IF($C303="","",IFERROR(INDEX(Productos!$F$5:$F$504,MATCH($C303,Productos!$A$5:$A$504,0)),0))</f>
        <v/>
      </c>
      <c r="H303" s="22" t="str">
        <f t="shared" si="4"/>
        <v/>
      </c>
      <c r="I303" s="14" t="str">
        <f>IF(OR($C303="",$F303=""),"",IFERROR(INDEX(Productos!$I$5:$I$504,MATCH($C303,Productos!$A$5:$A$504,0)),0)+SUMIFS($F$5:$F303,$C$5:$C303,$C303,$B$5:$B303,"Entrada")-SUMIFS($F$5:$F303,$C$5:$C303,$C303,$B$5:$B303,"Salida"))</f>
        <v/>
      </c>
      <c r="J303" s="20"/>
      <c r="K303" s="20"/>
      <c r="L303" s="20"/>
      <c r="M303" s="14" t="str">
        <f>IF(AND($C303&lt;&gt;"",$C303=Kardex!$C$4),COUNTIF($C$5:$C303,Kardex!$C$4),"")</f>
        <v/>
      </c>
    </row>
    <row r="304" spans="1:13" x14ac:dyDescent="0.25">
      <c r="A304" s="24"/>
      <c r="B304" s="20"/>
      <c r="C304" s="20"/>
      <c r="D304" s="14" t="str">
        <f>IF($C304="","",IFERROR(INDEX(Productos!$B$5:$B$504,MATCH($C304,Productos!$A$5:$A$504,0)),"Clave no existe"))</f>
        <v/>
      </c>
      <c r="E304" s="14" t="str">
        <f>IF($C304="","",IFERROR(INDEX(Productos!$D$5:$D$504,MATCH($C304,Productos!$A$5:$A$504,0)),""))</f>
        <v/>
      </c>
      <c r="F304" s="20"/>
      <c r="G304" s="22" t="str">
        <f>IF($C304="","",IFERROR(INDEX(Productos!$F$5:$F$504,MATCH($C304,Productos!$A$5:$A$504,0)),0))</f>
        <v/>
      </c>
      <c r="H304" s="22" t="str">
        <f t="shared" si="4"/>
        <v/>
      </c>
      <c r="I304" s="14" t="str">
        <f>IF(OR($C304="",$F304=""),"",IFERROR(INDEX(Productos!$I$5:$I$504,MATCH($C304,Productos!$A$5:$A$504,0)),0)+SUMIFS($F$5:$F304,$C$5:$C304,$C304,$B$5:$B304,"Entrada")-SUMIFS($F$5:$F304,$C$5:$C304,$C304,$B$5:$B304,"Salida"))</f>
        <v/>
      </c>
      <c r="J304" s="20"/>
      <c r="K304" s="20"/>
      <c r="L304" s="20"/>
      <c r="M304" s="14" t="str">
        <f>IF(AND($C304&lt;&gt;"",$C304=Kardex!$C$4),COUNTIF($C$5:$C304,Kardex!$C$4),"")</f>
        <v/>
      </c>
    </row>
    <row r="305" spans="1:13" x14ac:dyDescent="0.25">
      <c r="A305" s="24"/>
      <c r="B305" s="20"/>
      <c r="C305" s="20"/>
      <c r="D305" s="14" t="str">
        <f>IF($C305="","",IFERROR(INDEX(Productos!$B$5:$B$504,MATCH($C305,Productos!$A$5:$A$504,0)),"Clave no existe"))</f>
        <v/>
      </c>
      <c r="E305" s="14" t="str">
        <f>IF($C305="","",IFERROR(INDEX(Productos!$D$5:$D$504,MATCH($C305,Productos!$A$5:$A$504,0)),""))</f>
        <v/>
      </c>
      <c r="F305" s="20"/>
      <c r="G305" s="22" t="str">
        <f>IF($C305="","",IFERROR(INDEX(Productos!$F$5:$F$504,MATCH($C305,Productos!$A$5:$A$504,0)),0))</f>
        <v/>
      </c>
      <c r="H305" s="22" t="str">
        <f t="shared" si="4"/>
        <v/>
      </c>
      <c r="I305" s="14" t="str">
        <f>IF(OR($C305="",$F305=""),"",IFERROR(INDEX(Productos!$I$5:$I$504,MATCH($C305,Productos!$A$5:$A$504,0)),0)+SUMIFS($F$5:$F305,$C$5:$C305,$C305,$B$5:$B305,"Entrada")-SUMIFS($F$5:$F305,$C$5:$C305,$C305,$B$5:$B305,"Salida"))</f>
        <v/>
      </c>
      <c r="J305" s="20"/>
      <c r="K305" s="20"/>
      <c r="L305" s="20"/>
      <c r="M305" s="14" t="str">
        <f>IF(AND($C305&lt;&gt;"",$C305=Kardex!$C$4),COUNTIF($C$5:$C305,Kardex!$C$4),"")</f>
        <v/>
      </c>
    </row>
    <row r="306" spans="1:13" x14ac:dyDescent="0.25">
      <c r="A306" s="24"/>
      <c r="B306" s="20"/>
      <c r="C306" s="20"/>
      <c r="D306" s="14" t="str">
        <f>IF($C306="","",IFERROR(INDEX(Productos!$B$5:$B$504,MATCH($C306,Productos!$A$5:$A$504,0)),"Clave no existe"))</f>
        <v/>
      </c>
      <c r="E306" s="14" t="str">
        <f>IF($C306="","",IFERROR(INDEX(Productos!$D$5:$D$504,MATCH($C306,Productos!$A$5:$A$504,0)),""))</f>
        <v/>
      </c>
      <c r="F306" s="20"/>
      <c r="G306" s="22" t="str">
        <f>IF($C306="","",IFERROR(INDEX(Productos!$F$5:$F$504,MATCH($C306,Productos!$A$5:$A$504,0)),0))</f>
        <v/>
      </c>
      <c r="H306" s="22" t="str">
        <f t="shared" si="4"/>
        <v/>
      </c>
      <c r="I306" s="14" t="str">
        <f>IF(OR($C306="",$F306=""),"",IFERROR(INDEX(Productos!$I$5:$I$504,MATCH($C306,Productos!$A$5:$A$504,0)),0)+SUMIFS($F$5:$F306,$C$5:$C306,$C306,$B$5:$B306,"Entrada")-SUMIFS($F$5:$F306,$C$5:$C306,$C306,$B$5:$B306,"Salida"))</f>
        <v/>
      </c>
      <c r="J306" s="20"/>
      <c r="K306" s="20"/>
      <c r="L306" s="20"/>
      <c r="M306" s="14" t="str">
        <f>IF(AND($C306&lt;&gt;"",$C306=Kardex!$C$4),COUNTIF($C$5:$C306,Kardex!$C$4),"")</f>
        <v/>
      </c>
    </row>
    <row r="307" spans="1:13" x14ac:dyDescent="0.25">
      <c r="A307" s="24"/>
      <c r="B307" s="20"/>
      <c r="C307" s="20"/>
      <c r="D307" s="14" t="str">
        <f>IF($C307="","",IFERROR(INDEX(Productos!$B$5:$B$504,MATCH($C307,Productos!$A$5:$A$504,0)),"Clave no existe"))</f>
        <v/>
      </c>
      <c r="E307" s="14" t="str">
        <f>IF($C307="","",IFERROR(INDEX(Productos!$D$5:$D$504,MATCH($C307,Productos!$A$5:$A$504,0)),""))</f>
        <v/>
      </c>
      <c r="F307" s="20"/>
      <c r="G307" s="22" t="str">
        <f>IF($C307="","",IFERROR(INDEX(Productos!$F$5:$F$504,MATCH($C307,Productos!$A$5:$A$504,0)),0))</f>
        <v/>
      </c>
      <c r="H307" s="22" t="str">
        <f t="shared" si="4"/>
        <v/>
      </c>
      <c r="I307" s="14" t="str">
        <f>IF(OR($C307="",$F307=""),"",IFERROR(INDEX(Productos!$I$5:$I$504,MATCH($C307,Productos!$A$5:$A$504,0)),0)+SUMIFS($F$5:$F307,$C$5:$C307,$C307,$B$5:$B307,"Entrada")-SUMIFS($F$5:$F307,$C$5:$C307,$C307,$B$5:$B307,"Salida"))</f>
        <v/>
      </c>
      <c r="J307" s="20"/>
      <c r="K307" s="20"/>
      <c r="L307" s="20"/>
      <c r="M307" s="14" t="str">
        <f>IF(AND($C307&lt;&gt;"",$C307=Kardex!$C$4),COUNTIF($C$5:$C307,Kardex!$C$4),"")</f>
        <v/>
      </c>
    </row>
    <row r="308" spans="1:13" x14ac:dyDescent="0.25">
      <c r="A308" s="24"/>
      <c r="B308" s="20"/>
      <c r="C308" s="20"/>
      <c r="D308" s="14" t="str">
        <f>IF($C308="","",IFERROR(INDEX(Productos!$B$5:$B$504,MATCH($C308,Productos!$A$5:$A$504,0)),"Clave no existe"))</f>
        <v/>
      </c>
      <c r="E308" s="14" t="str">
        <f>IF($C308="","",IFERROR(INDEX(Productos!$D$5:$D$504,MATCH($C308,Productos!$A$5:$A$504,0)),""))</f>
        <v/>
      </c>
      <c r="F308" s="20"/>
      <c r="G308" s="22" t="str">
        <f>IF($C308="","",IFERROR(INDEX(Productos!$F$5:$F$504,MATCH($C308,Productos!$A$5:$A$504,0)),0))</f>
        <v/>
      </c>
      <c r="H308" s="22" t="str">
        <f t="shared" si="4"/>
        <v/>
      </c>
      <c r="I308" s="14" t="str">
        <f>IF(OR($C308="",$F308=""),"",IFERROR(INDEX(Productos!$I$5:$I$504,MATCH($C308,Productos!$A$5:$A$504,0)),0)+SUMIFS($F$5:$F308,$C$5:$C308,$C308,$B$5:$B308,"Entrada")-SUMIFS($F$5:$F308,$C$5:$C308,$C308,$B$5:$B308,"Salida"))</f>
        <v/>
      </c>
      <c r="J308" s="20"/>
      <c r="K308" s="20"/>
      <c r="L308" s="20"/>
      <c r="M308" s="14" t="str">
        <f>IF(AND($C308&lt;&gt;"",$C308=Kardex!$C$4),COUNTIF($C$5:$C308,Kardex!$C$4),"")</f>
        <v/>
      </c>
    </row>
    <row r="309" spans="1:13" x14ac:dyDescent="0.25">
      <c r="A309" s="24"/>
      <c r="B309" s="20"/>
      <c r="C309" s="20"/>
      <c r="D309" s="14" t="str">
        <f>IF($C309="","",IFERROR(INDEX(Productos!$B$5:$B$504,MATCH($C309,Productos!$A$5:$A$504,0)),"Clave no existe"))</f>
        <v/>
      </c>
      <c r="E309" s="14" t="str">
        <f>IF($C309="","",IFERROR(INDEX(Productos!$D$5:$D$504,MATCH($C309,Productos!$A$5:$A$504,0)),""))</f>
        <v/>
      </c>
      <c r="F309" s="20"/>
      <c r="G309" s="22" t="str">
        <f>IF($C309="","",IFERROR(INDEX(Productos!$F$5:$F$504,MATCH($C309,Productos!$A$5:$A$504,0)),0))</f>
        <v/>
      </c>
      <c r="H309" s="22" t="str">
        <f t="shared" si="4"/>
        <v/>
      </c>
      <c r="I309" s="14" t="str">
        <f>IF(OR($C309="",$F309=""),"",IFERROR(INDEX(Productos!$I$5:$I$504,MATCH($C309,Productos!$A$5:$A$504,0)),0)+SUMIFS($F$5:$F309,$C$5:$C309,$C309,$B$5:$B309,"Entrada")-SUMIFS($F$5:$F309,$C$5:$C309,$C309,$B$5:$B309,"Salida"))</f>
        <v/>
      </c>
      <c r="J309" s="20"/>
      <c r="K309" s="20"/>
      <c r="L309" s="20"/>
      <c r="M309" s="14" t="str">
        <f>IF(AND($C309&lt;&gt;"",$C309=Kardex!$C$4),COUNTIF($C$5:$C309,Kardex!$C$4),"")</f>
        <v/>
      </c>
    </row>
    <row r="310" spans="1:13" x14ac:dyDescent="0.25">
      <c r="A310" s="24"/>
      <c r="B310" s="20"/>
      <c r="C310" s="20"/>
      <c r="D310" s="14" t="str">
        <f>IF($C310="","",IFERROR(INDEX(Productos!$B$5:$B$504,MATCH($C310,Productos!$A$5:$A$504,0)),"Clave no existe"))</f>
        <v/>
      </c>
      <c r="E310" s="14" t="str">
        <f>IF($C310="","",IFERROR(INDEX(Productos!$D$5:$D$504,MATCH($C310,Productos!$A$5:$A$504,0)),""))</f>
        <v/>
      </c>
      <c r="F310" s="20"/>
      <c r="G310" s="22" t="str">
        <f>IF($C310="","",IFERROR(INDEX(Productos!$F$5:$F$504,MATCH($C310,Productos!$A$5:$A$504,0)),0))</f>
        <v/>
      </c>
      <c r="H310" s="22" t="str">
        <f t="shared" si="4"/>
        <v/>
      </c>
      <c r="I310" s="14" t="str">
        <f>IF(OR($C310="",$F310=""),"",IFERROR(INDEX(Productos!$I$5:$I$504,MATCH($C310,Productos!$A$5:$A$504,0)),0)+SUMIFS($F$5:$F310,$C$5:$C310,$C310,$B$5:$B310,"Entrada")-SUMIFS($F$5:$F310,$C$5:$C310,$C310,$B$5:$B310,"Salida"))</f>
        <v/>
      </c>
      <c r="J310" s="20"/>
      <c r="K310" s="20"/>
      <c r="L310" s="20"/>
      <c r="M310" s="14" t="str">
        <f>IF(AND($C310&lt;&gt;"",$C310=Kardex!$C$4),COUNTIF($C$5:$C310,Kardex!$C$4),"")</f>
        <v/>
      </c>
    </row>
    <row r="311" spans="1:13" x14ac:dyDescent="0.25">
      <c r="A311" s="24"/>
      <c r="B311" s="20"/>
      <c r="C311" s="20"/>
      <c r="D311" s="14" t="str">
        <f>IF($C311="","",IFERROR(INDEX(Productos!$B$5:$B$504,MATCH($C311,Productos!$A$5:$A$504,0)),"Clave no existe"))</f>
        <v/>
      </c>
      <c r="E311" s="14" t="str">
        <f>IF($C311="","",IFERROR(INDEX(Productos!$D$5:$D$504,MATCH($C311,Productos!$A$5:$A$504,0)),""))</f>
        <v/>
      </c>
      <c r="F311" s="20"/>
      <c r="G311" s="22" t="str">
        <f>IF($C311="","",IFERROR(INDEX(Productos!$F$5:$F$504,MATCH($C311,Productos!$A$5:$A$504,0)),0))</f>
        <v/>
      </c>
      <c r="H311" s="22" t="str">
        <f t="shared" si="4"/>
        <v/>
      </c>
      <c r="I311" s="14" t="str">
        <f>IF(OR($C311="",$F311=""),"",IFERROR(INDEX(Productos!$I$5:$I$504,MATCH($C311,Productos!$A$5:$A$504,0)),0)+SUMIFS($F$5:$F311,$C$5:$C311,$C311,$B$5:$B311,"Entrada")-SUMIFS($F$5:$F311,$C$5:$C311,$C311,$B$5:$B311,"Salida"))</f>
        <v/>
      </c>
      <c r="J311" s="20"/>
      <c r="K311" s="20"/>
      <c r="L311" s="20"/>
      <c r="M311" s="14" t="str">
        <f>IF(AND($C311&lt;&gt;"",$C311=Kardex!$C$4),COUNTIF($C$5:$C311,Kardex!$C$4),"")</f>
        <v/>
      </c>
    </row>
    <row r="312" spans="1:13" x14ac:dyDescent="0.25">
      <c r="A312" s="24"/>
      <c r="B312" s="20"/>
      <c r="C312" s="20"/>
      <c r="D312" s="14" t="str">
        <f>IF($C312="","",IFERROR(INDEX(Productos!$B$5:$B$504,MATCH($C312,Productos!$A$5:$A$504,0)),"Clave no existe"))</f>
        <v/>
      </c>
      <c r="E312" s="14" t="str">
        <f>IF($C312="","",IFERROR(INDEX(Productos!$D$5:$D$504,MATCH($C312,Productos!$A$5:$A$504,0)),""))</f>
        <v/>
      </c>
      <c r="F312" s="20"/>
      <c r="G312" s="22" t="str">
        <f>IF($C312="","",IFERROR(INDEX(Productos!$F$5:$F$504,MATCH($C312,Productos!$A$5:$A$504,0)),0))</f>
        <v/>
      </c>
      <c r="H312" s="22" t="str">
        <f t="shared" si="4"/>
        <v/>
      </c>
      <c r="I312" s="14" t="str">
        <f>IF(OR($C312="",$F312=""),"",IFERROR(INDEX(Productos!$I$5:$I$504,MATCH($C312,Productos!$A$5:$A$504,0)),0)+SUMIFS($F$5:$F312,$C$5:$C312,$C312,$B$5:$B312,"Entrada")-SUMIFS($F$5:$F312,$C$5:$C312,$C312,$B$5:$B312,"Salida"))</f>
        <v/>
      </c>
      <c r="J312" s="20"/>
      <c r="K312" s="20"/>
      <c r="L312" s="20"/>
      <c r="M312" s="14" t="str">
        <f>IF(AND($C312&lt;&gt;"",$C312=Kardex!$C$4),COUNTIF($C$5:$C312,Kardex!$C$4),"")</f>
        <v/>
      </c>
    </row>
    <row r="313" spans="1:13" x14ac:dyDescent="0.25">
      <c r="A313" s="24"/>
      <c r="B313" s="20"/>
      <c r="C313" s="20"/>
      <c r="D313" s="14" t="str">
        <f>IF($C313="","",IFERROR(INDEX(Productos!$B$5:$B$504,MATCH($C313,Productos!$A$5:$A$504,0)),"Clave no existe"))</f>
        <v/>
      </c>
      <c r="E313" s="14" t="str">
        <f>IF($C313="","",IFERROR(INDEX(Productos!$D$5:$D$504,MATCH($C313,Productos!$A$5:$A$504,0)),""))</f>
        <v/>
      </c>
      <c r="F313" s="20"/>
      <c r="G313" s="22" t="str">
        <f>IF($C313="","",IFERROR(INDEX(Productos!$F$5:$F$504,MATCH($C313,Productos!$A$5:$A$504,0)),0))</f>
        <v/>
      </c>
      <c r="H313" s="22" t="str">
        <f t="shared" si="4"/>
        <v/>
      </c>
      <c r="I313" s="14" t="str">
        <f>IF(OR($C313="",$F313=""),"",IFERROR(INDEX(Productos!$I$5:$I$504,MATCH($C313,Productos!$A$5:$A$504,0)),0)+SUMIFS($F$5:$F313,$C$5:$C313,$C313,$B$5:$B313,"Entrada")-SUMIFS($F$5:$F313,$C$5:$C313,$C313,$B$5:$B313,"Salida"))</f>
        <v/>
      </c>
      <c r="J313" s="20"/>
      <c r="K313" s="20"/>
      <c r="L313" s="20"/>
      <c r="M313" s="14" t="str">
        <f>IF(AND($C313&lt;&gt;"",$C313=Kardex!$C$4),COUNTIF($C$5:$C313,Kardex!$C$4),"")</f>
        <v/>
      </c>
    </row>
    <row r="314" spans="1:13" x14ac:dyDescent="0.25">
      <c r="A314" s="24"/>
      <c r="B314" s="20"/>
      <c r="C314" s="20"/>
      <c r="D314" s="14" t="str">
        <f>IF($C314="","",IFERROR(INDEX(Productos!$B$5:$B$504,MATCH($C314,Productos!$A$5:$A$504,0)),"Clave no existe"))</f>
        <v/>
      </c>
      <c r="E314" s="14" t="str">
        <f>IF($C314="","",IFERROR(INDEX(Productos!$D$5:$D$504,MATCH($C314,Productos!$A$5:$A$504,0)),""))</f>
        <v/>
      </c>
      <c r="F314" s="20"/>
      <c r="G314" s="22" t="str">
        <f>IF($C314="","",IFERROR(INDEX(Productos!$F$5:$F$504,MATCH($C314,Productos!$A$5:$A$504,0)),0))</f>
        <v/>
      </c>
      <c r="H314" s="22" t="str">
        <f t="shared" si="4"/>
        <v/>
      </c>
      <c r="I314" s="14" t="str">
        <f>IF(OR($C314="",$F314=""),"",IFERROR(INDEX(Productos!$I$5:$I$504,MATCH($C314,Productos!$A$5:$A$504,0)),0)+SUMIFS($F$5:$F314,$C$5:$C314,$C314,$B$5:$B314,"Entrada")-SUMIFS($F$5:$F314,$C$5:$C314,$C314,$B$5:$B314,"Salida"))</f>
        <v/>
      </c>
      <c r="J314" s="20"/>
      <c r="K314" s="20"/>
      <c r="L314" s="20"/>
      <c r="M314" s="14" t="str">
        <f>IF(AND($C314&lt;&gt;"",$C314=Kardex!$C$4),COUNTIF($C$5:$C314,Kardex!$C$4),"")</f>
        <v/>
      </c>
    </row>
    <row r="315" spans="1:13" x14ac:dyDescent="0.25">
      <c r="A315" s="24"/>
      <c r="B315" s="20"/>
      <c r="C315" s="20"/>
      <c r="D315" s="14" t="str">
        <f>IF($C315="","",IFERROR(INDEX(Productos!$B$5:$B$504,MATCH($C315,Productos!$A$5:$A$504,0)),"Clave no existe"))</f>
        <v/>
      </c>
      <c r="E315" s="14" t="str">
        <f>IF($C315="","",IFERROR(INDEX(Productos!$D$5:$D$504,MATCH($C315,Productos!$A$5:$A$504,0)),""))</f>
        <v/>
      </c>
      <c r="F315" s="20"/>
      <c r="G315" s="22" t="str">
        <f>IF($C315="","",IFERROR(INDEX(Productos!$F$5:$F$504,MATCH($C315,Productos!$A$5:$A$504,0)),0))</f>
        <v/>
      </c>
      <c r="H315" s="22" t="str">
        <f t="shared" si="4"/>
        <v/>
      </c>
      <c r="I315" s="14" t="str">
        <f>IF(OR($C315="",$F315=""),"",IFERROR(INDEX(Productos!$I$5:$I$504,MATCH($C315,Productos!$A$5:$A$504,0)),0)+SUMIFS($F$5:$F315,$C$5:$C315,$C315,$B$5:$B315,"Entrada")-SUMIFS($F$5:$F315,$C$5:$C315,$C315,$B$5:$B315,"Salida"))</f>
        <v/>
      </c>
      <c r="J315" s="20"/>
      <c r="K315" s="20"/>
      <c r="L315" s="20"/>
      <c r="M315" s="14" t="str">
        <f>IF(AND($C315&lt;&gt;"",$C315=Kardex!$C$4),COUNTIF($C$5:$C315,Kardex!$C$4),"")</f>
        <v/>
      </c>
    </row>
    <row r="316" spans="1:13" x14ac:dyDescent="0.25">
      <c r="A316" s="24"/>
      <c r="B316" s="20"/>
      <c r="C316" s="20"/>
      <c r="D316" s="14" t="str">
        <f>IF($C316="","",IFERROR(INDEX(Productos!$B$5:$B$504,MATCH($C316,Productos!$A$5:$A$504,0)),"Clave no existe"))</f>
        <v/>
      </c>
      <c r="E316" s="14" t="str">
        <f>IF($C316="","",IFERROR(INDEX(Productos!$D$5:$D$504,MATCH($C316,Productos!$A$5:$A$504,0)),""))</f>
        <v/>
      </c>
      <c r="F316" s="20"/>
      <c r="G316" s="22" t="str">
        <f>IF($C316="","",IFERROR(INDEX(Productos!$F$5:$F$504,MATCH($C316,Productos!$A$5:$A$504,0)),0))</f>
        <v/>
      </c>
      <c r="H316" s="22" t="str">
        <f t="shared" si="4"/>
        <v/>
      </c>
      <c r="I316" s="14" t="str">
        <f>IF(OR($C316="",$F316=""),"",IFERROR(INDEX(Productos!$I$5:$I$504,MATCH($C316,Productos!$A$5:$A$504,0)),0)+SUMIFS($F$5:$F316,$C$5:$C316,$C316,$B$5:$B316,"Entrada")-SUMIFS($F$5:$F316,$C$5:$C316,$C316,$B$5:$B316,"Salida"))</f>
        <v/>
      </c>
      <c r="J316" s="20"/>
      <c r="K316" s="20"/>
      <c r="L316" s="20"/>
      <c r="M316" s="14" t="str">
        <f>IF(AND($C316&lt;&gt;"",$C316=Kardex!$C$4),COUNTIF($C$5:$C316,Kardex!$C$4),"")</f>
        <v/>
      </c>
    </row>
    <row r="317" spans="1:13" x14ac:dyDescent="0.25">
      <c r="A317" s="24"/>
      <c r="B317" s="20"/>
      <c r="C317" s="20"/>
      <c r="D317" s="14" t="str">
        <f>IF($C317="","",IFERROR(INDEX(Productos!$B$5:$B$504,MATCH($C317,Productos!$A$5:$A$504,0)),"Clave no existe"))</f>
        <v/>
      </c>
      <c r="E317" s="14" t="str">
        <f>IF($C317="","",IFERROR(INDEX(Productos!$D$5:$D$504,MATCH($C317,Productos!$A$5:$A$504,0)),""))</f>
        <v/>
      </c>
      <c r="F317" s="20"/>
      <c r="G317" s="22" t="str">
        <f>IF($C317="","",IFERROR(INDEX(Productos!$F$5:$F$504,MATCH($C317,Productos!$A$5:$A$504,0)),0))</f>
        <v/>
      </c>
      <c r="H317" s="22" t="str">
        <f t="shared" si="4"/>
        <v/>
      </c>
      <c r="I317" s="14" t="str">
        <f>IF(OR($C317="",$F317=""),"",IFERROR(INDEX(Productos!$I$5:$I$504,MATCH($C317,Productos!$A$5:$A$504,0)),0)+SUMIFS($F$5:$F317,$C$5:$C317,$C317,$B$5:$B317,"Entrada")-SUMIFS($F$5:$F317,$C$5:$C317,$C317,$B$5:$B317,"Salida"))</f>
        <v/>
      </c>
      <c r="J317" s="20"/>
      <c r="K317" s="20"/>
      <c r="L317" s="20"/>
      <c r="M317" s="14" t="str">
        <f>IF(AND($C317&lt;&gt;"",$C317=Kardex!$C$4),COUNTIF($C$5:$C317,Kardex!$C$4),"")</f>
        <v/>
      </c>
    </row>
    <row r="318" spans="1:13" x14ac:dyDescent="0.25">
      <c r="A318" s="24"/>
      <c r="B318" s="20"/>
      <c r="C318" s="20"/>
      <c r="D318" s="14" t="str">
        <f>IF($C318="","",IFERROR(INDEX(Productos!$B$5:$B$504,MATCH($C318,Productos!$A$5:$A$504,0)),"Clave no existe"))</f>
        <v/>
      </c>
      <c r="E318" s="14" t="str">
        <f>IF($C318="","",IFERROR(INDEX(Productos!$D$5:$D$504,MATCH($C318,Productos!$A$5:$A$504,0)),""))</f>
        <v/>
      </c>
      <c r="F318" s="20"/>
      <c r="G318" s="22" t="str">
        <f>IF($C318="","",IFERROR(INDEX(Productos!$F$5:$F$504,MATCH($C318,Productos!$A$5:$A$504,0)),0))</f>
        <v/>
      </c>
      <c r="H318" s="22" t="str">
        <f t="shared" si="4"/>
        <v/>
      </c>
      <c r="I318" s="14" t="str">
        <f>IF(OR($C318="",$F318=""),"",IFERROR(INDEX(Productos!$I$5:$I$504,MATCH($C318,Productos!$A$5:$A$504,0)),0)+SUMIFS($F$5:$F318,$C$5:$C318,$C318,$B$5:$B318,"Entrada")-SUMIFS($F$5:$F318,$C$5:$C318,$C318,$B$5:$B318,"Salida"))</f>
        <v/>
      </c>
      <c r="J318" s="20"/>
      <c r="K318" s="20"/>
      <c r="L318" s="20"/>
      <c r="M318" s="14" t="str">
        <f>IF(AND($C318&lt;&gt;"",$C318=Kardex!$C$4),COUNTIF($C$5:$C318,Kardex!$C$4),"")</f>
        <v/>
      </c>
    </row>
    <row r="319" spans="1:13" x14ac:dyDescent="0.25">
      <c r="A319" s="24"/>
      <c r="B319" s="20"/>
      <c r="C319" s="20"/>
      <c r="D319" s="14" t="str">
        <f>IF($C319="","",IFERROR(INDEX(Productos!$B$5:$B$504,MATCH($C319,Productos!$A$5:$A$504,0)),"Clave no existe"))</f>
        <v/>
      </c>
      <c r="E319" s="14" t="str">
        <f>IF($C319="","",IFERROR(INDEX(Productos!$D$5:$D$504,MATCH($C319,Productos!$A$5:$A$504,0)),""))</f>
        <v/>
      </c>
      <c r="F319" s="20"/>
      <c r="G319" s="22" t="str">
        <f>IF($C319="","",IFERROR(INDEX(Productos!$F$5:$F$504,MATCH($C319,Productos!$A$5:$A$504,0)),0))</f>
        <v/>
      </c>
      <c r="H319" s="22" t="str">
        <f t="shared" si="4"/>
        <v/>
      </c>
      <c r="I319" s="14" t="str">
        <f>IF(OR($C319="",$F319=""),"",IFERROR(INDEX(Productos!$I$5:$I$504,MATCH($C319,Productos!$A$5:$A$504,0)),0)+SUMIFS($F$5:$F319,$C$5:$C319,$C319,$B$5:$B319,"Entrada")-SUMIFS($F$5:$F319,$C$5:$C319,$C319,$B$5:$B319,"Salida"))</f>
        <v/>
      </c>
      <c r="J319" s="20"/>
      <c r="K319" s="20"/>
      <c r="L319" s="20"/>
      <c r="M319" s="14" t="str">
        <f>IF(AND($C319&lt;&gt;"",$C319=Kardex!$C$4),COUNTIF($C$5:$C319,Kardex!$C$4),"")</f>
        <v/>
      </c>
    </row>
    <row r="320" spans="1:13" x14ac:dyDescent="0.25">
      <c r="A320" s="24"/>
      <c r="B320" s="20"/>
      <c r="C320" s="20"/>
      <c r="D320" s="14" t="str">
        <f>IF($C320="","",IFERROR(INDEX(Productos!$B$5:$B$504,MATCH($C320,Productos!$A$5:$A$504,0)),"Clave no existe"))</f>
        <v/>
      </c>
      <c r="E320" s="14" t="str">
        <f>IF($C320="","",IFERROR(INDEX(Productos!$D$5:$D$504,MATCH($C320,Productos!$A$5:$A$504,0)),""))</f>
        <v/>
      </c>
      <c r="F320" s="20"/>
      <c r="G320" s="22" t="str">
        <f>IF($C320="","",IFERROR(INDEX(Productos!$F$5:$F$504,MATCH($C320,Productos!$A$5:$A$504,0)),0))</f>
        <v/>
      </c>
      <c r="H320" s="22" t="str">
        <f t="shared" si="4"/>
        <v/>
      </c>
      <c r="I320" s="14" t="str">
        <f>IF(OR($C320="",$F320=""),"",IFERROR(INDEX(Productos!$I$5:$I$504,MATCH($C320,Productos!$A$5:$A$504,0)),0)+SUMIFS($F$5:$F320,$C$5:$C320,$C320,$B$5:$B320,"Entrada")-SUMIFS($F$5:$F320,$C$5:$C320,$C320,$B$5:$B320,"Salida"))</f>
        <v/>
      </c>
      <c r="J320" s="20"/>
      <c r="K320" s="20"/>
      <c r="L320" s="20"/>
      <c r="M320" s="14" t="str">
        <f>IF(AND($C320&lt;&gt;"",$C320=Kardex!$C$4),COUNTIF($C$5:$C320,Kardex!$C$4),"")</f>
        <v/>
      </c>
    </row>
    <row r="321" spans="1:13" x14ac:dyDescent="0.25">
      <c r="A321" s="24"/>
      <c r="B321" s="20"/>
      <c r="C321" s="20"/>
      <c r="D321" s="14" t="str">
        <f>IF($C321="","",IFERROR(INDEX(Productos!$B$5:$B$504,MATCH($C321,Productos!$A$5:$A$504,0)),"Clave no existe"))</f>
        <v/>
      </c>
      <c r="E321" s="14" t="str">
        <f>IF($C321="","",IFERROR(INDEX(Productos!$D$5:$D$504,MATCH($C321,Productos!$A$5:$A$504,0)),""))</f>
        <v/>
      </c>
      <c r="F321" s="20"/>
      <c r="G321" s="22" t="str">
        <f>IF($C321="","",IFERROR(INDEX(Productos!$F$5:$F$504,MATCH($C321,Productos!$A$5:$A$504,0)),0))</f>
        <v/>
      </c>
      <c r="H321" s="22" t="str">
        <f t="shared" si="4"/>
        <v/>
      </c>
      <c r="I321" s="14" t="str">
        <f>IF(OR($C321="",$F321=""),"",IFERROR(INDEX(Productos!$I$5:$I$504,MATCH($C321,Productos!$A$5:$A$504,0)),0)+SUMIFS($F$5:$F321,$C$5:$C321,$C321,$B$5:$B321,"Entrada")-SUMIFS($F$5:$F321,$C$5:$C321,$C321,$B$5:$B321,"Salida"))</f>
        <v/>
      </c>
      <c r="J321" s="20"/>
      <c r="K321" s="20"/>
      <c r="L321" s="20"/>
      <c r="M321" s="14" t="str">
        <f>IF(AND($C321&lt;&gt;"",$C321=Kardex!$C$4),COUNTIF($C$5:$C321,Kardex!$C$4),"")</f>
        <v/>
      </c>
    </row>
    <row r="322" spans="1:13" x14ac:dyDescent="0.25">
      <c r="A322" s="24"/>
      <c r="B322" s="20"/>
      <c r="C322" s="20"/>
      <c r="D322" s="14" t="str">
        <f>IF($C322="","",IFERROR(INDEX(Productos!$B$5:$B$504,MATCH($C322,Productos!$A$5:$A$504,0)),"Clave no existe"))</f>
        <v/>
      </c>
      <c r="E322" s="14" t="str">
        <f>IF($C322="","",IFERROR(INDEX(Productos!$D$5:$D$504,MATCH($C322,Productos!$A$5:$A$504,0)),""))</f>
        <v/>
      </c>
      <c r="F322" s="20"/>
      <c r="G322" s="22" t="str">
        <f>IF($C322="","",IFERROR(INDEX(Productos!$F$5:$F$504,MATCH($C322,Productos!$A$5:$A$504,0)),0))</f>
        <v/>
      </c>
      <c r="H322" s="22" t="str">
        <f t="shared" si="4"/>
        <v/>
      </c>
      <c r="I322" s="14" t="str">
        <f>IF(OR($C322="",$F322=""),"",IFERROR(INDEX(Productos!$I$5:$I$504,MATCH($C322,Productos!$A$5:$A$504,0)),0)+SUMIFS($F$5:$F322,$C$5:$C322,$C322,$B$5:$B322,"Entrada")-SUMIFS($F$5:$F322,$C$5:$C322,$C322,$B$5:$B322,"Salida"))</f>
        <v/>
      </c>
      <c r="J322" s="20"/>
      <c r="K322" s="20"/>
      <c r="L322" s="20"/>
      <c r="M322" s="14" t="str">
        <f>IF(AND($C322&lt;&gt;"",$C322=Kardex!$C$4),COUNTIF($C$5:$C322,Kardex!$C$4),"")</f>
        <v/>
      </c>
    </row>
    <row r="323" spans="1:13" x14ac:dyDescent="0.25">
      <c r="A323" s="24"/>
      <c r="B323" s="20"/>
      <c r="C323" s="20"/>
      <c r="D323" s="14" t="str">
        <f>IF($C323="","",IFERROR(INDEX(Productos!$B$5:$B$504,MATCH($C323,Productos!$A$5:$A$504,0)),"Clave no existe"))</f>
        <v/>
      </c>
      <c r="E323" s="14" t="str">
        <f>IF($C323="","",IFERROR(INDEX(Productos!$D$5:$D$504,MATCH($C323,Productos!$A$5:$A$504,0)),""))</f>
        <v/>
      </c>
      <c r="F323" s="20"/>
      <c r="G323" s="22" t="str">
        <f>IF($C323="","",IFERROR(INDEX(Productos!$F$5:$F$504,MATCH($C323,Productos!$A$5:$A$504,0)),0))</f>
        <v/>
      </c>
      <c r="H323" s="22" t="str">
        <f t="shared" si="4"/>
        <v/>
      </c>
      <c r="I323" s="14" t="str">
        <f>IF(OR($C323="",$F323=""),"",IFERROR(INDEX(Productos!$I$5:$I$504,MATCH($C323,Productos!$A$5:$A$504,0)),0)+SUMIFS($F$5:$F323,$C$5:$C323,$C323,$B$5:$B323,"Entrada")-SUMIFS($F$5:$F323,$C$5:$C323,$C323,$B$5:$B323,"Salida"))</f>
        <v/>
      </c>
      <c r="J323" s="20"/>
      <c r="K323" s="20"/>
      <c r="L323" s="20"/>
      <c r="M323" s="14" t="str">
        <f>IF(AND($C323&lt;&gt;"",$C323=Kardex!$C$4),COUNTIF($C$5:$C323,Kardex!$C$4),"")</f>
        <v/>
      </c>
    </row>
    <row r="324" spans="1:13" x14ac:dyDescent="0.25">
      <c r="A324" s="24"/>
      <c r="B324" s="20"/>
      <c r="C324" s="20"/>
      <c r="D324" s="14" t="str">
        <f>IF($C324="","",IFERROR(INDEX(Productos!$B$5:$B$504,MATCH($C324,Productos!$A$5:$A$504,0)),"Clave no existe"))</f>
        <v/>
      </c>
      <c r="E324" s="14" t="str">
        <f>IF($C324="","",IFERROR(INDEX(Productos!$D$5:$D$504,MATCH($C324,Productos!$A$5:$A$504,0)),""))</f>
        <v/>
      </c>
      <c r="F324" s="20"/>
      <c r="G324" s="22" t="str">
        <f>IF($C324="","",IFERROR(INDEX(Productos!$F$5:$F$504,MATCH($C324,Productos!$A$5:$A$504,0)),0))</f>
        <v/>
      </c>
      <c r="H324" s="22" t="str">
        <f t="shared" si="4"/>
        <v/>
      </c>
      <c r="I324" s="14" t="str">
        <f>IF(OR($C324="",$F324=""),"",IFERROR(INDEX(Productos!$I$5:$I$504,MATCH($C324,Productos!$A$5:$A$504,0)),0)+SUMIFS($F$5:$F324,$C$5:$C324,$C324,$B$5:$B324,"Entrada")-SUMIFS($F$5:$F324,$C$5:$C324,$C324,$B$5:$B324,"Salida"))</f>
        <v/>
      </c>
      <c r="J324" s="20"/>
      <c r="K324" s="20"/>
      <c r="L324" s="20"/>
      <c r="M324" s="14" t="str">
        <f>IF(AND($C324&lt;&gt;"",$C324=Kardex!$C$4),COUNTIF($C$5:$C324,Kardex!$C$4),"")</f>
        <v/>
      </c>
    </row>
    <row r="325" spans="1:13" x14ac:dyDescent="0.25">
      <c r="A325" s="24"/>
      <c r="B325" s="20"/>
      <c r="C325" s="20"/>
      <c r="D325" s="14" t="str">
        <f>IF($C325="","",IFERROR(INDEX(Productos!$B$5:$B$504,MATCH($C325,Productos!$A$5:$A$504,0)),"Clave no existe"))</f>
        <v/>
      </c>
      <c r="E325" s="14" t="str">
        <f>IF($C325="","",IFERROR(INDEX(Productos!$D$5:$D$504,MATCH($C325,Productos!$A$5:$A$504,0)),""))</f>
        <v/>
      </c>
      <c r="F325" s="20"/>
      <c r="G325" s="22" t="str">
        <f>IF($C325="","",IFERROR(INDEX(Productos!$F$5:$F$504,MATCH($C325,Productos!$A$5:$A$504,0)),0))</f>
        <v/>
      </c>
      <c r="H325" s="22" t="str">
        <f t="shared" ref="H325:H388" si="5">IF(OR($C325="",$F325=""),"",F325*G325)</f>
        <v/>
      </c>
      <c r="I325" s="14" t="str">
        <f>IF(OR($C325="",$F325=""),"",IFERROR(INDEX(Productos!$I$5:$I$504,MATCH($C325,Productos!$A$5:$A$504,0)),0)+SUMIFS($F$5:$F325,$C$5:$C325,$C325,$B$5:$B325,"Entrada")-SUMIFS($F$5:$F325,$C$5:$C325,$C325,$B$5:$B325,"Salida"))</f>
        <v/>
      </c>
      <c r="J325" s="20"/>
      <c r="K325" s="20"/>
      <c r="L325" s="20"/>
      <c r="M325" s="14" t="str">
        <f>IF(AND($C325&lt;&gt;"",$C325=Kardex!$C$4),COUNTIF($C$5:$C325,Kardex!$C$4),"")</f>
        <v/>
      </c>
    </row>
    <row r="326" spans="1:13" x14ac:dyDescent="0.25">
      <c r="A326" s="24"/>
      <c r="B326" s="20"/>
      <c r="C326" s="20"/>
      <c r="D326" s="14" t="str">
        <f>IF($C326="","",IFERROR(INDEX(Productos!$B$5:$B$504,MATCH($C326,Productos!$A$5:$A$504,0)),"Clave no existe"))</f>
        <v/>
      </c>
      <c r="E326" s="14" t="str">
        <f>IF($C326="","",IFERROR(INDEX(Productos!$D$5:$D$504,MATCH($C326,Productos!$A$5:$A$504,0)),""))</f>
        <v/>
      </c>
      <c r="F326" s="20"/>
      <c r="G326" s="22" t="str">
        <f>IF($C326="","",IFERROR(INDEX(Productos!$F$5:$F$504,MATCH($C326,Productos!$A$5:$A$504,0)),0))</f>
        <v/>
      </c>
      <c r="H326" s="22" t="str">
        <f t="shared" si="5"/>
        <v/>
      </c>
      <c r="I326" s="14" t="str">
        <f>IF(OR($C326="",$F326=""),"",IFERROR(INDEX(Productos!$I$5:$I$504,MATCH($C326,Productos!$A$5:$A$504,0)),0)+SUMIFS($F$5:$F326,$C$5:$C326,$C326,$B$5:$B326,"Entrada")-SUMIFS($F$5:$F326,$C$5:$C326,$C326,$B$5:$B326,"Salida"))</f>
        <v/>
      </c>
      <c r="J326" s="20"/>
      <c r="K326" s="20"/>
      <c r="L326" s="20"/>
      <c r="M326" s="14" t="str">
        <f>IF(AND($C326&lt;&gt;"",$C326=Kardex!$C$4),COUNTIF($C$5:$C326,Kardex!$C$4),"")</f>
        <v/>
      </c>
    </row>
    <row r="327" spans="1:13" x14ac:dyDescent="0.25">
      <c r="A327" s="24"/>
      <c r="B327" s="20"/>
      <c r="C327" s="20"/>
      <c r="D327" s="14" t="str">
        <f>IF($C327="","",IFERROR(INDEX(Productos!$B$5:$B$504,MATCH($C327,Productos!$A$5:$A$504,0)),"Clave no existe"))</f>
        <v/>
      </c>
      <c r="E327" s="14" t="str">
        <f>IF($C327="","",IFERROR(INDEX(Productos!$D$5:$D$504,MATCH($C327,Productos!$A$5:$A$504,0)),""))</f>
        <v/>
      </c>
      <c r="F327" s="20"/>
      <c r="G327" s="22" t="str">
        <f>IF($C327="","",IFERROR(INDEX(Productos!$F$5:$F$504,MATCH($C327,Productos!$A$5:$A$504,0)),0))</f>
        <v/>
      </c>
      <c r="H327" s="22" t="str">
        <f t="shared" si="5"/>
        <v/>
      </c>
      <c r="I327" s="14" t="str">
        <f>IF(OR($C327="",$F327=""),"",IFERROR(INDEX(Productos!$I$5:$I$504,MATCH($C327,Productos!$A$5:$A$504,0)),0)+SUMIFS($F$5:$F327,$C$5:$C327,$C327,$B$5:$B327,"Entrada")-SUMIFS($F$5:$F327,$C$5:$C327,$C327,$B$5:$B327,"Salida"))</f>
        <v/>
      </c>
      <c r="J327" s="20"/>
      <c r="K327" s="20"/>
      <c r="L327" s="20"/>
      <c r="M327" s="14" t="str">
        <f>IF(AND($C327&lt;&gt;"",$C327=Kardex!$C$4),COUNTIF($C$5:$C327,Kardex!$C$4),"")</f>
        <v/>
      </c>
    </row>
    <row r="328" spans="1:13" x14ac:dyDescent="0.25">
      <c r="A328" s="24"/>
      <c r="B328" s="20"/>
      <c r="C328" s="20"/>
      <c r="D328" s="14" t="str">
        <f>IF($C328="","",IFERROR(INDEX(Productos!$B$5:$B$504,MATCH($C328,Productos!$A$5:$A$504,0)),"Clave no existe"))</f>
        <v/>
      </c>
      <c r="E328" s="14" t="str">
        <f>IF($C328="","",IFERROR(INDEX(Productos!$D$5:$D$504,MATCH($C328,Productos!$A$5:$A$504,0)),""))</f>
        <v/>
      </c>
      <c r="F328" s="20"/>
      <c r="G328" s="22" t="str">
        <f>IF($C328="","",IFERROR(INDEX(Productos!$F$5:$F$504,MATCH($C328,Productos!$A$5:$A$504,0)),0))</f>
        <v/>
      </c>
      <c r="H328" s="22" t="str">
        <f t="shared" si="5"/>
        <v/>
      </c>
      <c r="I328" s="14" t="str">
        <f>IF(OR($C328="",$F328=""),"",IFERROR(INDEX(Productos!$I$5:$I$504,MATCH($C328,Productos!$A$5:$A$504,0)),0)+SUMIFS($F$5:$F328,$C$5:$C328,$C328,$B$5:$B328,"Entrada")-SUMIFS($F$5:$F328,$C$5:$C328,$C328,$B$5:$B328,"Salida"))</f>
        <v/>
      </c>
      <c r="J328" s="20"/>
      <c r="K328" s="20"/>
      <c r="L328" s="20"/>
      <c r="M328" s="14" t="str">
        <f>IF(AND($C328&lt;&gt;"",$C328=Kardex!$C$4),COUNTIF($C$5:$C328,Kardex!$C$4),"")</f>
        <v/>
      </c>
    </row>
    <row r="329" spans="1:13" x14ac:dyDescent="0.25">
      <c r="A329" s="24"/>
      <c r="B329" s="20"/>
      <c r="C329" s="20"/>
      <c r="D329" s="14" t="str">
        <f>IF($C329="","",IFERROR(INDEX(Productos!$B$5:$B$504,MATCH($C329,Productos!$A$5:$A$504,0)),"Clave no existe"))</f>
        <v/>
      </c>
      <c r="E329" s="14" t="str">
        <f>IF($C329="","",IFERROR(INDEX(Productos!$D$5:$D$504,MATCH($C329,Productos!$A$5:$A$504,0)),""))</f>
        <v/>
      </c>
      <c r="F329" s="20"/>
      <c r="G329" s="22" t="str">
        <f>IF($C329="","",IFERROR(INDEX(Productos!$F$5:$F$504,MATCH($C329,Productos!$A$5:$A$504,0)),0))</f>
        <v/>
      </c>
      <c r="H329" s="22" t="str">
        <f t="shared" si="5"/>
        <v/>
      </c>
      <c r="I329" s="14" t="str">
        <f>IF(OR($C329="",$F329=""),"",IFERROR(INDEX(Productos!$I$5:$I$504,MATCH($C329,Productos!$A$5:$A$504,0)),0)+SUMIFS($F$5:$F329,$C$5:$C329,$C329,$B$5:$B329,"Entrada")-SUMIFS($F$5:$F329,$C$5:$C329,$C329,$B$5:$B329,"Salida"))</f>
        <v/>
      </c>
      <c r="J329" s="20"/>
      <c r="K329" s="20"/>
      <c r="L329" s="20"/>
      <c r="M329" s="14" t="str">
        <f>IF(AND($C329&lt;&gt;"",$C329=Kardex!$C$4),COUNTIF($C$5:$C329,Kardex!$C$4),"")</f>
        <v/>
      </c>
    </row>
    <row r="330" spans="1:13" x14ac:dyDescent="0.25">
      <c r="A330" s="24"/>
      <c r="B330" s="20"/>
      <c r="C330" s="20"/>
      <c r="D330" s="14" t="str">
        <f>IF($C330="","",IFERROR(INDEX(Productos!$B$5:$B$504,MATCH($C330,Productos!$A$5:$A$504,0)),"Clave no existe"))</f>
        <v/>
      </c>
      <c r="E330" s="14" t="str">
        <f>IF($C330="","",IFERROR(INDEX(Productos!$D$5:$D$504,MATCH($C330,Productos!$A$5:$A$504,0)),""))</f>
        <v/>
      </c>
      <c r="F330" s="20"/>
      <c r="G330" s="22" t="str">
        <f>IF($C330="","",IFERROR(INDEX(Productos!$F$5:$F$504,MATCH($C330,Productos!$A$5:$A$504,0)),0))</f>
        <v/>
      </c>
      <c r="H330" s="22" t="str">
        <f t="shared" si="5"/>
        <v/>
      </c>
      <c r="I330" s="14" t="str">
        <f>IF(OR($C330="",$F330=""),"",IFERROR(INDEX(Productos!$I$5:$I$504,MATCH($C330,Productos!$A$5:$A$504,0)),0)+SUMIFS($F$5:$F330,$C$5:$C330,$C330,$B$5:$B330,"Entrada")-SUMIFS($F$5:$F330,$C$5:$C330,$C330,$B$5:$B330,"Salida"))</f>
        <v/>
      </c>
      <c r="J330" s="20"/>
      <c r="K330" s="20"/>
      <c r="L330" s="20"/>
      <c r="M330" s="14" t="str">
        <f>IF(AND($C330&lt;&gt;"",$C330=Kardex!$C$4),COUNTIF($C$5:$C330,Kardex!$C$4),"")</f>
        <v/>
      </c>
    </row>
    <row r="331" spans="1:13" x14ac:dyDescent="0.25">
      <c r="A331" s="24"/>
      <c r="B331" s="20"/>
      <c r="C331" s="20"/>
      <c r="D331" s="14" t="str">
        <f>IF($C331="","",IFERROR(INDEX(Productos!$B$5:$B$504,MATCH($C331,Productos!$A$5:$A$504,0)),"Clave no existe"))</f>
        <v/>
      </c>
      <c r="E331" s="14" t="str">
        <f>IF($C331="","",IFERROR(INDEX(Productos!$D$5:$D$504,MATCH($C331,Productos!$A$5:$A$504,0)),""))</f>
        <v/>
      </c>
      <c r="F331" s="20"/>
      <c r="G331" s="22" t="str">
        <f>IF($C331="","",IFERROR(INDEX(Productos!$F$5:$F$504,MATCH($C331,Productos!$A$5:$A$504,0)),0))</f>
        <v/>
      </c>
      <c r="H331" s="22" t="str">
        <f t="shared" si="5"/>
        <v/>
      </c>
      <c r="I331" s="14" t="str">
        <f>IF(OR($C331="",$F331=""),"",IFERROR(INDEX(Productos!$I$5:$I$504,MATCH($C331,Productos!$A$5:$A$504,0)),0)+SUMIFS($F$5:$F331,$C$5:$C331,$C331,$B$5:$B331,"Entrada")-SUMIFS($F$5:$F331,$C$5:$C331,$C331,$B$5:$B331,"Salida"))</f>
        <v/>
      </c>
      <c r="J331" s="20"/>
      <c r="K331" s="20"/>
      <c r="L331" s="20"/>
      <c r="M331" s="14" t="str">
        <f>IF(AND($C331&lt;&gt;"",$C331=Kardex!$C$4),COUNTIF($C$5:$C331,Kardex!$C$4),"")</f>
        <v/>
      </c>
    </row>
    <row r="332" spans="1:13" x14ac:dyDescent="0.25">
      <c r="A332" s="24"/>
      <c r="B332" s="20"/>
      <c r="C332" s="20"/>
      <c r="D332" s="14" t="str">
        <f>IF($C332="","",IFERROR(INDEX(Productos!$B$5:$B$504,MATCH($C332,Productos!$A$5:$A$504,0)),"Clave no existe"))</f>
        <v/>
      </c>
      <c r="E332" s="14" t="str">
        <f>IF($C332="","",IFERROR(INDEX(Productos!$D$5:$D$504,MATCH($C332,Productos!$A$5:$A$504,0)),""))</f>
        <v/>
      </c>
      <c r="F332" s="20"/>
      <c r="G332" s="22" t="str">
        <f>IF($C332="","",IFERROR(INDEX(Productos!$F$5:$F$504,MATCH($C332,Productos!$A$5:$A$504,0)),0))</f>
        <v/>
      </c>
      <c r="H332" s="22" t="str">
        <f t="shared" si="5"/>
        <v/>
      </c>
      <c r="I332" s="14" t="str">
        <f>IF(OR($C332="",$F332=""),"",IFERROR(INDEX(Productos!$I$5:$I$504,MATCH($C332,Productos!$A$5:$A$504,0)),0)+SUMIFS($F$5:$F332,$C$5:$C332,$C332,$B$5:$B332,"Entrada")-SUMIFS($F$5:$F332,$C$5:$C332,$C332,$B$5:$B332,"Salida"))</f>
        <v/>
      </c>
      <c r="J332" s="20"/>
      <c r="K332" s="20"/>
      <c r="L332" s="20"/>
      <c r="M332" s="14" t="str">
        <f>IF(AND($C332&lt;&gt;"",$C332=Kardex!$C$4),COUNTIF($C$5:$C332,Kardex!$C$4),"")</f>
        <v/>
      </c>
    </row>
    <row r="333" spans="1:13" x14ac:dyDescent="0.25">
      <c r="A333" s="24"/>
      <c r="B333" s="20"/>
      <c r="C333" s="20"/>
      <c r="D333" s="14" t="str">
        <f>IF($C333="","",IFERROR(INDEX(Productos!$B$5:$B$504,MATCH($C333,Productos!$A$5:$A$504,0)),"Clave no existe"))</f>
        <v/>
      </c>
      <c r="E333" s="14" t="str">
        <f>IF($C333="","",IFERROR(INDEX(Productos!$D$5:$D$504,MATCH($C333,Productos!$A$5:$A$504,0)),""))</f>
        <v/>
      </c>
      <c r="F333" s="20"/>
      <c r="G333" s="22" t="str">
        <f>IF($C333="","",IFERROR(INDEX(Productos!$F$5:$F$504,MATCH($C333,Productos!$A$5:$A$504,0)),0))</f>
        <v/>
      </c>
      <c r="H333" s="22" t="str">
        <f t="shared" si="5"/>
        <v/>
      </c>
      <c r="I333" s="14" t="str">
        <f>IF(OR($C333="",$F333=""),"",IFERROR(INDEX(Productos!$I$5:$I$504,MATCH($C333,Productos!$A$5:$A$504,0)),0)+SUMIFS($F$5:$F333,$C$5:$C333,$C333,$B$5:$B333,"Entrada")-SUMIFS($F$5:$F333,$C$5:$C333,$C333,$B$5:$B333,"Salida"))</f>
        <v/>
      </c>
      <c r="J333" s="20"/>
      <c r="K333" s="20"/>
      <c r="L333" s="20"/>
      <c r="M333" s="14" t="str">
        <f>IF(AND($C333&lt;&gt;"",$C333=Kardex!$C$4),COUNTIF($C$5:$C333,Kardex!$C$4),"")</f>
        <v/>
      </c>
    </row>
    <row r="334" spans="1:13" x14ac:dyDescent="0.25">
      <c r="A334" s="24"/>
      <c r="B334" s="20"/>
      <c r="C334" s="20"/>
      <c r="D334" s="14" t="str">
        <f>IF($C334="","",IFERROR(INDEX(Productos!$B$5:$B$504,MATCH($C334,Productos!$A$5:$A$504,0)),"Clave no existe"))</f>
        <v/>
      </c>
      <c r="E334" s="14" t="str">
        <f>IF($C334="","",IFERROR(INDEX(Productos!$D$5:$D$504,MATCH($C334,Productos!$A$5:$A$504,0)),""))</f>
        <v/>
      </c>
      <c r="F334" s="20"/>
      <c r="G334" s="22" t="str">
        <f>IF($C334="","",IFERROR(INDEX(Productos!$F$5:$F$504,MATCH($C334,Productos!$A$5:$A$504,0)),0))</f>
        <v/>
      </c>
      <c r="H334" s="22" t="str">
        <f t="shared" si="5"/>
        <v/>
      </c>
      <c r="I334" s="14" t="str">
        <f>IF(OR($C334="",$F334=""),"",IFERROR(INDEX(Productos!$I$5:$I$504,MATCH($C334,Productos!$A$5:$A$504,0)),0)+SUMIFS($F$5:$F334,$C$5:$C334,$C334,$B$5:$B334,"Entrada")-SUMIFS($F$5:$F334,$C$5:$C334,$C334,$B$5:$B334,"Salida"))</f>
        <v/>
      </c>
      <c r="J334" s="20"/>
      <c r="K334" s="20"/>
      <c r="L334" s="20"/>
      <c r="M334" s="14" t="str">
        <f>IF(AND($C334&lt;&gt;"",$C334=Kardex!$C$4),COUNTIF($C$5:$C334,Kardex!$C$4),"")</f>
        <v/>
      </c>
    </row>
    <row r="335" spans="1:13" x14ac:dyDescent="0.25">
      <c r="A335" s="24"/>
      <c r="B335" s="20"/>
      <c r="C335" s="20"/>
      <c r="D335" s="14" t="str">
        <f>IF($C335="","",IFERROR(INDEX(Productos!$B$5:$B$504,MATCH($C335,Productos!$A$5:$A$504,0)),"Clave no existe"))</f>
        <v/>
      </c>
      <c r="E335" s="14" t="str">
        <f>IF($C335="","",IFERROR(INDEX(Productos!$D$5:$D$504,MATCH($C335,Productos!$A$5:$A$504,0)),""))</f>
        <v/>
      </c>
      <c r="F335" s="20"/>
      <c r="G335" s="22" t="str">
        <f>IF($C335="","",IFERROR(INDEX(Productos!$F$5:$F$504,MATCH($C335,Productos!$A$5:$A$504,0)),0))</f>
        <v/>
      </c>
      <c r="H335" s="22" t="str">
        <f t="shared" si="5"/>
        <v/>
      </c>
      <c r="I335" s="14" t="str">
        <f>IF(OR($C335="",$F335=""),"",IFERROR(INDEX(Productos!$I$5:$I$504,MATCH($C335,Productos!$A$5:$A$504,0)),0)+SUMIFS($F$5:$F335,$C$5:$C335,$C335,$B$5:$B335,"Entrada")-SUMIFS($F$5:$F335,$C$5:$C335,$C335,$B$5:$B335,"Salida"))</f>
        <v/>
      </c>
      <c r="J335" s="20"/>
      <c r="K335" s="20"/>
      <c r="L335" s="20"/>
      <c r="M335" s="14" t="str">
        <f>IF(AND($C335&lt;&gt;"",$C335=Kardex!$C$4),COUNTIF($C$5:$C335,Kardex!$C$4),"")</f>
        <v/>
      </c>
    </row>
    <row r="336" spans="1:13" x14ac:dyDescent="0.25">
      <c r="A336" s="24"/>
      <c r="B336" s="20"/>
      <c r="C336" s="20"/>
      <c r="D336" s="14" t="str">
        <f>IF($C336="","",IFERROR(INDEX(Productos!$B$5:$B$504,MATCH($C336,Productos!$A$5:$A$504,0)),"Clave no existe"))</f>
        <v/>
      </c>
      <c r="E336" s="14" t="str">
        <f>IF($C336="","",IFERROR(INDEX(Productos!$D$5:$D$504,MATCH($C336,Productos!$A$5:$A$504,0)),""))</f>
        <v/>
      </c>
      <c r="F336" s="20"/>
      <c r="G336" s="22" t="str">
        <f>IF($C336="","",IFERROR(INDEX(Productos!$F$5:$F$504,MATCH($C336,Productos!$A$5:$A$504,0)),0))</f>
        <v/>
      </c>
      <c r="H336" s="22" t="str">
        <f t="shared" si="5"/>
        <v/>
      </c>
      <c r="I336" s="14" t="str">
        <f>IF(OR($C336="",$F336=""),"",IFERROR(INDEX(Productos!$I$5:$I$504,MATCH($C336,Productos!$A$5:$A$504,0)),0)+SUMIFS($F$5:$F336,$C$5:$C336,$C336,$B$5:$B336,"Entrada")-SUMIFS($F$5:$F336,$C$5:$C336,$C336,$B$5:$B336,"Salida"))</f>
        <v/>
      </c>
      <c r="J336" s="20"/>
      <c r="K336" s="20"/>
      <c r="L336" s="20"/>
      <c r="M336" s="14" t="str">
        <f>IF(AND($C336&lt;&gt;"",$C336=Kardex!$C$4),COUNTIF($C$5:$C336,Kardex!$C$4),"")</f>
        <v/>
      </c>
    </row>
    <row r="337" spans="1:13" x14ac:dyDescent="0.25">
      <c r="A337" s="24"/>
      <c r="B337" s="20"/>
      <c r="C337" s="20"/>
      <c r="D337" s="14" t="str">
        <f>IF($C337="","",IFERROR(INDEX(Productos!$B$5:$B$504,MATCH($C337,Productos!$A$5:$A$504,0)),"Clave no existe"))</f>
        <v/>
      </c>
      <c r="E337" s="14" t="str">
        <f>IF($C337="","",IFERROR(INDEX(Productos!$D$5:$D$504,MATCH($C337,Productos!$A$5:$A$504,0)),""))</f>
        <v/>
      </c>
      <c r="F337" s="20"/>
      <c r="G337" s="22" t="str">
        <f>IF($C337="","",IFERROR(INDEX(Productos!$F$5:$F$504,MATCH($C337,Productos!$A$5:$A$504,0)),0))</f>
        <v/>
      </c>
      <c r="H337" s="22" t="str">
        <f t="shared" si="5"/>
        <v/>
      </c>
      <c r="I337" s="14" t="str">
        <f>IF(OR($C337="",$F337=""),"",IFERROR(INDEX(Productos!$I$5:$I$504,MATCH($C337,Productos!$A$5:$A$504,0)),0)+SUMIFS($F$5:$F337,$C$5:$C337,$C337,$B$5:$B337,"Entrada")-SUMIFS($F$5:$F337,$C$5:$C337,$C337,$B$5:$B337,"Salida"))</f>
        <v/>
      </c>
      <c r="J337" s="20"/>
      <c r="K337" s="20"/>
      <c r="L337" s="20"/>
      <c r="M337" s="14" t="str">
        <f>IF(AND($C337&lt;&gt;"",$C337=Kardex!$C$4),COUNTIF($C$5:$C337,Kardex!$C$4),"")</f>
        <v/>
      </c>
    </row>
    <row r="338" spans="1:13" x14ac:dyDescent="0.25">
      <c r="A338" s="24"/>
      <c r="B338" s="20"/>
      <c r="C338" s="20"/>
      <c r="D338" s="14" t="str">
        <f>IF($C338="","",IFERROR(INDEX(Productos!$B$5:$B$504,MATCH($C338,Productos!$A$5:$A$504,0)),"Clave no existe"))</f>
        <v/>
      </c>
      <c r="E338" s="14" t="str">
        <f>IF($C338="","",IFERROR(INDEX(Productos!$D$5:$D$504,MATCH($C338,Productos!$A$5:$A$504,0)),""))</f>
        <v/>
      </c>
      <c r="F338" s="20"/>
      <c r="G338" s="22" t="str">
        <f>IF($C338="","",IFERROR(INDEX(Productos!$F$5:$F$504,MATCH($C338,Productos!$A$5:$A$504,0)),0))</f>
        <v/>
      </c>
      <c r="H338" s="22" t="str">
        <f t="shared" si="5"/>
        <v/>
      </c>
      <c r="I338" s="14" t="str">
        <f>IF(OR($C338="",$F338=""),"",IFERROR(INDEX(Productos!$I$5:$I$504,MATCH($C338,Productos!$A$5:$A$504,0)),0)+SUMIFS($F$5:$F338,$C$5:$C338,$C338,$B$5:$B338,"Entrada")-SUMIFS($F$5:$F338,$C$5:$C338,$C338,$B$5:$B338,"Salida"))</f>
        <v/>
      </c>
      <c r="J338" s="20"/>
      <c r="K338" s="20"/>
      <c r="L338" s="20"/>
      <c r="M338" s="14" t="str">
        <f>IF(AND($C338&lt;&gt;"",$C338=Kardex!$C$4),COUNTIF($C$5:$C338,Kardex!$C$4),"")</f>
        <v/>
      </c>
    </row>
    <row r="339" spans="1:13" x14ac:dyDescent="0.25">
      <c r="A339" s="24"/>
      <c r="B339" s="20"/>
      <c r="C339" s="20"/>
      <c r="D339" s="14" t="str">
        <f>IF($C339="","",IFERROR(INDEX(Productos!$B$5:$B$504,MATCH($C339,Productos!$A$5:$A$504,0)),"Clave no existe"))</f>
        <v/>
      </c>
      <c r="E339" s="14" t="str">
        <f>IF($C339="","",IFERROR(INDEX(Productos!$D$5:$D$504,MATCH($C339,Productos!$A$5:$A$504,0)),""))</f>
        <v/>
      </c>
      <c r="F339" s="20"/>
      <c r="G339" s="22" t="str">
        <f>IF($C339="","",IFERROR(INDEX(Productos!$F$5:$F$504,MATCH($C339,Productos!$A$5:$A$504,0)),0))</f>
        <v/>
      </c>
      <c r="H339" s="22" t="str">
        <f t="shared" si="5"/>
        <v/>
      </c>
      <c r="I339" s="14" t="str">
        <f>IF(OR($C339="",$F339=""),"",IFERROR(INDEX(Productos!$I$5:$I$504,MATCH($C339,Productos!$A$5:$A$504,0)),0)+SUMIFS($F$5:$F339,$C$5:$C339,$C339,$B$5:$B339,"Entrada")-SUMIFS($F$5:$F339,$C$5:$C339,$C339,$B$5:$B339,"Salida"))</f>
        <v/>
      </c>
      <c r="J339" s="20"/>
      <c r="K339" s="20"/>
      <c r="L339" s="20"/>
      <c r="M339" s="14" t="str">
        <f>IF(AND($C339&lt;&gt;"",$C339=Kardex!$C$4),COUNTIF($C$5:$C339,Kardex!$C$4),"")</f>
        <v/>
      </c>
    </row>
    <row r="340" spans="1:13" x14ac:dyDescent="0.25">
      <c r="A340" s="24"/>
      <c r="B340" s="20"/>
      <c r="C340" s="20"/>
      <c r="D340" s="14" t="str">
        <f>IF($C340="","",IFERROR(INDEX(Productos!$B$5:$B$504,MATCH($C340,Productos!$A$5:$A$504,0)),"Clave no existe"))</f>
        <v/>
      </c>
      <c r="E340" s="14" t="str">
        <f>IF($C340="","",IFERROR(INDEX(Productos!$D$5:$D$504,MATCH($C340,Productos!$A$5:$A$504,0)),""))</f>
        <v/>
      </c>
      <c r="F340" s="20"/>
      <c r="G340" s="22" t="str">
        <f>IF($C340="","",IFERROR(INDEX(Productos!$F$5:$F$504,MATCH($C340,Productos!$A$5:$A$504,0)),0))</f>
        <v/>
      </c>
      <c r="H340" s="22" t="str">
        <f t="shared" si="5"/>
        <v/>
      </c>
      <c r="I340" s="14" t="str">
        <f>IF(OR($C340="",$F340=""),"",IFERROR(INDEX(Productos!$I$5:$I$504,MATCH($C340,Productos!$A$5:$A$504,0)),0)+SUMIFS($F$5:$F340,$C$5:$C340,$C340,$B$5:$B340,"Entrada")-SUMIFS($F$5:$F340,$C$5:$C340,$C340,$B$5:$B340,"Salida"))</f>
        <v/>
      </c>
      <c r="J340" s="20"/>
      <c r="K340" s="20"/>
      <c r="L340" s="20"/>
      <c r="M340" s="14" t="str">
        <f>IF(AND($C340&lt;&gt;"",$C340=Kardex!$C$4),COUNTIF($C$5:$C340,Kardex!$C$4),"")</f>
        <v/>
      </c>
    </row>
    <row r="341" spans="1:13" x14ac:dyDescent="0.25">
      <c r="A341" s="24"/>
      <c r="B341" s="20"/>
      <c r="C341" s="20"/>
      <c r="D341" s="14" t="str">
        <f>IF($C341="","",IFERROR(INDEX(Productos!$B$5:$B$504,MATCH($C341,Productos!$A$5:$A$504,0)),"Clave no existe"))</f>
        <v/>
      </c>
      <c r="E341" s="14" t="str">
        <f>IF($C341="","",IFERROR(INDEX(Productos!$D$5:$D$504,MATCH($C341,Productos!$A$5:$A$504,0)),""))</f>
        <v/>
      </c>
      <c r="F341" s="20"/>
      <c r="G341" s="22" t="str">
        <f>IF($C341="","",IFERROR(INDEX(Productos!$F$5:$F$504,MATCH($C341,Productos!$A$5:$A$504,0)),0))</f>
        <v/>
      </c>
      <c r="H341" s="22" t="str">
        <f t="shared" si="5"/>
        <v/>
      </c>
      <c r="I341" s="14" t="str">
        <f>IF(OR($C341="",$F341=""),"",IFERROR(INDEX(Productos!$I$5:$I$504,MATCH($C341,Productos!$A$5:$A$504,0)),0)+SUMIFS($F$5:$F341,$C$5:$C341,$C341,$B$5:$B341,"Entrada")-SUMIFS($F$5:$F341,$C$5:$C341,$C341,$B$5:$B341,"Salida"))</f>
        <v/>
      </c>
      <c r="J341" s="20"/>
      <c r="K341" s="20"/>
      <c r="L341" s="20"/>
      <c r="M341" s="14" t="str">
        <f>IF(AND($C341&lt;&gt;"",$C341=Kardex!$C$4),COUNTIF($C$5:$C341,Kardex!$C$4),"")</f>
        <v/>
      </c>
    </row>
    <row r="342" spans="1:13" x14ac:dyDescent="0.25">
      <c r="A342" s="24"/>
      <c r="B342" s="20"/>
      <c r="C342" s="20"/>
      <c r="D342" s="14" t="str">
        <f>IF($C342="","",IFERROR(INDEX(Productos!$B$5:$B$504,MATCH($C342,Productos!$A$5:$A$504,0)),"Clave no existe"))</f>
        <v/>
      </c>
      <c r="E342" s="14" t="str">
        <f>IF($C342="","",IFERROR(INDEX(Productos!$D$5:$D$504,MATCH($C342,Productos!$A$5:$A$504,0)),""))</f>
        <v/>
      </c>
      <c r="F342" s="20"/>
      <c r="G342" s="22" t="str">
        <f>IF($C342="","",IFERROR(INDEX(Productos!$F$5:$F$504,MATCH($C342,Productos!$A$5:$A$504,0)),0))</f>
        <v/>
      </c>
      <c r="H342" s="22" t="str">
        <f t="shared" si="5"/>
        <v/>
      </c>
      <c r="I342" s="14" t="str">
        <f>IF(OR($C342="",$F342=""),"",IFERROR(INDEX(Productos!$I$5:$I$504,MATCH($C342,Productos!$A$5:$A$504,0)),0)+SUMIFS($F$5:$F342,$C$5:$C342,$C342,$B$5:$B342,"Entrada")-SUMIFS($F$5:$F342,$C$5:$C342,$C342,$B$5:$B342,"Salida"))</f>
        <v/>
      </c>
      <c r="J342" s="20"/>
      <c r="K342" s="20"/>
      <c r="L342" s="20"/>
      <c r="M342" s="14" t="str">
        <f>IF(AND($C342&lt;&gt;"",$C342=Kardex!$C$4),COUNTIF($C$5:$C342,Kardex!$C$4),"")</f>
        <v/>
      </c>
    </row>
    <row r="343" spans="1:13" x14ac:dyDescent="0.25">
      <c r="A343" s="24"/>
      <c r="B343" s="20"/>
      <c r="C343" s="20"/>
      <c r="D343" s="14" t="str">
        <f>IF($C343="","",IFERROR(INDEX(Productos!$B$5:$B$504,MATCH($C343,Productos!$A$5:$A$504,0)),"Clave no existe"))</f>
        <v/>
      </c>
      <c r="E343" s="14" t="str">
        <f>IF($C343="","",IFERROR(INDEX(Productos!$D$5:$D$504,MATCH($C343,Productos!$A$5:$A$504,0)),""))</f>
        <v/>
      </c>
      <c r="F343" s="20"/>
      <c r="G343" s="22" t="str">
        <f>IF($C343="","",IFERROR(INDEX(Productos!$F$5:$F$504,MATCH($C343,Productos!$A$5:$A$504,0)),0))</f>
        <v/>
      </c>
      <c r="H343" s="22" t="str">
        <f t="shared" si="5"/>
        <v/>
      </c>
      <c r="I343" s="14" t="str">
        <f>IF(OR($C343="",$F343=""),"",IFERROR(INDEX(Productos!$I$5:$I$504,MATCH($C343,Productos!$A$5:$A$504,0)),0)+SUMIFS($F$5:$F343,$C$5:$C343,$C343,$B$5:$B343,"Entrada")-SUMIFS($F$5:$F343,$C$5:$C343,$C343,$B$5:$B343,"Salida"))</f>
        <v/>
      </c>
      <c r="J343" s="20"/>
      <c r="K343" s="20"/>
      <c r="L343" s="20"/>
      <c r="M343" s="14" t="str">
        <f>IF(AND($C343&lt;&gt;"",$C343=Kardex!$C$4),COUNTIF($C$5:$C343,Kardex!$C$4),"")</f>
        <v/>
      </c>
    </row>
    <row r="344" spans="1:13" x14ac:dyDescent="0.25">
      <c r="A344" s="24"/>
      <c r="B344" s="20"/>
      <c r="C344" s="20"/>
      <c r="D344" s="14" t="str">
        <f>IF($C344="","",IFERROR(INDEX(Productos!$B$5:$B$504,MATCH($C344,Productos!$A$5:$A$504,0)),"Clave no existe"))</f>
        <v/>
      </c>
      <c r="E344" s="14" t="str">
        <f>IF($C344="","",IFERROR(INDEX(Productos!$D$5:$D$504,MATCH($C344,Productos!$A$5:$A$504,0)),""))</f>
        <v/>
      </c>
      <c r="F344" s="20"/>
      <c r="G344" s="22" t="str">
        <f>IF($C344="","",IFERROR(INDEX(Productos!$F$5:$F$504,MATCH($C344,Productos!$A$5:$A$504,0)),0))</f>
        <v/>
      </c>
      <c r="H344" s="22" t="str">
        <f t="shared" si="5"/>
        <v/>
      </c>
      <c r="I344" s="14" t="str">
        <f>IF(OR($C344="",$F344=""),"",IFERROR(INDEX(Productos!$I$5:$I$504,MATCH($C344,Productos!$A$5:$A$504,0)),0)+SUMIFS($F$5:$F344,$C$5:$C344,$C344,$B$5:$B344,"Entrada")-SUMIFS($F$5:$F344,$C$5:$C344,$C344,$B$5:$B344,"Salida"))</f>
        <v/>
      </c>
      <c r="J344" s="20"/>
      <c r="K344" s="20"/>
      <c r="L344" s="20"/>
      <c r="M344" s="14" t="str">
        <f>IF(AND($C344&lt;&gt;"",$C344=Kardex!$C$4),COUNTIF($C$5:$C344,Kardex!$C$4),"")</f>
        <v/>
      </c>
    </row>
    <row r="345" spans="1:13" x14ac:dyDescent="0.25">
      <c r="A345" s="24"/>
      <c r="B345" s="20"/>
      <c r="C345" s="20"/>
      <c r="D345" s="14" t="str">
        <f>IF($C345="","",IFERROR(INDEX(Productos!$B$5:$B$504,MATCH($C345,Productos!$A$5:$A$504,0)),"Clave no existe"))</f>
        <v/>
      </c>
      <c r="E345" s="14" t="str">
        <f>IF($C345="","",IFERROR(INDEX(Productos!$D$5:$D$504,MATCH($C345,Productos!$A$5:$A$504,0)),""))</f>
        <v/>
      </c>
      <c r="F345" s="20"/>
      <c r="G345" s="22" t="str">
        <f>IF($C345="","",IFERROR(INDEX(Productos!$F$5:$F$504,MATCH($C345,Productos!$A$5:$A$504,0)),0))</f>
        <v/>
      </c>
      <c r="H345" s="22" t="str">
        <f t="shared" si="5"/>
        <v/>
      </c>
      <c r="I345" s="14" t="str">
        <f>IF(OR($C345="",$F345=""),"",IFERROR(INDEX(Productos!$I$5:$I$504,MATCH($C345,Productos!$A$5:$A$504,0)),0)+SUMIFS($F$5:$F345,$C$5:$C345,$C345,$B$5:$B345,"Entrada")-SUMIFS($F$5:$F345,$C$5:$C345,$C345,$B$5:$B345,"Salida"))</f>
        <v/>
      </c>
      <c r="J345" s="20"/>
      <c r="K345" s="20"/>
      <c r="L345" s="20"/>
      <c r="M345" s="14" t="str">
        <f>IF(AND($C345&lt;&gt;"",$C345=Kardex!$C$4),COUNTIF($C$5:$C345,Kardex!$C$4),"")</f>
        <v/>
      </c>
    </row>
    <row r="346" spans="1:13" x14ac:dyDescent="0.25">
      <c r="A346" s="24"/>
      <c r="B346" s="20"/>
      <c r="C346" s="20"/>
      <c r="D346" s="14" t="str">
        <f>IF($C346="","",IFERROR(INDEX(Productos!$B$5:$B$504,MATCH($C346,Productos!$A$5:$A$504,0)),"Clave no existe"))</f>
        <v/>
      </c>
      <c r="E346" s="14" t="str">
        <f>IF($C346="","",IFERROR(INDEX(Productos!$D$5:$D$504,MATCH($C346,Productos!$A$5:$A$504,0)),""))</f>
        <v/>
      </c>
      <c r="F346" s="20"/>
      <c r="G346" s="22" t="str">
        <f>IF($C346="","",IFERROR(INDEX(Productos!$F$5:$F$504,MATCH($C346,Productos!$A$5:$A$504,0)),0))</f>
        <v/>
      </c>
      <c r="H346" s="22" t="str">
        <f t="shared" si="5"/>
        <v/>
      </c>
      <c r="I346" s="14" t="str">
        <f>IF(OR($C346="",$F346=""),"",IFERROR(INDEX(Productos!$I$5:$I$504,MATCH($C346,Productos!$A$5:$A$504,0)),0)+SUMIFS($F$5:$F346,$C$5:$C346,$C346,$B$5:$B346,"Entrada")-SUMIFS($F$5:$F346,$C$5:$C346,$C346,$B$5:$B346,"Salida"))</f>
        <v/>
      </c>
      <c r="J346" s="20"/>
      <c r="K346" s="20"/>
      <c r="L346" s="20"/>
      <c r="M346" s="14" t="str">
        <f>IF(AND($C346&lt;&gt;"",$C346=Kardex!$C$4),COUNTIF($C$5:$C346,Kardex!$C$4),"")</f>
        <v/>
      </c>
    </row>
    <row r="347" spans="1:13" x14ac:dyDescent="0.25">
      <c r="A347" s="24"/>
      <c r="B347" s="20"/>
      <c r="C347" s="20"/>
      <c r="D347" s="14" t="str">
        <f>IF($C347="","",IFERROR(INDEX(Productos!$B$5:$B$504,MATCH($C347,Productos!$A$5:$A$504,0)),"Clave no existe"))</f>
        <v/>
      </c>
      <c r="E347" s="14" t="str">
        <f>IF($C347="","",IFERROR(INDEX(Productos!$D$5:$D$504,MATCH($C347,Productos!$A$5:$A$504,0)),""))</f>
        <v/>
      </c>
      <c r="F347" s="20"/>
      <c r="G347" s="22" t="str">
        <f>IF($C347="","",IFERROR(INDEX(Productos!$F$5:$F$504,MATCH($C347,Productos!$A$5:$A$504,0)),0))</f>
        <v/>
      </c>
      <c r="H347" s="22" t="str">
        <f t="shared" si="5"/>
        <v/>
      </c>
      <c r="I347" s="14" t="str">
        <f>IF(OR($C347="",$F347=""),"",IFERROR(INDEX(Productos!$I$5:$I$504,MATCH($C347,Productos!$A$5:$A$504,0)),0)+SUMIFS($F$5:$F347,$C$5:$C347,$C347,$B$5:$B347,"Entrada")-SUMIFS($F$5:$F347,$C$5:$C347,$C347,$B$5:$B347,"Salida"))</f>
        <v/>
      </c>
      <c r="J347" s="20"/>
      <c r="K347" s="20"/>
      <c r="L347" s="20"/>
      <c r="M347" s="14" t="str">
        <f>IF(AND($C347&lt;&gt;"",$C347=Kardex!$C$4),COUNTIF($C$5:$C347,Kardex!$C$4),"")</f>
        <v/>
      </c>
    </row>
    <row r="348" spans="1:13" x14ac:dyDescent="0.25">
      <c r="A348" s="24"/>
      <c r="B348" s="20"/>
      <c r="C348" s="20"/>
      <c r="D348" s="14" t="str">
        <f>IF($C348="","",IFERROR(INDEX(Productos!$B$5:$B$504,MATCH($C348,Productos!$A$5:$A$504,0)),"Clave no existe"))</f>
        <v/>
      </c>
      <c r="E348" s="14" t="str">
        <f>IF($C348="","",IFERROR(INDEX(Productos!$D$5:$D$504,MATCH($C348,Productos!$A$5:$A$504,0)),""))</f>
        <v/>
      </c>
      <c r="F348" s="20"/>
      <c r="G348" s="22" t="str">
        <f>IF($C348="","",IFERROR(INDEX(Productos!$F$5:$F$504,MATCH($C348,Productos!$A$5:$A$504,0)),0))</f>
        <v/>
      </c>
      <c r="H348" s="22" t="str">
        <f t="shared" si="5"/>
        <v/>
      </c>
      <c r="I348" s="14" t="str">
        <f>IF(OR($C348="",$F348=""),"",IFERROR(INDEX(Productos!$I$5:$I$504,MATCH($C348,Productos!$A$5:$A$504,0)),0)+SUMIFS($F$5:$F348,$C$5:$C348,$C348,$B$5:$B348,"Entrada")-SUMIFS($F$5:$F348,$C$5:$C348,$C348,$B$5:$B348,"Salida"))</f>
        <v/>
      </c>
      <c r="J348" s="20"/>
      <c r="K348" s="20"/>
      <c r="L348" s="20"/>
      <c r="M348" s="14" t="str">
        <f>IF(AND($C348&lt;&gt;"",$C348=Kardex!$C$4),COUNTIF($C$5:$C348,Kardex!$C$4),"")</f>
        <v/>
      </c>
    </row>
    <row r="349" spans="1:13" x14ac:dyDescent="0.25">
      <c r="A349" s="24"/>
      <c r="B349" s="20"/>
      <c r="C349" s="20"/>
      <c r="D349" s="14" t="str">
        <f>IF($C349="","",IFERROR(INDEX(Productos!$B$5:$B$504,MATCH($C349,Productos!$A$5:$A$504,0)),"Clave no existe"))</f>
        <v/>
      </c>
      <c r="E349" s="14" t="str">
        <f>IF($C349="","",IFERROR(INDEX(Productos!$D$5:$D$504,MATCH($C349,Productos!$A$5:$A$504,0)),""))</f>
        <v/>
      </c>
      <c r="F349" s="20"/>
      <c r="G349" s="22" t="str">
        <f>IF($C349="","",IFERROR(INDEX(Productos!$F$5:$F$504,MATCH($C349,Productos!$A$5:$A$504,0)),0))</f>
        <v/>
      </c>
      <c r="H349" s="22" t="str">
        <f t="shared" si="5"/>
        <v/>
      </c>
      <c r="I349" s="14" t="str">
        <f>IF(OR($C349="",$F349=""),"",IFERROR(INDEX(Productos!$I$5:$I$504,MATCH($C349,Productos!$A$5:$A$504,0)),0)+SUMIFS($F$5:$F349,$C$5:$C349,$C349,$B$5:$B349,"Entrada")-SUMIFS($F$5:$F349,$C$5:$C349,$C349,$B$5:$B349,"Salida"))</f>
        <v/>
      </c>
      <c r="J349" s="20"/>
      <c r="K349" s="20"/>
      <c r="L349" s="20"/>
      <c r="M349" s="14" t="str">
        <f>IF(AND($C349&lt;&gt;"",$C349=Kardex!$C$4),COUNTIF($C$5:$C349,Kardex!$C$4),"")</f>
        <v/>
      </c>
    </row>
    <row r="350" spans="1:13" x14ac:dyDescent="0.25">
      <c r="A350" s="24"/>
      <c r="B350" s="20"/>
      <c r="C350" s="20"/>
      <c r="D350" s="14" t="str">
        <f>IF($C350="","",IFERROR(INDEX(Productos!$B$5:$B$504,MATCH($C350,Productos!$A$5:$A$504,0)),"Clave no existe"))</f>
        <v/>
      </c>
      <c r="E350" s="14" t="str">
        <f>IF($C350="","",IFERROR(INDEX(Productos!$D$5:$D$504,MATCH($C350,Productos!$A$5:$A$504,0)),""))</f>
        <v/>
      </c>
      <c r="F350" s="20"/>
      <c r="G350" s="22" t="str">
        <f>IF($C350="","",IFERROR(INDEX(Productos!$F$5:$F$504,MATCH($C350,Productos!$A$5:$A$504,0)),0))</f>
        <v/>
      </c>
      <c r="H350" s="22" t="str">
        <f t="shared" si="5"/>
        <v/>
      </c>
      <c r="I350" s="14" t="str">
        <f>IF(OR($C350="",$F350=""),"",IFERROR(INDEX(Productos!$I$5:$I$504,MATCH($C350,Productos!$A$5:$A$504,0)),0)+SUMIFS($F$5:$F350,$C$5:$C350,$C350,$B$5:$B350,"Entrada")-SUMIFS($F$5:$F350,$C$5:$C350,$C350,$B$5:$B350,"Salida"))</f>
        <v/>
      </c>
      <c r="J350" s="20"/>
      <c r="K350" s="20"/>
      <c r="L350" s="20"/>
      <c r="M350" s="14" t="str">
        <f>IF(AND($C350&lt;&gt;"",$C350=Kardex!$C$4),COUNTIF($C$5:$C350,Kardex!$C$4),"")</f>
        <v/>
      </c>
    </row>
    <row r="351" spans="1:13" x14ac:dyDescent="0.25">
      <c r="A351" s="24"/>
      <c r="B351" s="20"/>
      <c r="C351" s="20"/>
      <c r="D351" s="14" t="str">
        <f>IF($C351="","",IFERROR(INDEX(Productos!$B$5:$B$504,MATCH($C351,Productos!$A$5:$A$504,0)),"Clave no existe"))</f>
        <v/>
      </c>
      <c r="E351" s="14" t="str">
        <f>IF($C351="","",IFERROR(INDEX(Productos!$D$5:$D$504,MATCH($C351,Productos!$A$5:$A$504,0)),""))</f>
        <v/>
      </c>
      <c r="F351" s="20"/>
      <c r="G351" s="22" t="str">
        <f>IF($C351="","",IFERROR(INDEX(Productos!$F$5:$F$504,MATCH($C351,Productos!$A$5:$A$504,0)),0))</f>
        <v/>
      </c>
      <c r="H351" s="22" t="str">
        <f t="shared" si="5"/>
        <v/>
      </c>
      <c r="I351" s="14" t="str">
        <f>IF(OR($C351="",$F351=""),"",IFERROR(INDEX(Productos!$I$5:$I$504,MATCH($C351,Productos!$A$5:$A$504,0)),0)+SUMIFS($F$5:$F351,$C$5:$C351,$C351,$B$5:$B351,"Entrada")-SUMIFS($F$5:$F351,$C$5:$C351,$C351,$B$5:$B351,"Salida"))</f>
        <v/>
      </c>
      <c r="J351" s="20"/>
      <c r="K351" s="20"/>
      <c r="L351" s="20"/>
      <c r="M351" s="14" t="str">
        <f>IF(AND($C351&lt;&gt;"",$C351=Kardex!$C$4),COUNTIF($C$5:$C351,Kardex!$C$4),"")</f>
        <v/>
      </c>
    </row>
    <row r="352" spans="1:13" x14ac:dyDescent="0.25">
      <c r="A352" s="24"/>
      <c r="B352" s="20"/>
      <c r="C352" s="20"/>
      <c r="D352" s="14" t="str">
        <f>IF($C352="","",IFERROR(INDEX(Productos!$B$5:$B$504,MATCH($C352,Productos!$A$5:$A$504,0)),"Clave no existe"))</f>
        <v/>
      </c>
      <c r="E352" s="14" t="str">
        <f>IF($C352="","",IFERROR(INDEX(Productos!$D$5:$D$504,MATCH($C352,Productos!$A$5:$A$504,0)),""))</f>
        <v/>
      </c>
      <c r="F352" s="20"/>
      <c r="G352" s="22" t="str">
        <f>IF($C352="","",IFERROR(INDEX(Productos!$F$5:$F$504,MATCH($C352,Productos!$A$5:$A$504,0)),0))</f>
        <v/>
      </c>
      <c r="H352" s="22" t="str">
        <f t="shared" si="5"/>
        <v/>
      </c>
      <c r="I352" s="14" t="str">
        <f>IF(OR($C352="",$F352=""),"",IFERROR(INDEX(Productos!$I$5:$I$504,MATCH($C352,Productos!$A$5:$A$504,0)),0)+SUMIFS($F$5:$F352,$C$5:$C352,$C352,$B$5:$B352,"Entrada")-SUMIFS($F$5:$F352,$C$5:$C352,$C352,$B$5:$B352,"Salida"))</f>
        <v/>
      </c>
      <c r="J352" s="20"/>
      <c r="K352" s="20"/>
      <c r="L352" s="20"/>
      <c r="M352" s="14" t="str">
        <f>IF(AND($C352&lt;&gt;"",$C352=Kardex!$C$4),COUNTIF($C$5:$C352,Kardex!$C$4),"")</f>
        <v/>
      </c>
    </row>
    <row r="353" spans="1:13" x14ac:dyDescent="0.25">
      <c r="A353" s="24"/>
      <c r="B353" s="20"/>
      <c r="C353" s="20"/>
      <c r="D353" s="14" t="str">
        <f>IF($C353="","",IFERROR(INDEX(Productos!$B$5:$B$504,MATCH($C353,Productos!$A$5:$A$504,0)),"Clave no existe"))</f>
        <v/>
      </c>
      <c r="E353" s="14" t="str">
        <f>IF($C353="","",IFERROR(INDEX(Productos!$D$5:$D$504,MATCH($C353,Productos!$A$5:$A$504,0)),""))</f>
        <v/>
      </c>
      <c r="F353" s="20"/>
      <c r="G353" s="22" t="str">
        <f>IF($C353="","",IFERROR(INDEX(Productos!$F$5:$F$504,MATCH($C353,Productos!$A$5:$A$504,0)),0))</f>
        <v/>
      </c>
      <c r="H353" s="22" t="str">
        <f t="shared" si="5"/>
        <v/>
      </c>
      <c r="I353" s="14" t="str">
        <f>IF(OR($C353="",$F353=""),"",IFERROR(INDEX(Productos!$I$5:$I$504,MATCH($C353,Productos!$A$5:$A$504,0)),0)+SUMIFS($F$5:$F353,$C$5:$C353,$C353,$B$5:$B353,"Entrada")-SUMIFS($F$5:$F353,$C$5:$C353,$C353,$B$5:$B353,"Salida"))</f>
        <v/>
      </c>
      <c r="J353" s="20"/>
      <c r="K353" s="20"/>
      <c r="L353" s="20"/>
      <c r="M353" s="14" t="str">
        <f>IF(AND($C353&lt;&gt;"",$C353=Kardex!$C$4),COUNTIF($C$5:$C353,Kardex!$C$4),"")</f>
        <v/>
      </c>
    </row>
    <row r="354" spans="1:13" x14ac:dyDescent="0.25">
      <c r="A354" s="24"/>
      <c r="B354" s="20"/>
      <c r="C354" s="20"/>
      <c r="D354" s="14" t="str">
        <f>IF($C354="","",IFERROR(INDEX(Productos!$B$5:$B$504,MATCH($C354,Productos!$A$5:$A$504,0)),"Clave no existe"))</f>
        <v/>
      </c>
      <c r="E354" s="14" t="str">
        <f>IF($C354="","",IFERROR(INDEX(Productos!$D$5:$D$504,MATCH($C354,Productos!$A$5:$A$504,0)),""))</f>
        <v/>
      </c>
      <c r="F354" s="20"/>
      <c r="G354" s="22" t="str">
        <f>IF($C354="","",IFERROR(INDEX(Productos!$F$5:$F$504,MATCH($C354,Productos!$A$5:$A$504,0)),0))</f>
        <v/>
      </c>
      <c r="H354" s="22" t="str">
        <f t="shared" si="5"/>
        <v/>
      </c>
      <c r="I354" s="14" t="str">
        <f>IF(OR($C354="",$F354=""),"",IFERROR(INDEX(Productos!$I$5:$I$504,MATCH($C354,Productos!$A$5:$A$504,0)),0)+SUMIFS($F$5:$F354,$C$5:$C354,$C354,$B$5:$B354,"Entrada")-SUMIFS($F$5:$F354,$C$5:$C354,$C354,$B$5:$B354,"Salida"))</f>
        <v/>
      </c>
      <c r="J354" s="20"/>
      <c r="K354" s="20"/>
      <c r="L354" s="20"/>
      <c r="M354" s="14" t="str">
        <f>IF(AND($C354&lt;&gt;"",$C354=Kardex!$C$4),COUNTIF($C$5:$C354,Kardex!$C$4),"")</f>
        <v/>
      </c>
    </row>
    <row r="355" spans="1:13" x14ac:dyDescent="0.25">
      <c r="A355" s="24"/>
      <c r="B355" s="20"/>
      <c r="C355" s="20"/>
      <c r="D355" s="14" t="str">
        <f>IF($C355="","",IFERROR(INDEX(Productos!$B$5:$B$504,MATCH($C355,Productos!$A$5:$A$504,0)),"Clave no existe"))</f>
        <v/>
      </c>
      <c r="E355" s="14" t="str">
        <f>IF($C355="","",IFERROR(INDEX(Productos!$D$5:$D$504,MATCH($C355,Productos!$A$5:$A$504,0)),""))</f>
        <v/>
      </c>
      <c r="F355" s="20"/>
      <c r="G355" s="22" t="str">
        <f>IF($C355="","",IFERROR(INDEX(Productos!$F$5:$F$504,MATCH($C355,Productos!$A$5:$A$504,0)),0))</f>
        <v/>
      </c>
      <c r="H355" s="22" t="str">
        <f t="shared" si="5"/>
        <v/>
      </c>
      <c r="I355" s="14" t="str">
        <f>IF(OR($C355="",$F355=""),"",IFERROR(INDEX(Productos!$I$5:$I$504,MATCH($C355,Productos!$A$5:$A$504,0)),0)+SUMIFS($F$5:$F355,$C$5:$C355,$C355,$B$5:$B355,"Entrada")-SUMIFS($F$5:$F355,$C$5:$C355,$C355,$B$5:$B355,"Salida"))</f>
        <v/>
      </c>
      <c r="J355" s="20"/>
      <c r="K355" s="20"/>
      <c r="L355" s="20"/>
      <c r="M355" s="14" t="str">
        <f>IF(AND($C355&lt;&gt;"",$C355=Kardex!$C$4),COUNTIF($C$5:$C355,Kardex!$C$4),"")</f>
        <v/>
      </c>
    </row>
    <row r="356" spans="1:13" x14ac:dyDescent="0.25">
      <c r="A356" s="24"/>
      <c r="B356" s="20"/>
      <c r="C356" s="20"/>
      <c r="D356" s="14" t="str">
        <f>IF($C356="","",IFERROR(INDEX(Productos!$B$5:$B$504,MATCH($C356,Productos!$A$5:$A$504,0)),"Clave no existe"))</f>
        <v/>
      </c>
      <c r="E356" s="14" t="str">
        <f>IF($C356="","",IFERROR(INDEX(Productos!$D$5:$D$504,MATCH($C356,Productos!$A$5:$A$504,0)),""))</f>
        <v/>
      </c>
      <c r="F356" s="20"/>
      <c r="G356" s="22" t="str">
        <f>IF($C356="","",IFERROR(INDEX(Productos!$F$5:$F$504,MATCH($C356,Productos!$A$5:$A$504,0)),0))</f>
        <v/>
      </c>
      <c r="H356" s="22" t="str">
        <f t="shared" si="5"/>
        <v/>
      </c>
      <c r="I356" s="14" t="str">
        <f>IF(OR($C356="",$F356=""),"",IFERROR(INDEX(Productos!$I$5:$I$504,MATCH($C356,Productos!$A$5:$A$504,0)),0)+SUMIFS($F$5:$F356,$C$5:$C356,$C356,$B$5:$B356,"Entrada")-SUMIFS($F$5:$F356,$C$5:$C356,$C356,$B$5:$B356,"Salida"))</f>
        <v/>
      </c>
      <c r="J356" s="20"/>
      <c r="K356" s="20"/>
      <c r="L356" s="20"/>
      <c r="M356" s="14" t="str">
        <f>IF(AND($C356&lt;&gt;"",$C356=Kardex!$C$4),COUNTIF($C$5:$C356,Kardex!$C$4),"")</f>
        <v/>
      </c>
    </row>
    <row r="357" spans="1:13" x14ac:dyDescent="0.25">
      <c r="A357" s="24"/>
      <c r="B357" s="20"/>
      <c r="C357" s="20"/>
      <c r="D357" s="14" t="str">
        <f>IF($C357="","",IFERROR(INDEX(Productos!$B$5:$B$504,MATCH($C357,Productos!$A$5:$A$504,0)),"Clave no existe"))</f>
        <v/>
      </c>
      <c r="E357" s="14" t="str">
        <f>IF($C357="","",IFERROR(INDEX(Productos!$D$5:$D$504,MATCH($C357,Productos!$A$5:$A$504,0)),""))</f>
        <v/>
      </c>
      <c r="F357" s="20"/>
      <c r="G357" s="22" t="str">
        <f>IF($C357="","",IFERROR(INDEX(Productos!$F$5:$F$504,MATCH($C357,Productos!$A$5:$A$504,0)),0))</f>
        <v/>
      </c>
      <c r="H357" s="22" t="str">
        <f t="shared" si="5"/>
        <v/>
      </c>
      <c r="I357" s="14" t="str">
        <f>IF(OR($C357="",$F357=""),"",IFERROR(INDEX(Productos!$I$5:$I$504,MATCH($C357,Productos!$A$5:$A$504,0)),0)+SUMIFS($F$5:$F357,$C$5:$C357,$C357,$B$5:$B357,"Entrada")-SUMIFS($F$5:$F357,$C$5:$C357,$C357,$B$5:$B357,"Salida"))</f>
        <v/>
      </c>
      <c r="J357" s="20"/>
      <c r="K357" s="20"/>
      <c r="L357" s="20"/>
      <c r="M357" s="14" t="str">
        <f>IF(AND($C357&lt;&gt;"",$C357=Kardex!$C$4),COUNTIF($C$5:$C357,Kardex!$C$4),"")</f>
        <v/>
      </c>
    </row>
    <row r="358" spans="1:13" x14ac:dyDescent="0.25">
      <c r="A358" s="24"/>
      <c r="B358" s="20"/>
      <c r="C358" s="20"/>
      <c r="D358" s="14" t="str">
        <f>IF($C358="","",IFERROR(INDEX(Productos!$B$5:$B$504,MATCH($C358,Productos!$A$5:$A$504,0)),"Clave no existe"))</f>
        <v/>
      </c>
      <c r="E358" s="14" t="str">
        <f>IF($C358="","",IFERROR(INDEX(Productos!$D$5:$D$504,MATCH($C358,Productos!$A$5:$A$504,0)),""))</f>
        <v/>
      </c>
      <c r="F358" s="20"/>
      <c r="G358" s="22" t="str">
        <f>IF($C358="","",IFERROR(INDEX(Productos!$F$5:$F$504,MATCH($C358,Productos!$A$5:$A$504,0)),0))</f>
        <v/>
      </c>
      <c r="H358" s="22" t="str">
        <f t="shared" si="5"/>
        <v/>
      </c>
      <c r="I358" s="14" t="str">
        <f>IF(OR($C358="",$F358=""),"",IFERROR(INDEX(Productos!$I$5:$I$504,MATCH($C358,Productos!$A$5:$A$504,0)),0)+SUMIFS($F$5:$F358,$C$5:$C358,$C358,$B$5:$B358,"Entrada")-SUMIFS($F$5:$F358,$C$5:$C358,$C358,$B$5:$B358,"Salida"))</f>
        <v/>
      </c>
      <c r="J358" s="20"/>
      <c r="K358" s="20"/>
      <c r="L358" s="20"/>
      <c r="M358" s="14" t="str">
        <f>IF(AND($C358&lt;&gt;"",$C358=Kardex!$C$4),COUNTIF($C$5:$C358,Kardex!$C$4),"")</f>
        <v/>
      </c>
    </row>
    <row r="359" spans="1:13" x14ac:dyDescent="0.25">
      <c r="A359" s="24"/>
      <c r="B359" s="20"/>
      <c r="C359" s="20"/>
      <c r="D359" s="14" t="str">
        <f>IF($C359="","",IFERROR(INDEX(Productos!$B$5:$B$504,MATCH($C359,Productos!$A$5:$A$504,0)),"Clave no existe"))</f>
        <v/>
      </c>
      <c r="E359" s="14" t="str">
        <f>IF($C359="","",IFERROR(INDEX(Productos!$D$5:$D$504,MATCH($C359,Productos!$A$5:$A$504,0)),""))</f>
        <v/>
      </c>
      <c r="F359" s="20"/>
      <c r="G359" s="22" t="str">
        <f>IF($C359="","",IFERROR(INDEX(Productos!$F$5:$F$504,MATCH($C359,Productos!$A$5:$A$504,0)),0))</f>
        <v/>
      </c>
      <c r="H359" s="22" t="str">
        <f t="shared" si="5"/>
        <v/>
      </c>
      <c r="I359" s="14" t="str">
        <f>IF(OR($C359="",$F359=""),"",IFERROR(INDEX(Productos!$I$5:$I$504,MATCH($C359,Productos!$A$5:$A$504,0)),0)+SUMIFS($F$5:$F359,$C$5:$C359,$C359,$B$5:$B359,"Entrada")-SUMIFS($F$5:$F359,$C$5:$C359,$C359,$B$5:$B359,"Salida"))</f>
        <v/>
      </c>
      <c r="J359" s="20"/>
      <c r="K359" s="20"/>
      <c r="L359" s="20"/>
      <c r="M359" s="14" t="str">
        <f>IF(AND($C359&lt;&gt;"",$C359=Kardex!$C$4),COUNTIF($C$5:$C359,Kardex!$C$4),"")</f>
        <v/>
      </c>
    </row>
    <row r="360" spans="1:13" x14ac:dyDescent="0.25">
      <c r="A360" s="24"/>
      <c r="B360" s="20"/>
      <c r="C360" s="20"/>
      <c r="D360" s="14" t="str">
        <f>IF($C360="","",IFERROR(INDEX(Productos!$B$5:$B$504,MATCH($C360,Productos!$A$5:$A$504,0)),"Clave no existe"))</f>
        <v/>
      </c>
      <c r="E360" s="14" t="str">
        <f>IF($C360="","",IFERROR(INDEX(Productos!$D$5:$D$504,MATCH($C360,Productos!$A$5:$A$504,0)),""))</f>
        <v/>
      </c>
      <c r="F360" s="20"/>
      <c r="G360" s="22" t="str">
        <f>IF($C360="","",IFERROR(INDEX(Productos!$F$5:$F$504,MATCH($C360,Productos!$A$5:$A$504,0)),0))</f>
        <v/>
      </c>
      <c r="H360" s="22" t="str">
        <f t="shared" si="5"/>
        <v/>
      </c>
      <c r="I360" s="14" t="str">
        <f>IF(OR($C360="",$F360=""),"",IFERROR(INDEX(Productos!$I$5:$I$504,MATCH($C360,Productos!$A$5:$A$504,0)),0)+SUMIFS($F$5:$F360,$C$5:$C360,$C360,$B$5:$B360,"Entrada")-SUMIFS($F$5:$F360,$C$5:$C360,$C360,$B$5:$B360,"Salida"))</f>
        <v/>
      </c>
      <c r="J360" s="20"/>
      <c r="K360" s="20"/>
      <c r="L360" s="20"/>
      <c r="M360" s="14" t="str">
        <f>IF(AND($C360&lt;&gt;"",$C360=Kardex!$C$4),COUNTIF($C$5:$C360,Kardex!$C$4),"")</f>
        <v/>
      </c>
    </row>
    <row r="361" spans="1:13" x14ac:dyDescent="0.25">
      <c r="A361" s="24"/>
      <c r="B361" s="20"/>
      <c r="C361" s="20"/>
      <c r="D361" s="14" t="str">
        <f>IF($C361="","",IFERROR(INDEX(Productos!$B$5:$B$504,MATCH($C361,Productos!$A$5:$A$504,0)),"Clave no existe"))</f>
        <v/>
      </c>
      <c r="E361" s="14" t="str">
        <f>IF($C361="","",IFERROR(INDEX(Productos!$D$5:$D$504,MATCH($C361,Productos!$A$5:$A$504,0)),""))</f>
        <v/>
      </c>
      <c r="F361" s="20"/>
      <c r="G361" s="22" t="str">
        <f>IF($C361="","",IFERROR(INDEX(Productos!$F$5:$F$504,MATCH($C361,Productos!$A$5:$A$504,0)),0))</f>
        <v/>
      </c>
      <c r="H361" s="22" t="str">
        <f t="shared" si="5"/>
        <v/>
      </c>
      <c r="I361" s="14" t="str">
        <f>IF(OR($C361="",$F361=""),"",IFERROR(INDEX(Productos!$I$5:$I$504,MATCH($C361,Productos!$A$5:$A$504,0)),0)+SUMIFS($F$5:$F361,$C$5:$C361,$C361,$B$5:$B361,"Entrada")-SUMIFS($F$5:$F361,$C$5:$C361,$C361,$B$5:$B361,"Salida"))</f>
        <v/>
      </c>
      <c r="J361" s="20"/>
      <c r="K361" s="20"/>
      <c r="L361" s="20"/>
      <c r="M361" s="14" t="str">
        <f>IF(AND($C361&lt;&gt;"",$C361=Kardex!$C$4),COUNTIF($C$5:$C361,Kardex!$C$4),"")</f>
        <v/>
      </c>
    </row>
    <row r="362" spans="1:13" x14ac:dyDescent="0.25">
      <c r="A362" s="24"/>
      <c r="B362" s="20"/>
      <c r="C362" s="20"/>
      <c r="D362" s="14" t="str">
        <f>IF($C362="","",IFERROR(INDEX(Productos!$B$5:$B$504,MATCH($C362,Productos!$A$5:$A$504,0)),"Clave no existe"))</f>
        <v/>
      </c>
      <c r="E362" s="14" t="str">
        <f>IF($C362="","",IFERROR(INDEX(Productos!$D$5:$D$504,MATCH($C362,Productos!$A$5:$A$504,0)),""))</f>
        <v/>
      </c>
      <c r="F362" s="20"/>
      <c r="G362" s="22" t="str">
        <f>IF($C362="","",IFERROR(INDEX(Productos!$F$5:$F$504,MATCH($C362,Productos!$A$5:$A$504,0)),0))</f>
        <v/>
      </c>
      <c r="H362" s="22" t="str">
        <f t="shared" si="5"/>
        <v/>
      </c>
      <c r="I362" s="14" t="str">
        <f>IF(OR($C362="",$F362=""),"",IFERROR(INDEX(Productos!$I$5:$I$504,MATCH($C362,Productos!$A$5:$A$504,0)),0)+SUMIFS($F$5:$F362,$C$5:$C362,$C362,$B$5:$B362,"Entrada")-SUMIFS($F$5:$F362,$C$5:$C362,$C362,$B$5:$B362,"Salida"))</f>
        <v/>
      </c>
      <c r="J362" s="20"/>
      <c r="K362" s="20"/>
      <c r="L362" s="20"/>
      <c r="M362" s="14" t="str">
        <f>IF(AND($C362&lt;&gt;"",$C362=Kardex!$C$4),COUNTIF($C$5:$C362,Kardex!$C$4),"")</f>
        <v/>
      </c>
    </row>
    <row r="363" spans="1:13" x14ac:dyDescent="0.25">
      <c r="A363" s="24"/>
      <c r="B363" s="20"/>
      <c r="C363" s="20"/>
      <c r="D363" s="14" t="str">
        <f>IF($C363="","",IFERROR(INDEX(Productos!$B$5:$B$504,MATCH($C363,Productos!$A$5:$A$504,0)),"Clave no existe"))</f>
        <v/>
      </c>
      <c r="E363" s="14" t="str">
        <f>IF($C363="","",IFERROR(INDEX(Productos!$D$5:$D$504,MATCH($C363,Productos!$A$5:$A$504,0)),""))</f>
        <v/>
      </c>
      <c r="F363" s="20"/>
      <c r="G363" s="22" t="str">
        <f>IF($C363="","",IFERROR(INDEX(Productos!$F$5:$F$504,MATCH($C363,Productos!$A$5:$A$504,0)),0))</f>
        <v/>
      </c>
      <c r="H363" s="22" t="str">
        <f t="shared" si="5"/>
        <v/>
      </c>
      <c r="I363" s="14" t="str">
        <f>IF(OR($C363="",$F363=""),"",IFERROR(INDEX(Productos!$I$5:$I$504,MATCH($C363,Productos!$A$5:$A$504,0)),0)+SUMIFS($F$5:$F363,$C$5:$C363,$C363,$B$5:$B363,"Entrada")-SUMIFS($F$5:$F363,$C$5:$C363,$C363,$B$5:$B363,"Salida"))</f>
        <v/>
      </c>
      <c r="J363" s="20"/>
      <c r="K363" s="20"/>
      <c r="L363" s="20"/>
      <c r="M363" s="14" t="str">
        <f>IF(AND($C363&lt;&gt;"",$C363=Kardex!$C$4),COUNTIF($C$5:$C363,Kardex!$C$4),"")</f>
        <v/>
      </c>
    </row>
    <row r="364" spans="1:13" x14ac:dyDescent="0.25">
      <c r="A364" s="24"/>
      <c r="B364" s="20"/>
      <c r="C364" s="20"/>
      <c r="D364" s="14" t="str">
        <f>IF($C364="","",IFERROR(INDEX(Productos!$B$5:$B$504,MATCH($C364,Productos!$A$5:$A$504,0)),"Clave no existe"))</f>
        <v/>
      </c>
      <c r="E364" s="14" t="str">
        <f>IF($C364="","",IFERROR(INDEX(Productos!$D$5:$D$504,MATCH($C364,Productos!$A$5:$A$504,0)),""))</f>
        <v/>
      </c>
      <c r="F364" s="20"/>
      <c r="G364" s="22" t="str">
        <f>IF($C364="","",IFERROR(INDEX(Productos!$F$5:$F$504,MATCH($C364,Productos!$A$5:$A$504,0)),0))</f>
        <v/>
      </c>
      <c r="H364" s="22" t="str">
        <f t="shared" si="5"/>
        <v/>
      </c>
      <c r="I364" s="14" t="str">
        <f>IF(OR($C364="",$F364=""),"",IFERROR(INDEX(Productos!$I$5:$I$504,MATCH($C364,Productos!$A$5:$A$504,0)),0)+SUMIFS($F$5:$F364,$C$5:$C364,$C364,$B$5:$B364,"Entrada")-SUMIFS($F$5:$F364,$C$5:$C364,$C364,$B$5:$B364,"Salida"))</f>
        <v/>
      </c>
      <c r="J364" s="20"/>
      <c r="K364" s="20"/>
      <c r="L364" s="20"/>
      <c r="M364" s="14" t="str">
        <f>IF(AND($C364&lt;&gt;"",$C364=Kardex!$C$4),COUNTIF($C$5:$C364,Kardex!$C$4),"")</f>
        <v/>
      </c>
    </row>
    <row r="365" spans="1:13" x14ac:dyDescent="0.25">
      <c r="A365" s="24"/>
      <c r="B365" s="20"/>
      <c r="C365" s="20"/>
      <c r="D365" s="14" t="str">
        <f>IF($C365="","",IFERROR(INDEX(Productos!$B$5:$B$504,MATCH($C365,Productos!$A$5:$A$504,0)),"Clave no existe"))</f>
        <v/>
      </c>
      <c r="E365" s="14" t="str">
        <f>IF($C365="","",IFERROR(INDEX(Productos!$D$5:$D$504,MATCH($C365,Productos!$A$5:$A$504,0)),""))</f>
        <v/>
      </c>
      <c r="F365" s="20"/>
      <c r="G365" s="22" t="str">
        <f>IF($C365="","",IFERROR(INDEX(Productos!$F$5:$F$504,MATCH($C365,Productos!$A$5:$A$504,0)),0))</f>
        <v/>
      </c>
      <c r="H365" s="22" t="str">
        <f t="shared" si="5"/>
        <v/>
      </c>
      <c r="I365" s="14" t="str">
        <f>IF(OR($C365="",$F365=""),"",IFERROR(INDEX(Productos!$I$5:$I$504,MATCH($C365,Productos!$A$5:$A$504,0)),0)+SUMIFS($F$5:$F365,$C$5:$C365,$C365,$B$5:$B365,"Entrada")-SUMIFS($F$5:$F365,$C$5:$C365,$C365,$B$5:$B365,"Salida"))</f>
        <v/>
      </c>
      <c r="J365" s="20"/>
      <c r="K365" s="20"/>
      <c r="L365" s="20"/>
      <c r="M365" s="14" t="str">
        <f>IF(AND($C365&lt;&gt;"",$C365=Kardex!$C$4),COUNTIF($C$5:$C365,Kardex!$C$4),"")</f>
        <v/>
      </c>
    </row>
    <row r="366" spans="1:13" x14ac:dyDescent="0.25">
      <c r="A366" s="24"/>
      <c r="B366" s="20"/>
      <c r="C366" s="20"/>
      <c r="D366" s="14" t="str">
        <f>IF($C366="","",IFERROR(INDEX(Productos!$B$5:$B$504,MATCH($C366,Productos!$A$5:$A$504,0)),"Clave no existe"))</f>
        <v/>
      </c>
      <c r="E366" s="14" t="str">
        <f>IF($C366="","",IFERROR(INDEX(Productos!$D$5:$D$504,MATCH($C366,Productos!$A$5:$A$504,0)),""))</f>
        <v/>
      </c>
      <c r="F366" s="20"/>
      <c r="G366" s="22" t="str">
        <f>IF($C366="","",IFERROR(INDEX(Productos!$F$5:$F$504,MATCH($C366,Productos!$A$5:$A$504,0)),0))</f>
        <v/>
      </c>
      <c r="H366" s="22" t="str">
        <f t="shared" si="5"/>
        <v/>
      </c>
      <c r="I366" s="14" t="str">
        <f>IF(OR($C366="",$F366=""),"",IFERROR(INDEX(Productos!$I$5:$I$504,MATCH($C366,Productos!$A$5:$A$504,0)),0)+SUMIFS($F$5:$F366,$C$5:$C366,$C366,$B$5:$B366,"Entrada")-SUMIFS($F$5:$F366,$C$5:$C366,$C366,$B$5:$B366,"Salida"))</f>
        <v/>
      </c>
      <c r="J366" s="20"/>
      <c r="K366" s="20"/>
      <c r="L366" s="20"/>
      <c r="M366" s="14" t="str">
        <f>IF(AND($C366&lt;&gt;"",$C366=Kardex!$C$4),COUNTIF($C$5:$C366,Kardex!$C$4),"")</f>
        <v/>
      </c>
    </row>
    <row r="367" spans="1:13" x14ac:dyDescent="0.25">
      <c r="A367" s="24"/>
      <c r="B367" s="20"/>
      <c r="C367" s="20"/>
      <c r="D367" s="14" t="str">
        <f>IF($C367="","",IFERROR(INDEX(Productos!$B$5:$B$504,MATCH($C367,Productos!$A$5:$A$504,0)),"Clave no existe"))</f>
        <v/>
      </c>
      <c r="E367" s="14" t="str">
        <f>IF($C367="","",IFERROR(INDEX(Productos!$D$5:$D$504,MATCH($C367,Productos!$A$5:$A$504,0)),""))</f>
        <v/>
      </c>
      <c r="F367" s="20"/>
      <c r="G367" s="22" t="str">
        <f>IF($C367="","",IFERROR(INDEX(Productos!$F$5:$F$504,MATCH($C367,Productos!$A$5:$A$504,0)),0))</f>
        <v/>
      </c>
      <c r="H367" s="22" t="str">
        <f t="shared" si="5"/>
        <v/>
      </c>
      <c r="I367" s="14" t="str">
        <f>IF(OR($C367="",$F367=""),"",IFERROR(INDEX(Productos!$I$5:$I$504,MATCH($C367,Productos!$A$5:$A$504,0)),0)+SUMIFS($F$5:$F367,$C$5:$C367,$C367,$B$5:$B367,"Entrada")-SUMIFS($F$5:$F367,$C$5:$C367,$C367,$B$5:$B367,"Salida"))</f>
        <v/>
      </c>
      <c r="J367" s="20"/>
      <c r="K367" s="20"/>
      <c r="L367" s="20"/>
      <c r="M367" s="14" t="str">
        <f>IF(AND($C367&lt;&gt;"",$C367=Kardex!$C$4),COUNTIF($C$5:$C367,Kardex!$C$4),"")</f>
        <v/>
      </c>
    </row>
    <row r="368" spans="1:13" x14ac:dyDescent="0.25">
      <c r="A368" s="24"/>
      <c r="B368" s="20"/>
      <c r="C368" s="20"/>
      <c r="D368" s="14" t="str">
        <f>IF($C368="","",IFERROR(INDEX(Productos!$B$5:$B$504,MATCH($C368,Productos!$A$5:$A$504,0)),"Clave no existe"))</f>
        <v/>
      </c>
      <c r="E368" s="14" t="str">
        <f>IF($C368="","",IFERROR(INDEX(Productos!$D$5:$D$504,MATCH($C368,Productos!$A$5:$A$504,0)),""))</f>
        <v/>
      </c>
      <c r="F368" s="20"/>
      <c r="G368" s="22" t="str">
        <f>IF($C368="","",IFERROR(INDEX(Productos!$F$5:$F$504,MATCH($C368,Productos!$A$5:$A$504,0)),0))</f>
        <v/>
      </c>
      <c r="H368" s="22" t="str">
        <f t="shared" si="5"/>
        <v/>
      </c>
      <c r="I368" s="14" t="str">
        <f>IF(OR($C368="",$F368=""),"",IFERROR(INDEX(Productos!$I$5:$I$504,MATCH($C368,Productos!$A$5:$A$504,0)),0)+SUMIFS($F$5:$F368,$C$5:$C368,$C368,$B$5:$B368,"Entrada")-SUMIFS($F$5:$F368,$C$5:$C368,$C368,$B$5:$B368,"Salida"))</f>
        <v/>
      </c>
      <c r="J368" s="20"/>
      <c r="K368" s="20"/>
      <c r="L368" s="20"/>
      <c r="M368" s="14" t="str">
        <f>IF(AND($C368&lt;&gt;"",$C368=Kardex!$C$4),COUNTIF($C$5:$C368,Kardex!$C$4),"")</f>
        <v/>
      </c>
    </row>
    <row r="369" spans="1:13" x14ac:dyDescent="0.25">
      <c r="A369" s="24"/>
      <c r="B369" s="20"/>
      <c r="C369" s="20"/>
      <c r="D369" s="14" t="str">
        <f>IF($C369="","",IFERROR(INDEX(Productos!$B$5:$B$504,MATCH($C369,Productos!$A$5:$A$504,0)),"Clave no existe"))</f>
        <v/>
      </c>
      <c r="E369" s="14" t="str">
        <f>IF($C369="","",IFERROR(INDEX(Productos!$D$5:$D$504,MATCH($C369,Productos!$A$5:$A$504,0)),""))</f>
        <v/>
      </c>
      <c r="F369" s="20"/>
      <c r="G369" s="22" t="str">
        <f>IF($C369="","",IFERROR(INDEX(Productos!$F$5:$F$504,MATCH($C369,Productos!$A$5:$A$504,0)),0))</f>
        <v/>
      </c>
      <c r="H369" s="22" t="str">
        <f t="shared" si="5"/>
        <v/>
      </c>
      <c r="I369" s="14" t="str">
        <f>IF(OR($C369="",$F369=""),"",IFERROR(INDEX(Productos!$I$5:$I$504,MATCH($C369,Productos!$A$5:$A$504,0)),0)+SUMIFS($F$5:$F369,$C$5:$C369,$C369,$B$5:$B369,"Entrada")-SUMIFS($F$5:$F369,$C$5:$C369,$C369,$B$5:$B369,"Salida"))</f>
        <v/>
      </c>
      <c r="J369" s="20"/>
      <c r="K369" s="20"/>
      <c r="L369" s="20"/>
      <c r="M369" s="14" t="str">
        <f>IF(AND($C369&lt;&gt;"",$C369=Kardex!$C$4),COUNTIF($C$5:$C369,Kardex!$C$4),"")</f>
        <v/>
      </c>
    </row>
    <row r="370" spans="1:13" x14ac:dyDescent="0.25">
      <c r="A370" s="24"/>
      <c r="B370" s="20"/>
      <c r="C370" s="20"/>
      <c r="D370" s="14" t="str">
        <f>IF($C370="","",IFERROR(INDEX(Productos!$B$5:$B$504,MATCH($C370,Productos!$A$5:$A$504,0)),"Clave no existe"))</f>
        <v/>
      </c>
      <c r="E370" s="14" t="str">
        <f>IF($C370="","",IFERROR(INDEX(Productos!$D$5:$D$504,MATCH($C370,Productos!$A$5:$A$504,0)),""))</f>
        <v/>
      </c>
      <c r="F370" s="20"/>
      <c r="G370" s="22" t="str">
        <f>IF($C370="","",IFERROR(INDEX(Productos!$F$5:$F$504,MATCH($C370,Productos!$A$5:$A$504,0)),0))</f>
        <v/>
      </c>
      <c r="H370" s="22" t="str">
        <f t="shared" si="5"/>
        <v/>
      </c>
      <c r="I370" s="14" t="str">
        <f>IF(OR($C370="",$F370=""),"",IFERROR(INDEX(Productos!$I$5:$I$504,MATCH($C370,Productos!$A$5:$A$504,0)),0)+SUMIFS($F$5:$F370,$C$5:$C370,$C370,$B$5:$B370,"Entrada")-SUMIFS($F$5:$F370,$C$5:$C370,$C370,$B$5:$B370,"Salida"))</f>
        <v/>
      </c>
      <c r="J370" s="20"/>
      <c r="K370" s="20"/>
      <c r="L370" s="20"/>
      <c r="M370" s="14" t="str">
        <f>IF(AND($C370&lt;&gt;"",$C370=Kardex!$C$4),COUNTIF($C$5:$C370,Kardex!$C$4),"")</f>
        <v/>
      </c>
    </row>
    <row r="371" spans="1:13" x14ac:dyDescent="0.25">
      <c r="A371" s="24"/>
      <c r="B371" s="20"/>
      <c r="C371" s="20"/>
      <c r="D371" s="14" t="str">
        <f>IF($C371="","",IFERROR(INDEX(Productos!$B$5:$B$504,MATCH($C371,Productos!$A$5:$A$504,0)),"Clave no existe"))</f>
        <v/>
      </c>
      <c r="E371" s="14" t="str">
        <f>IF($C371="","",IFERROR(INDEX(Productos!$D$5:$D$504,MATCH($C371,Productos!$A$5:$A$504,0)),""))</f>
        <v/>
      </c>
      <c r="F371" s="20"/>
      <c r="G371" s="22" t="str">
        <f>IF($C371="","",IFERROR(INDEX(Productos!$F$5:$F$504,MATCH($C371,Productos!$A$5:$A$504,0)),0))</f>
        <v/>
      </c>
      <c r="H371" s="22" t="str">
        <f t="shared" si="5"/>
        <v/>
      </c>
      <c r="I371" s="14" t="str">
        <f>IF(OR($C371="",$F371=""),"",IFERROR(INDEX(Productos!$I$5:$I$504,MATCH($C371,Productos!$A$5:$A$504,0)),0)+SUMIFS($F$5:$F371,$C$5:$C371,$C371,$B$5:$B371,"Entrada")-SUMIFS($F$5:$F371,$C$5:$C371,$C371,$B$5:$B371,"Salida"))</f>
        <v/>
      </c>
      <c r="J371" s="20"/>
      <c r="K371" s="20"/>
      <c r="L371" s="20"/>
      <c r="M371" s="14" t="str">
        <f>IF(AND($C371&lt;&gt;"",$C371=Kardex!$C$4),COUNTIF($C$5:$C371,Kardex!$C$4),"")</f>
        <v/>
      </c>
    </row>
    <row r="372" spans="1:13" x14ac:dyDescent="0.25">
      <c r="A372" s="24"/>
      <c r="B372" s="20"/>
      <c r="C372" s="20"/>
      <c r="D372" s="14" t="str">
        <f>IF($C372="","",IFERROR(INDEX(Productos!$B$5:$B$504,MATCH($C372,Productos!$A$5:$A$504,0)),"Clave no existe"))</f>
        <v/>
      </c>
      <c r="E372" s="14" t="str">
        <f>IF($C372="","",IFERROR(INDEX(Productos!$D$5:$D$504,MATCH($C372,Productos!$A$5:$A$504,0)),""))</f>
        <v/>
      </c>
      <c r="F372" s="20"/>
      <c r="G372" s="22" t="str">
        <f>IF($C372="","",IFERROR(INDEX(Productos!$F$5:$F$504,MATCH($C372,Productos!$A$5:$A$504,0)),0))</f>
        <v/>
      </c>
      <c r="H372" s="22" t="str">
        <f t="shared" si="5"/>
        <v/>
      </c>
      <c r="I372" s="14" t="str">
        <f>IF(OR($C372="",$F372=""),"",IFERROR(INDEX(Productos!$I$5:$I$504,MATCH($C372,Productos!$A$5:$A$504,0)),0)+SUMIFS($F$5:$F372,$C$5:$C372,$C372,$B$5:$B372,"Entrada")-SUMIFS($F$5:$F372,$C$5:$C372,$C372,$B$5:$B372,"Salida"))</f>
        <v/>
      </c>
      <c r="J372" s="20"/>
      <c r="K372" s="20"/>
      <c r="L372" s="20"/>
      <c r="M372" s="14" t="str">
        <f>IF(AND($C372&lt;&gt;"",$C372=Kardex!$C$4),COUNTIF($C$5:$C372,Kardex!$C$4),"")</f>
        <v/>
      </c>
    </row>
    <row r="373" spans="1:13" x14ac:dyDescent="0.25">
      <c r="A373" s="24"/>
      <c r="B373" s="20"/>
      <c r="C373" s="20"/>
      <c r="D373" s="14" t="str">
        <f>IF($C373="","",IFERROR(INDEX(Productos!$B$5:$B$504,MATCH($C373,Productos!$A$5:$A$504,0)),"Clave no existe"))</f>
        <v/>
      </c>
      <c r="E373" s="14" t="str">
        <f>IF($C373="","",IFERROR(INDEX(Productos!$D$5:$D$504,MATCH($C373,Productos!$A$5:$A$504,0)),""))</f>
        <v/>
      </c>
      <c r="F373" s="20"/>
      <c r="G373" s="22" t="str">
        <f>IF($C373="","",IFERROR(INDEX(Productos!$F$5:$F$504,MATCH($C373,Productos!$A$5:$A$504,0)),0))</f>
        <v/>
      </c>
      <c r="H373" s="22" t="str">
        <f t="shared" si="5"/>
        <v/>
      </c>
      <c r="I373" s="14" t="str">
        <f>IF(OR($C373="",$F373=""),"",IFERROR(INDEX(Productos!$I$5:$I$504,MATCH($C373,Productos!$A$5:$A$504,0)),0)+SUMIFS($F$5:$F373,$C$5:$C373,$C373,$B$5:$B373,"Entrada")-SUMIFS($F$5:$F373,$C$5:$C373,$C373,$B$5:$B373,"Salida"))</f>
        <v/>
      </c>
      <c r="J373" s="20"/>
      <c r="K373" s="20"/>
      <c r="L373" s="20"/>
      <c r="M373" s="14" t="str">
        <f>IF(AND($C373&lt;&gt;"",$C373=Kardex!$C$4),COUNTIF($C$5:$C373,Kardex!$C$4),"")</f>
        <v/>
      </c>
    </row>
    <row r="374" spans="1:13" x14ac:dyDescent="0.25">
      <c r="A374" s="24"/>
      <c r="B374" s="20"/>
      <c r="C374" s="20"/>
      <c r="D374" s="14" t="str">
        <f>IF($C374="","",IFERROR(INDEX(Productos!$B$5:$B$504,MATCH($C374,Productos!$A$5:$A$504,0)),"Clave no existe"))</f>
        <v/>
      </c>
      <c r="E374" s="14" t="str">
        <f>IF($C374="","",IFERROR(INDEX(Productos!$D$5:$D$504,MATCH($C374,Productos!$A$5:$A$504,0)),""))</f>
        <v/>
      </c>
      <c r="F374" s="20"/>
      <c r="G374" s="22" t="str">
        <f>IF($C374="","",IFERROR(INDEX(Productos!$F$5:$F$504,MATCH($C374,Productos!$A$5:$A$504,0)),0))</f>
        <v/>
      </c>
      <c r="H374" s="22" t="str">
        <f t="shared" si="5"/>
        <v/>
      </c>
      <c r="I374" s="14" t="str">
        <f>IF(OR($C374="",$F374=""),"",IFERROR(INDEX(Productos!$I$5:$I$504,MATCH($C374,Productos!$A$5:$A$504,0)),0)+SUMIFS($F$5:$F374,$C$5:$C374,$C374,$B$5:$B374,"Entrada")-SUMIFS($F$5:$F374,$C$5:$C374,$C374,$B$5:$B374,"Salida"))</f>
        <v/>
      </c>
      <c r="J374" s="20"/>
      <c r="K374" s="20"/>
      <c r="L374" s="20"/>
      <c r="M374" s="14" t="str">
        <f>IF(AND($C374&lt;&gt;"",$C374=Kardex!$C$4),COUNTIF($C$5:$C374,Kardex!$C$4),"")</f>
        <v/>
      </c>
    </row>
    <row r="375" spans="1:13" x14ac:dyDescent="0.25">
      <c r="A375" s="24"/>
      <c r="B375" s="20"/>
      <c r="C375" s="20"/>
      <c r="D375" s="14" t="str">
        <f>IF($C375="","",IFERROR(INDEX(Productos!$B$5:$B$504,MATCH($C375,Productos!$A$5:$A$504,0)),"Clave no existe"))</f>
        <v/>
      </c>
      <c r="E375" s="14" t="str">
        <f>IF($C375="","",IFERROR(INDEX(Productos!$D$5:$D$504,MATCH($C375,Productos!$A$5:$A$504,0)),""))</f>
        <v/>
      </c>
      <c r="F375" s="20"/>
      <c r="G375" s="22" t="str">
        <f>IF($C375="","",IFERROR(INDEX(Productos!$F$5:$F$504,MATCH($C375,Productos!$A$5:$A$504,0)),0))</f>
        <v/>
      </c>
      <c r="H375" s="22" t="str">
        <f t="shared" si="5"/>
        <v/>
      </c>
      <c r="I375" s="14" t="str">
        <f>IF(OR($C375="",$F375=""),"",IFERROR(INDEX(Productos!$I$5:$I$504,MATCH($C375,Productos!$A$5:$A$504,0)),0)+SUMIFS($F$5:$F375,$C$5:$C375,$C375,$B$5:$B375,"Entrada")-SUMIFS($F$5:$F375,$C$5:$C375,$C375,$B$5:$B375,"Salida"))</f>
        <v/>
      </c>
      <c r="J375" s="20"/>
      <c r="K375" s="20"/>
      <c r="L375" s="20"/>
      <c r="M375" s="14" t="str">
        <f>IF(AND($C375&lt;&gt;"",$C375=Kardex!$C$4),COUNTIF($C$5:$C375,Kardex!$C$4),"")</f>
        <v/>
      </c>
    </row>
    <row r="376" spans="1:13" x14ac:dyDescent="0.25">
      <c r="A376" s="24"/>
      <c r="B376" s="20"/>
      <c r="C376" s="20"/>
      <c r="D376" s="14" t="str">
        <f>IF($C376="","",IFERROR(INDEX(Productos!$B$5:$B$504,MATCH($C376,Productos!$A$5:$A$504,0)),"Clave no existe"))</f>
        <v/>
      </c>
      <c r="E376" s="14" t="str">
        <f>IF($C376="","",IFERROR(INDEX(Productos!$D$5:$D$504,MATCH($C376,Productos!$A$5:$A$504,0)),""))</f>
        <v/>
      </c>
      <c r="F376" s="20"/>
      <c r="G376" s="22" t="str">
        <f>IF($C376="","",IFERROR(INDEX(Productos!$F$5:$F$504,MATCH($C376,Productos!$A$5:$A$504,0)),0))</f>
        <v/>
      </c>
      <c r="H376" s="22" t="str">
        <f t="shared" si="5"/>
        <v/>
      </c>
      <c r="I376" s="14" t="str">
        <f>IF(OR($C376="",$F376=""),"",IFERROR(INDEX(Productos!$I$5:$I$504,MATCH($C376,Productos!$A$5:$A$504,0)),0)+SUMIFS($F$5:$F376,$C$5:$C376,$C376,$B$5:$B376,"Entrada")-SUMIFS($F$5:$F376,$C$5:$C376,$C376,$B$5:$B376,"Salida"))</f>
        <v/>
      </c>
      <c r="J376" s="20"/>
      <c r="K376" s="20"/>
      <c r="L376" s="20"/>
      <c r="M376" s="14" t="str">
        <f>IF(AND($C376&lt;&gt;"",$C376=Kardex!$C$4),COUNTIF($C$5:$C376,Kardex!$C$4),"")</f>
        <v/>
      </c>
    </row>
    <row r="377" spans="1:13" x14ac:dyDescent="0.25">
      <c r="A377" s="24"/>
      <c r="B377" s="20"/>
      <c r="C377" s="20"/>
      <c r="D377" s="14" t="str">
        <f>IF($C377="","",IFERROR(INDEX(Productos!$B$5:$B$504,MATCH($C377,Productos!$A$5:$A$504,0)),"Clave no existe"))</f>
        <v/>
      </c>
      <c r="E377" s="14" t="str">
        <f>IF($C377="","",IFERROR(INDEX(Productos!$D$5:$D$504,MATCH($C377,Productos!$A$5:$A$504,0)),""))</f>
        <v/>
      </c>
      <c r="F377" s="20"/>
      <c r="G377" s="22" t="str">
        <f>IF($C377="","",IFERROR(INDEX(Productos!$F$5:$F$504,MATCH($C377,Productos!$A$5:$A$504,0)),0))</f>
        <v/>
      </c>
      <c r="H377" s="22" t="str">
        <f t="shared" si="5"/>
        <v/>
      </c>
      <c r="I377" s="14" t="str">
        <f>IF(OR($C377="",$F377=""),"",IFERROR(INDEX(Productos!$I$5:$I$504,MATCH($C377,Productos!$A$5:$A$504,0)),0)+SUMIFS($F$5:$F377,$C$5:$C377,$C377,$B$5:$B377,"Entrada")-SUMIFS($F$5:$F377,$C$5:$C377,$C377,$B$5:$B377,"Salida"))</f>
        <v/>
      </c>
      <c r="J377" s="20"/>
      <c r="K377" s="20"/>
      <c r="L377" s="20"/>
      <c r="M377" s="14" t="str">
        <f>IF(AND($C377&lt;&gt;"",$C377=Kardex!$C$4),COUNTIF($C$5:$C377,Kardex!$C$4),"")</f>
        <v/>
      </c>
    </row>
    <row r="378" spans="1:13" x14ac:dyDescent="0.25">
      <c r="A378" s="24"/>
      <c r="B378" s="20"/>
      <c r="C378" s="20"/>
      <c r="D378" s="14" t="str">
        <f>IF($C378="","",IFERROR(INDEX(Productos!$B$5:$B$504,MATCH($C378,Productos!$A$5:$A$504,0)),"Clave no existe"))</f>
        <v/>
      </c>
      <c r="E378" s="14" t="str">
        <f>IF($C378="","",IFERROR(INDEX(Productos!$D$5:$D$504,MATCH($C378,Productos!$A$5:$A$504,0)),""))</f>
        <v/>
      </c>
      <c r="F378" s="20"/>
      <c r="G378" s="22" t="str">
        <f>IF($C378="","",IFERROR(INDEX(Productos!$F$5:$F$504,MATCH($C378,Productos!$A$5:$A$504,0)),0))</f>
        <v/>
      </c>
      <c r="H378" s="22" t="str">
        <f t="shared" si="5"/>
        <v/>
      </c>
      <c r="I378" s="14" t="str">
        <f>IF(OR($C378="",$F378=""),"",IFERROR(INDEX(Productos!$I$5:$I$504,MATCH($C378,Productos!$A$5:$A$504,0)),0)+SUMIFS($F$5:$F378,$C$5:$C378,$C378,$B$5:$B378,"Entrada")-SUMIFS($F$5:$F378,$C$5:$C378,$C378,$B$5:$B378,"Salida"))</f>
        <v/>
      </c>
      <c r="J378" s="20"/>
      <c r="K378" s="20"/>
      <c r="L378" s="20"/>
      <c r="M378" s="14" t="str">
        <f>IF(AND($C378&lt;&gt;"",$C378=Kardex!$C$4),COUNTIF($C$5:$C378,Kardex!$C$4),"")</f>
        <v/>
      </c>
    </row>
    <row r="379" spans="1:13" x14ac:dyDescent="0.25">
      <c r="A379" s="24"/>
      <c r="B379" s="20"/>
      <c r="C379" s="20"/>
      <c r="D379" s="14" t="str">
        <f>IF($C379="","",IFERROR(INDEX(Productos!$B$5:$B$504,MATCH($C379,Productos!$A$5:$A$504,0)),"Clave no existe"))</f>
        <v/>
      </c>
      <c r="E379" s="14" t="str">
        <f>IF($C379="","",IFERROR(INDEX(Productos!$D$5:$D$504,MATCH($C379,Productos!$A$5:$A$504,0)),""))</f>
        <v/>
      </c>
      <c r="F379" s="20"/>
      <c r="G379" s="22" t="str">
        <f>IF($C379="","",IFERROR(INDEX(Productos!$F$5:$F$504,MATCH($C379,Productos!$A$5:$A$504,0)),0))</f>
        <v/>
      </c>
      <c r="H379" s="22" t="str">
        <f t="shared" si="5"/>
        <v/>
      </c>
      <c r="I379" s="14" t="str">
        <f>IF(OR($C379="",$F379=""),"",IFERROR(INDEX(Productos!$I$5:$I$504,MATCH($C379,Productos!$A$5:$A$504,0)),0)+SUMIFS($F$5:$F379,$C$5:$C379,$C379,$B$5:$B379,"Entrada")-SUMIFS($F$5:$F379,$C$5:$C379,$C379,$B$5:$B379,"Salida"))</f>
        <v/>
      </c>
      <c r="J379" s="20"/>
      <c r="K379" s="20"/>
      <c r="L379" s="20"/>
      <c r="M379" s="14" t="str">
        <f>IF(AND($C379&lt;&gt;"",$C379=Kardex!$C$4),COUNTIF($C$5:$C379,Kardex!$C$4),"")</f>
        <v/>
      </c>
    </row>
    <row r="380" spans="1:13" x14ac:dyDescent="0.25">
      <c r="A380" s="24"/>
      <c r="B380" s="20"/>
      <c r="C380" s="20"/>
      <c r="D380" s="14" t="str">
        <f>IF($C380="","",IFERROR(INDEX(Productos!$B$5:$B$504,MATCH($C380,Productos!$A$5:$A$504,0)),"Clave no existe"))</f>
        <v/>
      </c>
      <c r="E380" s="14" t="str">
        <f>IF($C380="","",IFERROR(INDEX(Productos!$D$5:$D$504,MATCH($C380,Productos!$A$5:$A$504,0)),""))</f>
        <v/>
      </c>
      <c r="F380" s="20"/>
      <c r="G380" s="22" t="str">
        <f>IF($C380="","",IFERROR(INDEX(Productos!$F$5:$F$504,MATCH($C380,Productos!$A$5:$A$504,0)),0))</f>
        <v/>
      </c>
      <c r="H380" s="22" t="str">
        <f t="shared" si="5"/>
        <v/>
      </c>
      <c r="I380" s="14" t="str">
        <f>IF(OR($C380="",$F380=""),"",IFERROR(INDEX(Productos!$I$5:$I$504,MATCH($C380,Productos!$A$5:$A$504,0)),0)+SUMIFS($F$5:$F380,$C$5:$C380,$C380,$B$5:$B380,"Entrada")-SUMIFS($F$5:$F380,$C$5:$C380,$C380,$B$5:$B380,"Salida"))</f>
        <v/>
      </c>
      <c r="J380" s="20"/>
      <c r="K380" s="20"/>
      <c r="L380" s="20"/>
      <c r="M380" s="14" t="str">
        <f>IF(AND($C380&lt;&gt;"",$C380=Kardex!$C$4),COUNTIF($C$5:$C380,Kardex!$C$4),"")</f>
        <v/>
      </c>
    </row>
    <row r="381" spans="1:13" x14ac:dyDescent="0.25">
      <c r="A381" s="24"/>
      <c r="B381" s="20"/>
      <c r="C381" s="20"/>
      <c r="D381" s="14" t="str">
        <f>IF($C381="","",IFERROR(INDEX(Productos!$B$5:$B$504,MATCH($C381,Productos!$A$5:$A$504,0)),"Clave no existe"))</f>
        <v/>
      </c>
      <c r="E381" s="14" t="str">
        <f>IF($C381="","",IFERROR(INDEX(Productos!$D$5:$D$504,MATCH($C381,Productos!$A$5:$A$504,0)),""))</f>
        <v/>
      </c>
      <c r="F381" s="20"/>
      <c r="G381" s="22" t="str">
        <f>IF($C381="","",IFERROR(INDEX(Productos!$F$5:$F$504,MATCH($C381,Productos!$A$5:$A$504,0)),0))</f>
        <v/>
      </c>
      <c r="H381" s="22" t="str">
        <f t="shared" si="5"/>
        <v/>
      </c>
      <c r="I381" s="14" t="str">
        <f>IF(OR($C381="",$F381=""),"",IFERROR(INDEX(Productos!$I$5:$I$504,MATCH($C381,Productos!$A$5:$A$504,0)),0)+SUMIFS($F$5:$F381,$C$5:$C381,$C381,$B$5:$B381,"Entrada")-SUMIFS($F$5:$F381,$C$5:$C381,$C381,$B$5:$B381,"Salida"))</f>
        <v/>
      </c>
      <c r="J381" s="20"/>
      <c r="K381" s="20"/>
      <c r="L381" s="20"/>
      <c r="M381" s="14" t="str">
        <f>IF(AND($C381&lt;&gt;"",$C381=Kardex!$C$4),COUNTIF($C$5:$C381,Kardex!$C$4),"")</f>
        <v/>
      </c>
    </row>
    <row r="382" spans="1:13" x14ac:dyDescent="0.25">
      <c r="A382" s="24"/>
      <c r="B382" s="20"/>
      <c r="C382" s="20"/>
      <c r="D382" s="14" t="str">
        <f>IF($C382="","",IFERROR(INDEX(Productos!$B$5:$B$504,MATCH($C382,Productos!$A$5:$A$504,0)),"Clave no existe"))</f>
        <v/>
      </c>
      <c r="E382" s="14" t="str">
        <f>IF($C382="","",IFERROR(INDEX(Productos!$D$5:$D$504,MATCH($C382,Productos!$A$5:$A$504,0)),""))</f>
        <v/>
      </c>
      <c r="F382" s="20"/>
      <c r="G382" s="22" t="str">
        <f>IF($C382="","",IFERROR(INDEX(Productos!$F$5:$F$504,MATCH($C382,Productos!$A$5:$A$504,0)),0))</f>
        <v/>
      </c>
      <c r="H382" s="22" t="str">
        <f t="shared" si="5"/>
        <v/>
      </c>
      <c r="I382" s="14" t="str">
        <f>IF(OR($C382="",$F382=""),"",IFERROR(INDEX(Productos!$I$5:$I$504,MATCH($C382,Productos!$A$5:$A$504,0)),0)+SUMIFS($F$5:$F382,$C$5:$C382,$C382,$B$5:$B382,"Entrada")-SUMIFS($F$5:$F382,$C$5:$C382,$C382,$B$5:$B382,"Salida"))</f>
        <v/>
      </c>
      <c r="J382" s="20"/>
      <c r="K382" s="20"/>
      <c r="L382" s="20"/>
      <c r="M382" s="14" t="str">
        <f>IF(AND($C382&lt;&gt;"",$C382=Kardex!$C$4),COUNTIF($C$5:$C382,Kardex!$C$4),"")</f>
        <v/>
      </c>
    </row>
    <row r="383" spans="1:13" x14ac:dyDescent="0.25">
      <c r="A383" s="24"/>
      <c r="B383" s="20"/>
      <c r="C383" s="20"/>
      <c r="D383" s="14" t="str">
        <f>IF($C383="","",IFERROR(INDEX(Productos!$B$5:$B$504,MATCH($C383,Productos!$A$5:$A$504,0)),"Clave no existe"))</f>
        <v/>
      </c>
      <c r="E383" s="14" t="str">
        <f>IF($C383="","",IFERROR(INDEX(Productos!$D$5:$D$504,MATCH($C383,Productos!$A$5:$A$504,0)),""))</f>
        <v/>
      </c>
      <c r="F383" s="20"/>
      <c r="G383" s="22" t="str">
        <f>IF($C383="","",IFERROR(INDEX(Productos!$F$5:$F$504,MATCH($C383,Productos!$A$5:$A$504,0)),0))</f>
        <v/>
      </c>
      <c r="H383" s="22" t="str">
        <f t="shared" si="5"/>
        <v/>
      </c>
      <c r="I383" s="14" t="str">
        <f>IF(OR($C383="",$F383=""),"",IFERROR(INDEX(Productos!$I$5:$I$504,MATCH($C383,Productos!$A$5:$A$504,0)),0)+SUMIFS($F$5:$F383,$C$5:$C383,$C383,$B$5:$B383,"Entrada")-SUMIFS($F$5:$F383,$C$5:$C383,$C383,$B$5:$B383,"Salida"))</f>
        <v/>
      </c>
      <c r="J383" s="20"/>
      <c r="K383" s="20"/>
      <c r="L383" s="20"/>
      <c r="M383" s="14" t="str">
        <f>IF(AND($C383&lt;&gt;"",$C383=Kardex!$C$4),COUNTIF($C$5:$C383,Kardex!$C$4),"")</f>
        <v/>
      </c>
    </row>
    <row r="384" spans="1:13" x14ac:dyDescent="0.25">
      <c r="A384" s="24"/>
      <c r="B384" s="20"/>
      <c r="C384" s="20"/>
      <c r="D384" s="14" t="str">
        <f>IF($C384="","",IFERROR(INDEX(Productos!$B$5:$B$504,MATCH($C384,Productos!$A$5:$A$504,0)),"Clave no existe"))</f>
        <v/>
      </c>
      <c r="E384" s="14" t="str">
        <f>IF($C384="","",IFERROR(INDEX(Productos!$D$5:$D$504,MATCH($C384,Productos!$A$5:$A$504,0)),""))</f>
        <v/>
      </c>
      <c r="F384" s="20"/>
      <c r="G384" s="22" t="str">
        <f>IF($C384="","",IFERROR(INDEX(Productos!$F$5:$F$504,MATCH($C384,Productos!$A$5:$A$504,0)),0))</f>
        <v/>
      </c>
      <c r="H384" s="22" t="str">
        <f t="shared" si="5"/>
        <v/>
      </c>
      <c r="I384" s="14" t="str">
        <f>IF(OR($C384="",$F384=""),"",IFERROR(INDEX(Productos!$I$5:$I$504,MATCH($C384,Productos!$A$5:$A$504,0)),0)+SUMIFS($F$5:$F384,$C$5:$C384,$C384,$B$5:$B384,"Entrada")-SUMIFS($F$5:$F384,$C$5:$C384,$C384,$B$5:$B384,"Salida"))</f>
        <v/>
      </c>
      <c r="J384" s="20"/>
      <c r="K384" s="20"/>
      <c r="L384" s="20"/>
      <c r="M384" s="14" t="str">
        <f>IF(AND($C384&lt;&gt;"",$C384=Kardex!$C$4),COUNTIF($C$5:$C384,Kardex!$C$4),"")</f>
        <v/>
      </c>
    </row>
    <row r="385" spans="1:13" x14ac:dyDescent="0.25">
      <c r="A385" s="24"/>
      <c r="B385" s="20"/>
      <c r="C385" s="20"/>
      <c r="D385" s="14" t="str">
        <f>IF($C385="","",IFERROR(INDEX(Productos!$B$5:$B$504,MATCH($C385,Productos!$A$5:$A$504,0)),"Clave no existe"))</f>
        <v/>
      </c>
      <c r="E385" s="14" t="str">
        <f>IF($C385="","",IFERROR(INDEX(Productos!$D$5:$D$504,MATCH($C385,Productos!$A$5:$A$504,0)),""))</f>
        <v/>
      </c>
      <c r="F385" s="20"/>
      <c r="G385" s="22" t="str">
        <f>IF($C385="","",IFERROR(INDEX(Productos!$F$5:$F$504,MATCH($C385,Productos!$A$5:$A$504,0)),0))</f>
        <v/>
      </c>
      <c r="H385" s="22" t="str">
        <f t="shared" si="5"/>
        <v/>
      </c>
      <c r="I385" s="14" t="str">
        <f>IF(OR($C385="",$F385=""),"",IFERROR(INDEX(Productos!$I$5:$I$504,MATCH($C385,Productos!$A$5:$A$504,0)),0)+SUMIFS($F$5:$F385,$C$5:$C385,$C385,$B$5:$B385,"Entrada")-SUMIFS($F$5:$F385,$C$5:$C385,$C385,$B$5:$B385,"Salida"))</f>
        <v/>
      </c>
      <c r="J385" s="20"/>
      <c r="K385" s="20"/>
      <c r="L385" s="20"/>
      <c r="M385" s="14" t="str">
        <f>IF(AND($C385&lt;&gt;"",$C385=Kardex!$C$4),COUNTIF($C$5:$C385,Kardex!$C$4),"")</f>
        <v/>
      </c>
    </row>
    <row r="386" spans="1:13" x14ac:dyDescent="0.25">
      <c r="A386" s="24"/>
      <c r="B386" s="20"/>
      <c r="C386" s="20"/>
      <c r="D386" s="14" t="str">
        <f>IF($C386="","",IFERROR(INDEX(Productos!$B$5:$B$504,MATCH($C386,Productos!$A$5:$A$504,0)),"Clave no existe"))</f>
        <v/>
      </c>
      <c r="E386" s="14" t="str">
        <f>IF($C386="","",IFERROR(INDEX(Productos!$D$5:$D$504,MATCH($C386,Productos!$A$5:$A$504,0)),""))</f>
        <v/>
      </c>
      <c r="F386" s="20"/>
      <c r="G386" s="22" t="str">
        <f>IF($C386="","",IFERROR(INDEX(Productos!$F$5:$F$504,MATCH($C386,Productos!$A$5:$A$504,0)),0))</f>
        <v/>
      </c>
      <c r="H386" s="22" t="str">
        <f t="shared" si="5"/>
        <v/>
      </c>
      <c r="I386" s="14" t="str">
        <f>IF(OR($C386="",$F386=""),"",IFERROR(INDEX(Productos!$I$5:$I$504,MATCH($C386,Productos!$A$5:$A$504,0)),0)+SUMIFS($F$5:$F386,$C$5:$C386,$C386,$B$5:$B386,"Entrada")-SUMIFS($F$5:$F386,$C$5:$C386,$C386,$B$5:$B386,"Salida"))</f>
        <v/>
      </c>
      <c r="J386" s="20"/>
      <c r="K386" s="20"/>
      <c r="L386" s="20"/>
      <c r="M386" s="14" t="str">
        <f>IF(AND($C386&lt;&gt;"",$C386=Kardex!$C$4),COUNTIF($C$5:$C386,Kardex!$C$4),"")</f>
        <v/>
      </c>
    </row>
    <row r="387" spans="1:13" x14ac:dyDescent="0.25">
      <c r="A387" s="24"/>
      <c r="B387" s="20"/>
      <c r="C387" s="20"/>
      <c r="D387" s="14" t="str">
        <f>IF($C387="","",IFERROR(INDEX(Productos!$B$5:$B$504,MATCH($C387,Productos!$A$5:$A$504,0)),"Clave no existe"))</f>
        <v/>
      </c>
      <c r="E387" s="14" t="str">
        <f>IF($C387="","",IFERROR(INDEX(Productos!$D$5:$D$504,MATCH($C387,Productos!$A$5:$A$504,0)),""))</f>
        <v/>
      </c>
      <c r="F387" s="20"/>
      <c r="G387" s="22" t="str">
        <f>IF($C387="","",IFERROR(INDEX(Productos!$F$5:$F$504,MATCH($C387,Productos!$A$5:$A$504,0)),0))</f>
        <v/>
      </c>
      <c r="H387" s="22" t="str">
        <f t="shared" si="5"/>
        <v/>
      </c>
      <c r="I387" s="14" t="str">
        <f>IF(OR($C387="",$F387=""),"",IFERROR(INDEX(Productos!$I$5:$I$504,MATCH($C387,Productos!$A$5:$A$504,0)),0)+SUMIFS($F$5:$F387,$C$5:$C387,$C387,$B$5:$B387,"Entrada")-SUMIFS($F$5:$F387,$C$5:$C387,$C387,$B$5:$B387,"Salida"))</f>
        <v/>
      </c>
      <c r="J387" s="20"/>
      <c r="K387" s="20"/>
      <c r="L387" s="20"/>
      <c r="M387" s="14" t="str">
        <f>IF(AND($C387&lt;&gt;"",$C387=Kardex!$C$4),COUNTIF($C$5:$C387,Kardex!$C$4),"")</f>
        <v/>
      </c>
    </row>
    <row r="388" spans="1:13" x14ac:dyDescent="0.25">
      <c r="A388" s="24"/>
      <c r="B388" s="20"/>
      <c r="C388" s="20"/>
      <c r="D388" s="14" t="str">
        <f>IF($C388="","",IFERROR(INDEX(Productos!$B$5:$B$504,MATCH($C388,Productos!$A$5:$A$504,0)),"Clave no existe"))</f>
        <v/>
      </c>
      <c r="E388" s="14" t="str">
        <f>IF($C388="","",IFERROR(INDEX(Productos!$D$5:$D$504,MATCH($C388,Productos!$A$5:$A$504,0)),""))</f>
        <v/>
      </c>
      <c r="F388" s="20"/>
      <c r="G388" s="22" t="str">
        <f>IF($C388="","",IFERROR(INDEX(Productos!$F$5:$F$504,MATCH($C388,Productos!$A$5:$A$504,0)),0))</f>
        <v/>
      </c>
      <c r="H388" s="22" t="str">
        <f t="shared" si="5"/>
        <v/>
      </c>
      <c r="I388" s="14" t="str">
        <f>IF(OR($C388="",$F388=""),"",IFERROR(INDEX(Productos!$I$5:$I$504,MATCH($C388,Productos!$A$5:$A$504,0)),0)+SUMIFS($F$5:$F388,$C$5:$C388,$C388,$B$5:$B388,"Entrada")-SUMIFS($F$5:$F388,$C$5:$C388,$C388,$B$5:$B388,"Salida"))</f>
        <v/>
      </c>
      <c r="J388" s="20"/>
      <c r="K388" s="20"/>
      <c r="L388" s="20"/>
      <c r="M388" s="14" t="str">
        <f>IF(AND($C388&lt;&gt;"",$C388=Kardex!$C$4),COUNTIF($C$5:$C388,Kardex!$C$4),"")</f>
        <v/>
      </c>
    </row>
    <row r="389" spans="1:13" x14ac:dyDescent="0.25">
      <c r="A389" s="24"/>
      <c r="B389" s="20"/>
      <c r="C389" s="20"/>
      <c r="D389" s="14" t="str">
        <f>IF($C389="","",IFERROR(INDEX(Productos!$B$5:$B$504,MATCH($C389,Productos!$A$5:$A$504,0)),"Clave no existe"))</f>
        <v/>
      </c>
      <c r="E389" s="14" t="str">
        <f>IF($C389="","",IFERROR(INDEX(Productos!$D$5:$D$504,MATCH($C389,Productos!$A$5:$A$504,0)),""))</f>
        <v/>
      </c>
      <c r="F389" s="20"/>
      <c r="G389" s="22" t="str">
        <f>IF($C389="","",IFERROR(INDEX(Productos!$F$5:$F$504,MATCH($C389,Productos!$A$5:$A$504,0)),0))</f>
        <v/>
      </c>
      <c r="H389" s="22" t="str">
        <f t="shared" ref="H389:H452" si="6">IF(OR($C389="",$F389=""),"",F389*G389)</f>
        <v/>
      </c>
      <c r="I389" s="14" t="str">
        <f>IF(OR($C389="",$F389=""),"",IFERROR(INDEX(Productos!$I$5:$I$504,MATCH($C389,Productos!$A$5:$A$504,0)),0)+SUMIFS($F$5:$F389,$C$5:$C389,$C389,$B$5:$B389,"Entrada")-SUMIFS($F$5:$F389,$C$5:$C389,$C389,$B$5:$B389,"Salida"))</f>
        <v/>
      </c>
      <c r="J389" s="20"/>
      <c r="K389" s="20"/>
      <c r="L389" s="20"/>
      <c r="M389" s="14" t="str">
        <f>IF(AND($C389&lt;&gt;"",$C389=Kardex!$C$4),COUNTIF($C$5:$C389,Kardex!$C$4),"")</f>
        <v/>
      </c>
    </row>
    <row r="390" spans="1:13" x14ac:dyDescent="0.25">
      <c r="A390" s="24"/>
      <c r="B390" s="20"/>
      <c r="C390" s="20"/>
      <c r="D390" s="14" t="str">
        <f>IF($C390="","",IFERROR(INDEX(Productos!$B$5:$B$504,MATCH($C390,Productos!$A$5:$A$504,0)),"Clave no existe"))</f>
        <v/>
      </c>
      <c r="E390" s="14" t="str">
        <f>IF($C390="","",IFERROR(INDEX(Productos!$D$5:$D$504,MATCH($C390,Productos!$A$5:$A$504,0)),""))</f>
        <v/>
      </c>
      <c r="F390" s="20"/>
      <c r="G390" s="22" t="str">
        <f>IF($C390="","",IFERROR(INDEX(Productos!$F$5:$F$504,MATCH($C390,Productos!$A$5:$A$504,0)),0))</f>
        <v/>
      </c>
      <c r="H390" s="22" t="str">
        <f t="shared" si="6"/>
        <v/>
      </c>
      <c r="I390" s="14" t="str">
        <f>IF(OR($C390="",$F390=""),"",IFERROR(INDEX(Productos!$I$5:$I$504,MATCH($C390,Productos!$A$5:$A$504,0)),0)+SUMIFS($F$5:$F390,$C$5:$C390,$C390,$B$5:$B390,"Entrada")-SUMIFS($F$5:$F390,$C$5:$C390,$C390,$B$5:$B390,"Salida"))</f>
        <v/>
      </c>
      <c r="J390" s="20"/>
      <c r="K390" s="20"/>
      <c r="L390" s="20"/>
      <c r="M390" s="14" t="str">
        <f>IF(AND($C390&lt;&gt;"",$C390=Kardex!$C$4),COUNTIF($C$5:$C390,Kardex!$C$4),"")</f>
        <v/>
      </c>
    </row>
    <row r="391" spans="1:13" x14ac:dyDescent="0.25">
      <c r="A391" s="24"/>
      <c r="B391" s="20"/>
      <c r="C391" s="20"/>
      <c r="D391" s="14" t="str">
        <f>IF($C391="","",IFERROR(INDEX(Productos!$B$5:$B$504,MATCH($C391,Productos!$A$5:$A$504,0)),"Clave no existe"))</f>
        <v/>
      </c>
      <c r="E391" s="14" t="str">
        <f>IF($C391="","",IFERROR(INDEX(Productos!$D$5:$D$504,MATCH($C391,Productos!$A$5:$A$504,0)),""))</f>
        <v/>
      </c>
      <c r="F391" s="20"/>
      <c r="G391" s="22" t="str">
        <f>IF($C391="","",IFERROR(INDEX(Productos!$F$5:$F$504,MATCH($C391,Productos!$A$5:$A$504,0)),0))</f>
        <v/>
      </c>
      <c r="H391" s="22" t="str">
        <f t="shared" si="6"/>
        <v/>
      </c>
      <c r="I391" s="14" t="str">
        <f>IF(OR($C391="",$F391=""),"",IFERROR(INDEX(Productos!$I$5:$I$504,MATCH($C391,Productos!$A$5:$A$504,0)),0)+SUMIFS($F$5:$F391,$C$5:$C391,$C391,$B$5:$B391,"Entrada")-SUMIFS($F$5:$F391,$C$5:$C391,$C391,$B$5:$B391,"Salida"))</f>
        <v/>
      </c>
      <c r="J391" s="20"/>
      <c r="K391" s="20"/>
      <c r="L391" s="20"/>
      <c r="M391" s="14" t="str">
        <f>IF(AND($C391&lt;&gt;"",$C391=Kardex!$C$4),COUNTIF($C$5:$C391,Kardex!$C$4),"")</f>
        <v/>
      </c>
    </row>
    <row r="392" spans="1:13" x14ac:dyDescent="0.25">
      <c r="A392" s="24"/>
      <c r="B392" s="20"/>
      <c r="C392" s="20"/>
      <c r="D392" s="14" t="str">
        <f>IF($C392="","",IFERROR(INDEX(Productos!$B$5:$B$504,MATCH($C392,Productos!$A$5:$A$504,0)),"Clave no existe"))</f>
        <v/>
      </c>
      <c r="E392" s="14" t="str">
        <f>IF($C392="","",IFERROR(INDEX(Productos!$D$5:$D$504,MATCH($C392,Productos!$A$5:$A$504,0)),""))</f>
        <v/>
      </c>
      <c r="F392" s="20"/>
      <c r="G392" s="22" t="str">
        <f>IF($C392="","",IFERROR(INDEX(Productos!$F$5:$F$504,MATCH($C392,Productos!$A$5:$A$504,0)),0))</f>
        <v/>
      </c>
      <c r="H392" s="22" t="str">
        <f t="shared" si="6"/>
        <v/>
      </c>
      <c r="I392" s="14" t="str">
        <f>IF(OR($C392="",$F392=""),"",IFERROR(INDEX(Productos!$I$5:$I$504,MATCH($C392,Productos!$A$5:$A$504,0)),0)+SUMIFS($F$5:$F392,$C$5:$C392,$C392,$B$5:$B392,"Entrada")-SUMIFS($F$5:$F392,$C$5:$C392,$C392,$B$5:$B392,"Salida"))</f>
        <v/>
      </c>
      <c r="J392" s="20"/>
      <c r="K392" s="20"/>
      <c r="L392" s="20"/>
      <c r="M392" s="14" t="str">
        <f>IF(AND($C392&lt;&gt;"",$C392=Kardex!$C$4),COUNTIF($C$5:$C392,Kardex!$C$4),"")</f>
        <v/>
      </c>
    </row>
    <row r="393" spans="1:13" x14ac:dyDescent="0.25">
      <c r="A393" s="24"/>
      <c r="B393" s="20"/>
      <c r="C393" s="20"/>
      <c r="D393" s="14" t="str">
        <f>IF($C393="","",IFERROR(INDEX(Productos!$B$5:$B$504,MATCH($C393,Productos!$A$5:$A$504,0)),"Clave no existe"))</f>
        <v/>
      </c>
      <c r="E393" s="14" t="str">
        <f>IF($C393="","",IFERROR(INDEX(Productos!$D$5:$D$504,MATCH($C393,Productos!$A$5:$A$504,0)),""))</f>
        <v/>
      </c>
      <c r="F393" s="20"/>
      <c r="G393" s="22" t="str">
        <f>IF($C393="","",IFERROR(INDEX(Productos!$F$5:$F$504,MATCH($C393,Productos!$A$5:$A$504,0)),0))</f>
        <v/>
      </c>
      <c r="H393" s="22" t="str">
        <f t="shared" si="6"/>
        <v/>
      </c>
      <c r="I393" s="14" t="str">
        <f>IF(OR($C393="",$F393=""),"",IFERROR(INDEX(Productos!$I$5:$I$504,MATCH($C393,Productos!$A$5:$A$504,0)),0)+SUMIFS($F$5:$F393,$C$5:$C393,$C393,$B$5:$B393,"Entrada")-SUMIFS($F$5:$F393,$C$5:$C393,$C393,$B$5:$B393,"Salida"))</f>
        <v/>
      </c>
      <c r="J393" s="20"/>
      <c r="K393" s="20"/>
      <c r="L393" s="20"/>
      <c r="M393" s="14" t="str">
        <f>IF(AND($C393&lt;&gt;"",$C393=Kardex!$C$4),COUNTIF($C$5:$C393,Kardex!$C$4),"")</f>
        <v/>
      </c>
    </row>
    <row r="394" spans="1:13" x14ac:dyDescent="0.25">
      <c r="A394" s="24"/>
      <c r="B394" s="20"/>
      <c r="C394" s="20"/>
      <c r="D394" s="14" t="str">
        <f>IF($C394="","",IFERROR(INDEX(Productos!$B$5:$B$504,MATCH($C394,Productos!$A$5:$A$504,0)),"Clave no existe"))</f>
        <v/>
      </c>
      <c r="E394" s="14" t="str">
        <f>IF($C394="","",IFERROR(INDEX(Productos!$D$5:$D$504,MATCH($C394,Productos!$A$5:$A$504,0)),""))</f>
        <v/>
      </c>
      <c r="F394" s="20"/>
      <c r="G394" s="22" t="str">
        <f>IF($C394="","",IFERROR(INDEX(Productos!$F$5:$F$504,MATCH($C394,Productos!$A$5:$A$504,0)),0))</f>
        <v/>
      </c>
      <c r="H394" s="22" t="str">
        <f t="shared" si="6"/>
        <v/>
      </c>
      <c r="I394" s="14" t="str">
        <f>IF(OR($C394="",$F394=""),"",IFERROR(INDEX(Productos!$I$5:$I$504,MATCH($C394,Productos!$A$5:$A$504,0)),0)+SUMIFS($F$5:$F394,$C$5:$C394,$C394,$B$5:$B394,"Entrada")-SUMIFS($F$5:$F394,$C$5:$C394,$C394,$B$5:$B394,"Salida"))</f>
        <v/>
      </c>
      <c r="J394" s="20"/>
      <c r="K394" s="20"/>
      <c r="L394" s="20"/>
      <c r="M394" s="14" t="str">
        <f>IF(AND($C394&lt;&gt;"",$C394=Kardex!$C$4),COUNTIF($C$5:$C394,Kardex!$C$4),"")</f>
        <v/>
      </c>
    </row>
    <row r="395" spans="1:13" x14ac:dyDescent="0.25">
      <c r="A395" s="24"/>
      <c r="B395" s="20"/>
      <c r="C395" s="20"/>
      <c r="D395" s="14" t="str">
        <f>IF($C395="","",IFERROR(INDEX(Productos!$B$5:$B$504,MATCH($C395,Productos!$A$5:$A$504,0)),"Clave no existe"))</f>
        <v/>
      </c>
      <c r="E395" s="14" t="str">
        <f>IF($C395="","",IFERROR(INDEX(Productos!$D$5:$D$504,MATCH($C395,Productos!$A$5:$A$504,0)),""))</f>
        <v/>
      </c>
      <c r="F395" s="20"/>
      <c r="G395" s="22" t="str">
        <f>IF($C395="","",IFERROR(INDEX(Productos!$F$5:$F$504,MATCH($C395,Productos!$A$5:$A$504,0)),0))</f>
        <v/>
      </c>
      <c r="H395" s="22" t="str">
        <f t="shared" si="6"/>
        <v/>
      </c>
      <c r="I395" s="14" t="str">
        <f>IF(OR($C395="",$F395=""),"",IFERROR(INDEX(Productos!$I$5:$I$504,MATCH($C395,Productos!$A$5:$A$504,0)),0)+SUMIFS($F$5:$F395,$C$5:$C395,$C395,$B$5:$B395,"Entrada")-SUMIFS($F$5:$F395,$C$5:$C395,$C395,$B$5:$B395,"Salida"))</f>
        <v/>
      </c>
      <c r="J395" s="20"/>
      <c r="K395" s="20"/>
      <c r="L395" s="20"/>
      <c r="M395" s="14" t="str">
        <f>IF(AND($C395&lt;&gt;"",$C395=Kardex!$C$4),COUNTIF($C$5:$C395,Kardex!$C$4),"")</f>
        <v/>
      </c>
    </row>
    <row r="396" spans="1:13" x14ac:dyDescent="0.25">
      <c r="A396" s="24"/>
      <c r="B396" s="20"/>
      <c r="C396" s="20"/>
      <c r="D396" s="14" t="str">
        <f>IF($C396="","",IFERROR(INDEX(Productos!$B$5:$B$504,MATCH($C396,Productos!$A$5:$A$504,0)),"Clave no existe"))</f>
        <v/>
      </c>
      <c r="E396" s="14" t="str">
        <f>IF($C396="","",IFERROR(INDEX(Productos!$D$5:$D$504,MATCH($C396,Productos!$A$5:$A$504,0)),""))</f>
        <v/>
      </c>
      <c r="F396" s="20"/>
      <c r="G396" s="22" t="str">
        <f>IF($C396="","",IFERROR(INDEX(Productos!$F$5:$F$504,MATCH($C396,Productos!$A$5:$A$504,0)),0))</f>
        <v/>
      </c>
      <c r="H396" s="22" t="str">
        <f t="shared" si="6"/>
        <v/>
      </c>
      <c r="I396" s="14" t="str">
        <f>IF(OR($C396="",$F396=""),"",IFERROR(INDEX(Productos!$I$5:$I$504,MATCH($C396,Productos!$A$5:$A$504,0)),0)+SUMIFS($F$5:$F396,$C$5:$C396,$C396,$B$5:$B396,"Entrada")-SUMIFS($F$5:$F396,$C$5:$C396,$C396,$B$5:$B396,"Salida"))</f>
        <v/>
      </c>
      <c r="J396" s="20"/>
      <c r="K396" s="20"/>
      <c r="L396" s="20"/>
      <c r="M396" s="14" t="str">
        <f>IF(AND($C396&lt;&gt;"",$C396=Kardex!$C$4),COUNTIF($C$5:$C396,Kardex!$C$4),"")</f>
        <v/>
      </c>
    </row>
    <row r="397" spans="1:13" x14ac:dyDescent="0.25">
      <c r="A397" s="24"/>
      <c r="B397" s="20"/>
      <c r="C397" s="20"/>
      <c r="D397" s="14" t="str">
        <f>IF($C397="","",IFERROR(INDEX(Productos!$B$5:$B$504,MATCH($C397,Productos!$A$5:$A$504,0)),"Clave no existe"))</f>
        <v/>
      </c>
      <c r="E397" s="14" t="str">
        <f>IF($C397="","",IFERROR(INDEX(Productos!$D$5:$D$504,MATCH($C397,Productos!$A$5:$A$504,0)),""))</f>
        <v/>
      </c>
      <c r="F397" s="20"/>
      <c r="G397" s="22" t="str">
        <f>IF($C397="","",IFERROR(INDEX(Productos!$F$5:$F$504,MATCH($C397,Productos!$A$5:$A$504,0)),0))</f>
        <v/>
      </c>
      <c r="H397" s="22" t="str">
        <f t="shared" si="6"/>
        <v/>
      </c>
      <c r="I397" s="14" t="str">
        <f>IF(OR($C397="",$F397=""),"",IFERROR(INDEX(Productos!$I$5:$I$504,MATCH($C397,Productos!$A$5:$A$504,0)),0)+SUMIFS($F$5:$F397,$C$5:$C397,$C397,$B$5:$B397,"Entrada")-SUMIFS($F$5:$F397,$C$5:$C397,$C397,$B$5:$B397,"Salida"))</f>
        <v/>
      </c>
      <c r="J397" s="20"/>
      <c r="K397" s="20"/>
      <c r="L397" s="20"/>
      <c r="M397" s="14" t="str">
        <f>IF(AND($C397&lt;&gt;"",$C397=Kardex!$C$4),COUNTIF($C$5:$C397,Kardex!$C$4),"")</f>
        <v/>
      </c>
    </row>
    <row r="398" spans="1:13" x14ac:dyDescent="0.25">
      <c r="A398" s="24"/>
      <c r="B398" s="20"/>
      <c r="C398" s="20"/>
      <c r="D398" s="14" t="str">
        <f>IF($C398="","",IFERROR(INDEX(Productos!$B$5:$B$504,MATCH($C398,Productos!$A$5:$A$504,0)),"Clave no existe"))</f>
        <v/>
      </c>
      <c r="E398" s="14" t="str">
        <f>IF($C398="","",IFERROR(INDEX(Productos!$D$5:$D$504,MATCH($C398,Productos!$A$5:$A$504,0)),""))</f>
        <v/>
      </c>
      <c r="F398" s="20"/>
      <c r="G398" s="22" t="str">
        <f>IF($C398="","",IFERROR(INDEX(Productos!$F$5:$F$504,MATCH($C398,Productos!$A$5:$A$504,0)),0))</f>
        <v/>
      </c>
      <c r="H398" s="22" t="str">
        <f t="shared" si="6"/>
        <v/>
      </c>
      <c r="I398" s="14" t="str">
        <f>IF(OR($C398="",$F398=""),"",IFERROR(INDEX(Productos!$I$5:$I$504,MATCH($C398,Productos!$A$5:$A$504,0)),0)+SUMIFS($F$5:$F398,$C$5:$C398,$C398,$B$5:$B398,"Entrada")-SUMIFS($F$5:$F398,$C$5:$C398,$C398,$B$5:$B398,"Salida"))</f>
        <v/>
      </c>
      <c r="J398" s="20"/>
      <c r="K398" s="20"/>
      <c r="L398" s="20"/>
      <c r="M398" s="14" t="str">
        <f>IF(AND($C398&lt;&gt;"",$C398=Kardex!$C$4),COUNTIF($C$5:$C398,Kardex!$C$4),"")</f>
        <v/>
      </c>
    </row>
    <row r="399" spans="1:13" x14ac:dyDescent="0.25">
      <c r="A399" s="24"/>
      <c r="B399" s="20"/>
      <c r="C399" s="20"/>
      <c r="D399" s="14" t="str">
        <f>IF($C399="","",IFERROR(INDEX(Productos!$B$5:$B$504,MATCH($C399,Productos!$A$5:$A$504,0)),"Clave no existe"))</f>
        <v/>
      </c>
      <c r="E399" s="14" t="str">
        <f>IF($C399="","",IFERROR(INDEX(Productos!$D$5:$D$504,MATCH($C399,Productos!$A$5:$A$504,0)),""))</f>
        <v/>
      </c>
      <c r="F399" s="20"/>
      <c r="G399" s="22" t="str">
        <f>IF($C399="","",IFERROR(INDEX(Productos!$F$5:$F$504,MATCH($C399,Productos!$A$5:$A$504,0)),0))</f>
        <v/>
      </c>
      <c r="H399" s="22" t="str">
        <f t="shared" si="6"/>
        <v/>
      </c>
      <c r="I399" s="14" t="str">
        <f>IF(OR($C399="",$F399=""),"",IFERROR(INDEX(Productos!$I$5:$I$504,MATCH($C399,Productos!$A$5:$A$504,0)),0)+SUMIFS($F$5:$F399,$C$5:$C399,$C399,$B$5:$B399,"Entrada")-SUMIFS($F$5:$F399,$C$5:$C399,$C399,$B$5:$B399,"Salida"))</f>
        <v/>
      </c>
      <c r="J399" s="20"/>
      <c r="K399" s="20"/>
      <c r="L399" s="20"/>
      <c r="M399" s="14" t="str">
        <f>IF(AND($C399&lt;&gt;"",$C399=Kardex!$C$4),COUNTIF($C$5:$C399,Kardex!$C$4),"")</f>
        <v/>
      </c>
    </row>
    <row r="400" spans="1:13" x14ac:dyDescent="0.25">
      <c r="A400" s="24"/>
      <c r="B400" s="20"/>
      <c r="C400" s="20"/>
      <c r="D400" s="14" t="str">
        <f>IF($C400="","",IFERROR(INDEX(Productos!$B$5:$B$504,MATCH($C400,Productos!$A$5:$A$504,0)),"Clave no existe"))</f>
        <v/>
      </c>
      <c r="E400" s="14" t="str">
        <f>IF($C400="","",IFERROR(INDEX(Productos!$D$5:$D$504,MATCH($C400,Productos!$A$5:$A$504,0)),""))</f>
        <v/>
      </c>
      <c r="F400" s="20"/>
      <c r="G400" s="22" t="str">
        <f>IF($C400="","",IFERROR(INDEX(Productos!$F$5:$F$504,MATCH($C400,Productos!$A$5:$A$504,0)),0))</f>
        <v/>
      </c>
      <c r="H400" s="22" t="str">
        <f t="shared" si="6"/>
        <v/>
      </c>
      <c r="I400" s="14" t="str">
        <f>IF(OR($C400="",$F400=""),"",IFERROR(INDEX(Productos!$I$5:$I$504,MATCH($C400,Productos!$A$5:$A$504,0)),0)+SUMIFS($F$5:$F400,$C$5:$C400,$C400,$B$5:$B400,"Entrada")-SUMIFS($F$5:$F400,$C$5:$C400,$C400,$B$5:$B400,"Salida"))</f>
        <v/>
      </c>
      <c r="J400" s="20"/>
      <c r="K400" s="20"/>
      <c r="L400" s="20"/>
      <c r="M400" s="14" t="str">
        <f>IF(AND($C400&lt;&gt;"",$C400=Kardex!$C$4),COUNTIF($C$5:$C400,Kardex!$C$4),"")</f>
        <v/>
      </c>
    </row>
    <row r="401" spans="1:13" x14ac:dyDescent="0.25">
      <c r="A401" s="24"/>
      <c r="B401" s="20"/>
      <c r="C401" s="20"/>
      <c r="D401" s="14" t="str">
        <f>IF($C401="","",IFERROR(INDEX(Productos!$B$5:$B$504,MATCH($C401,Productos!$A$5:$A$504,0)),"Clave no existe"))</f>
        <v/>
      </c>
      <c r="E401" s="14" t="str">
        <f>IF($C401="","",IFERROR(INDEX(Productos!$D$5:$D$504,MATCH($C401,Productos!$A$5:$A$504,0)),""))</f>
        <v/>
      </c>
      <c r="F401" s="20"/>
      <c r="G401" s="22" t="str">
        <f>IF($C401="","",IFERROR(INDEX(Productos!$F$5:$F$504,MATCH($C401,Productos!$A$5:$A$504,0)),0))</f>
        <v/>
      </c>
      <c r="H401" s="22" t="str">
        <f t="shared" si="6"/>
        <v/>
      </c>
      <c r="I401" s="14" t="str">
        <f>IF(OR($C401="",$F401=""),"",IFERROR(INDEX(Productos!$I$5:$I$504,MATCH($C401,Productos!$A$5:$A$504,0)),0)+SUMIFS($F$5:$F401,$C$5:$C401,$C401,$B$5:$B401,"Entrada")-SUMIFS($F$5:$F401,$C$5:$C401,$C401,$B$5:$B401,"Salida"))</f>
        <v/>
      </c>
      <c r="J401" s="20"/>
      <c r="K401" s="20"/>
      <c r="L401" s="20"/>
      <c r="M401" s="14" t="str">
        <f>IF(AND($C401&lt;&gt;"",$C401=Kardex!$C$4),COUNTIF($C$5:$C401,Kardex!$C$4),"")</f>
        <v/>
      </c>
    </row>
    <row r="402" spans="1:13" x14ac:dyDescent="0.25">
      <c r="A402" s="24"/>
      <c r="B402" s="20"/>
      <c r="C402" s="20"/>
      <c r="D402" s="14" t="str">
        <f>IF($C402="","",IFERROR(INDEX(Productos!$B$5:$B$504,MATCH($C402,Productos!$A$5:$A$504,0)),"Clave no existe"))</f>
        <v/>
      </c>
      <c r="E402" s="14" t="str">
        <f>IF($C402="","",IFERROR(INDEX(Productos!$D$5:$D$504,MATCH($C402,Productos!$A$5:$A$504,0)),""))</f>
        <v/>
      </c>
      <c r="F402" s="20"/>
      <c r="G402" s="22" t="str">
        <f>IF($C402="","",IFERROR(INDEX(Productos!$F$5:$F$504,MATCH($C402,Productos!$A$5:$A$504,0)),0))</f>
        <v/>
      </c>
      <c r="H402" s="22" t="str">
        <f t="shared" si="6"/>
        <v/>
      </c>
      <c r="I402" s="14" t="str">
        <f>IF(OR($C402="",$F402=""),"",IFERROR(INDEX(Productos!$I$5:$I$504,MATCH($C402,Productos!$A$5:$A$504,0)),0)+SUMIFS($F$5:$F402,$C$5:$C402,$C402,$B$5:$B402,"Entrada")-SUMIFS($F$5:$F402,$C$5:$C402,$C402,$B$5:$B402,"Salida"))</f>
        <v/>
      </c>
      <c r="J402" s="20"/>
      <c r="K402" s="20"/>
      <c r="L402" s="20"/>
      <c r="M402" s="14" t="str">
        <f>IF(AND($C402&lt;&gt;"",$C402=Kardex!$C$4),COUNTIF($C$5:$C402,Kardex!$C$4),"")</f>
        <v/>
      </c>
    </row>
    <row r="403" spans="1:13" x14ac:dyDescent="0.25">
      <c r="A403" s="24"/>
      <c r="B403" s="20"/>
      <c r="C403" s="20"/>
      <c r="D403" s="14" t="str">
        <f>IF($C403="","",IFERROR(INDEX(Productos!$B$5:$B$504,MATCH($C403,Productos!$A$5:$A$504,0)),"Clave no existe"))</f>
        <v/>
      </c>
      <c r="E403" s="14" t="str">
        <f>IF($C403="","",IFERROR(INDEX(Productos!$D$5:$D$504,MATCH($C403,Productos!$A$5:$A$504,0)),""))</f>
        <v/>
      </c>
      <c r="F403" s="20"/>
      <c r="G403" s="22" t="str">
        <f>IF($C403="","",IFERROR(INDEX(Productos!$F$5:$F$504,MATCH($C403,Productos!$A$5:$A$504,0)),0))</f>
        <v/>
      </c>
      <c r="H403" s="22" t="str">
        <f t="shared" si="6"/>
        <v/>
      </c>
      <c r="I403" s="14" t="str">
        <f>IF(OR($C403="",$F403=""),"",IFERROR(INDEX(Productos!$I$5:$I$504,MATCH($C403,Productos!$A$5:$A$504,0)),0)+SUMIFS($F$5:$F403,$C$5:$C403,$C403,$B$5:$B403,"Entrada")-SUMIFS($F$5:$F403,$C$5:$C403,$C403,$B$5:$B403,"Salida"))</f>
        <v/>
      </c>
      <c r="J403" s="20"/>
      <c r="K403" s="20"/>
      <c r="L403" s="20"/>
      <c r="M403" s="14" t="str">
        <f>IF(AND($C403&lt;&gt;"",$C403=Kardex!$C$4),COUNTIF($C$5:$C403,Kardex!$C$4),"")</f>
        <v/>
      </c>
    </row>
    <row r="404" spans="1:13" x14ac:dyDescent="0.25">
      <c r="A404" s="24"/>
      <c r="B404" s="20"/>
      <c r="C404" s="20"/>
      <c r="D404" s="14" t="str">
        <f>IF($C404="","",IFERROR(INDEX(Productos!$B$5:$B$504,MATCH($C404,Productos!$A$5:$A$504,0)),"Clave no existe"))</f>
        <v/>
      </c>
      <c r="E404" s="14" t="str">
        <f>IF($C404="","",IFERROR(INDEX(Productos!$D$5:$D$504,MATCH($C404,Productos!$A$5:$A$504,0)),""))</f>
        <v/>
      </c>
      <c r="F404" s="20"/>
      <c r="G404" s="22" t="str">
        <f>IF($C404="","",IFERROR(INDEX(Productos!$F$5:$F$504,MATCH($C404,Productos!$A$5:$A$504,0)),0))</f>
        <v/>
      </c>
      <c r="H404" s="22" t="str">
        <f t="shared" si="6"/>
        <v/>
      </c>
      <c r="I404" s="14" t="str">
        <f>IF(OR($C404="",$F404=""),"",IFERROR(INDEX(Productos!$I$5:$I$504,MATCH($C404,Productos!$A$5:$A$504,0)),0)+SUMIFS($F$5:$F404,$C$5:$C404,$C404,$B$5:$B404,"Entrada")-SUMIFS($F$5:$F404,$C$5:$C404,$C404,$B$5:$B404,"Salida"))</f>
        <v/>
      </c>
      <c r="J404" s="20"/>
      <c r="K404" s="20"/>
      <c r="L404" s="20"/>
      <c r="M404" s="14" t="str">
        <f>IF(AND($C404&lt;&gt;"",$C404=Kardex!$C$4),COUNTIF($C$5:$C404,Kardex!$C$4),"")</f>
        <v/>
      </c>
    </row>
    <row r="405" spans="1:13" x14ac:dyDescent="0.25">
      <c r="A405" s="24"/>
      <c r="B405" s="20"/>
      <c r="C405" s="20"/>
      <c r="D405" s="14" t="str">
        <f>IF($C405="","",IFERROR(INDEX(Productos!$B$5:$B$504,MATCH($C405,Productos!$A$5:$A$504,0)),"Clave no existe"))</f>
        <v/>
      </c>
      <c r="E405" s="14" t="str">
        <f>IF($C405="","",IFERROR(INDEX(Productos!$D$5:$D$504,MATCH($C405,Productos!$A$5:$A$504,0)),""))</f>
        <v/>
      </c>
      <c r="F405" s="20"/>
      <c r="G405" s="22" t="str">
        <f>IF($C405="","",IFERROR(INDEX(Productos!$F$5:$F$504,MATCH($C405,Productos!$A$5:$A$504,0)),0))</f>
        <v/>
      </c>
      <c r="H405" s="22" t="str">
        <f t="shared" si="6"/>
        <v/>
      </c>
      <c r="I405" s="14" t="str">
        <f>IF(OR($C405="",$F405=""),"",IFERROR(INDEX(Productos!$I$5:$I$504,MATCH($C405,Productos!$A$5:$A$504,0)),0)+SUMIFS($F$5:$F405,$C$5:$C405,$C405,$B$5:$B405,"Entrada")-SUMIFS($F$5:$F405,$C$5:$C405,$C405,$B$5:$B405,"Salida"))</f>
        <v/>
      </c>
      <c r="J405" s="20"/>
      <c r="K405" s="20"/>
      <c r="L405" s="20"/>
      <c r="M405" s="14" t="str">
        <f>IF(AND($C405&lt;&gt;"",$C405=Kardex!$C$4),COUNTIF($C$5:$C405,Kardex!$C$4),"")</f>
        <v/>
      </c>
    </row>
    <row r="406" spans="1:13" x14ac:dyDescent="0.25">
      <c r="A406" s="24"/>
      <c r="B406" s="20"/>
      <c r="C406" s="20"/>
      <c r="D406" s="14" t="str">
        <f>IF($C406="","",IFERROR(INDEX(Productos!$B$5:$B$504,MATCH($C406,Productos!$A$5:$A$504,0)),"Clave no existe"))</f>
        <v/>
      </c>
      <c r="E406" s="14" t="str">
        <f>IF($C406="","",IFERROR(INDEX(Productos!$D$5:$D$504,MATCH($C406,Productos!$A$5:$A$504,0)),""))</f>
        <v/>
      </c>
      <c r="F406" s="20"/>
      <c r="G406" s="22" t="str">
        <f>IF($C406="","",IFERROR(INDEX(Productos!$F$5:$F$504,MATCH($C406,Productos!$A$5:$A$504,0)),0))</f>
        <v/>
      </c>
      <c r="H406" s="22" t="str">
        <f t="shared" si="6"/>
        <v/>
      </c>
      <c r="I406" s="14" t="str">
        <f>IF(OR($C406="",$F406=""),"",IFERROR(INDEX(Productos!$I$5:$I$504,MATCH($C406,Productos!$A$5:$A$504,0)),0)+SUMIFS($F$5:$F406,$C$5:$C406,$C406,$B$5:$B406,"Entrada")-SUMIFS($F$5:$F406,$C$5:$C406,$C406,$B$5:$B406,"Salida"))</f>
        <v/>
      </c>
      <c r="J406" s="20"/>
      <c r="K406" s="20"/>
      <c r="L406" s="20"/>
      <c r="M406" s="14" t="str">
        <f>IF(AND($C406&lt;&gt;"",$C406=Kardex!$C$4),COUNTIF($C$5:$C406,Kardex!$C$4),"")</f>
        <v/>
      </c>
    </row>
    <row r="407" spans="1:13" x14ac:dyDescent="0.25">
      <c r="A407" s="24"/>
      <c r="B407" s="20"/>
      <c r="C407" s="20"/>
      <c r="D407" s="14" t="str">
        <f>IF($C407="","",IFERROR(INDEX(Productos!$B$5:$B$504,MATCH($C407,Productos!$A$5:$A$504,0)),"Clave no existe"))</f>
        <v/>
      </c>
      <c r="E407" s="14" t="str">
        <f>IF($C407="","",IFERROR(INDEX(Productos!$D$5:$D$504,MATCH($C407,Productos!$A$5:$A$504,0)),""))</f>
        <v/>
      </c>
      <c r="F407" s="20"/>
      <c r="G407" s="22" t="str">
        <f>IF($C407="","",IFERROR(INDEX(Productos!$F$5:$F$504,MATCH($C407,Productos!$A$5:$A$504,0)),0))</f>
        <v/>
      </c>
      <c r="H407" s="22" t="str">
        <f t="shared" si="6"/>
        <v/>
      </c>
      <c r="I407" s="14" t="str">
        <f>IF(OR($C407="",$F407=""),"",IFERROR(INDEX(Productos!$I$5:$I$504,MATCH($C407,Productos!$A$5:$A$504,0)),0)+SUMIFS($F$5:$F407,$C$5:$C407,$C407,$B$5:$B407,"Entrada")-SUMIFS($F$5:$F407,$C$5:$C407,$C407,$B$5:$B407,"Salida"))</f>
        <v/>
      </c>
      <c r="J407" s="20"/>
      <c r="K407" s="20"/>
      <c r="L407" s="20"/>
      <c r="M407" s="14" t="str">
        <f>IF(AND($C407&lt;&gt;"",$C407=Kardex!$C$4),COUNTIF($C$5:$C407,Kardex!$C$4),"")</f>
        <v/>
      </c>
    </row>
    <row r="408" spans="1:13" x14ac:dyDescent="0.25">
      <c r="A408" s="24"/>
      <c r="B408" s="20"/>
      <c r="C408" s="20"/>
      <c r="D408" s="14" t="str">
        <f>IF($C408="","",IFERROR(INDEX(Productos!$B$5:$B$504,MATCH($C408,Productos!$A$5:$A$504,0)),"Clave no existe"))</f>
        <v/>
      </c>
      <c r="E408" s="14" t="str">
        <f>IF($C408="","",IFERROR(INDEX(Productos!$D$5:$D$504,MATCH($C408,Productos!$A$5:$A$504,0)),""))</f>
        <v/>
      </c>
      <c r="F408" s="20"/>
      <c r="G408" s="22" t="str">
        <f>IF($C408="","",IFERROR(INDEX(Productos!$F$5:$F$504,MATCH($C408,Productos!$A$5:$A$504,0)),0))</f>
        <v/>
      </c>
      <c r="H408" s="22" t="str">
        <f t="shared" si="6"/>
        <v/>
      </c>
      <c r="I408" s="14" t="str">
        <f>IF(OR($C408="",$F408=""),"",IFERROR(INDEX(Productos!$I$5:$I$504,MATCH($C408,Productos!$A$5:$A$504,0)),0)+SUMIFS($F$5:$F408,$C$5:$C408,$C408,$B$5:$B408,"Entrada")-SUMIFS($F$5:$F408,$C$5:$C408,$C408,$B$5:$B408,"Salida"))</f>
        <v/>
      </c>
      <c r="J408" s="20"/>
      <c r="K408" s="20"/>
      <c r="L408" s="20"/>
      <c r="M408" s="14" t="str">
        <f>IF(AND($C408&lt;&gt;"",$C408=Kardex!$C$4),COUNTIF($C$5:$C408,Kardex!$C$4),"")</f>
        <v/>
      </c>
    </row>
    <row r="409" spans="1:13" x14ac:dyDescent="0.25">
      <c r="A409" s="24"/>
      <c r="B409" s="20"/>
      <c r="C409" s="20"/>
      <c r="D409" s="14" t="str">
        <f>IF($C409="","",IFERROR(INDEX(Productos!$B$5:$B$504,MATCH($C409,Productos!$A$5:$A$504,0)),"Clave no existe"))</f>
        <v/>
      </c>
      <c r="E409" s="14" t="str">
        <f>IF($C409="","",IFERROR(INDEX(Productos!$D$5:$D$504,MATCH($C409,Productos!$A$5:$A$504,0)),""))</f>
        <v/>
      </c>
      <c r="F409" s="20"/>
      <c r="G409" s="22" t="str">
        <f>IF($C409="","",IFERROR(INDEX(Productos!$F$5:$F$504,MATCH($C409,Productos!$A$5:$A$504,0)),0))</f>
        <v/>
      </c>
      <c r="H409" s="22" t="str">
        <f t="shared" si="6"/>
        <v/>
      </c>
      <c r="I409" s="14" t="str">
        <f>IF(OR($C409="",$F409=""),"",IFERROR(INDEX(Productos!$I$5:$I$504,MATCH($C409,Productos!$A$5:$A$504,0)),0)+SUMIFS($F$5:$F409,$C$5:$C409,$C409,$B$5:$B409,"Entrada")-SUMIFS($F$5:$F409,$C$5:$C409,$C409,$B$5:$B409,"Salida"))</f>
        <v/>
      </c>
      <c r="J409" s="20"/>
      <c r="K409" s="20"/>
      <c r="L409" s="20"/>
      <c r="M409" s="14" t="str">
        <f>IF(AND($C409&lt;&gt;"",$C409=Kardex!$C$4),COUNTIF($C$5:$C409,Kardex!$C$4),"")</f>
        <v/>
      </c>
    </row>
    <row r="410" spans="1:13" x14ac:dyDescent="0.25">
      <c r="A410" s="24"/>
      <c r="B410" s="20"/>
      <c r="C410" s="20"/>
      <c r="D410" s="14" t="str">
        <f>IF($C410="","",IFERROR(INDEX(Productos!$B$5:$B$504,MATCH($C410,Productos!$A$5:$A$504,0)),"Clave no existe"))</f>
        <v/>
      </c>
      <c r="E410" s="14" t="str">
        <f>IF($C410="","",IFERROR(INDEX(Productos!$D$5:$D$504,MATCH($C410,Productos!$A$5:$A$504,0)),""))</f>
        <v/>
      </c>
      <c r="F410" s="20"/>
      <c r="G410" s="22" t="str">
        <f>IF($C410="","",IFERROR(INDEX(Productos!$F$5:$F$504,MATCH($C410,Productos!$A$5:$A$504,0)),0))</f>
        <v/>
      </c>
      <c r="H410" s="22" t="str">
        <f t="shared" si="6"/>
        <v/>
      </c>
      <c r="I410" s="14" t="str">
        <f>IF(OR($C410="",$F410=""),"",IFERROR(INDEX(Productos!$I$5:$I$504,MATCH($C410,Productos!$A$5:$A$504,0)),0)+SUMIFS($F$5:$F410,$C$5:$C410,$C410,$B$5:$B410,"Entrada")-SUMIFS($F$5:$F410,$C$5:$C410,$C410,$B$5:$B410,"Salida"))</f>
        <v/>
      </c>
      <c r="J410" s="20"/>
      <c r="K410" s="20"/>
      <c r="L410" s="20"/>
      <c r="M410" s="14" t="str">
        <f>IF(AND($C410&lt;&gt;"",$C410=Kardex!$C$4),COUNTIF($C$5:$C410,Kardex!$C$4),"")</f>
        <v/>
      </c>
    </row>
    <row r="411" spans="1:13" x14ac:dyDescent="0.25">
      <c r="A411" s="24"/>
      <c r="B411" s="20"/>
      <c r="C411" s="20"/>
      <c r="D411" s="14" t="str">
        <f>IF($C411="","",IFERROR(INDEX(Productos!$B$5:$B$504,MATCH($C411,Productos!$A$5:$A$504,0)),"Clave no existe"))</f>
        <v/>
      </c>
      <c r="E411" s="14" t="str">
        <f>IF($C411="","",IFERROR(INDEX(Productos!$D$5:$D$504,MATCH($C411,Productos!$A$5:$A$504,0)),""))</f>
        <v/>
      </c>
      <c r="F411" s="20"/>
      <c r="G411" s="22" t="str">
        <f>IF($C411="","",IFERROR(INDEX(Productos!$F$5:$F$504,MATCH($C411,Productos!$A$5:$A$504,0)),0))</f>
        <v/>
      </c>
      <c r="H411" s="22" t="str">
        <f t="shared" si="6"/>
        <v/>
      </c>
      <c r="I411" s="14" t="str">
        <f>IF(OR($C411="",$F411=""),"",IFERROR(INDEX(Productos!$I$5:$I$504,MATCH($C411,Productos!$A$5:$A$504,0)),0)+SUMIFS($F$5:$F411,$C$5:$C411,$C411,$B$5:$B411,"Entrada")-SUMIFS($F$5:$F411,$C$5:$C411,$C411,$B$5:$B411,"Salida"))</f>
        <v/>
      </c>
      <c r="J411" s="20"/>
      <c r="K411" s="20"/>
      <c r="L411" s="20"/>
      <c r="M411" s="14" t="str">
        <f>IF(AND($C411&lt;&gt;"",$C411=Kardex!$C$4),COUNTIF($C$5:$C411,Kardex!$C$4),"")</f>
        <v/>
      </c>
    </row>
    <row r="412" spans="1:13" x14ac:dyDescent="0.25">
      <c r="A412" s="24"/>
      <c r="B412" s="20"/>
      <c r="C412" s="20"/>
      <c r="D412" s="14" t="str">
        <f>IF($C412="","",IFERROR(INDEX(Productos!$B$5:$B$504,MATCH($C412,Productos!$A$5:$A$504,0)),"Clave no existe"))</f>
        <v/>
      </c>
      <c r="E412" s="14" t="str">
        <f>IF($C412="","",IFERROR(INDEX(Productos!$D$5:$D$504,MATCH($C412,Productos!$A$5:$A$504,0)),""))</f>
        <v/>
      </c>
      <c r="F412" s="20"/>
      <c r="G412" s="22" t="str">
        <f>IF($C412="","",IFERROR(INDEX(Productos!$F$5:$F$504,MATCH($C412,Productos!$A$5:$A$504,0)),0))</f>
        <v/>
      </c>
      <c r="H412" s="22" t="str">
        <f t="shared" si="6"/>
        <v/>
      </c>
      <c r="I412" s="14" t="str">
        <f>IF(OR($C412="",$F412=""),"",IFERROR(INDEX(Productos!$I$5:$I$504,MATCH($C412,Productos!$A$5:$A$504,0)),0)+SUMIFS($F$5:$F412,$C$5:$C412,$C412,$B$5:$B412,"Entrada")-SUMIFS($F$5:$F412,$C$5:$C412,$C412,$B$5:$B412,"Salida"))</f>
        <v/>
      </c>
      <c r="J412" s="20"/>
      <c r="K412" s="20"/>
      <c r="L412" s="20"/>
      <c r="M412" s="14" t="str">
        <f>IF(AND($C412&lt;&gt;"",$C412=Kardex!$C$4),COUNTIF($C$5:$C412,Kardex!$C$4),"")</f>
        <v/>
      </c>
    </row>
    <row r="413" spans="1:13" x14ac:dyDescent="0.25">
      <c r="A413" s="24"/>
      <c r="B413" s="20"/>
      <c r="C413" s="20"/>
      <c r="D413" s="14" t="str">
        <f>IF($C413="","",IFERROR(INDEX(Productos!$B$5:$B$504,MATCH($C413,Productos!$A$5:$A$504,0)),"Clave no existe"))</f>
        <v/>
      </c>
      <c r="E413" s="14" t="str">
        <f>IF($C413="","",IFERROR(INDEX(Productos!$D$5:$D$504,MATCH($C413,Productos!$A$5:$A$504,0)),""))</f>
        <v/>
      </c>
      <c r="F413" s="20"/>
      <c r="G413" s="22" t="str">
        <f>IF($C413="","",IFERROR(INDEX(Productos!$F$5:$F$504,MATCH($C413,Productos!$A$5:$A$504,0)),0))</f>
        <v/>
      </c>
      <c r="H413" s="22" t="str">
        <f t="shared" si="6"/>
        <v/>
      </c>
      <c r="I413" s="14" t="str">
        <f>IF(OR($C413="",$F413=""),"",IFERROR(INDEX(Productos!$I$5:$I$504,MATCH($C413,Productos!$A$5:$A$504,0)),0)+SUMIFS($F$5:$F413,$C$5:$C413,$C413,$B$5:$B413,"Entrada")-SUMIFS($F$5:$F413,$C$5:$C413,$C413,$B$5:$B413,"Salida"))</f>
        <v/>
      </c>
      <c r="J413" s="20"/>
      <c r="K413" s="20"/>
      <c r="L413" s="20"/>
      <c r="M413" s="14" t="str">
        <f>IF(AND($C413&lt;&gt;"",$C413=Kardex!$C$4),COUNTIF($C$5:$C413,Kardex!$C$4),"")</f>
        <v/>
      </c>
    </row>
    <row r="414" spans="1:13" x14ac:dyDescent="0.25">
      <c r="A414" s="24"/>
      <c r="B414" s="20"/>
      <c r="C414" s="20"/>
      <c r="D414" s="14" t="str">
        <f>IF($C414="","",IFERROR(INDEX(Productos!$B$5:$B$504,MATCH($C414,Productos!$A$5:$A$504,0)),"Clave no existe"))</f>
        <v/>
      </c>
      <c r="E414" s="14" t="str">
        <f>IF($C414="","",IFERROR(INDEX(Productos!$D$5:$D$504,MATCH($C414,Productos!$A$5:$A$504,0)),""))</f>
        <v/>
      </c>
      <c r="F414" s="20"/>
      <c r="G414" s="22" t="str">
        <f>IF($C414="","",IFERROR(INDEX(Productos!$F$5:$F$504,MATCH($C414,Productos!$A$5:$A$504,0)),0))</f>
        <v/>
      </c>
      <c r="H414" s="22" t="str">
        <f t="shared" si="6"/>
        <v/>
      </c>
      <c r="I414" s="14" t="str">
        <f>IF(OR($C414="",$F414=""),"",IFERROR(INDEX(Productos!$I$5:$I$504,MATCH($C414,Productos!$A$5:$A$504,0)),0)+SUMIFS($F$5:$F414,$C$5:$C414,$C414,$B$5:$B414,"Entrada")-SUMIFS($F$5:$F414,$C$5:$C414,$C414,$B$5:$B414,"Salida"))</f>
        <v/>
      </c>
      <c r="J414" s="20"/>
      <c r="K414" s="20"/>
      <c r="L414" s="20"/>
      <c r="M414" s="14" t="str">
        <f>IF(AND($C414&lt;&gt;"",$C414=Kardex!$C$4),COUNTIF($C$5:$C414,Kardex!$C$4),"")</f>
        <v/>
      </c>
    </row>
    <row r="415" spans="1:13" x14ac:dyDescent="0.25">
      <c r="A415" s="24"/>
      <c r="B415" s="20"/>
      <c r="C415" s="20"/>
      <c r="D415" s="14" t="str">
        <f>IF($C415="","",IFERROR(INDEX(Productos!$B$5:$B$504,MATCH($C415,Productos!$A$5:$A$504,0)),"Clave no existe"))</f>
        <v/>
      </c>
      <c r="E415" s="14" t="str">
        <f>IF($C415="","",IFERROR(INDEX(Productos!$D$5:$D$504,MATCH($C415,Productos!$A$5:$A$504,0)),""))</f>
        <v/>
      </c>
      <c r="F415" s="20"/>
      <c r="G415" s="22" t="str">
        <f>IF($C415="","",IFERROR(INDEX(Productos!$F$5:$F$504,MATCH($C415,Productos!$A$5:$A$504,0)),0))</f>
        <v/>
      </c>
      <c r="H415" s="22" t="str">
        <f t="shared" si="6"/>
        <v/>
      </c>
      <c r="I415" s="14" t="str">
        <f>IF(OR($C415="",$F415=""),"",IFERROR(INDEX(Productos!$I$5:$I$504,MATCH($C415,Productos!$A$5:$A$504,0)),0)+SUMIFS($F$5:$F415,$C$5:$C415,$C415,$B$5:$B415,"Entrada")-SUMIFS($F$5:$F415,$C$5:$C415,$C415,$B$5:$B415,"Salida"))</f>
        <v/>
      </c>
      <c r="J415" s="20"/>
      <c r="K415" s="20"/>
      <c r="L415" s="20"/>
      <c r="M415" s="14" t="str">
        <f>IF(AND($C415&lt;&gt;"",$C415=Kardex!$C$4),COUNTIF($C$5:$C415,Kardex!$C$4),"")</f>
        <v/>
      </c>
    </row>
    <row r="416" spans="1:13" x14ac:dyDescent="0.25">
      <c r="A416" s="24"/>
      <c r="B416" s="20"/>
      <c r="C416" s="20"/>
      <c r="D416" s="14" t="str">
        <f>IF($C416="","",IFERROR(INDEX(Productos!$B$5:$B$504,MATCH($C416,Productos!$A$5:$A$504,0)),"Clave no existe"))</f>
        <v/>
      </c>
      <c r="E416" s="14" t="str">
        <f>IF($C416="","",IFERROR(INDEX(Productos!$D$5:$D$504,MATCH($C416,Productos!$A$5:$A$504,0)),""))</f>
        <v/>
      </c>
      <c r="F416" s="20"/>
      <c r="G416" s="22" t="str">
        <f>IF($C416="","",IFERROR(INDEX(Productos!$F$5:$F$504,MATCH($C416,Productos!$A$5:$A$504,0)),0))</f>
        <v/>
      </c>
      <c r="H416" s="22" t="str">
        <f t="shared" si="6"/>
        <v/>
      </c>
      <c r="I416" s="14" t="str">
        <f>IF(OR($C416="",$F416=""),"",IFERROR(INDEX(Productos!$I$5:$I$504,MATCH($C416,Productos!$A$5:$A$504,0)),0)+SUMIFS($F$5:$F416,$C$5:$C416,$C416,$B$5:$B416,"Entrada")-SUMIFS($F$5:$F416,$C$5:$C416,$C416,$B$5:$B416,"Salida"))</f>
        <v/>
      </c>
      <c r="J416" s="20"/>
      <c r="K416" s="20"/>
      <c r="L416" s="20"/>
      <c r="M416" s="14" t="str">
        <f>IF(AND($C416&lt;&gt;"",$C416=Kardex!$C$4),COUNTIF($C$5:$C416,Kardex!$C$4),"")</f>
        <v/>
      </c>
    </row>
    <row r="417" spans="1:13" x14ac:dyDescent="0.25">
      <c r="A417" s="24"/>
      <c r="B417" s="20"/>
      <c r="C417" s="20"/>
      <c r="D417" s="14" t="str">
        <f>IF($C417="","",IFERROR(INDEX(Productos!$B$5:$B$504,MATCH($C417,Productos!$A$5:$A$504,0)),"Clave no existe"))</f>
        <v/>
      </c>
      <c r="E417" s="14" t="str">
        <f>IF($C417="","",IFERROR(INDEX(Productos!$D$5:$D$504,MATCH($C417,Productos!$A$5:$A$504,0)),""))</f>
        <v/>
      </c>
      <c r="F417" s="20"/>
      <c r="G417" s="22" t="str">
        <f>IF($C417="","",IFERROR(INDEX(Productos!$F$5:$F$504,MATCH($C417,Productos!$A$5:$A$504,0)),0))</f>
        <v/>
      </c>
      <c r="H417" s="22" t="str">
        <f t="shared" si="6"/>
        <v/>
      </c>
      <c r="I417" s="14" t="str">
        <f>IF(OR($C417="",$F417=""),"",IFERROR(INDEX(Productos!$I$5:$I$504,MATCH($C417,Productos!$A$5:$A$504,0)),0)+SUMIFS($F$5:$F417,$C$5:$C417,$C417,$B$5:$B417,"Entrada")-SUMIFS($F$5:$F417,$C$5:$C417,$C417,$B$5:$B417,"Salida"))</f>
        <v/>
      </c>
      <c r="J417" s="20"/>
      <c r="K417" s="20"/>
      <c r="L417" s="20"/>
      <c r="M417" s="14" t="str">
        <f>IF(AND($C417&lt;&gt;"",$C417=Kardex!$C$4),COUNTIF($C$5:$C417,Kardex!$C$4),"")</f>
        <v/>
      </c>
    </row>
    <row r="418" spans="1:13" x14ac:dyDescent="0.25">
      <c r="A418" s="24"/>
      <c r="B418" s="20"/>
      <c r="C418" s="20"/>
      <c r="D418" s="14" t="str">
        <f>IF($C418="","",IFERROR(INDEX(Productos!$B$5:$B$504,MATCH($C418,Productos!$A$5:$A$504,0)),"Clave no existe"))</f>
        <v/>
      </c>
      <c r="E418" s="14" t="str">
        <f>IF($C418="","",IFERROR(INDEX(Productos!$D$5:$D$504,MATCH($C418,Productos!$A$5:$A$504,0)),""))</f>
        <v/>
      </c>
      <c r="F418" s="20"/>
      <c r="G418" s="22" t="str">
        <f>IF($C418="","",IFERROR(INDEX(Productos!$F$5:$F$504,MATCH($C418,Productos!$A$5:$A$504,0)),0))</f>
        <v/>
      </c>
      <c r="H418" s="22" t="str">
        <f t="shared" si="6"/>
        <v/>
      </c>
      <c r="I418" s="14" t="str">
        <f>IF(OR($C418="",$F418=""),"",IFERROR(INDEX(Productos!$I$5:$I$504,MATCH($C418,Productos!$A$5:$A$504,0)),0)+SUMIFS($F$5:$F418,$C$5:$C418,$C418,$B$5:$B418,"Entrada")-SUMIFS($F$5:$F418,$C$5:$C418,$C418,$B$5:$B418,"Salida"))</f>
        <v/>
      </c>
      <c r="J418" s="20"/>
      <c r="K418" s="20"/>
      <c r="L418" s="20"/>
      <c r="M418" s="14" t="str">
        <f>IF(AND($C418&lt;&gt;"",$C418=Kardex!$C$4),COUNTIF($C$5:$C418,Kardex!$C$4),"")</f>
        <v/>
      </c>
    </row>
    <row r="419" spans="1:13" x14ac:dyDescent="0.25">
      <c r="A419" s="24"/>
      <c r="B419" s="20"/>
      <c r="C419" s="20"/>
      <c r="D419" s="14" t="str">
        <f>IF($C419="","",IFERROR(INDEX(Productos!$B$5:$B$504,MATCH($C419,Productos!$A$5:$A$504,0)),"Clave no existe"))</f>
        <v/>
      </c>
      <c r="E419" s="14" t="str">
        <f>IF($C419="","",IFERROR(INDEX(Productos!$D$5:$D$504,MATCH($C419,Productos!$A$5:$A$504,0)),""))</f>
        <v/>
      </c>
      <c r="F419" s="20"/>
      <c r="G419" s="22" t="str">
        <f>IF($C419="","",IFERROR(INDEX(Productos!$F$5:$F$504,MATCH($C419,Productos!$A$5:$A$504,0)),0))</f>
        <v/>
      </c>
      <c r="H419" s="22" t="str">
        <f t="shared" si="6"/>
        <v/>
      </c>
      <c r="I419" s="14" t="str">
        <f>IF(OR($C419="",$F419=""),"",IFERROR(INDEX(Productos!$I$5:$I$504,MATCH($C419,Productos!$A$5:$A$504,0)),0)+SUMIFS($F$5:$F419,$C$5:$C419,$C419,$B$5:$B419,"Entrada")-SUMIFS($F$5:$F419,$C$5:$C419,$C419,$B$5:$B419,"Salida"))</f>
        <v/>
      </c>
      <c r="J419" s="20"/>
      <c r="K419" s="20"/>
      <c r="L419" s="20"/>
      <c r="M419" s="14" t="str">
        <f>IF(AND($C419&lt;&gt;"",$C419=Kardex!$C$4),COUNTIF($C$5:$C419,Kardex!$C$4),"")</f>
        <v/>
      </c>
    </row>
    <row r="420" spans="1:13" x14ac:dyDescent="0.25">
      <c r="A420" s="24"/>
      <c r="B420" s="20"/>
      <c r="C420" s="20"/>
      <c r="D420" s="14" t="str">
        <f>IF($C420="","",IFERROR(INDEX(Productos!$B$5:$B$504,MATCH($C420,Productos!$A$5:$A$504,0)),"Clave no existe"))</f>
        <v/>
      </c>
      <c r="E420" s="14" t="str">
        <f>IF($C420="","",IFERROR(INDEX(Productos!$D$5:$D$504,MATCH($C420,Productos!$A$5:$A$504,0)),""))</f>
        <v/>
      </c>
      <c r="F420" s="20"/>
      <c r="G420" s="22" t="str">
        <f>IF($C420="","",IFERROR(INDEX(Productos!$F$5:$F$504,MATCH($C420,Productos!$A$5:$A$504,0)),0))</f>
        <v/>
      </c>
      <c r="H420" s="22" t="str">
        <f t="shared" si="6"/>
        <v/>
      </c>
      <c r="I420" s="14" t="str">
        <f>IF(OR($C420="",$F420=""),"",IFERROR(INDEX(Productos!$I$5:$I$504,MATCH($C420,Productos!$A$5:$A$504,0)),0)+SUMIFS($F$5:$F420,$C$5:$C420,$C420,$B$5:$B420,"Entrada")-SUMIFS($F$5:$F420,$C$5:$C420,$C420,$B$5:$B420,"Salida"))</f>
        <v/>
      </c>
      <c r="J420" s="20"/>
      <c r="K420" s="20"/>
      <c r="L420" s="20"/>
      <c r="M420" s="14" t="str">
        <f>IF(AND($C420&lt;&gt;"",$C420=Kardex!$C$4),COUNTIF($C$5:$C420,Kardex!$C$4),"")</f>
        <v/>
      </c>
    </row>
    <row r="421" spans="1:13" x14ac:dyDescent="0.25">
      <c r="A421" s="24"/>
      <c r="B421" s="20"/>
      <c r="C421" s="20"/>
      <c r="D421" s="14" t="str">
        <f>IF($C421="","",IFERROR(INDEX(Productos!$B$5:$B$504,MATCH($C421,Productos!$A$5:$A$504,0)),"Clave no existe"))</f>
        <v/>
      </c>
      <c r="E421" s="14" t="str">
        <f>IF($C421="","",IFERROR(INDEX(Productos!$D$5:$D$504,MATCH($C421,Productos!$A$5:$A$504,0)),""))</f>
        <v/>
      </c>
      <c r="F421" s="20"/>
      <c r="G421" s="22" t="str">
        <f>IF($C421="","",IFERROR(INDEX(Productos!$F$5:$F$504,MATCH($C421,Productos!$A$5:$A$504,0)),0))</f>
        <v/>
      </c>
      <c r="H421" s="22" t="str">
        <f t="shared" si="6"/>
        <v/>
      </c>
      <c r="I421" s="14" t="str">
        <f>IF(OR($C421="",$F421=""),"",IFERROR(INDEX(Productos!$I$5:$I$504,MATCH($C421,Productos!$A$5:$A$504,0)),0)+SUMIFS($F$5:$F421,$C$5:$C421,$C421,$B$5:$B421,"Entrada")-SUMIFS($F$5:$F421,$C$5:$C421,$C421,$B$5:$B421,"Salida"))</f>
        <v/>
      </c>
      <c r="J421" s="20"/>
      <c r="K421" s="20"/>
      <c r="L421" s="20"/>
      <c r="M421" s="14" t="str">
        <f>IF(AND($C421&lt;&gt;"",$C421=Kardex!$C$4),COUNTIF($C$5:$C421,Kardex!$C$4),"")</f>
        <v/>
      </c>
    </row>
    <row r="422" spans="1:13" x14ac:dyDescent="0.25">
      <c r="A422" s="24"/>
      <c r="B422" s="20"/>
      <c r="C422" s="20"/>
      <c r="D422" s="14" t="str">
        <f>IF($C422="","",IFERROR(INDEX(Productos!$B$5:$B$504,MATCH($C422,Productos!$A$5:$A$504,0)),"Clave no existe"))</f>
        <v/>
      </c>
      <c r="E422" s="14" t="str">
        <f>IF($C422="","",IFERROR(INDEX(Productos!$D$5:$D$504,MATCH($C422,Productos!$A$5:$A$504,0)),""))</f>
        <v/>
      </c>
      <c r="F422" s="20"/>
      <c r="G422" s="22" t="str">
        <f>IF($C422="","",IFERROR(INDEX(Productos!$F$5:$F$504,MATCH($C422,Productos!$A$5:$A$504,0)),0))</f>
        <v/>
      </c>
      <c r="H422" s="22" t="str">
        <f t="shared" si="6"/>
        <v/>
      </c>
      <c r="I422" s="14" t="str">
        <f>IF(OR($C422="",$F422=""),"",IFERROR(INDEX(Productos!$I$5:$I$504,MATCH($C422,Productos!$A$5:$A$504,0)),0)+SUMIFS($F$5:$F422,$C$5:$C422,$C422,$B$5:$B422,"Entrada")-SUMIFS($F$5:$F422,$C$5:$C422,$C422,$B$5:$B422,"Salida"))</f>
        <v/>
      </c>
      <c r="J422" s="20"/>
      <c r="K422" s="20"/>
      <c r="L422" s="20"/>
      <c r="M422" s="14" t="str">
        <f>IF(AND($C422&lt;&gt;"",$C422=Kardex!$C$4),COUNTIF($C$5:$C422,Kardex!$C$4),"")</f>
        <v/>
      </c>
    </row>
    <row r="423" spans="1:13" x14ac:dyDescent="0.25">
      <c r="A423" s="24"/>
      <c r="B423" s="20"/>
      <c r="C423" s="20"/>
      <c r="D423" s="14" t="str">
        <f>IF($C423="","",IFERROR(INDEX(Productos!$B$5:$B$504,MATCH($C423,Productos!$A$5:$A$504,0)),"Clave no existe"))</f>
        <v/>
      </c>
      <c r="E423" s="14" t="str">
        <f>IF($C423="","",IFERROR(INDEX(Productos!$D$5:$D$504,MATCH($C423,Productos!$A$5:$A$504,0)),""))</f>
        <v/>
      </c>
      <c r="F423" s="20"/>
      <c r="G423" s="22" t="str">
        <f>IF($C423="","",IFERROR(INDEX(Productos!$F$5:$F$504,MATCH($C423,Productos!$A$5:$A$504,0)),0))</f>
        <v/>
      </c>
      <c r="H423" s="22" t="str">
        <f t="shared" si="6"/>
        <v/>
      </c>
      <c r="I423" s="14" t="str">
        <f>IF(OR($C423="",$F423=""),"",IFERROR(INDEX(Productos!$I$5:$I$504,MATCH($C423,Productos!$A$5:$A$504,0)),0)+SUMIFS($F$5:$F423,$C$5:$C423,$C423,$B$5:$B423,"Entrada")-SUMIFS($F$5:$F423,$C$5:$C423,$C423,$B$5:$B423,"Salida"))</f>
        <v/>
      </c>
      <c r="J423" s="20"/>
      <c r="K423" s="20"/>
      <c r="L423" s="20"/>
      <c r="M423" s="14" t="str">
        <f>IF(AND($C423&lt;&gt;"",$C423=Kardex!$C$4),COUNTIF($C$5:$C423,Kardex!$C$4),"")</f>
        <v/>
      </c>
    </row>
    <row r="424" spans="1:13" x14ac:dyDescent="0.25">
      <c r="A424" s="24"/>
      <c r="B424" s="20"/>
      <c r="C424" s="20"/>
      <c r="D424" s="14" t="str">
        <f>IF($C424="","",IFERROR(INDEX(Productos!$B$5:$B$504,MATCH($C424,Productos!$A$5:$A$504,0)),"Clave no existe"))</f>
        <v/>
      </c>
      <c r="E424" s="14" t="str">
        <f>IF($C424="","",IFERROR(INDEX(Productos!$D$5:$D$504,MATCH($C424,Productos!$A$5:$A$504,0)),""))</f>
        <v/>
      </c>
      <c r="F424" s="20"/>
      <c r="G424" s="22" t="str">
        <f>IF($C424="","",IFERROR(INDEX(Productos!$F$5:$F$504,MATCH($C424,Productos!$A$5:$A$504,0)),0))</f>
        <v/>
      </c>
      <c r="H424" s="22" t="str">
        <f t="shared" si="6"/>
        <v/>
      </c>
      <c r="I424" s="14" t="str">
        <f>IF(OR($C424="",$F424=""),"",IFERROR(INDEX(Productos!$I$5:$I$504,MATCH($C424,Productos!$A$5:$A$504,0)),0)+SUMIFS($F$5:$F424,$C$5:$C424,$C424,$B$5:$B424,"Entrada")-SUMIFS($F$5:$F424,$C$5:$C424,$C424,$B$5:$B424,"Salida"))</f>
        <v/>
      </c>
      <c r="J424" s="20"/>
      <c r="K424" s="20"/>
      <c r="L424" s="20"/>
      <c r="M424" s="14" t="str">
        <f>IF(AND($C424&lt;&gt;"",$C424=Kardex!$C$4),COUNTIF($C$5:$C424,Kardex!$C$4),"")</f>
        <v/>
      </c>
    </row>
    <row r="425" spans="1:13" x14ac:dyDescent="0.25">
      <c r="A425" s="24"/>
      <c r="B425" s="20"/>
      <c r="C425" s="20"/>
      <c r="D425" s="14" t="str">
        <f>IF($C425="","",IFERROR(INDEX(Productos!$B$5:$B$504,MATCH($C425,Productos!$A$5:$A$504,0)),"Clave no existe"))</f>
        <v/>
      </c>
      <c r="E425" s="14" t="str">
        <f>IF($C425="","",IFERROR(INDEX(Productos!$D$5:$D$504,MATCH($C425,Productos!$A$5:$A$504,0)),""))</f>
        <v/>
      </c>
      <c r="F425" s="20"/>
      <c r="G425" s="22" t="str">
        <f>IF($C425="","",IFERROR(INDEX(Productos!$F$5:$F$504,MATCH($C425,Productos!$A$5:$A$504,0)),0))</f>
        <v/>
      </c>
      <c r="H425" s="22" t="str">
        <f t="shared" si="6"/>
        <v/>
      </c>
      <c r="I425" s="14" t="str">
        <f>IF(OR($C425="",$F425=""),"",IFERROR(INDEX(Productos!$I$5:$I$504,MATCH($C425,Productos!$A$5:$A$504,0)),0)+SUMIFS($F$5:$F425,$C$5:$C425,$C425,$B$5:$B425,"Entrada")-SUMIFS($F$5:$F425,$C$5:$C425,$C425,$B$5:$B425,"Salida"))</f>
        <v/>
      </c>
      <c r="J425" s="20"/>
      <c r="K425" s="20"/>
      <c r="L425" s="20"/>
      <c r="M425" s="14" t="str">
        <f>IF(AND($C425&lt;&gt;"",$C425=Kardex!$C$4),COUNTIF($C$5:$C425,Kardex!$C$4),"")</f>
        <v/>
      </c>
    </row>
    <row r="426" spans="1:13" x14ac:dyDescent="0.25">
      <c r="A426" s="24"/>
      <c r="B426" s="20"/>
      <c r="C426" s="20"/>
      <c r="D426" s="14" t="str">
        <f>IF($C426="","",IFERROR(INDEX(Productos!$B$5:$B$504,MATCH($C426,Productos!$A$5:$A$504,0)),"Clave no existe"))</f>
        <v/>
      </c>
      <c r="E426" s="14" t="str">
        <f>IF($C426="","",IFERROR(INDEX(Productos!$D$5:$D$504,MATCH($C426,Productos!$A$5:$A$504,0)),""))</f>
        <v/>
      </c>
      <c r="F426" s="20"/>
      <c r="G426" s="22" t="str">
        <f>IF($C426="","",IFERROR(INDEX(Productos!$F$5:$F$504,MATCH($C426,Productos!$A$5:$A$504,0)),0))</f>
        <v/>
      </c>
      <c r="H426" s="22" t="str">
        <f t="shared" si="6"/>
        <v/>
      </c>
      <c r="I426" s="14" t="str">
        <f>IF(OR($C426="",$F426=""),"",IFERROR(INDEX(Productos!$I$5:$I$504,MATCH($C426,Productos!$A$5:$A$504,0)),0)+SUMIFS($F$5:$F426,$C$5:$C426,$C426,$B$5:$B426,"Entrada")-SUMIFS($F$5:$F426,$C$5:$C426,$C426,$B$5:$B426,"Salida"))</f>
        <v/>
      </c>
      <c r="J426" s="20"/>
      <c r="K426" s="20"/>
      <c r="L426" s="20"/>
      <c r="M426" s="14" t="str">
        <f>IF(AND($C426&lt;&gt;"",$C426=Kardex!$C$4),COUNTIF($C$5:$C426,Kardex!$C$4),"")</f>
        <v/>
      </c>
    </row>
    <row r="427" spans="1:13" x14ac:dyDescent="0.25">
      <c r="A427" s="24"/>
      <c r="B427" s="20"/>
      <c r="C427" s="20"/>
      <c r="D427" s="14" t="str">
        <f>IF($C427="","",IFERROR(INDEX(Productos!$B$5:$B$504,MATCH($C427,Productos!$A$5:$A$504,0)),"Clave no existe"))</f>
        <v/>
      </c>
      <c r="E427" s="14" t="str">
        <f>IF($C427="","",IFERROR(INDEX(Productos!$D$5:$D$504,MATCH($C427,Productos!$A$5:$A$504,0)),""))</f>
        <v/>
      </c>
      <c r="F427" s="20"/>
      <c r="G427" s="22" t="str">
        <f>IF($C427="","",IFERROR(INDEX(Productos!$F$5:$F$504,MATCH($C427,Productos!$A$5:$A$504,0)),0))</f>
        <v/>
      </c>
      <c r="H427" s="22" t="str">
        <f t="shared" si="6"/>
        <v/>
      </c>
      <c r="I427" s="14" t="str">
        <f>IF(OR($C427="",$F427=""),"",IFERROR(INDEX(Productos!$I$5:$I$504,MATCH($C427,Productos!$A$5:$A$504,0)),0)+SUMIFS($F$5:$F427,$C$5:$C427,$C427,$B$5:$B427,"Entrada")-SUMIFS($F$5:$F427,$C$5:$C427,$C427,$B$5:$B427,"Salida"))</f>
        <v/>
      </c>
      <c r="J427" s="20"/>
      <c r="K427" s="20"/>
      <c r="L427" s="20"/>
      <c r="M427" s="14" t="str">
        <f>IF(AND($C427&lt;&gt;"",$C427=Kardex!$C$4),COUNTIF($C$5:$C427,Kardex!$C$4),"")</f>
        <v/>
      </c>
    </row>
    <row r="428" spans="1:13" x14ac:dyDescent="0.25">
      <c r="A428" s="24"/>
      <c r="B428" s="20"/>
      <c r="C428" s="20"/>
      <c r="D428" s="14" t="str">
        <f>IF($C428="","",IFERROR(INDEX(Productos!$B$5:$B$504,MATCH($C428,Productos!$A$5:$A$504,0)),"Clave no existe"))</f>
        <v/>
      </c>
      <c r="E428" s="14" t="str">
        <f>IF($C428="","",IFERROR(INDEX(Productos!$D$5:$D$504,MATCH($C428,Productos!$A$5:$A$504,0)),""))</f>
        <v/>
      </c>
      <c r="F428" s="20"/>
      <c r="G428" s="22" t="str">
        <f>IF($C428="","",IFERROR(INDEX(Productos!$F$5:$F$504,MATCH($C428,Productos!$A$5:$A$504,0)),0))</f>
        <v/>
      </c>
      <c r="H428" s="22" t="str">
        <f t="shared" si="6"/>
        <v/>
      </c>
      <c r="I428" s="14" t="str">
        <f>IF(OR($C428="",$F428=""),"",IFERROR(INDEX(Productos!$I$5:$I$504,MATCH($C428,Productos!$A$5:$A$504,0)),0)+SUMIFS($F$5:$F428,$C$5:$C428,$C428,$B$5:$B428,"Entrada")-SUMIFS($F$5:$F428,$C$5:$C428,$C428,$B$5:$B428,"Salida"))</f>
        <v/>
      </c>
      <c r="J428" s="20"/>
      <c r="K428" s="20"/>
      <c r="L428" s="20"/>
      <c r="M428" s="14" t="str">
        <f>IF(AND($C428&lt;&gt;"",$C428=Kardex!$C$4),COUNTIF($C$5:$C428,Kardex!$C$4),"")</f>
        <v/>
      </c>
    </row>
    <row r="429" spans="1:13" x14ac:dyDescent="0.25">
      <c r="A429" s="24"/>
      <c r="B429" s="20"/>
      <c r="C429" s="20"/>
      <c r="D429" s="14" t="str">
        <f>IF($C429="","",IFERROR(INDEX(Productos!$B$5:$B$504,MATCH($C429,Productos!$A$5:$A$504,0)),"Clave no existe"))</f>
        <v/>
      </c>
      <c r="E429" s="14" t="str">
        <f>IF($C429="","",IFERROR(INDEX(Productos!$D$5:$D$504,MATCH($C429,Productos!$A$5:$A$504,0)),""))</f>
        <v/>
      </c>
      <c r="F429" s="20"/>
      <c r="G429" s="22" t="str">
        <f>IF($C429="","",IFERROR(INDEX(Productos!$F$5:$F$504,MATCH($C429,Productos!$A$5:$A$504,0)),0))</f>
        <v/>
      </c>
      <c r="H429" s="22" t="str">
        <f t="shared" si="6"/>
        <v/>
      </c>
      <c r="I429" s="14" t="str">
        <f>IF(OR($C429="",$F429=""),"",IFERROR(INDEX(Productos!$I$5:$I$504,MATCH($C429,Productos!$A$5:$A$504,0)),0)+SUMIFS($F$5:$F429,$C$5:$C429,$C429,$B$5:$B429,"Entrada")-SUMIFS($F$5:$F429,$C$5:$C429,$C429,$B$5:$B429,"Salida"))</f>
        <v/>
      </c>
      <c r="J429" s="20"/>
      <c r="K429" s="20"/>
      <c r="L429" s="20"/>
      <c r="M429" s="14" t="str">
        <f>IF(AND($C429&lt;&gt;"",$C429=Kardex!$C$4),COUNTIF($C$5:$C429,Kardex!$C$4),"")</f>
        <v/>
      </c>
    </row>
    <row r="430" spans="1:13" x14ac:dyDescent="0.25">
      <c r="A430" s="24"/>
      <c r="B430" s="20"/>
      <c r="C430" s="20"/>
      <c r="D430" s="14" t="str">
        <f>IF($C430="","",IFERROR(INDEX(Productos!$B$5:$B$504,MATCH($C430,Productos!$A$5:$A$504,0)),"Clave no existe"))</f>
        <v/>
      </c>
      <c r="E430" s="14" t="str">
        <f>IF($C430="","",IFERROR(INDEX(Productos!$D$5:$D$504,MATCH($C430,Productos!$A$5:$A$504,0)),""))</f>
        <v/>
      </c>
      <c r="F430" s="20"/>
      <c r="G430" s="22" t="str">
        <f>IF($C430="","",IFERROR(INDEX(Productos!$F$5:$F$504,MATCH($C430,Productos!$A$5:$A$504,0)),0))</f>
        <v/>
      </c>
      <c r="H430" s="22" t="str">
        <f t="shared" si="6"/>
        <v/>
      </c>
      <c r="I430" s="14" t="str">
        <f>IF(OR($C430="",$F430=""),"",IFERROR(INDEX(Productos!$I$5:$I$504,MATCH($C430,Productos!$A$5:$A$504,0)),0)+SUMIFS($F$5:$F430,$C$5:$C430,$C430,$B$5:$B430,"Entrada")-SUMIFS($F$5:$F430,$C$5:$C430,$C430,$B$5:$B430,"Salida"))</f>
        <v/>
      </c>
      <c r="J430" s="20"/>
      <c r="K430" s="20"/>
      <c r="L430" s="20"/>
      <c r="M430" s="14" t="str">
        <f>IF(AND($C430&lt;&gt;"",$C430=Kardex!$C$4),COUNTIF($C$5:$C430,Kardex!$C$4),"")</f>
        <v/>
      </c>
    </row>
    <row r="431" spans="1:13" x14ac:dyDescent="0.25">
      <c r="A431" s="24"/>
      <c r="B431" s="20"/>
      <c r="C431" s="20"/>
      <c r="D431" s="14" t="str">
        <f>IF($C431="","",IFERROR(INDEX(Productos!$B$5:$B$504,MATCH($C431,Productos!$A$5:$A$504,0)),"Clave no existe"))</f>
        <v/>
      </c>
      <c r="E431" s="14" t="str">
        <f>IF($C431="","",IFERROR(INDEX(Productos!$D$5:$D$504,MATCH($C431,Productos!$A$5:$A$504,0)),""))</f>
        <v/>
      </c>
      <c r="F431" s="20"/>
      <c r="G431" s="22" t="str">
        <f>IF($C431="","",IFERROR(INDEX(Productos!$F$5:$F$504,MATCH($C431,Productos!$A$5:$A$504,0)),0))</f>
        <v/>
      </c>
      <c r="H431" s="22" t="str">
        <f t="shared" si="6"/>
        <v/>
      </c>
      <c r="I431" s="14" t="str">
        <f>IF(OR($C431="",$F431=""),"",IFERROR(INDEX(Productos!$I$5:$I$504,MATCH($C431,Productos!$A$5:$A$504,0)),0)+SUMIFS($F$5:$F431,$C$5:$C431,$C431,$B$5:$B431,"Entrada")-SUMIFS($F$5:$F431,$C$5:$C431,$C431,$B$5:$B431,"Salida"))</f>
        <v/>
      </c>
      <c r="J431" s="20"/>
      <c r="K431" s="20"/>
      <c r="L431" s="20"/>
      <c r="M431" s="14" t="str">
        <f>IF(AND($C431&lt;&gt;"",$C431=Kardex!$C$4),COUNTIF($C$5:$C431,Kardex!$C$4),"")</f>
        <v/>
      </c>
    </row>
    <row r="432" spans="1:13" x14ac:dyDescent="0.25">
      <c r="A432" s="24"/>
      <c r="B432" s="20"/>
      <c r="C432" s="20"/>
      <c r="D432" s="14" t="str">
        <f>IF($C432="","",IFERROR(INDEX(Productos!$B$5:$B$504,MATCH($C432,Productos!$A$5:$A$504,0)),"Clave no existe"))</f>
        <v/>
      </c>
      <c r="E432" s="14" t="str">
        <f>IF($C432="","",IFERROR(INDEX(Productos!$D$5:$D$504,MATCH($C432,Productos!$A$5:$A$504,0)),""))</f>
        <v/>
      </c>
      <c r="F432" s="20"/>
      <c r="G432" s="22" t="str">
        <f>IF($C432="","",IFERROR(INDEX(Productos!$F$5:$F$504,MATCH($C432,Productos!$A$5:$A$504,0)),0))</f>
        <v/>
      </c>
      <c r="H432" s="22" t="str">
        <f t="shared" si="6"/>
        <v/>
      </c>
      <c r="I432" s="14" t="str">
        <f>IF(OR($C432="",$F432=""),"",IFERROR(INDEX(Productos!$I$5:$I$504,MATCH($C432,Productos!$A$5:$A$504,0)),0)+SUMIFS($F$5:$F432,$C$5:$C432,$C432,$B$5:$B432,"Entrada")-SUMIFS($F$5:$F432,$C$5:$C432,$C432,$B$5:$B432,"Salida"))</f>
        <v/>
      </c>
      <c r="J432" s="20"/>
      <c r="K432" s="20"/>
      <c r="L432" s="20"/>
      <c r="M432" s="14" t="str">
        <f>IF(AND($C432&lt;&gt;"",$C432=Kardex!$C$4),COUNTIF($C$5:$C432,Kardex!$C$4),"")</f>
        <v/>
      </c>
    </row>
    <row r="433" spans="1:13" x14ac:dyDescent="0.25">
      <c r="A433" s="24"/>
      <c r="B433" s="20"/>
      <c r="C433" s="20"/>
      <c r="D433" s="14" t="str">
        <f>IF($C433="","",IFERROR(INDEX(Productos!$B$5:$B$504,MATCH($C433,Productos!$A$5:$A$504,0)),"Clave no existe"))</f>
        <v/>
      </c>
      <c r="E433" s="14" t="str">
        <f>IF($C433="","",IFERROR(INDEX(Productos!$D$5:$D$504,MATCH($C433,Productos!$A$5:$A$504,0)),""))</f>
        <v/>
      </c>
      <c r="F433" s="20"/>
      <c r="G433" s="22" t="str">
        <f>IF($C433="","",IFERROR(INDEX(Productos!$F$5:$F$504,MATCH($C433,Productos!$A$5:$A$504,0)),0))</f>
        <v/>
      </c>
      <c r="H433" s="22" t="str">
        <f t="shared" si="6"/>
        <v/>
      </c>
      <c r="I433" s="14" t="str">
        <f>IF(OR($C433="",$F433=""),"",IFERROR(INDEX(Productos!$I$5:$I$504,MATCH($C433,Productos!$A$5:$A$504,0)),0)+SUMIFS($F$5:$F433,$C$5:$C433,$C433,$B$5:$B433,"Entrada")-SUMIFS($F$5:$F433,$C$5:$C433,$C433,$B$5:$B433,"Salida"))</f>
        <v/>
      </c>
      <c r="J433" s="20"/>
      <c r="K433" s="20"/>
      <c r="L433" s="20"/>
      <c r="M433" s="14" t="str">
        <f>IF(AND($C433&lt;&gt;"",$C433=Kardex!$C$4),COUNTIF($C$5:$C433,Kardex!$C$4),"")</f>
        <v/>
      </c>
    </row>
    <row r="434" spans="1:13" x14ac:dyDescent="0.25">
      <c r="A434" s="24"/>
      <c r="B434" s="20"/>
      <c r="C434" s="20"/>
      <c r="D434" s="14" t="str">
        <f>IF($C434="","",IFERROR(INDEX(Productos!$B$5:$B$504,MATCH($C434,Productos!$A$5:$A$504,0)),"Clave no existe"))</f>
        <v/>
      </c>
      <c r="E434" s="14" t="str">
        <f>IF($C434="","",IFERROR(INDEX(Productos!$D$5:$D$504,MATCH($C434,Productos!$A$5:$A$504,0)),""))</f>
        <v/>
      </c>
      <c r="F434" s="20"/>
      <c r="G434" s="22" t="str">
        <f>IF($C434="","",IFERROR(INDEX(Productos!$F$5:$F$504,MATCH($C434,Productos!$A$5:$A$504,0)),0))</f>
        <v/>
      </c>
      <c r="H434" s="22" t="str">
        <f t="shared" si="6"/>
        <v/>
      </c>
      <c r="I434" s="14" t="str">
        <f>IF(OR($C434="",$F434=""),"",IFERROR(INDEX(Productos!$I$5:$I$504,MATCH($C434,Productos!$A$5:$A$504,0)),0)+SUMIFS($F$5:$F434,$C$5:$C434,$C434,$B$5:$B434,"Entrada")-SUMIFS($F$5:$F434,$C$5:$C434,$C434,$B$5:$B434,"Salida"))</f>
        <v/>
      </c>
      <c r="J434" s="20"/>
      <c r="K434" s="20"/>
      <c r="L434" s="20"/>
      <c r="M434" s="14" t="str">
        <f>IF(AND($C434&lt;&gt;"",$C434=Kardex!$C$4),COUNTIF($C$5:$C434,Kardex!$C$4),"")</f>
        <v/>
      </c>
    </row>
    <row r="435" spans="1:13" x14ac:dyDescent="0.25">
      <c r="A435" s="24"/>
      <c r="B435" s="20"/>
      <c r="C435" s="20"/>
      <c r="D435" s="14" t="str">
        <f>IF($C435="","",IFERROR(INDEX(Productos!$B$5:$B$504,MATCH($C435,Productos!$A$5:$A$504,0)),"Clave no existe"))</f>
        <v/>
      </c>
      <c r="E435" s="14" t="str">
        <f>IF($C435="","",IFERROR(INDEX(Productos!$D$5:$D$504,MATCH($C435,Productos!$A$5:$A$504,0)),""))</f>
        <v/>
      </c>
      <c r="F435" s="20"/>
      <c r="G435" s="22" t="str">
        <f>IF($C435="","",IFERROR(INDEX(Productos!$F$5:$F$504,MATCH($C435,Productos!$A$5:$A$504,0)),0))</f>
        <v/>
      </c>
      <c r="H435" s="22" t="str">
        <f t="shared" si="6"/>
        <v/>
      </c>
      <c r="I435" s="14" t="str">
        <f>IF(OR($C435="",$F435=""),"",IFERROR(INDEX(Productos!$I$5:$I$504,MATCH($C435,Productos!$A$5:$A$504,0)),0)+SUMIFS($F$5:$F435,$C$5:$C435,$C435,$B$5:$B435,"Entrada")-SUMIFS($F$5:$F435,$C$5:$C435,$C435,$B$5:$B435,"Salida"))</f>
        <v/>
      </c>
      <c r="J435" s="20"/>
      <c r="K435" s="20"/>
      <c r="L435" s="20"/>
      <c r="M435" s="14" t="str">
        <f>IF(AND($C435&lt;&gt;"",$C435=Kardex!$C$4),COUNTIF($C$5:$C435,Kardex!$C$4),"")</f>
        <v/>
      </c>
    </row>
    <row r="436" spans="1:13" x14ac:dyDescent="0.25">
      <c r="A436" s="24"/>
      <c r="B436" s="20"/>
      <c r="C436" s="20"/>
      <c r="D436" s="14" t="str">
        <f>IF($C436="","",IFERROR(INDEX(Productos!$B$5:$B$504,MATCH($C436,Productos!$A$5:$A$504,0)),"Clave no existe"))</f>
        <v/>
      </c>
      <c r="E436" s="14" t="str">
        <f>IF($C436="","",IFERROR(INDEX(Productos!$D$5:$D$504,MATCH($C436,Productos!$A$5:$A$504,0)),""))</f>
        <v/>
      </c>
      <c r="F436" s="20"/>
      <c r="G436" s="22" t="str">
        <f>IF($C436="","",IFERROR(INDEX(Productos!$F$5:$F$504,MATCH($C436,Productos!$A$5:$A$504,0)),0))</f>
        <v/>
      </c>
      <c r="H436" s="22" t="str">
        <f t="shared" si="6"/>
        <v/>
      </c>
      <c r="I436" s="14" t="str">
        <f>IF(OR($C436="",$F436=""),"",IFERROR(INDEX(Productos!$I$5:$I$504,MATCH($C436,Productos!$A$5:$A$504,0)),0)+SUMIFS($F$5:$F436,$C$5:$C436,$C436,$B$5:$B436,"Entrada")-SUMIFS($F$5:$F436,$C$5:$C436,$C436,$B$5:$B436,"Salida"))</f>
        <v/>
      </c>
      <c r="J436" s="20"/>
      <c r="K436" s="20"/>
      <c r="L436" s="20"/>
      <c r="M436" s="14" t="str">
        <f>IF(AND($C436&lt;&gt;"",$C436=Kardex!$C$4),COUNTIF($C$5:$C436,Kardex!$C$4),"")</f>
        <v/>
      </c>
    </row>
    <row r="437" spans="1:13" x14ac:dyDescent="0.25">
      <c r="A437" s="24"/>
      <c r="B437" s="20"/>
      <c r="C437" s="20"/>
      <c r="D437" s="14" t="str">
        <f>IF($C437="","",IFERROR(INDEX(Productos!$B$5:$B$504,MATCH($C437,Productos!$A$5:$A$504,0)),"Clave no existe"))</f>
        <v/>
      </c>
      <c r="E437" s="14" t="str">
        <f>IF($C437="","",IFERROR(INDEX(Productos!$D$5:$D$504,MATCH($C437,Productos!$A$5:$A$504,0)),""))</f>
        <v/>
      </c>
      <c r="F437" s="20"/>
      <c r="G437" s="22" t="str">
        <f>IF($C437="","",IFERROR(INDEX(Productos!$F$5:$F$504,MATCH($C437,Productos!$A$5:$A$504,0)),0))</f>
        <v/>
      </c>
      <c r="H437" s="22" t="str">
        <f t="shared" si="6"/>
        <v/>
      </c>
      <c r="I437" s="14" t="str">
        <f>IF(OR($C437="",$F437=""),"",IFERROR(INDEX(Productos!$I$5:$I$504,MATCH($C437,Productos!$A$5:$A$504,0)),0)+SUMIFS($F$5:$F437,$C$5:$C437,$C437,$B$5:$B437,"Entrada")-SUMIFS($F$5:$F437,$C$5:$C437,$C437,$B$5:$B437,"Salida"))</f>
        <v/>
      </c>
      <c r="J437" s="20"/>
      <c r="K437" s="20"/>
      <c r="L437" s="20"/>
      <c r="M437" s="14" t="str">
        <f>IF(AND($C437&lt;&gt;"",$C437=Kardex!$C$4),COUNTIF($C$5:$C437,Kardex!$C$4),"")</f>
        <v/>
      </c>
    </row>
    <row r="438" spans="1:13" x14ac:dyDescent="0.25">
      <c r="A438" s="24"/>
      <c r="B438" s="20"/>
      <c r="C438" s="20"/>
      <c r="D438" s="14" t="str">
        <f>IF($C438="","",IFERROR(INDEX(Productos!$B$5:$B$504,MATCH($C438,Productos!$A$5:$A$504,0)),"Clave no existe"))</f>
        <v/>
      </c>
      <c r="E438" s="14" t="str">
        <f>IF($C438="","",IFERROR(INDEX(Productos!$D$5:$D$504,MATCH($C438,Productos!$A$5:$A$504,0)),""))</f>
        <v/>
      </c>
      <c r="F438" s="20"/>
      <c r="G438" s="22" t="str">
        <f>IF($C438="","",IFERROR(INDEX(Productos!$F$5:$F$504,MATCH($C438,Productos!$A$5:$A$504,0)),0))</f>
        <v/>
      </c>
      <c r="H438" s="22" t="str">
        <f t="shared" si="6"/>
        <v/>
      </c>
      <c r="I438" s="14" t="str">
        <f>IF(OR($C438="",$F438=""),"",IFERROR(INDEX(Productos!$I$5:$I$504,MATCH($C438,Productos!$A$5:$A$504,0)),0)+SUMIFS($F$5:$F438,$C$5:$C438,$C438,$B$5:$B438,"Entrada")-SUMIFS($F$5:$F438,$C$5:$C438,$C438,$B$5:$B438,"Salida"))</f>
        <v/>
      </c>
      <c r="J438" s="20"/>
      <c r="K438" s="20"/>
      <c r="L438" s="20"/>
      <c r="M438" s="14" t="str">
        <f>IF(AND($C438&lt;&gt;"",$C438=Kardex!$C$4),COUNTIF($C$5:$C438,Kardex!$C$4),"")</f>
        <v/>
      </c>
    </row>
    <row r="439" spans="1:13" x14ac:dyDescent="0.25">
      <c r="A439" s="24"/>
      <c r="B439" s="20"/>
      <c r="C439" s="20"/>
      <c r="D439" s="14" t="str">
        <f>IF($C439="","",IFERROR(INDEX(Productos!$B$5:$B$504,MATCH($C439,Productos!$A$5:$A$504,0)),"Clave no existe"))</f>
        <v/>
      </c>
      <c r="E439" s="14" t="str">
        <f>IF($C439="","",IFERROR(INDEX(Productos!$D$5:$D$504,MATCH($C439,Productos!$A$5:$A$504,0)),""))</f>
        <v/>
      </c>
      <c r="F439" s="20"/>
      <c r="G439" s="22" t="str">
        <f>IF($C439="","",IFERROR(INDEX(Productos!$F$5:$F$504,MATCH($C439,Productos!$A$5:$A$504,0)),0))</f>
        <v/>
      </c>
      <c r="H439" s="22" t="str">
        <f t="shared" si="6"/>
        <v/>
      </c>
      <c r="I439" s="14" t="str">
        <f>IF(OR($C439="",$F439=""),"",IFERROR(INDEX(Productos!$I$5:$I$504,MATCH($C439,Productos!$A$5:$A$504,0)),0)+SUMIFS($F$5:$F439,$C$5:$C439,$C439,$B$5:$B439,"Entrada")-SUMIFS($F$5:$F439,$C$5:$C439,$C439,$B$5:$B439,"Salida"))</f>
        <v/>
      </c>
      <c r="J439" s="20"/>
      <c r="K439" s="20"/>
      <c r="L439" s="20"/>
      <c r="M439" s="14" t="str">
        <f>IF(AND($C439&lt;&gt;"",$C439=Kardex!$C$4),COUNTIF($C$5:$C439,Kardex!$C$4),"")</f>
        <v/>
      </c>
    </row>
    <row r="440" spans="1:13" x14ac:dyDescent="0.25">
      <c r="A440" s="24"/>
      <c r="B440" s="20"/>
      <c r="C440" s="20"/>
      <c r="D440" s="14" t="str">
        <f>IF($C440="","",IFERROR(INDEX(Productos!$B$5:$B$504,MATCH($C440,Productos!$A$5:$A$504,0)),"Clave no existe"))</f>
        <v/>
      </c>
      <c r="E440" s="14" t="str">
        <f>IF($C440="","",IFERROR(INDEX(Productos!$D$5:$D$504,MATCH($C440,Productos!$A$5:$A$504,0)),""))</f>
        <v/>
      </c>
      <c r="F440" s="20"/>
      <c r="G440" s="22" t="str">
        <f>IF($C440="","",IFERROR(INDEX(Productos!$F$5:$F$504,MATCH($C440,Productos!$A$5:$A$504,0)),0))</f>
        <v/>
      </c>
      <c r="H440" s="22" t="str">
        <f t="shared" si="6"/>
        <v/>
      </c>
      <c r="I440" s="14" t="str">
        <f>IF(OR($C440="",$F440=""),"",IFERROR(INDEX(Productos!$I$5:$I$504,MATCH($C440,Productos!$A$5:$A$504,0)),0)+SUMIFS($F$5:$F440,$C$5:$C440,$C440,$B$5:$B440,"Entrada")-SUMIFS($F$5:$F440,$C$5:$C440,$C440,$B$5:$B440,"Salida"))</f>
        <v/>
      </c>
      <c r="J440" s="20"/>
      <c r="K440" s="20"/>
      <c r="L440" s="20"/>
      <c r="M440" s="14" t="str">
        <f>IF(AND($C440&lt;&gt;"",$C440=Kardex!$C$4),COUNTIF($C$5:$C440,Kardex!$C$4),"")</f>
        <v/>
      </c>
    </row>
    <row r="441" spans="1:13" x14ac:dyDescent="0.25">
      <c r="A441" s="24"/>
      <c r="B441" s="20"/>
      <c r="C441" s="20"/>
      <c r="D441" s="14" t="str">
        <f>IF($C441="","",IFERROR(INDEX(Productos!$B$5:$B$504,MATCH($C441,Productos!$A$5:$A$504,0)),"Clave no existe"))</f>
        <v/>
      </c>
      <c r="E441" s="14" t="str">
        <f>IF($C441="","",IFERROR(INDEX(Productos!$D$5:$D$504,MATCH($C441,Productos!$A$5:$A$504,0)),""))</f>
        <v/>
      </c>
      <c r="F441" s="20"/>
      <c r="G441" s="22" t="str">
        <f>IF($C441="","",IFERROR(INDEX(Productos!$F$5:$F$504,MATCH($C441,Productos!$A$5:$A$504,0)),0))</f>
        <v/>
      </c>
      <c r="H441" s="22" t="str">
        <f t="shared" si="6"/>
        <v/>
      </c>
      <c r="I441" s="14" t="str">
        <f>IF(OR($C441="",$F441=""),"",IFERROR(INDEX(Productos!$I$5:$I$504,MATCH($C441,Productos!$A$5:$A$504,0)),0)+SUMIFS($F$5:$F441,$C$5:$C441,$C441,$B$5:$B441,"Entrada")-SUMIFS($F$5:$F441,$C$5:$C441,$C441,$B$5:$B441,"Salida"))</f>
        <v/>
      </c>
      <c r="J441" s="20"/>
      <c r="K441" s="20"/>
      <c r="L441" s="20"/>
      <c r="M441" s="14" t="str">
        <f>IF(AND($C441&lt;&gt;"",$C441=Kardex!$C$4),COUNTIF($C$5:$C441,Kardex!$C$4),"")</f>
        <v/>
      </c>
    </row>
    <row r="442" spans="1:13" x14ac:dyDescent="0.25">
      <c r="A442" s="24"/>
      <c r="B442" s="20"/>
      <c r="C442" s="20"/>
      <c r="D442" s="14" t="str">
        <f>IF($C442="","",IFERROR(INDEX(Productos!$B$5:$B$504,MATCH($C442,Productos!$A$5:$A$504,0)),"Clave no existe"))</f>
        <v/>
      </c>
      <c r="E442" s="14" t="str">
        <f>IF($C442="","",IFERROR(INDEX(Productos!$D$5:$D$504,MATCH($C442,Productos!$A$5:$A$504,0)),""))</f>
        <v/>
      </c>
      <c r="F442" s="20"/>
      <c r="G442" s="22" t="str">
        <f>IF($C442="","",IFERROR(INDEX(Productos!$F$5:$F$504,MATCH($C442,Productos!$A$5:$A$504,0)),0))</f>
        <v/>
      </c>
      <c r="H442" s="22" t="str">
        <f t="shared" si="6"/>
        <v/>
      </c>
      <c r="I442" s="14" t="str">
        <f>IF(OR($C442="",$F442=""),"",IFERROR(INDEX(Productos!$I$5:$I$504,MATCH($C442,Productos!$A$5:$A$504,0)),0)+SUMIFS($F$5:$F442,$C$5:$C442,$C442,$B$5:$B442,"Entrada")-SUMIFS($F$5:$F442,$C$5:$C442,$C442,$B$5:$B442,"Salida"))</f>
        <v/>
      </c>
      <c r="J442" s="20"/>
      <c r="K442" s="20"/>
      <c r="L442" s="20"/>
      <c r="M442" s="14" t="str">
        <f>IF(AND($C442&lt;&gt;"",$C442=Kardex!$C$4),COUNTIF($C$5:$C442,Kardex!$C$4),"")</f>
        <v/>
      </c>
    </row>
    <row r="443" spans="1:13" x14ac:dyDescent="0.25">
      <c r="A443" s="24"/>
      <c r="B443" s="20"/>
      <c r="C443" s="20"/>
      <c r="D443" s="14" t="str">
        <f>IF($C443="","",IFERROR(INDEX(Productos!$B$5:$B$504,MATCH($C443,Productos!$A$5:$A$504,0)),"Clave no existe"))</f>
        <v/>
      </c>
      <c r="E443" s="14" t="str">
        <f>IF($C443="","",IFERROR(INDEX(Productos!$D$5:$D$504,MATCH($C443,Productos!$A$5:$A$504,0)),""))</f>
        <v/>
      </c>
      <c r="F443" s="20"/>
      <c r="G443" s="22" t="str">
        <f>IF($C443="","",IFERROR(INDEX(Productos!$F$5:$F$504,MATCH($C443,Productos!$A$5:$A$504,0)),0))</f>
        <v/>
      </c>
      <c r="H443" s="22" t="str">
        <f t="shared" si="6"/>
        <v/>
      </c>
      <c r="I443" s="14" t="str">
        <f>IF(OR($C443="",$F443=""),"",IFERROR(INDEX(Productos!$I$5:$I$504,MATCH($C443,Productos!$A$5:$A$504,0)),0)+SUMIFS($F$5:$F443,$C$5:$C443,$C443,$B$5:$B443,"Entrada")-SUMIFS($F$5:$F443,$C$5:$C443,$C443,$B$5:$B443,"Salida"))</f>
        <v/>
      </c>
      <c r="J443" s="20"/>
      <c r="K443" s="20"/>
      <c r="L443" s="20"/>
      <c r="M443" s="14" t="str">
        <f>IF(AND($C443&lt;&gt;"",$C443=Kardex!$C$4),COUNTIF($C$5:$C443,Kardex!$C$4),"")</f>
        <v/>
      </c>
    </row>
    <row r="444" spans="1:13" x14ac:dyDescent="0.25">
      <c r="A444" s="24"/>
      <c r="B444" s="20"/>
      <c r="C444" s="20"/>
      <c r="D444" s="14" t="str">
        <f>IF($C444="","",IFERROR(INDEX(Productos!$B$5:$B$504,MATCH($C444,Productos!$A$5:$A$504,0)),"Clave no existe"))</f>
        <v/>
      </c>
      <c r="E444" s="14" t="str">
        <f>IF($C444="","",IFERROR(INDEX(Productos!$D$5:$D$504,MATCH($C444,Productos!$A$5:$A$504,0)),""))</f>
        <v/>
      </c>
      <c r="F444" s="20"/>
      <c r="G444" s="22" t="str">
        <f>IF($C444="","",IFERROR(INDEX(Productos!$F$5:$F$504,MATCH($C444,Productos!$A$5:$A$504,0)),0))</f>
        <v/>
      </c>
      <c r="H444" s="22" t="str">
        <f t="shared" si="6"/>
        <v/>
      </c>
      <c r="I444" s="14" t="str">
        <f>IF(OR($C444="",$F444=""),"",IFERROR(INDEX(Productos!$I$5:$I$504,MATCH($C444,Productos!$A$5:$A$504,0)),0)+SUMIFS($F$5:$F444,$C$5:$C444,$C444,$B$5:$B444,"Entrada")-SUMIFS($F$5:$F444,$C$5:$C444,$C444,$B$5:$B444,"Salida"))</f>
        <v/>
      </c>
      <c r="J444" s="20"/>
      <c r="K444" s="20"/>
      <c r="L444" s="20"/>
      <c r="M444" s="14" t="str">
        <f>IF(AND($C444&lt;&gt;"",$C444=Kardex!$C$4),COUNTIF($C$5:$C444,Kardex!$C$4),"")</f>
        <v/>
      </c>
    </row>
    <row r="445" spans="1:13" x14ac:dyDescent="0.25">
      <c r="A445" s="24"/>
      <c r="B445" s="20"/>
      <c r="C445" s="20"/>
      <c r="D445" s="14" t="str">
        <f>IF($C445="","",IFERROR(INDEX(Productos!$B$5:$B$504,MATCH($C445,Productos!$A$5:$A$504,0)),"Clave no existe"))</f>
        <v/>
      </c>
      <c r="E445" s="14" t="str">
        <f>IF($C445="","",IFERROR(INDEX(Productos!$D$5:$D$504,MATCH($C445,Productos!$A$5:$A$504,0)),""))</f>
        <v/>
      </c>
      <c r="F445" s="20"/>
      <c r="G445" s="22" t="str">
        <f>IF($C445="","",IFERROR(INDEX(Productos!$F$5:$F$504,MATCH($C445,Productos!$A$5:$A$504,0)),0))</f>
        <v/>
      </c>
      <c r="H445" s="22" t="str">
        <f t="shared" si="6"/>
        <v/>
      </c>
      <c r="I445" s="14" t="str">
        <f>IF(OR($C445="",$F445=""),"",IFERROR(INDEX(Productos!$I$5:$I$504,MATCH($C445,Productos!$A$5:$A$504,0)),0)+SUMIFS($F$5:$F445,$C$5:$C445,$C445,$B$5:$B445,"Entrada")-SUMIFS($F$5:$F445,$C$5:$C445,$C445,$B$5:$B445,"Salida"))</f>
        <v/>
      </c>
      <c r="J445" s="20"/>
      <c r="K445" s="20"/>
      <c r="L445" s="20"/>
      <c r="M445" s="14" t="str">
        <f>IF(AND($C445&lt;&gt;"",$C445=Kardex!$C$4),COUNTIF($C$5:$C445,Kardex!$C$4),"")</f>
        <v/>
      </c>
    </row>
    <row r="446" spans="1:13" x14ac:dyDescent="0.25">
      <c r="A446" s="24"/>
      <c r="B446" s="20"/>
      <c r="C446" s="20"/>
      <c r="D446" s="14" t="str">
        <f>IF($C446="","",IFERROR(INDEX(Productos!$B$5:$B$504,MATCH($C446,Productos!$A$5:$A$504,0)),"Clave no existe"))</f>
        <v/>
      </c>
      <c r="E446" s="14" t="str">
        <f>IF($C446="","",IFERROR(INDEX(Productos!$D$5:$D$504,MATCH($C446,Productos!$A$5:$A$504,0)),""))</f>
        <v/>
      </c>
      <c r="F446" s="20"/>
      <c r="G446" s="22" t="str">
        <f>IF($C446="","",IFERROR(INDEX(Productos!$F$5:$F$504,MATCH($C446,Productos!$A$5:$A$504,0)),0))</f>
        <v/>
      </c>
      <c r="H446" s="22" t="str">
        <f t="shared" si="6"/>
        <v/>
      </c>
      <c r="I446" s="14" t="str">
        <f>IF(OR($C446="",$F446=""),"",IFERROR(INDEX(Productos!$I$5:$I$504,MATCH($C446,Productos!$A$5:$A$504,0)),0)+SUMIFS($F$5:$F446,$C$5:$C446,$C446,$B$5:$B446,"Entrada")-SUMIFS($F$5:$F446,$C$5:$C446,$C446,$B$5:$B446,"Salida"))</f>
        <v/>
      </c>
      <c r="J446" s="20"/>
      <c r="K446" s="20"/>
      <c r="L446" s="20"/>
      <c r="M446" s="14" t="str">
        <f>IF(AND($C446&lt;&gt;"",$C446=Kardex!$C$4),COUNTIF($C$5:$C446,Kardex!$C$4),"")</f>
        <v/>
      </c>
    </row>
    <row r="447" spans="1:13" x14ac:dyDescent="0.25">
      <c r="A447" s="24"/>
      <c r="B447" s="20"/>
      <c r="C447" s="20"/>
      <c r="D447" s="14" t="str">
        <f>IF($C447="","",IFERROR(INDEX(Productos!$B$5:$B$504,MATCH($C447,Productos!$A$5:$A$504,0)),"Clave no existe"))</f>
        <v/>
      </c>
      <c r="E447" s="14" t="str">
        <f>IF($C447="","",IFERROR(INDEX(Productos!$D$5:$D$504,MATCH($C447,Productos!$A$5:$A$504,0)),""))</f>
        <v/>
      </c>
      <c r="F447" s="20"/>
      <c r="G447" s="22" t="str">
        <f>IF($C447="","",IFERROR(INDEX(Productos!$F$5:$F$504,MATCH($C447,Productos!$A$5:$A$504,0)),0))</f>
        <v/>
      </c>
      <c r="H447" s="22" t="str">
        <f t="shared" si="6"/>
        <v/>
      </c>
      <c r="I447" s="14" t="str">
        <f>IF(OR($C447="",$F447=""),"",IFERROR(INDEX(Productos!$I$5:$I$504,MATCH($C447,Productos!$A$5:$A$504,0)),0)+SUMIFS($F$5:$F447,$C$5:$C447,$C447,$B$5:$B447,"Entrada")-SUMIFS($F$5:$F447,$C$5:$C447,$C447,$B$5:$B447,"Salida"))</f>
        <v/>
      </c>
      <c r="J447" s="20"/>
      <c r="K447" s="20"/>
      <c r="L447" s="20"/>
      <c r="M447" s="14" t="str">
        <f>IF(AND($C447&lt;&gt;"",$C447=Kardex!$C$4),COUNTIF($C$5:$C447,Kardex!$C$4),"")</f>
        <v/>
      </c>
    </row>
    <row r="448" spans="1:13" x14ac:dyDescent="0.25">
      <c r="A448" s="24"/>
      <c r="B448" s="20"/>
      <c r="C448" s="20"/>
      <c r="D448" s="14" t="str">
        <f>IF($C448="","",IFERROR(INDEX(Productos!$B$5:$B$504,MATCH($C448,Productos!$A$5:$A$504,0)),"Clave no existe"))</f>
        <v/>
      </c>
      <c r="E448" s="14" t="str">
        <f>IF($C448="","",IFERROR(INDEX(Productos!$D$5:$D$504,MATCH($C448,Productos!$A$5:$A$504,0)),""))</f>
        <v/>
      </c>
      <c r="F448" s="20"/>
      <c r="G448" s="22" t="str">
        <f>IF($C448="","",IFERROR(INDEX(Productos!$F$5:$F$504,MATCH($C448,Productos!$A$5:$A$504,0)),0))</f>
        <v/>
      </c>
      <c r="H448" s="22" t="str">
        <f t="shared" si="6"/>
        <v/>
      </c>
      <c r="I448" s="14" t="str">
        <f>IF(OR($C448="",$F448=""),"",IFERROR(INDEX(Productos!$I$5:$I$504,MATCH($C448,Productos!$A$5:$A$504,0)),0)+SUMIFS($F$5:$F448,$C$5:$C448,$C448,$B$5:$B448,"Entrada")-SUMIFS($F$5:$F448,$C$5:$C448,$C448,$B$5:$B448,"Salida"))</f>
        <v/>
      </c>
      <c r="J448" s="20"/>
      <c r="K448" s="20"/>
      <c r="L448" s="20"/>
      <c r="M448" s="14" t="str">
        <f>IF(AND($C448&lt;&gt;"",$C448=Kardex!$C$4),COUNTIF($C$5:$C448,Kardex!$C$4),"")</f>
        <v/>
      </c>
    </row>
    <row r="449" spans="1:13" x14ac:dyDescent="0.25">
      <c r="A449" s="24"/>
      <c r="B449" s="20"/>
      <c r="C449" s="20"/>
      <c r="D449" s="14" t="str">
        <f>IF($C449="","",IFERROR(INDEX(Productos!$B$5:$B$504,MATCH($C449,Productos!$A$5:$A$504,0)),"Clave no existe"))</f>
        <v/>
      </c>
      <c r="E449" s="14" t="str">
        <f>IF($C449="","",IFERROR(INDEX(Productos!$D$5:$D$504,MATCH($C449,Productos!$A$5:$A$504,0)),""))</f>
        <v/>
      </c>
      <c r="F449" s="20"/>
      <c r="G449" s="22" t="str">
        <f>IF($C449="","",IFERROR(INDEX(Productos!$F$5:$F$504,MATCH($C449,Productos!$A$5:$A$504,0)),0))</f>
        <v/>
      </c>
      <c r="H449" s="22" t="str">
        <f t="shared" si="6"/>
        <v/>
      </c>
      <c r="I449" s="14" t="str">
        <f>IF(OR($C449="",$F449=""),"",IFERROR(INDEX(Productos!$I$5:$I$504,MATCH($C449,Productos!$A$5:$A$504,0)),0)+SUMIFS($F$5:$F449,$C$5:$C449,$C449,$B$5:$B449,"Entrada")-SUMIFS($F$5:$F449,$C$5:$C449,$C449,$B$5:$B449,"Salida"))</f>
        <v/>
      </c>
      <c r="J449" s="20"/>
      <c r="K449" s="20"/>
      <c r="L449" s="20"/>
      <c r="M449" s="14" t="str">
        <f>IF(AND($C449&lt;&gt;"",$C449=Kardex!$C$4),COUNTIF($C$5:$C449,Kardex!$C$4),"")</f>
        <v/>
      </c>
    </row>
    <row r="450" spans="1:13" x14ac:dyDescent="0.25">
      <c r="A450" s="24"/>
      <c r="B450" s="20"/>
      <c r="C450" s="20"/>
      <c r="D450" s="14" t="str">
        <f>IF($C450="","",IFERROR(INDEX(Productos!$B$5:$B$504,MATCH($C450,Productos!$A$5:$A$504,0)),"Clave no existe"))</f>
        <v/>
      </c>
      <c r="E450" s="14" t="str">
        <f>IF($C450="","",IFERROR(INDEX(Productos!$D$5:$D$504,MATCH($C450,Productos!$A$5:$A$504,0)),""))</f>
        <v/>
      </c>
      <c r="F450" s="20"/>
      <c r="G450" s="22" t="str">
        <f>IF($C450="","",IFERROR(INDEX(Productos!$F$5:$F$504,MATCH($C450,Productos!$A$5:$A$504,0)),0))</f>
        <v/>
      </c>
      <c r="H450" s="22" t="str">
        <f t="shared" si="6"/>
        <v/>
      </c>
      <c r="I450" s="14" t="str">
        <f>IF(OR($C450="",$F450=""),"",IFERROR(INDEX(Productos!$I$5:$I$504,MATCH($C450,Productos!$A$5:$A$504,0)),0)+SUMIFS($F$5:$F450,$C$5:$C450,$C450,$B$5:$B450,"Entrada")-SUMIFS($F$5:$F450,$C$5:$C450,$C450,$B$5:$B450,"Salida"))</f>
        <v/>
      </c>
      <c r="J450" s="20"/>
      <c r="K450" s="20"/>
      <c r="L450" s="20"/>
      <c r="M450" s="14" t="str">
        <f>IF(AND($C450&lt;&gt;"",$C450=Kardex!$C$4),COUNTIF($C$5:$C450,Kardex!$C$4),"")</f>
        <v/>
      </c>
    </row>
    <row r="451" spans="1:13" x14ac:dyDescent="0.25">
      <c r="A451" s="24"/>
      <c r="B451" s="20"/>
      <c r="C451" s="20"/>
      <c r="D451" s="14" t="str">
        <f>IF($C451="","",IFERROR(INDEX(Productos!$B$5:$B$504,MATCH($C451,Productos!$A$5:$A$504,0)),"Clave no existe"))</f>
        <v/>
      </c>
      <c r="E451" s="14" t="str">
        <f>IF($C451="","",IFERROR(INDEX(Productos!$D$5:$D$504,MATCH($C451,Productos!$A$5:$A$504,0)),""))</f>
        <v/>
      </c>
      <c r="F451" s="20"/>
      <c r="G451" s="22" t="str">
        <f>IF($C451="","",IFERROR(INDEX(Productos!$F$5:$F$504,MATCH($C451,Productos!$A$5:$A$504,0)),0))</f>
        <v/>
      </c>
      <c r="H451" s="22" t="str">
        <f t="shared" si="6"/>
        <v/>
      </c>
      <c r="I451" s="14" t="str">
        <f>IF(OR($C451="",$F451=""),"",IFERROR(INDEX(Productos!$I$5:$I$504,MATCH($C451,Productos!$A$5:$A$504,0)),0)+SUMIFS($F$5:$F451,$C$5:$C451,$C451,$B$5:$B451,"Entrada")-SUMIFS($F$5:$F451,$C$5:$C451,$C451,$B$5:$B451,"Salida"))</f>
        <v/>
      </c>
      <c r="J451" s="20"/>
      <c r="K451" s="20"/>
      <c r="L451" s="20"/>
      <c r="M451" s="14" t="str">
        <f>IF(AND($C451&lt;&gt;"",$C451=Kardex!$C$4),COUNTIF($C$5:$C451,Kardex!$C$4),"")</f>
        <v/>
      </c>
    </row>
    <row r="452" spans="1:13" x14ac:dyDescent="0.25">
      <c r="A452" s="24"/>
      <c r="B452" s="20"/>
      <c r="C452" s="20"/>
      <c r="D452" s="14" t="str">
        <f>IF($C452="","",IFERROR(INDEX(Productos!$B$5:$B$504,MATCH($C452,Productos!$A$5:$A$504,0)),"Clave no existe"))</f>
        <v/>
      </c>
      <c r="E452" s="14" t="str">
        <f>IF($C452="","",IFERROR(INDEX(Productos!$D$5:$D$504,MATCH($C452,Productos!$A$5:$A$504,0)),""))</f>
        <v/>
      </c>
      <c r="F452" s="20"/>
      <c r="G452" s="22" t="str">
        <f>IF($C452="","",IFERROR(INDEX(Productos!$F$5:$F$504,MATCH($C452,Productos!$A$5:$A$504,0)),0))</f>
        <v/>
      </c>
      <c r="H452" s="22" t="str">
        <f t="shared" si="6"/>
        <v/>
      </c>
      <c r="I452" s="14" t="str">
        <f>IF(OR($C452="",$F452=""),"",IFERROR(INDEX(Productos!$I$5:$I$504,MATCH($C452,Productos!$A$5:$A$504,0)),0)+SUMIFS($F$5:$F452,$C$5:$C452,$C452,$B$5:$B452,"Entrada")-SUMIFS($F$5:$F452,$C$5:$C452,$C452,$B$5:$B452,"Salida"))</f>
        <v/>
      </c>
      <c r="J452" s="20"/>
      <c r="K452" s="20"/>
      <c r="L452" s="20"/>
      <c r="M452" s="14" t="str">
        <f>IF(AND($C452&lt;&gt;"",$C452=Kardex!$C$4),COUNTIF($C$5:$C452,Kardex!$C$4),"")</f>
        <v/>
      </c>
    </row>
    <row r="453" spans="1:13" x14ac:dyDescent="0.25">
      <c r="A453" s="24"/>
      <c r="B453" s="20"/>
      <c r="C453" s="20"/>
      <c r="D453" s="14" t="str">
        <f>IF($C453="","",IFERROR(INDEX(Productos!$B$5:$B$504,MATCH($C453,Productos!$A$5:$A$504,0)),"Clave no existe"))</f>
        <v/>
      </c>
      <c r="E453" s="14" t="str">
        <f>IF($C453="","",IFERROR(INDEX(Productos!$D$5:$D$504,MATCH($C453,Productos!$A$5:$A$504,0)),""))</f>
        <v/>
      </c>
      <c r="F453" s="20"/>
      <c r="G453" s="22" t="str">
        <f>IF($C453="","",IFERROR(INDEX(Productos!$F$5:$F$504,MATCH($C453,Productos!$A$5:$A$504,0)),0))</f>
        <v/>
      </c>
      <c r="H453" s="22" t="str">
        <f t="shared" ref="H453:H516" si="7">IF(OR($C453="",$F453=""),"",F453*G453)</f>
        <v/>
      </c>
      <c r="I453" s="14" t="str">
        <f>IF(OR($C453="",$F453=""),"",IFERROR(INDEX(Productos!$I$5:$I$504,MATCH($C453,Productos!$A$5:$A$504,0)),0)+SUMIFS($F$5:$F453,$C$5:$C453,$C453,$B$5:$B453,"Entrada")-SUMIFS($F$5:$F453,$C$5:$C453,$C453,$B$5:$B453,"Salida"))</f>
        <v/>
      </c>
      <c r="J453" s="20"/>
      <c r="K453" s="20"/>
      <c r="L453" s="20"/>
      <c r="M453" s="14" t="str">
        <f>IF(AND($C453&lt;&gt;"",$C453=Kardex!$C$4),COUNTIF($C$5:$C453,Kardex!$C$4),"")</f>
        <v/>
      </c>
    </row>
    <row r="454" spans="1:13" x14ac:dyDescent="0.25">
      <c r="A454" s="24"/>
      <c r="B454" s="20"/>
      <c r="C454" s="20"/>
      <c r="D454" s="14" t="str">
        <f>IF($C454="","",IFERROR(INDEX(Productos!$B$5:$B$504,MATCH($C454,Productos!$A$5:$A$504,0)),"Clave no existe"))</f>
        <v/>
      </c>
      <c r="E454" s="14" t="str">
        <f>IF($C454="","",IFERROR(INDEX(Productos!$D$5:$D$504,MATCH($C454,Productos!$A$5:$A$504,0)),""))</f>
        <v/>
      </c>
      <c r="F454" s="20"/>
      <c r="G454" s="22" t="str">
        <f>IF($C454="","",IFERROR(INDEX(Productos!$F$5:$F$504,MATCH($C454,Productos!$A$5:$A$504,0)),0))</f>
        <v/>
      </c>
      <c r="H454" s="22" t="str">
        <f t="shared" si="7"/>
        <v/>
      </c>
      <c r="I454" s="14" t="str">
        <f>IF(OR($C454="",$F454=""),"",IFERROR(INDEX(Productos!$I$5:$I$504,MATCH($C454,Productos!$A$5:$A$504,0)),0)+SUMIFS($F$5:$F454,$C$5:$C454,$C454,$B$5:$B454,"Entrada")-SUMIFS($F$5:$F454,$C$5:$C454,$C454,$B$5:$B454,"Salida"))</f>
        <v/>
      </c>
      <c r="J454" s="20"/>
      <c r="K454" s="20"/>
      <c r="L454" s="20"/>
      <c r="M454" s="14" t="str">
        <f>IF(AND($C454&lt;&gt;"",$C454=Kardex!$C$4),COUNTIF($C$5:$C454,Kardex!$C$4),"")</f>
        <v/>
      </c>
    </row>
    <row r="455" spans="1:13" x14ac:dyDescent="0.25">
      <c r="A455" s="24"/>
      <c r="B455" s="20"/>
      <c r="C455" s="20"/>
      <c r="D455" s="14" t="str">
        <f>IF($C455="","",IFERROR(INDEX(Productos!$B$5:$B$504,MATCH($C455,Productos!$A$5:$A$504,0)),"Clave no existe"))</f>
        <v/>
      </c>
      <c r="E455" s="14" t="str">
        <f>IF($C455="","",IFERROR(INDEX(Productos!$D$5:$D$504,MATCH($C455,Productos!$A$5:$A$504,0)),""))</f>
        <v/>
      </c>
      <c r="F455" s="20"/>
      <c r="G455" s="22" t="str">
        <f>IF($C455="","",IFERROR(INDEX(Productos!$F$5:$F$504,MATCH($C455,Productos!$A$5:$A$504,0)),0))</f>
        <v/>
      </c>
      <c r="H455" s="22" t="str">
        <f t="shared" si="7"/>
        <v/>
      </c>
      <c r="I455" s="14" t="str">
        <f>IF(OR($C455="",$F455=""),"",IFERROR(INDEX(Productos!$I$5:$I$504,MATCH($C455,Productos!$A$5:$A$504,0)),0)+SUMIFS($F$5:$F455,$C$5:$C455,$C455,$B$5:$B455,"Entrada")-SUMIFS($F$5:$F455,$C$5:$C455,$C455,$B$5:$B455,"Salida"))</f>
        <v/>
      </c>
      <c r="J455" s="20"/>
      <c r="K455" s="20"/>
      <c r="L455" s="20"/>
      <c r="M455" s="14" t="str">
        <f>IF(AND($C455&lt;&gt;"",$C455=Kardex!$C$4),COUNTIF($C$5:$C455,Kardex!$C$4),"")</f>
        <v/>
      </c>
    </row>
    <row r="456" spans="1:13" x14ac:dyDescent="0.25">
      <c r="A456" s="24"/>
      <c r="B456" s="20"/>
      <c r="C456" s="20"/>
      <c r="D456" s="14" t="str">
        <f>IF($C456="","",IFERROR(INDEX(Productos!$B$5:$B$504,MATCH($C456,Productos!$A$5:$A$504,0)),"Clave no existe"))</f>
        <v/>
      </c>
      <c r="E456" s="14" t="str">
        <f>IF($C456="","",IFERROR(INDEX(Productos!$D$5:$D$504,MATCH($C456,Productos!$A$5:$A$504,0)),""))</f>
        <v/>
      </c>
      <c r="F456" s="20"/>
      <c r="G456" s="22" t="str">
        <f>IF($C456="","",IFERROR(INDEX(Productos!$F$5:$F$504,MATCH($C456,Productos!$A$5:$A$504,0)),0))</f>
        <v/>
      </c>
      <c r="H456" s="22" t="str">
        <f t="shared" si="7"/>
        <v/>
      </c>
      <c r="I456" s="14" t="str">
        <f>IF(OR($C456="",$F456=""),"",IFERROR(INDEX(Productos!$I$5:$I$504,MATCH($C456,Productos!$A$5:$A$504,0)),0)+SUMIFS($F$5:$F456,$C$5:$C456,$C456,$B$5:$B456,"Entrada")-SUMIFS($F$5:$F456,$C$5:$C456,$C456,$B$5:$B456,"Salida"))</f>
        <v/>
      </c>
      <c r="J456" s="20"/>
      <c r="K456" s="20"/>
      <c r="L456" s="20"/>
      <c r="M456" s="14" t="str">
        <f>IF(AND($C456&lt;&gt;"",$C456=Kardex!$C$4),COUNTIF($C$5:$C456,Kardex!$C$4),"")</f>
        <v/>
      </c>
    </row>
    <row r="457" spans="1:13" x14ac:dyDescent="0.25">
      <c r="A457" s="24"/>
      <c r="B457" s="20"/>
      <c r="C457" s="20"/>
      <c r="D457" s="14" t="str">
        <f>IF($C457="","",IFERROR(INDEX(Productos!$B$5:$B$504,MATCH($C457,Productos!$A$5:$A$504,0)),"Clave no existe"))</f>
        <v/>
      </c>
      <c r="E457" s="14" t="str">
        <f>IF($C457="","",IFERROR(INDEX(Productos!$D$5:$D$504,MATCH($C457,Productos!$A$5:$A$504,0)),""))</f>
        <v/>
      </c>
      <c r="F457" s="20"/>
      <c r="G457" s="22" t="str">
        <f>IF($C457="","",IFERROR(INDEX(Productos!$F$5:$F$504,MATCH($C457,Productos!$A$5:$A$504,0)),0))</f>
        <v/>
      </c>
      <c r="H457" s="22" t="str">
        <f t="shared" si="7"/>
        <v/>
      </c>
      <c r="I457" s="14" t="str">
        <f>IF(OR($C457="",$F457=""),"",IFERROR(INDEX(Productos!$I$5:$I$504,MATCH($C457,Productos!$A$5:$A$504,0)),0)+SUMIFS($F$5:$F457,$C$5:$C457,$C457,$B$5:$B457,"Entrada")-SUMIFS($F$5:$F457,$C$5:$C457,$C457,$B$5:$B457,"Salida"))</f>
        <v/>
      </c>
      <c r="J457" s="20"/>
      <c r="K457" s="20"/>
      <c r="L457" s="20"/>
      <c r="M457" s="14" t="str">
        <f>IF(AND($C457&lt;&gt;"",$C457=Kardex!$C$4),COUNTIF($C$5:$C457,Kardex!$C$4),"")</f>
        <v/>
      </c>
    </row>
    <row r="458" spans="1:13" x14ac:dyDescent="0.25">
      <c r="A458" s="24"/>
      <c r="B458" s="20"/>
      <c r="C458" s="20"/>
      <c r="D458" s="14" t="str">
        <f>IF($C458="","",IFERROR(INDEX(Productos!$B$5:$B$504,MATCH($C458,Productos!$A$5:$A$504,0)),"Clave no existe"))</f>
        <v/>
      </c>
      <c r="E458" s="14" t="str">
        <f>IF($C458="","",IFERROR(INDEX(Productos!$D$5:$D$504,MATCH($C458,Productos!$A$5:$A$504,0)),""))</f>
        <v/>
      </c>
      <c r="F458" s="20"/>
      <c r="G458" s="22" t="str">
        <f>IF($C458="","",IFERROR(INDEX(Productos!$F$5:$F$504,MATCH($C458,Productos!$A$5:$A$504,0)),0))</f>
        <v/>
      </c>
      <c r="H458" s="22" t="str">
        <f t="shared" si="7"/>
        <v/>
      </c>
      <c r="I458" s="14" t="str">
        <f>IF(OR($C458="",$F458=""),"",IFERROR(INDEX(Productos!$I$5:$I$504,MATCH($C458,Productos!$A$5:$A$504,0)),0)+SUMIFS($F$5:$F458,$C$5:$C458,$C458,$B$5:$B458,"Entrada")-SUMIFS($F$5:$F458,$C$5:$C458,$C458,$B$5:$B458,"Salida"))</f>
        <v/>
      </c>
      <c r="J458" s="20"/>
      <c r="K458" s="20"/>
      <c r="L458" s="20"/>
      <c r="M458" s="14" t="str">
        <f>IF(AND($C458&lt;&gt;"",$C458=Kardex!$C$4),COUNTIF($C$5:$C458,Kardex!$C$4),"")</f>
        <v/>
      </c>
    </row>
    <row r="459" spans="1:13" x14ac:dyDescent="0.25">
      <c r="A459" s="24"/>
      <c r="B459" s="20"/>
      <c r="C459" s="20"/>
      <c r="D459" s="14" t="str">
        <f>IF($C459="","",IFERROR(INDEX(Productos!$B$5:$B$504,MATCH($C459,Productos!$A$5:$A$504,0)),"Clave no existe"))</f>
        <v/>
      </c>
      <c r="E459" s="14" t="str">
        <f>IF($C459="","",IFERROR(INDEX(Productos!$D$5:$D$504,MATCH($C459,Productos!$A$5:$A$504,0)),""))</f>
        <v/>
      </c>
      <c r="F459" s="20"/>
      <c r="G459" s="22" t="str">
        <f>IF($C459="","",IFERROR(INDEX(Productos!$F$5:$F$504,MATCH($C459,Productos!$A$5:$A$504,0)),0))</f>
        <v/>
      </c>
      <c r="H459" s="22" t="str">
        <f t="shared" si="7"/>
        <v/>
      </c>
      <c r="I459" s="14" t="str">
        <f>IF(OR($C459="",$F459=""),"",IFERROR(INDEX(Productos!$I$5:$I$504,MATCH($C459,Productos!$A$5:$A$504,0)),0)+SUMIFS($F$5:$F459,$C$5:$C459,$C459,$B$5:$B459,"Entrada")-SUMIFS($F$5:$F459,$C$5:$C459,$C459,$B$5:$B459,"Salida"))</f>
        <v/>
      </c>
      <c r="J459" s="20"/>
      <c r="K459" s="20"/>
      <c r="L459" s="20"/>
      <c r="M459" s="14" t="str">
        <f>IF(AND($C459&lt;&gt;"",$C459=Kardex!$C$4),COUNTIF($C$5:$C459,Kardex!$C$4),"")</f>
        <v/>
      </c>
    </row>
    <row r="460" spans="1:13" x14ac:dyDescent="0.25">
      <c r="A460" s="24"/>
      <c r="B460" s="20"/>
      <c r="C460" s="20"/>
      <c r="D460" s="14" t="str">
        <f>IF($C460="","",IFERROR(INDEX(Productos!$B$5:$B$504,MATCH($C460,Productos!$A$5:$A$504,0)),"Clave no existe"))</f>
        <v/>
      </c>
      <c r="E460" s="14" t="str">
        <f>IF($C460="","",IFERROR(INDEX(Productos!$D$5:$D$504,MATCH($C460,Productos!$A$5:$A$504,0)),""))</f>
        <v/>
      </c>
      <c r="F460" s="20"/>
      <c r="G460" s="22" t="str">
        <f>IF($C460="","",IFERROR(INDEX(Productos!$F$5:$F$504,MATCH($C460,Productos!$A$5:$A$504,0)),0))</f>
        <v/>
      </c>
      <c r="H460" s="22" t="str">
        <f t="shared" si="7"/>
        <v/>
      </c>
      <c r="I460" s="14" t="str">
        <f>IF(OR($C460="",$F460=""),"",IFERROR(INDEX(Productos!$I$5:$I$504,MATCH($C460,Productos!$A$5:$A$504,0)),0)+SUMIFS($F$5:$F460,$C$5:$C460,$C460,$B$5:$B460,"Entrada")-SUMIFS($F$5:$F460,$C$5:$C460,$C460,$B$5:$B460,"Salida"))</f>
        <v/>
      </c>
      <c r="J460" s="20"/>
      <c r="K460" s="20"/>
      <c r="L460" s="20"/>
      <c r="M460" s="14" t="str">
        <f>IF(AND($C460&lt;&gt;"",$C460=Kardex!$C$4),COUNTIF($C$5:$C460,Kardex!$C$4),"")</f>
        <v/>
      </c>
    </row>
    <row r="461" spans="1:13" x14ac:dyDescent="0.25">
      <c r="A461" s="24"/>
      <c r="B461" s="20"/>
      <c r="C461" s="20"/>
      <c r="D461" s="14" t="str">
        <f>IF($C461="","",IFERROR(INDEX(Productos!$B$5:$B$504,MATCH($C461,Productos!$A$5:$A$504,0)),"Clave no existe"))</f>
        <v/>
      </c>
      <c r="E461" s="14" t="str">
        <f>IF($C461="","",IFERROR(INDEX(Productos!$D$5:$D$504,MATCH($C461,Productos!$A$5:$A$504,0)),""))</f>
        <v/>
      </c>
      <c r="F461" s="20"/>
      <c r="G461" s="22" t="str">
        <f>IF($C461="","",IFERROR(INDEX(Productos!$F$5:$F$504,MATCH($C461,Productos!$A$5:$A$504,0)),0))</f>
        <v/>
      </c>
      <c r="H461" s="22" t="str">
        <f t="shared" si="7"/>
        <v/>
      </c>
      <c r="I461" s="14" t="str">
        <f>IF(OR($C461="",$F461=""),"",IFERROR(INDEX(Productos!$I$5:$I$504,MATCH($C461,Productos!$A$5:$A$504,0)),0)+SUMIFS($F$5:$F461,$C$5:$C461,$C461,$B$5:$B461,"Entrada")-SUMIFS($F$5:$F461,$C$5:$C461,$C461,$B$5:$B461,"Salida"))</f>
        <v/>
      </c>
      <c r="J461" s="20"/>
      <c r="K461" s="20"/>
      <c r="L461" s="20"/>
      <c r="M461" s="14" t="str">
        <f>IF(AND($C461&lt;&gt;"",$C461=Kardex!$C$4),COUNTIF($C$5:$C461,Kardex!$C$4),"")</f>
        <v/>
      </c>
    </row>
    <row r="462" spans="1:13" x14ac:dyDescent="0.25">
      <c r="A462" s="24"/>
      <c r="B462" s="20"/>
      <c r="C462" s="20"/>
      <c r="D462" s="14" t="str">
        <f>IF($C462="","",IFERROR(INDEX(Productos!$B$5:$B$504,MATCH($C462,Productos!$A$5:$A$504,0)),"Clave no existe"))</f>
        <v/>
      </c>
      <c r="E462" s="14" t="str">
        <f>IF($C462="","",IFERROR(INDEX(Productos!$D$5:$D$504,MATCH($C462,Productos!$A$5:$A$504,0)),""))</f>
        <v/>
      </c>
      <c r="F462" s="20"/>
      <c r="G462" s="22" t="str">
        <f>IF($C462="","",IFERROR(INDEX(Productos!$F$5:$F$504,MATCH($C462,Productos!$A$5:$A$504,0)),0))</f>
        <v/>
      </c>
      <c r="H462" s="22" t="str">
        <f t="shared" si="7"/>
        <v/>
      </c>
      <c r="I462" s="14" t="str">
        <f>IF(OR($C462="",$F462=""),"",IFERROR(INDEX(Productos!$I$5:$I$504,MATCH($C462,Productos!$A$5:$A$504,0)),0)+SUMIFS($F$5:$F462,$C$5:$C462,$C462,$B$5:$B462,"Entrada")-SUMIFS($F$5:$F462,$C$5:$C462,$C462,$B$5:$B462,"Salida"))</f>
        <v/>
      </c>
      <c r="J462" s="20"/>
      <c r="K462" s="20"/>
      <c r="L462" s="20"/>
      <c r="M462" s="14" t="str">
        <f>IF(AND($C462&lt;&gt;"",$C462=Kardex!$C$4),COUNTIF($C$5:$C462,Kardex!$C$4),"")</f>
        <v/>
      </c>
    </row>
    <row r="463" spans="1:13" x14ac:dyDescent="0.25">
      <c r="A463" s="24"/>
      <c r="B463" s="20"/>
      <c r="C463" s="20"/>
      <c r="D463" s="14" t="str">
        <f>IF($C463="","",IFERROR(INDEX(Productos!$B$5:$B$504,MATCH($C463,Productos!$A$5:$A$504,0)),"Clave no existe"))</f>
        <v/>
      </c>
      <c r="E463" s="14" t="str">
        <f>IF($C463="","",IFERROR(INDEX(Productos!$D$5:$D$504,MATCH($C463,Productos!$A$5:$A$504,0)),""))</f>
        <v/>
      </c>
      <c r="F463" s="20"/>
      <c r="G463" s="22" t="str">
        <f>IF($C463="","",IFERROR(INDEX(Productos!$F$5:$F$504,MATCH($C463,Productos!$A$5:$A$504,0)),0))</f>
        <v/>
      </c>
      <c r="H463" s="22" t="str">
        <f t="shared" si="7"/>
        <v/>
      </c>
      <c r="I463" s="14" t="str">
        <f>IF(OR($C463="",$F463=""),"",IFERROR(INDEX(Productos!$I$5:$I$504,MATCH($C463,Productos!$A$5:$A$504,0)),0)+SUMIFS($F$5:$F463,$C$5:$C463,$C463,$B$5:$B463,"Entrada")-SUMIFS($F$5:$F463,$C$5:$C463,$C463,$B$5:$B463,"Salida"))</f>
        <v/>
      </c>
      <c r="J463" s="20"/>
      <c r="K463" s="20"/>
      <c r="L463" s="20"/>
      <c r="M463" s="14" t="str">
        <f>IF(AND($C463&lt;&gt;"",$C463=Kardex!$C$4),COUNTIF($C$5:$C463,Kardex!$C$4),"")</f>
        <v/>
      </c>
    </row>
    <row r="464" spans="1:13" x14ac:dyDescent="0.25">
      <c r="A464" s="24"/>
      <c r="B464" s="20"/>
      <c r="C464" s="20"/>
      <c r="D464" s="14" t="str">
        <f>IF($C464="","",IFERROR(INDEX(Productos!$B$5:$B$504,MATCH($C464,Productos!$A$5:$A$504,0)),"Clave no existe"))</f>
        <v/>
      </c>
      <c r="E464" s="14" t="str">
        <f>IF($C464="","",IFERROR(INDEX(Productos!$D$5:$D$504,MATCH($C464,Productos!$A$5:$A$504,0)),""))</f>
        <v/>
      </c>
      <c r="F464" s="20"/>
      <c r="G464" s="22" t="str">
        <f>IF($C464="","",IFERROR(INDEX(Productos!$F$5:$F$504,MATCH($C464,Productos!$A$5:$A$504,0)),0))</f>
        <v/>
      </c>
      <c r="H464" s="22" t="str">
        <f t="shared" si="7"/>
        <v/>
      </c>
      <c r="I464" s="14" t="str">
        <f>IF(OR($C464="",$F464=""),"",IFERROR(INDEX(Productos!$I$5:$I$504,MATCH($C464,Productos!$A$5:$A$504,0)),0)+SUMIFS($F$5:$F464,$C$5:$C464,$C464,$B$5:$B464,"Entrada")-SUMIFS($F$5:$F464,$C$5:$C464,$C464,$B$5:$B464,"Salida"))</f>
        <v/>
      </c>
      <c r="J464" s="20"/>
      <c r="K464" s="20"/>
      <c r="L464" s="20"/>
      <c r="M464" s="14" t="str">
        <f>IF(AND($C464&lt;&gt;"",$C464=Kardex!$C$4),COUNTIF($C$5:$C464,Kardex!$C$4),"")</f>
        <v/>
      </c>
    </row>
    <row r="465" spans="1:13" x14ac:dyDescent="0.25">
      <c r="A465" s="24"/>
      <c r="B465" s="20"/>
      <c r="C465" s="20"/>
      <c r="D465" s="14" t="str">
        <f>IF($C465="","",IFERROR(INDEX(Productos!$B$5:$B$504,MATCH($C465,Productos!$A$5:$A$504,0)),"Clave no existe"))</f>
        <v/>
      </c>
      <c r="E465" s="14" t="str">
        <f>IF($C465="","",IFERROR(INDEX(Productos!$D$5:$D$504,MATCH($C465,Productos!$A$5:$A$504,0)),""))</f>
        <v/>
      </c>
      <c r="F465" s="20"/>
      <c r="G465" s="22" t="str">
        <f>IF($C465="","",IFERROR(INDEX(Productos!$F$5:$F$504,MATCH($C465,Productos!$A$5:$A$504,0)),0))</f>
        <v/>
      </c>
      <c r="H465" s="22" t="str">
        <f t="shared" si="7"/>
        <v/>
      </c>
      <c r="I465" s="14" t="str">
        <f>IF(OR($C465="",$F465=""),"",IFERROR(INDEX(Productos!$I$5:$I$504,MATCH($C465,Productos!$A$5:$A$504,0)),0)+SUMIFS($F$5:$F465,$C$5:$C465,$C465,$B$5:$B465,"Entrada")-SUMIFS($F$5:$F465,$C$5:$C465,$C465,$B$5:$B465,"Salida"))</f>
        <v/>
      </c>
      <c r="J465" s="20"/>
      <c r="K465" s="20"/>
      <c r="L465" s="20"/>
      <c r="M465" s="14" t="str">
        <f>IF(AND($C465&lt;&gt;"",$C465=Kardex!$C$4),COUNTIF($C$5:$C465,Kardex!$C$4),"")</f>
        <v/>
      </c>
    </row>
    <row r="466" spans="1:13" x14ac:dyDescent="0.25">
      <c r="A466" s="24"/>
      <c r="B466" s="20"/>
      <c r="C466" s="20"/>
      <c r="D466" s="14" t="str">
        <f>IF($C466="","",IFERROR(INDEX(Productos!$B$5:$B$504,MATCH($C466,Productos!$A$5:$A$504,0)),"Clave no existe"))</f>
        <v/>
      </c>
      <c r="E466" s="14" t="str">
        <f>IF($C466="","",IFERROR(INDEX(Productos!$D$5:$D$504,MATCH($C466,Productos!$A$5:$A$504,0)),""))</f>
        <v/>
      </c>
      <c r="F466" s="20"/>
      <c r="G466" s="22" t="str">
        <f>IF($C466="","",IFERROR(INDEX(Productos!$F$5:$F$504,MATCH($C466,Productos!$A$5:$A$504,0)),0))</f>
        <v/>
      </c>
      <c r="H466" s="22" t="str">
        <f t="shared" si="7"/>
        <v/>
      </c>
      <c r="I466" s="14" t="str">
        <f>IF(OR($C466="",$F466=""),"",IFERROR(INDEX(Productos!$I$5:$I$504,MATCH($C466,Productos!$A$5:$A$504,0)),0)+SUMIFS($F$5:$F466,$C$5:$C466,$C466,$B$5:$B466,"Entrada")-SUMIFS($F$5:$F466,$C$5:$C466,$C466,$B$5:$B466,"Salida"))</f>
        <v/>
      </c>
      <c r="J466" s="20"/>
      <c r="K466" s="20"/>
      <c r="L466" s="20"/>
      <c r="M466" s="14" t="str">
        <f>IF(AND($C466&lt;&gt;"",$C466=Kardex!$C$4),COUNTIF($C$5:$C466,Kardex!$C$4),"")</f>
        <v/>
      </c>
    </row>
    <row r="467" spans="1:13" x14ac:dyDescent="0.25">
      <c r="A467" s="24"/>
      <c r="B467" s="20"/>
      <c r="C467" s="20"/>
      <c r="D467" s="14" t="str">
        <f>IF($C467="","",IFERROR(INDEX(Productos!$B$5:$B$504,MATCH($C467,Productos!$A$5:$A$504,0)),"Clave no existe"))</f>
        <v/>
      </c>
      <c r="E467" s="14" t="str">
        <f>IF($C467="","",IFERROR(INDEX(Productos!$D$5:$D$504,MATCH($C467,Productos!$A$5:$A$504,0)),""))</f>
        <v/>
      </c>
      <c r="F467" s="20"/>
      <c r="G467" s="22" t="str">
        <f>IF($C467="","",IFERROR(INDEX(Productos!$F$5:$F$504,MATCH($C467,Productos!$A$5:$A$504,0)),0))</f>
        <v/>
      </c>
      <c r="H467" s="22" t="str">
        <f t="shared" si="7"/>
        <v/>
      </c>
      <c r="I467" s="14" t="str">
        <f>IF(OR($C467="",$F467=""),"",IFERROR(INDEX(Productos!$I$5:$I$504,MATCH($C467,Productos!$A$5:$A$504,0)),0)+SUMIFS($F$5:$F467,$C$5:$C467,$C467,$B$5:$B467,"Entrada")-SUMIFS($F$5:$F467,$C$5:$C467,$C467,$B$5:$B467,"Salida"))</f>
        <v/>
      </c>
      <c r="J467" s="20"/>
      <c r="K467" s="20"/>
      <c r="L467" s="20"/>
      <c r="M467" s="14" t="str">
        <f>IF(AND($C467&lt;&gt;"",$C467=Kardex!$C$4),COUNTIF($C$5:$C467,Kardex!$C$4),"")</f>
        <v/>
      </c>
    </row>
    <row r="468" spans="1:13" x14ac:dyDescent="0.25">
      <c r="A468" s="24"/>
      <c r="B468" s="20"/>
      <c r="C468" s="20"/>
      <c r="D468" s="14" t="str">
        <f>IF($C468="","",IFERROR(INDEX(Productos!$B$5:$B$504,MATCH($C468,Productos!$A$5:$A$504,0)),"Clave no existe"))</f>
        <v/>
      </c>
      <c r="E468" s="14" t="str">
        <f>IF($C468="","",IFERROR(INDEX(Productos!$D$5:$D$504,MATCH($C468,Productos!$A$5:$A$504,0)),""))</f>
        <v/>
      </c>
      <c r="F468" s="20"/>
      <c r="G468" s="22" t="str">
        <f>IF($C468="","",IFERROR(INDEX(Productos!$F$5:$F$504,MATCH($C468,Productos!$A$5:$A$504,0)),0))</f>
        <v/>
      </c>
      <c r="H468" s="22" t="str">
        <f t="shared" si="7"/>
        <v/>
      </c>
      <c r="I468" s="14" t="str">
        <f>IF(OR($C468="",$F468=""),"",IFERROR(INDEX(Productos!$I$5:$I$504,MATCH($C468,Productos!$A$5:$A$504,0)),0)+SUMIFS($F$5:$F468,$C$5:$C468,$C468,$B$5:$B468,"Entrada")-SUMIFS($F$5:$F468,$C$5:$C468,$C468,$B$5:$B468,"Salida"))</f>
        <v/>
      </c>
      <c r="J468" s="20"/>
      <c r="K468" s="20"/>
      <c r="L468" s="20"/>
      <c r="M468" s="14" t="str">
        <f>IF(AND($C468&lt;&gt;"",$C468=Kardex!$C$4),COUNTIF($C$5:$C468,Kardex!$C$4),"")</f>
        <v/>
      </c>
    </row>
    <row r="469" spans="1:13" x14ac:dyDescent="0.25">
      <c r="A469" s="24"/>
      <c r="B469" s="20"/>
      <c r="C469" s="20"/>
      <c r="D469" s="14" t="str">
        <f>IF($C469="","",IFERROR(INDEX(Productos!$B$5:$B$504,MATCH($C469,Productos!$A$5:$A$504,0)),"Clave no existe"))</f>
        <v/>
      </c>
      <c r="E469" s="14" t="str">
        <f>IF($C469="","",IFERROR(INDEX(Productos!$D$5:$D$504,MATCH($C469,Productos!$A$5:$A$504,0)),""))</f>
        <v/>
      </c>
      <c r="F469" s="20"/>
      <c r="G469" s="22" t="str">
        <f>IF($C469="","",IFERROR(INDEX(Productos!$F$5:$F$504,MATCH($C469,Productos!$A$5:$A$504,0)),0))</f>
        <v/>
      </c>
      <c r="H469" s="22" t="str">
        <f t="shared" si="7"/>
        <v/>
      </c>
      <c r="I469" s="14" t="str">
        <f>IF(OR($C469="",$F469=""),"",IFERROR(INDEX(Productos!$I$5:$I$504,MATCH($C469,Productos!$A$5:$A$504,0)),0)+SUMIFS($F$5:$F469,$C$5:$C469,$C469,$B$5:$B469,"Entrada")-SUMIFS($F$5:$F469,$C$5:$C469,$C469,$B$5:$B469,"Salida"))</f>
        <v/>
      </c>
      <c r="J469" s="20"/>
      <c r="K469" s="20"/>
      <c r="L469" s="20"/>
      <c r="M469" s="14" t="str">
        <f>IF(AND($C469&lt;&gt;"",$C469=Kardex!$C$4),COUNTIF($C$5:$C469,Kardex!$C$4),"")</f>
        <v/>
      </c>
    </row>
    <row r="470" spans="1:13" x14ac:dyDescent="0.25">
      <c r="A470" s="24"/>
      <c r="B470" s="20"/>
      <c r="C470" s="20"/>
      <c r="D470" s="14" t="str">
        <f>IF($C470="","",IFERROR(INDEX(Productos!$B$5:$B$504,MATCH($C470,Productos!$A$5:$A$504,0)),"Clave no existe"))</f>
        <v/>
      </c>
      <c r="E470" s="14" t="str">
        <f>IF($C470="","",IFERROR(INDEX(Productos!$D$5:$D$504,MATCH($C470,Productos!$A$5:$A$504,0)),""))</f>
        <v/>
      </c>
      <c r="F470" s="20"/>
      <c r="G470" s="22" t="str">
        <f>IF($C470="","",IFERROR(INDEX(Productos!$F$5:$F$504,MATCH($C470,Productos!$A$5:$A$504,0)),0))</f>
        <v/>
      </c>
      <c r="H470" s="22" t="str">
        <f t="shared" si="7"/>
        <v/>
      </c>
      <c r="I470" s="14" t="str">
        <f>IF(OR($C470="",$F470=""),"",IFERROR(INDEX(Productos!$I$5:$I$504,MATCH($C470,Productos!$A$5:$A$504,0)),0)+SUMIFS($F$5:$F470,$C$5:$C470,$C470,$B$5:$B470,"Entrada")-SUMIFS($F$5:$F470,$C$5:$C470,$C470,$B$5:$B470,"Salida"))</f>
        <v/>
      </c>
      <c r="J470" s="20"/>
      <c r="K470" s="20"/>
      <c r="L470" s="20"/>
      <c r="M470" s="14" t="str">
        <f>IF(AND($C470&lt;&gt;"",$C470=Kardex!$C$4),COUNTIF($C$5:$C470,Kardex!$C$4),"")</f>
        <v/>
      </c>
    </row>
    <row r="471" spans="1:13" x14ac:dyDescent="0.25">
      <c r="A471" s="24"/>
      <c r="B471" s="20"/>
      <c r="C471" s="20"/>
      <c r="D471" s="14" t="str">
        <f>IF($C471="","",IFERROR(INDEX(Productos!$B$5:$B$504,MATCH($C471,Productos!$A$5:$A$504,0)),"Clave no existe"))</f>
        <v/>
      </c>
      <c r="E471" s="14" t="str">
        <f>IF($C471="","",IFERROR(INDEX(Productos!$D$5:$D$504,MATCH($C471,Productos!$A$5:$A$504,0)),""))</f>
        <v/>
      </c>
      <c r="F471" s="20"/>
      <c r="G471" s="22" t="str">
        <f>IF($C471="","",IFERROR(INDEX(Productos!$F$5:$F$504,MATCH($C471,Productos!$A$5:$A$504,0)),0))</f>
        <v/>
      </c>
      <c r="H471" s="22" t="str">
        <f t="shared" si="7"/>
        <v/>
      </c>
      <c r="I471" s="14" t="str">
        <f>IF(OR($C471="",$F471=""),"",IFERROR(INDEX(Productos!$I$5:$I$504,MATCH($C471,Productos!$A$5:$A$504,0)),0)+SUMIFS($F$5:$F471,$C$5:$C471,$C471,$B$5:$B471,"Entrada")-SUMIFS($F$5:$F471,$C$5:$C471,$C471,$B$5:$B471,"Salida"))</f>
        <v/>
      </c>
      <c r="J471" s="20"/>
      <c r="K471" s="20"/>
      <c r="L471" s="20"/>
      <c r="M471" s="14" t="str">
        <f>IF(AND($C471&lt;&gt;"",$C471=Kardex!$C$4),COUNTIF($C$5:$C471,Kardex!$C$4),"")</f>
        <v/>
      </c>
    </row>
    <row r="472" spans="1:13" x14ac:dyDescent="0.25">
      <c r="A472" s="24"/>
      <c r="B472" s="20"/>
      <c r="C472" s="20"/>
      <c r="D472" s="14" t="str">
        <f>IF($C472="","",IFERROR(INDEX(Productos!$B$5:$B$504,MATCH($C472,Productos!$A$5:$A$504,0)),"Clave no existe"))</f>
        <v/>
      </c>
      <c r="E472" s="14" t="str">
        <f>IF($C472="","",IFERROR(INDEX(Productos!$D$5:$D$504,MATCH($C472,Productos!$A$5:$A$504,0)),""))</f>
        <v/>
      </c>
      <c r="F472" s="20"/>
      <c r="G472" s="22" t="str">
        <f>IF($C472="","",IFERROR(INDEX(Productos!$F$5:$F$504,MATCH($C472,Productos!$A$5:$A$504,0)),0))</f>
        <v/>
      </c>
      <c r="H472" s="22" t="str">
        <f t="shared" si="7"/>
        <v/>
      </c>
      <c r="I472" s="14" t="str">
        <f>IF(OR($C472="",$F472=""),"",IFERROR(INDEX(Productos!$I$5:$I$504,MATCH($C472,Productos!$A$5:$A$504,0)),0)+SUMIFS($F$5:$F472,$C$5:$C472,$C472,$B$5:$B472,"Entrada")-SUMIFS($F$5:$F472,$C$5:$C472,$C472,$B$5:$B472,"Salida"))</f>
        <v/>
      </c>
      <c r="J472" s="20"/>
      <c r="K472" s="20"/>
      <c r="L472" s="20"/>
      <c r="M472" s="14" t="str">
        <f>IF(AND($C472&lt;&gt;"",$C472=Kardex!$C$4),COUNTIF($C$5:$C472,Kardex!$C$4),"")</f>
        <v/>
      </c>
    </row>
    <row r="473" spans="1:13" x14ac:dyDescent="0.25">
      <c r="A473" s="24"/>
      <c r="B473" s="20"/>
      <c r="C473" s="20"/>
      <c r="D473" s="14" t="str">
        <f>IF($C473="","",IFERROR(INDEX(Productos!$B$5:$B$504,MATCH($C473,Productos!$A$5:$A$504,0)),"Clave no existe"))</f>
        <v/>
      </c>
      <c r="E473" s="14" t="str">
        <f>IF($C473="","",IFERROR(INDEX(Productos!$D$5:$D$504,MATCH($C473,Productos!$A$5:$A$504,0)),""))</f>
        <v/>
      </c>
      <c r="F473" s="20"/>
      <c r="G473" s="22" t="str">
        <f>IF($C473="","",IFERROR(INDEX(Productos!$F$5:$F$504,MATCH($C473,Productos!$A$5:$A$504,0)),0))</f>
        <v/>
      </c>
      <c r="H473" s="22" t="str">
        <f t="shared" si="7"/>
        <v/>
      </c>
      <c r="I473" s="14" t="str">
        <f>IF(OR($C473="",$F473=""),"",IFERROR(INDEX(Productos!$I$5:$I$504,MATCH($C473,Productos!$A$5:$A$504,0)),0)+SUMIFS($F$5:$F473,$C$5:$C473,$C473,$B$5:$B473,"Entrada")-SUMIFS($F$5:$F473,$C$5:$C473,$C473,$B$5:$B473,"Salida"))</f>
        <v/>
      </c>
      <c r="J473" s="20"/>
      <c r="K473" s="20"/>
      <c r="L473" s="20"/>
      <c r="M473" s="14" t="str">
        <f>IF(AND($C473&lt;&gt;"",$C473=Kardex!$C$4),COUNTIF($C$5:$C473,Kardex!$C$4),"")</f>
        <v/>
      </c>
    </row>
    <row r="474" spans="1:13" x14ac:dyDescent="0.25">
      <c r="A474" s="24"/>
      <c r="B474" s="20"/>
      <c r="C474" s="20"/>
      <c r="D474" s="14" t="str">
        <f>IF($C474="","",IFERROR(INDEX(Productos!$B$5:$B$504,MATCH($C474,Productos!$A$5:$A$504,0)),"Clave no existe"))</f>
        <v/>
      </c>
      <c r="E474" s="14" t="str">
        <f>IF($C474="","",IFERROR(INDEX(Productos!$D$5:$D$504,MATCH($C474,Productos!$A$5:$A$504,0)),""))</f>
        <v/>
      </c>
      <c r="F474" s="20"/>
      <c r="G474" s="22" t="str">
        <f>IF($C474="","",IFERROR(INDEX(Productos!$F$5:$F$504,MATCH($C474,Productos!$A$5:$A$504,0)),0))</f>
        <v/>
      </c>
      <c r="H474" s="22" t="str">
        <f t="shared" si="7"/>
        <v/>
      </c>
      <c r="I474" s="14" t="str">
        <f>IF(OR($C474="",$F474=""),"",IFERROR(INDEX(Productos!$I$5:$I$504,MATCH($C474,Productos!$A$5:$A$504,0)),0)+SUMIFS($F$5:$F474,$C$5:$C474,$C474,$B$5:$B474,"Entrada")-SUMIFS($F$5:$F474,$C$5:$C474,$C474,$B$5:$B474,"Salida"))</f>
        <v/>
      </c>
      <c r="J474" s="20"/>
      <c r="K474" s="20"/>
      <c r="L474" s="20"/>
      <c r="M474" s="14" t="str">
        <f>IF(AND($C474&lt;&gt;"",$C474=Kardex!$C$4),COUNTIF($C$5:$C474,Kardex!$C$4),"")</f>
        <v/>
      </c>
    </row>
    <row r="475" spans="1:13" x14ac:dyDescent="0.25">
      <c r="A475" s="24"/>
      <c r="B475" s="20"/>
      <c r="C475" s="20"/>
      <c r="D475" s="14" t="str">
        <f>IF($C475="","",IFERROR(INDEX(Productos!$B$5:$B$504,MATCH($C475,Productos!$A$5:$A$504,0)),"Clave no existe"))</f>
        <v/>
      </c>
      <c r="E475" s="14" t="str">
        <f>IF($C475="","",IFERROR(INDEX(Productos!$D$5:$D$504,MATCH($C475,Productos!$A$5:$A$504,0)),""))</f>
        <v/>
      </c>
      <c r="F475" s="20"/>
      <c r="G475" s="22" t="str">
        <f>IF($C475="","",IFERROR(INDEX(Productos!$F$5:$F$504,MATCH($C475,Productos!$A$5:$A$504,0)),0))</f>
        <v/>
      </c>
      <c r="H475" s="22" t="str">
        <f t="shared" si="7"/>
        <v/>
      </c>
      <c r="I475" s="14" t="str">
        <f>IF(OR($C475="",$F475=""),"",IFERROR(INDEX(Productos!$I$5:$I$504,MATCH($C475,Productos!$A$5:$A$504,0)),0)+SUMIFS($F$5:$F475,$C$5:$C475,$C475,$B$5:$B475,"Entrada")-SUMIFS($F$5:$F475,$C$5:$C475,$C475,$B$5:$B475,"Salida"))</f>
        <v/>
      </c>
      <c r="J475" s="20"/>
      <c r="K475" s="20"/>
      <c r="L475" s="20"/>
      <c r="M475" s="14" t="str">
        <f>IF(AND($C475&lt;&gt;"",$C475=Kardex!$C$4),COUNTIF($C$5:$C475,Kardex!$C$4),"")</f>
        <v/>
      </c>
    </row>
    <row r="476" spans="1:13" x14ac:dyDescent="0.25">
      <c r="A476" s="24"/>
      <c r="B476" s="20"/>
      <c r="C476" s="20"/>
      <c r="D476" s="14" t="str">
        <f>IF($C476="","",IFERROR(INDEX(Productos!$B$5:$B$504,MATCH($C476,Productos!$A$5:$A$504,0)),"Clave no existe"))</f>
        <v/>
      </c>
      <c r="E476" s="14" t="str">
        <f>IF($C476="","",IFERROR(INDEX(Productos!$D$5:$D$504,MATCH($C476,Productos!$A$5:$A$504,0)),""))</f>
        <v/>
      </c>
      <c r="F476" s="20"/>
      <c r="G476" s="22" t="str">
        <f>IF($C476="","",IFERROR(INDEX(Productos!$F$5:$F$504,MATCH($C476,Productos!$A$5:$A$504,0)),0))</f>
        <v/>
      </c>
      <c r="H476" s="22" t="str">
        <f t="shared" si="7"/>
        <v/>
      </c>
      <c r="I476" s="14" t="str">
        <f>IF(OR($C476="",$F476=""),"",IFERROR(INDEX(Productos!$I$5:$I$504,MATCH($C476,Productos!$A$5:$A$504,0)),0)+SUMIFS($F$5:$F476,$C$5:$C476,$C476,$B$5:$B476,"Entrada")-SUMIFS($F$5:$F476,$C$5:$C476,$C476,$B$5:$B476,"Salida"))</f>
        <v/>
      </c>
      <c r="J476" s="20"/>
      <c r="K476" s="20"/>
      <c r="L476" s="20"/>
      <c r="M476" s="14" t="str">
        <f>IF(AND($C476&lt;&gt;"",$C476=Kardex!$C$4),COUNTIF($C$5:$C476,Kardex!$C$4),"")</f>
        <v/>
      </c>
    </row>
    <row r="477" spans="1:13" x14ac:dyDescent="0.25">
      <c r="A477" s="24"/>
      <c r="B477" s="20"/>
      <c r="C477" s="20"/>
      <c r="D477" s="14" t="str">
        <f>IF($C477="","",IFERROR(INDEX(Productos!$B$5:$B$504,MATCH($C477,Productos!$A$5:$A$504,0)),"Clave no existe"))</f>
        <v/>
      </c>
      <c r="E477" s="14" t="str">
        <f>IF($C477="","",IFERROR(INDEX(Productos!$D$5:$D$504,MATCH($C477,Productos!$A$5:$A$504,0)),""))</f>
        <v/>
      </c>
      <c r="F477" s="20"/>
      <c r="G477" s="22" t="str">
        <f>IF($C477="","",IFERROR(INDEX(Productos!$F$5:$F$504,MATCH($C477,Productos!$A$5:$A$504,0)),0))</f>
        <v/>
      </c>
      <c r="H477" s="22" t="str">
        <f t="shared" si="7"/>
        <v/>
      </c>
      <c r="I477" s="14" t="str">
        <f>IF(OR($C477="",$F477=""),"",IFERROR(INDEX(Productos!$I$5:$I$504,MATCH($C477,Productos!$A$5:$A$504,0)),0)+SUMIFS($F$5:$F477,$C$5:$C477,$C477,$B$5:$B477,"Entrada")-SUMIFS($F$5:$F477,$C$5:$C477,$C477,$B$5:$B477,"Salida"))</f>
        <v/>
      </c>
      <c r="J477" s="20"/>
      <c r="K477" s="20"/>
      <c r="L477" s="20"/>
      <c r="M477" s="14" t="str">
        <f>IF(AND($C477&lt;&gt;"",$C477=Kardex!$C$4),COUNTIF($C$5:$C477,Kardex!$C$4),"")</f>
        <v/>
      </c>
    </row>
    <row r="478" spans="1:13" x14ac:dyDescent="0.25">
      <c r="A478" s="24"/>
      <c r="B478" s="20"/>
      <c r="C478" s="20"/>
      <c r="D478" s="14" t="str">
        <f>IF($C478="","",IFERROR(INDEX(Productos!$B$5:$B$504,MATCH($C478,Productos!$A$5:$A$504,0)),"Clave no existe"))</f>
        <v/>
      </c>
      <c r="E478" s="14" t="str">
        <f>IF($C478="","",IFERROR(INDEX(Productos!$D$5:$D$504,MATCH($C478,Productos!$A$5:$A$504,0)),""))</f>
        <v/>
      </c>
      <c r="F478" s="20"/>
      <c r="G478" s="22" t="str">
        <f>IF($C478="","",IFERROR(INDEX(Productos!$F$5:$F$504,MATCH($C478,Productos!$A$5:$A$504,0)),0))</f>
        <v/>
      </c>
      <c r="H478" s="22" t="str">
        <f t="shared" si="7"/>
        <v/>
      </c>
      <c r="I478" s="14" t="str">
        <f>IF(OR($C478="",$F478=""),"",IFERROR(INDEX(Productos!$I$5:$I$504,MATCH($C478,Productos!$A$5:$A$504,0)),0)+SUMIFS($F$5:$F478,$C$5:$C478,$C478,$B$5:$B478,"Entrada")-SUMIFS($F$5:$F478,$C$5:$C478,$C478,$B$5:$B478,"Salida"))</f>
        <v/>
      </c>
      <c r="J478" s="20"/>
      <c r="K478" s="20"/>
      <c r="L478" s="20"/>
      <c r="M478" s="14" t="str">
        <f>IF(AND($C478&lt;&gt;"",$C478=Kardex!$C$4),COUNTIF($C$5:$C478,Kardex!$C$4),"")</f>
        <v/>
      </c>
    </row>
    <row r="479" spans="1:13" x14ac:dyDescent="0.25">
      <c r="A479" s="24"/>
      <c r="B479" s="20"/>
      <c r="C479" s="20"/>
      <c r="D479" s="14" t="str">
        <f>IF($C479="","",IFERROR(INDEX(Productos!$B$5:$B$504,MATCH($C479,Productos!$A$5:$A$504,0)),"Clave no existe"))</f>
        <v/>
      </c>
      <c r="E479" s="14" t="str">
        <f>IF($C479="","",IFERROR(INDEX(Productos!$D$5:$D$504,MATCH($C479,Productos!$A$5:$A$504,0)),""))</f>
        <v/>
      </c>
      <c r="F479" s="20"/>
      <c r="G479" s="22" t="str">
        <f>IF($C479="","",IFERROR(INDEX(Productos!$F$5:$F$504,MATCH($C479,Productos!$A$5:$A$504,0)),0))</f>
        <v/>
      </c>
      <c r="H479" s="22" t="str">
        <f t="shared" si="7"/>
        <v/>
      </c>
      <c r="I479" s="14" t="str">
        <f>IF(OR($C479="",$F479=""),"",IFERROR(INDEX(Productos!$I$5:$I$504,MATCH($C479,Productos!$A$5:$A$504,0)),0)+SUMIFS($F$5:$F479,$C$5:$C479,$C479,$B$5:$B479,"Entrada")-SUMIFS($F$5:$F479,$C$5:$C479,$C479,$B$5:$B479,"Salida"))</f>
        <v/>
      </c>
      <c r="J479" s="20"/>
      <c r="K479" s="20"/>
      <c r="L479" s="20"/>
      <c r="M479" s="14" t="str">
        <f>IF(AND($C479&lt;&gt;"",$C479=Kardex!$C$4),COUNTIF($C$5:$C479,Kardex!$C$4),"")</f>
        <v/>
      </c>
    </row>
    <row r="480" spans="1:13" x14ac:dyDescent="0.25">
      <c r="A480" s="24"/>
      <c r="B480" s="20"/>
      <c r="C480" s="20"/>
      <c r="D480" s="14" t="str">
        <f>IF($C480="","",IFERROR(INDEX(Productos!$B$5:$B$504,MATCH($C480,Productos!$A$5:$A$504,0)),"Clave no existe"))</f>
        <v/>
      </c>
      <c r="E480" s="14" t="str">
        <f>IF($C480="","",IFERROR(INDEX(Productos!$D$5:$D$504,MATCH($C480,Productos!$A$5:$A$504,0)),""))</f>
        <v/>
      </c>
      <c r="F480" s="20"/>
      <c r="G480" s="22" t="str">
        <f>IF($C480="","",IFERROR(INDEX(Productos!$F$5:$F$504,MATCH($C480,Productos!$A$5:$A$504,0)),0))</f>
        <v/>
      </c>
      <c r="H480" s="22" t="str">
        <f t="shared" si="7"/>
        <v/>
      </c>
      <c r="I480" s="14" t="str">
        <f>IF(OR($C480="",$F480=""),"",IFERROR(INDEX(Productos!$I$5:$I$504,MATCH($C480,Productos!$A$5:$A$504,0)),0)+SUMIFS($F$5:$F480,$C$5:$C480,$C480,$B$5:$B480,"Entrada")-SUMIFS($F$5:$F480,$C$5:$C480,$C480,$B$5:$B480,"Salida"))</f>
        <v/>
      </c>
      <c r="J480" s="20"/>
      <c r="K480" s="20"/>
      <c r="L480" s="20"/>
      <c r="M480" s="14" t="str">
        <f>IF(AND($C480&lt;&gt;"",$C480=Kardex!$C$4),COUNTIF($C$5:$C480,Kardex!$C$4),"")</f>
        <v/>
      </c>
    </row>
    <row r="481" spans="1:13" x14ac:dyDescent="0.25">
      <c r="A481" s="24"/>
      <c r="B481" s="20"/>
      <c r="C481" s="20"/>
      <c r="D481" s="14" t="str">
        <f>IF($C481="","",IFERROR(INDEX(Productos!$B$5:$B$504,MATCH($C481,Productos!$A$5:$A$504,0)),"Clave no existe"))</f>
        <v/>
      </c>
      <c r="E481" s="14" t="str">
        <f>IF($C481="","",IFERROR(INDEX(Productos!$D$5:$D$504,MATCH($C481,Productos!$A$5:$A$504,0)),""))</f>
        <v/>
      </c>
      <c r="F481" s="20"/>
      <c r="G481" s="22" t="str">
        <f>IF($C481="","",IFERROR(INDEX(Productos!$F$5:$F$504,MATCH($C481,Productos!$A$5:$A$504,0)),0))</f>
        <v/>
      </c>
      <c r="H481" s="22" t="str">
        <f t="shared" si="7"/>
        <v/>
      </c>
      <c r="I481" s="14" t="str">
        <f>IF(OR($C481="",$F481=""),"",IFERROR(INDEX(Productos!$I$5:$I$504,MATCH($C481,Productos!$A$5:$A$504,0)),0)+SUMIFS($F$5:$F481,$C$5:$C481,$C481,$B$5:$B481,"Entrada")-SUMIFS($F$5:$F481,$C$5:$C481,$C481,$B$5:$B481,"Salida"))</f>
        <v/>
      </c>
      <c r="J481" s="20"/>
      <c r="K481" s="20"/>
      <c r="L481" s="20"/>
      <c r="M481" s="14" t="str">
        <f>IF(AND($C481&lt;&gt;"",$C481=Kardex!$C$4),COUNTIF($C$5:$C481,Kardex!$C$4),"")</f>
        <v/>
      </c>
    </row>
    <row r="482" spans="1:13" x14ac:dyDescent="0.25">
      <c r="A482" s="24"/>
      <c r="B482" s="20"/>
      <c r="C482" s="20"/>
      <c r="D482" s="14" t="str">
        <f>IF($C482="","",IFERROR(INDEX(Productos!$B$5:$B$504,MATCH($C482,Productos!$A$5:$A$504,0)),"Clave no existe"))</f>
        <v/>
      </c>
      <c r="E482" s="14" t="str">
        <f>IF($C482="","",IFERROR(INDEX(Productos!$D$5:$D$504,MATCH($C482,Productos!$A$5:$A$504,0)),""))</f>
        <v/>
      </c>
      <c r="F482" s="20"/>
      <c r="G482" s="22" t="str">
        <f>IF($C482="","",IFERROR(INDEX(Productos!$F$5:$F$504,MATCH($C482,Productos!$A$5:$A$504,0)),0))</f>
        <v/>
      </c>
      <c r="H482" s="22" t="str">
        <f t="shared" si="7"/>
        <v/>
      </c>
      <c r="I482" s="14" t="str">
        <f>IF(OR($C482="",$F482=""),"",IFERROR(INDEX(Productos!$I$5:$I$504,MATCH($C482,Productos!$A$5:$A$504,0)),0)+SUMIFS($F$5:$F482,$C$5:$C482,$C482,$B$5:$B482,"Entrada")-SUMIFS($F$5:$F482,$C$5:$C482,$C482,$B$5:$B482,"Salida"))</f>
        <v/>
      </c>
      <c r="J482" s="20"/>
      <c r="K482" s="20"/>
      <c r="L482" s="20"/>
      <c r="M482" s="14" t="str">
        <f>IF(AND($C482&lt;&gt;"",$C482=Kardex!$C$4),COUNTIF($C$5:$C482,Kardex!$C$4),"")</f>
        <v/>
      </c>
    </row>
    <row r="483" spans="1:13" x14ac:dyDescent="0.25">
      <c r="A483" s="24"/>
      <c r="B483" s="20"/>
      <c r="C483" s="20"/>
      <c r="D483" s="14" t="str">
        <f>IF($C483="","",IFERROR(INDEX(Productos!$B$5:$B$504,MATCH($C483,Productos!$A$5:$A$504,0)),"Clave no existe"))</f>
        <v/>
      </c>
      <c r="E483" s="14" t="str">
        <f>IF($C483="","",IFERROR(INDEX(Productos!$D$5:$D$504,MATCH($C483,Productos!$A$5:$A$504,0)),""))</f>
        <v/>
      </c>
      <c r="F483" s="20"/>
      <c r="G483" s="22" t="str">
        <f>IF($C483="","",IFERROR(INDEX(Productos!$F$5:$F$504,MATCH($C483,Productos!$A$5:$A$504,0)),0))</f>
        <v/>
      </c>
      <c r="H483" s="22" t="str">
        <f t="shared" si="7"/>
        <v/>
      </c>
      <c r="I483" s="14" t="str">
        <f>IF(OR($C483="",$F483=""),"",IFERROR(INDEX(Productos!$I$5:$I$504,MATCH($C483,Productos!$A$5:$A$504,0)),0)+SUMIFS($F$5:$F483,$C$5:$C483,$C483,$B$5:$B483,"Entrada")-SUMIFS($F$5:$F483,$C$5:$C483,$C483,$B$5:$B483,"Salida"))</f>
        <v/>
      </c>
      <c r="J483" s="20"/>
      <c r="K483" s="20"/>
      <c r="L483" s="20"/>
      <c r="M483" s="14" t="str">
        <f>IF(AND($C483&lt;&gt;"",$C483=Kardex!$C$4),COUNTIF($C$5:$C483,Kardex!$C$4),"")</f>
        <v/>
      </c>
    </row>
    <row r="484" spans="1:13" x14ac:dyDescent="0.25">
      <c r="A484" s="24"/>
      <c r="B484" s="20"/>
      <c r="C484" s="20"/>
      <c r="D484" s="14" t="str">
        <f>IF($C484="","",IFERROR(INDEX(Productos!$B$5:$B$504,MATCH($C484,Productos!$A$5:$A$504,0)),"Clave no existe"))</f>
        <v/>
      </c>
      <c r="E484" s="14" t="str">
        <f>IF($C484="","",IFERROR(INDEX(Productos!$D$5:$D$504,MATCH($C484,Productos!$A$5:$A$504,0)),""))</f>
        <v/>
      </c>
      <c r="F484" s="20"/>
      <c r="G484" s="22" t="str">
        <f>IF($C484="","",IFERROR(INDEX(Productos!$F$5:$F$504,MATCH($C484,Productos!$A$5:$A$504,0)),0))</f>
        <v/>
      </c>
      <c r="H484" s="22" t="str">
        <f t="shared" si="7"/>
        <v/>
      </c>
      <c r="I484" s="14" t="str">
        <f>IF(OR($C484="",$F484=""),"",IFERROR(INDEX(Productos!$I$5:$I$504,MATCH($C484,Productos!$A$5:$A$504,0)),0)+SUMIFS($F$5:$F484,$C$5:$C484,$C484,$B$5:$B484,"Entrada")-SUMIFS($F$5:$F484,$C$5:$C484,$C484,$B$5:$B484,"Salida"))</f>
        <v/>
      </c>
      <c r="J484" s="20"/>
      <c r="K484" s="20"/>
      <c r="L484" s="20"/>
      <c r="M484" s="14" t="str">
        <f>IF(AND($C484&lt;&gt;"",$C484=Kardex!$C$4),COUNTIF($C$5:$C484,Kardex!$C$4),"")</f>
        <v/>
      </c>
    </row>
    <row r="485" spans="1:13" x14ac:dyDescent="0.25">
      <c r="A485" s="24"/>
      <c r="B485" s="20"/>
      <c r="C485" s="20"/>
      <c r="D485" s="14" t="str">
        <f>IF($C485="","",IFERROR(INDEX(Productos!$B$5:$B$504,MATCH($C485,Productos!$A$5:$A$504,0)),"Clave no existe"))</f>
        <v/>
      </c>
      <c r="E485" s="14" t="str">
        <f>IF($C485="","",IFERROR(INDEX(Productos!$D$5:$D$504,MATCH($C485,Productos!$A$5:$A$504,0)),""))</f>
        <v/>
      </c>
      <c r="F485" s="20"/>
      <c r="G485" s="22" t="str">
        <f>IF($C485="","",IFERROR(INDEX(Productos!$F$5:$F$504,MATCH($C485,Productos!$A$5:$A$504,0)),0))</f>
        <v/>
      </c>
      <c r="H485" s="22" t="str">
        <f t="shared" si="7"/>
        <v/>
      </c>
      <c r="I485" s="14" t="str">
        <f>IF(OR($C485="",$F485=""),"",IFERROR(INDEX(Productos!$I$5:$I$504,MATCH($C485,Productos!$A$5:$A$504,0)),0)+SUMIFS($F$5:$F485,$C$5:$C485,$C485,$B$5:$B485,"Entrada")-SUMIFS($F$5:$F485,$C$5:$C485,$C485,$B$5:$B485,"Salida"))</f>
        <v/>
      </c>
      <c r="J485" s="20"/>
      <c r="K485" s="20"/>
      <c r="L485" s="20"/>
      <c r="M485" s="14" t="str">
        <f>IF(AND($C485&lt;&gt;"",$C485=Kardex!$C$4),COUNTIF($C$5:$C485,Kardex!$C$4),"")</f>
        <v/>
      </c>
    </row>
    <row r="486" spans="1:13" x14ac:dyDescent="0.25">
      <c r="A486" s="24"/>
      <c r="B486" s="20"/>
      <c r="C486" s="20"/>
      <c r="D486" s="14" t="str">
        <f>IF($C486="","",IFERROR(INDEX(Productos!$B$5:$B$504,MATCH($C486,Productos!$A$5:$A$504,0)),"Clave no existe"))</f>
        <v/>
      </c>
      <c r="E486" s="14" t="str">
        <f>IF($C486="","",IFERROR(INDEX(Productos!$D$5:$D$504,MATCH($C486,Productos!$A$5:$A$504,0)),""))</f>
        <v/>
      </c>
      <c r="F486" s="20"/>
      <c r="G486" s="22" t="str">
        <f>IF($C486="","",IFERROR(INDEX(Productos!$F$5:$F$504,MATCH($C486,Productos!$A$5:$A$504,0)),0))</f>
        <v/>
      </c>
      <c r="H486" s="22" t="str">
        <f t="shared" si="7"/>
        <v/>
      </c>
      <c r="I486" s="14" t="str">
        <f>IF(OR($C486="",$F486=""),"",IFERROR(INDEX(Productos!$I$5:$I$504,MATCH($C486,Productos!$A$5:$A$504,0)),0)+SUMIFS($F$5:$F486,$C$5:$C486,$C486,$B$5:$B486,"Entrada")-SUMIFS($F$5:$F486,$C$5:$C486,$C486,$B$5:$B486,"Salida"))</f>
        <v/>
      </c>
      <c r="J486" s="20"/>
      <c r="K486" s="20"/>
      <c r="L486" s="20"/>
      <c r="M486" s="14" t="str">
        <f>IF(AND($C486&lt;&gt;"",$C486=Kardex!$C$4),COUNTIF($C$5:$C486,Kardex!$C$4),"")</f>
        <v/>
      </c>
    </row>
    <row r="487" spans="1:13" x14ac:dyDescent="0.25">
      <c r="A487" s="24"/>
      <c r="B487" s="20"/>
      <c r="C487" s="20"/>
      <c r="D487" s="14" t="str">
        <f>IF($C487="","",IFERROR(INDEX(Productos!$B$5:$B$504,MATCH($C487,Productos!$A$5:$A$504,0)),"Clave no existe"))</f>
        <v/>
      </c>
      <c r="E487" s="14" t="str">
        <f>IF($C487="","",IFERROR(INDEX(Productos!$D$5:$D$504,MATCH($C487,Productos!$A$5:$A$504,0)),""))</f>
        <v/>
      </c>
      <c r="F487" s="20"/>
      <c r="G487" s="22" t="str">
        <f>IF($C487="","",IFERROR(INDEX(Productos!$F$5:$F$504,MATCH($C487,Productos!$A$5:$A$504,0)),0))</f>
        <v/>
      </c>
      <c r="H487" s="22" t="str">
        <f t="shared" si="7"/>
        <v/>
      </c>
      <c r="I487" s="14" t="str">
        <f>IF(OR($C487="",$F487=""),"",IFERROR(INDEX(Productos!$I$5:$I$504,MATCH($C487,Productos!$A$5:$A$504,0)),0)+SUMIFS($F$5:$F487,$C$5:$C487,$C487,$B$5:$B487,"Entrada")-SUMIFS($F$5:$F487,$C$5:$C487,$C487,$B$5:$B487,"Salida"))</f>
        <v/>
      </c>
      <c r="J487" s="20"/>
      <c r="K487" s="20"/>
      <c r="L487" s="20"/>
      <c r="M487" s="14" t="str">
        <f>IF(AND($C487&lt;&gt;"",$C487=Kardex!$C$4),COUNTIF($C$5:$C487,Kardex!$C$4),"")</f>
        <v/>
      </c>
    </row>
    <row r="488" spans="1:13" x14ac:dyDescent="0.25">
      <c r="A488" s="24"/>
      <c r="B488" s="20"/>
      <c r="C488" s="20"/>
      <c r="D488" s="14" t="str">
        <f>IF($C488="","",IFERROR(INDEX(Productos!$B$5:$B$504,MATCH($C488,Productos!$A$5:$A$504,0)),"Clave no existe"))</f>
        <v/>
      </c>
      <c r="E488" s="14" t="str">
        <f>IF($C488="","",IFERROR(INDEX(Productos!$D$5:$D$504,MATCH($C488,Productos!$A$5:$A$504,0)),""))</f>
        <v/>
      </c>
      <c r="F488" s="20"/>
      <c r="G488" s="22" t="str">
        <f>IF($C488="","",IFERROR(INDEX(Productos!$F$5:$F$504,MATCH($C488,Productos!$A$5:$A$504,0)),0))</f>
        <v/>
      </c>
      <c r="H488" s="22" t="str">
        <f t="shared" si="7"/>
        <v/>
      </c>
      <c r="I488" s="14" t="str">
        <f>IF(OR($C488="",$F488=""),"",IFERROR(INDEX(Productos!$I$5:$I$504,MATCH($C488,Productos!$A$5:$A$504,0)),0)+SUMIFS($F$5:$F488,$C$5:$C488,$C488,$B$5:$B488,"Entrada")-SUMIFS($F$5:$F488,$C$5:$C488,$C488,$B$5:$B488,"Salida"))</f>
        <v/>
      </c>
      <c r="J488" s="20"/>
      <c r="K488" s="20"/>
      <c r="L488" s="20"/>
      <c r="M488" s="14" t="str">
        <f>IF(AND($C488&lt;&gt;"",$C488=Kardex!$C$4),COUNTIF($C$5:$C488,Kardex!$C$4),"")</f>
        <v/>
      </c>
    </row>
    <row r="489" spans="1:13" x14ac:dyDescent="0.25">
      <c r="A489" s="24"/>
      <c r="B489" s="20"/>
      <c r="C489" s="20"/>
      <c r="D489" s="14" t="str">
        <f>IF($C489="","",IFERROR(INDEX(Productos!$B$5:$B$504,MATCH($C489,Productos!$A$5:$A$504,0)),"Clave no existe"))</f>
        <v/>
      </c>
      <c r="E489" s="14" t="str">
        <f>IF($C489="","",IFERROR(INDEX(Productos!$D$5:$D$504,MATCH($C489,Productos!$A$5:$A$504,0)),""))</f>
        <v/>
      </c>
      <c r="F489" s="20"/>
      <c r="G489" s="22" t="str">
        <f>IF($C489="","",IFERROR(INDEX(Productos!$F$5:$F$504,MATCH($C489,Productos!$A$5:$A$504,0)),0))</f>
        <v/>
      </c>
      <c r="H489" s="22" t="str">
        <f t="shared" si="7"/>
        <v/>
      </c>
      <c r="I489" s="14" t="str">
        <f>IF(OR($C489="",$F489=""),"",IFERROR(INDEX(Productos!$I$5:$I$504,MATCH($C489,Productos!$A$5:$A$504,0)),0)+SUMIFS($F$5:$F489,$C$5:$C489,$C489,$B$5:$B489,"Entrada")-SUMIFS($F$5:$F489,$C$5:$C489,$C489,$B$5:$B489,"Salida"))</f>
        <v/>
      </c>
      <c r="J489" s="20"/>
      <c r="K489" s="20"/>
      <c r="L489" s="20"/>
      <c r="M489" s="14" t="str">
        <f>IF(AND($C489&lt;&gt;"",$C489=Kardex!$C$4),COUNTIF($C$5:$C489,Kardex!$C$4),"")</f>
        <v/>
      </c>
    </row>
    <row r="490" spans="1:13" x14ac:dyDescent="0.25">
      <c r="A490" s="24"/>
      <c r="B490" s="20"/>
      <c r="C490" s="20"/>
      <c r="D490" s="14" t="str">
        <f>IF($C490="","",IFERROR(INDEX(Productos!$B$5:$B$504,MATCH($C490,Productos!$A$5:$A$504,0)),"Clave no existe"))</f>
        <v/>
      </c>
      <c r="E490" s="14" t="str">
        <f>IF($C490="","",IFERROR(INDEX(Productos!$D$5:$D$504,MATCH($C490,Productos!$A$5:$A$504,0)),""))</f>
        <v/>
      </c>
      <c r="F490" s="20"/>
      <c r="G490" s="22" t="str">
        <f>IF($C490="","",IFERROR(INDEX(Productos!$F$5:$F$504,MATCH($C490,Productos!$A$5:$A$504,0)),0))</f>
        <v/>
      </c>
      <c r="H490" s="22" t="str">
        <f t="shared" si="7"/>
        <v/>
      </c>
      <c r="I490" s="14" t="str">
        <f>IF(OR($C490="",$F490=""),"",IFERROR(INDEX(Productos!$I$5:$I$504,MATCH($C490,Productos!$A$5:$A$504,0)),0)+SUMIFS($F$5:$F490,$C$5:$C490,$C490,$B$5:$B490,"Entrada")-SUMIFS($F$5:$F490,$C$5:$C490,$C490,$B$5:$B490,"Salida"))</f>
        <v/>
      </c>
      <c r="J490" s="20"/>
      <c r="K490" s="20"/>
      <c r="L490" s="20"/>
      <c r="M490" s="14" t="str">
        <f>IF(AND($C490&lt;&gt;"",$C490=Kardex!$C$4),COUNTIF($C$5:$C490,Kardex!$C$4),"")</f>
        <v/>
      </c>
    </row>
    <row r="491" spans="1:13" x14ac:dyDescent="0.25">
      <c r="A491" s="24"/>
      <c r="B491" s="20"/>
      <c r="C491" s="20"/>
      <c r="D491" s="14" t="str">
        <f>IF($C491="","",IFERROR(INDEX(Productos!$B$5:$B$504,MATCH($C491,Productos!$A$5:$A$504,0)),"Clave no existe"))</f>
        <v/>
      </c>
      <c r="E491" s="14" t="str">
        <f>IF($C491="","",IFERROR(INDEX(Productos!$D$5:$D$504,MATCH($C491,Productos!$A$5:$A$504,0)),""))</f>
        <v/>
      </c>
      <c r="F491" s="20"/>
      <c r="G491" s="22" t="str">
        <f>IF($C491="","",IFERROR(INDEX(Productos!$F$5:$F$504,MATCH($C491,Productos!$A$5:$A$504,0)),0))</f>
        <v/>
      </c>
      <c r="H491" s="22" t="str">
        <f t="shared" si="7"/>
        <v/>
      </c>
      <c r="I491" s="14" t="str">
        <f>IF(OR($C491="",$F491=""),"",IFERROR(INDEX(Productos!$I$5:$I$504,MATCH($C491,Productos!$A$5:$A$504,0)),0)+SUMIFS($F$5:$F491,$C$5:$C491,$C491,$B$5:$B491,"Entrada")-SUMIFS($F$5:$F491,$C$5:$C491,$C491,$B$5:$B491,"Salida"))</f>
        <v/>
      </c>
      <c r="J491" s="20"/>
      <c r="K491" s="20"/>
      <c r="L491" s="20"/>
      <c r="M491" s="14" t="str">
        <f>IF(AND($C491&lt;&gt;"",$C491=Kardex!$C$4),COUNTIF($C$5:$C491,Kardex!$C$4),"")</f>
        <v/>
      </c>
    </row>
    <row r="492" spans="1:13" x14ac:dyDescent="0.25">
      <c r="A492" s="24"/>
      <c r="B492" s="20"/>
      <c r="C492" s="20"/>
      <c r="D492" s="14" t="str">
        <f>IF($C492="","",IFERROR(INDEX(Productos!$B$5:$B$504,MATCH($C492,Productos!$A$5:$A$504,0)),"Clave no existe"))</f>
        <v/>
      </c>
      <c r="E492" s="14" t="str">
        <f>IF($C492="","",IFERROR(INDEX(Productos!$D$5:$D$504,MATCH($C492,Productos!$A$5:$A$504,0)),""))</f>
        <v/>
      </c>
      <c r="F492" s="20"/>
      <c r="G492" s="22" t="str">
        <f>IF($C492="","",IFERROR(INDEX(Productos!$F$5:$F$504,MATCH($C492,Productos!$A$5:$A$504,0)),0))</f>
        <v/>
      </c>
      <c r="H492" s="22" t="str">
        <f t="shared" si="7"/>
        <v/>
      </c>
      <c r="I492" s="14" t="str">
        <f>IF(OR($C492="",$F492=""),"",IFERROR(INDEX(Productos!$I$5:$I$504,MATCH($C492,Productos!$A$5:$A$504,0)),0)+SUMIFS($F$5:$F492,$C$5:$C492,$C492,$B$5:$B492,"Entrada")-SUMIFS($F$5:$F492,$C$5:$C492,$C492,$B$5:$B492,"Salida"))</f>
        <v/>
      </c>
      <c r="J492" s="20"/>
      <c r="K492" s="20"/>
      <c r="L492" s="20"/>
      <c r="M492" s="14" t="str">
        <f>IF(AND($C492&lt;&gt;"",$C492=Kardex!$C$4),COUNTIF($C$5:$C492,Kardex!$C$4),"")</f>
        <v/>
      </c>
    </row>
    <row r="493" spans="1:13" x14ac:dyDescent="0.25">
      <c r="A493" s="24"/>
      <c r="B493" s="20"/>
      <c r="C493" s="20"/>
      <c r="D493" s="14" t="str">
        <f>IF($C493="","",IFERROR(INDEX(Productos!$B$5:$B$504,MATCH($C493,Productos!$A$5:$A$504,0)),"Clave no existe"))</f>
        <v/>
      </c>
      <c r="E493" s="14" t="str">
        <f>IF($C493="","",IFERROR(INDEX(Productos!$D$5:$D$504,MATCH($C493,Productos!$A$5:$A$504,0)),""))</f>
        <v/>
      </c>
      <c r="F493" s="20"/>
      <c r="G493" s="22" t="str">
        <f>IF($C493="","",IFERROR(INDEX(Productos!$F$5:$F$504,MATCH($C493,Productos!$A$5:$A$504,0)),0))</f>
        <v/>
      </c>
      <c r="H493" s="22" t="str">
        <f t="shared" si="7"/>
        <v/>
      </c>
      <c r="I493" s="14" t="str">
        <f>IF(OR($C493="",$F493=""),"",IFERROR(INDEX(Productos!$I$5:$I$504,MATCH($C493,Productos!$A$5:$A$504,0)),0)+SUMIFS($F$5:$F493,$C$5:$C493,$C493,$B$5:$B493,"Entrada")-SUMIFS($F$5:$F493,$C$5:$C493,$C493,$B$5:$B493,"Salida"))</f>
        <v/>
      </c>
      <c r="J493" s="20"/>
      <c r="K493" s="20"/>
      <c r="L493" s="20"/>
      <c r="M493" s="14" t="str">
        <f>IF(AND($C493&lt;&gt;"",$C493=Kardex!$C$4),COUNTIF($C$5:$C493,Kardex!$C$4),"")</f>
        <v/>
      </c>
    </row>
    <row r="494" spans="1:13" x14ac:dyDescent="0.25">
      <c r="A494" s="24"/>
      <c r="B494" s="20"/>
      <c r="C494" s="20"/>
      <c r="D494" s="14" t="str">
        <f>IF($C494="","",IFERROR(INDEX(Productos!$B$5:$B$504,MATCH($C494,Productos!$A$5:$A$504,0)),"Clave no existe"))</f>
        <v/>
      </c>
      <c r="E494" s="14" t="str">
        <f>IF($C494="","",IFERROR(INDEX(Productos!$D$5:$D$504,MATCH($C494,Productos!$A$5:$A$504,0)),""))</f>
        <v/>
      </c>
      <c r="F494" s="20"/>
      <c r="G494" s="22" t="str">
        <f>IF($C494="","",IFERROR(INDEX(Productos!$F$5:$F$504,MATCH($C494,Productos!$A$5:$A$504,0)),0))</f>
        <v/>
      </c>
      <c r="H494" s="22" t="str">
        <f t="shared" si="7"/>
        <v/>
      </c>
      <c r="I494" s="14" t="str">
        <f>IF(OR($C494="",$F494=""),"",IFERROR(INDEX(Productos!$I$5:$I$504,MATCH($C494,Productos!$A$5:$A$504,0)),0)+SUMIFS($F$5:$F494,$C$5:$C494,$C494,$B$5:$B494,"Entrada")-SUMIFS($F$5:$F494,$C$5:$C494,$C494,$B$5:$B494,"Salida"))</f>
        <v/>
      </c>
      <c r="J494" s="20"/>
      <c r="K494" s="20"/>
      <c r="L494" s="20"/>
      <c r="M494" s="14" t="str">
        <f>IF(AND($C494&lt;&gt;"",$C494=Kardex!$C$4),COUNTIF($C$5:$C494,Kardex!$C$4),"")</f>
        <v/>
      </c>
    </row>
    <row r="495" spans="1:13" x14ac:dyDescent="0.25">
      <c r="A495" s="24"/>
      <c r="B495" s="20"/>
      <c r="C495" s="20"/>
      <c r="D495" s="14" t="str">
        <f>IF($C495="","",IFERROR(INDEX(Productos!$B$5:$B$504,MATCH($C495,Productos!$A$5:$A$504,0)),"Clave no existe"))</f>
        <v/>
      </c>
      <c r="E495" s="14" t="str">
        <f>IF($C495="","",IFERROR(INDEX(Productos!$D$5:$D$504,MATCH($C495,Productos!$A$5:$A$504,0)),""))</f>
        <v/>
      </c>
      <c r="F495" s="20"/>
      <c r="G495" s="22" t="str">
        <f>IF($C495="","",IFERROR(INDEX(Productos!$F$5:$F$504,MATCH($C495,Productos!$A$5:$A$504,0)),0))</f>
        <v/>
      </c>
      <c r="H495" s="22" t="str">
        <f t="shared" si="7"/>
        <v/>
      </c>
      <c r="I495" s="14" t="str">
        <f>IF(OR($C495="",$F495=""),"",IFERROR(INDEX(Productos!$I$5:$I$504,MATCH($C495,Productos!$A$5:$A$504,0)),0)+SUMIFS($F$5:$F495,$C$5:$C495,$C495,$B$5:$B495,"Entrada")-SUMIFS($F$5:$F495,$C$5:$C495,$C495,$B$5:$B495,"Salida"))</f>
        <v/>
      </c>
      <c r="J495" s="20"/>
      <c r="K495" s="20"/>
      <c r="L495" s="20"/>
      <c r="M495" s="14" t="str">
        <f>IF(AND($C495&lt;&gt;"",$C495=Kardex!$C$4),COUNTIF($C$5:$C495,Kardex!$C$4),"")</f>
        <v/>
      </c>
    </row>
    <row r="496" spans="1:13" x14ac:dyDescent="0.25">
      <c r="A496" s="24"/>
      <c r="B496" s="20"/>
      <c r="C496" s="20"/>
      <c r="D496" s="14" t="str">
        <f>IF($C496="","",IFERROR(INDEX(Productos!$B$5:$B$504,MATCH($C496,Productos!$A$5:$A$504,0)),"Clave no existe"))</f>
        <v/>
      </c>
      <c r="E496" s="14" t="str">
        <f>IF($C496="","",IFERROR(INDEX(Productos!$D$5:$D$504,MATCH($C496,Productos!$A$5:$A$504,0)),""))</f>
        <v/>
      </c>
      <c r="F496" s="20"/>
      <c r="G496" s="22" t="str">
        <f>IF($C496="","",IFERROR(INDEX(Productos!$F$5:$F$504,MATCH($C496,Productos!$A$5:$A$504,0)),0))</f>
        <v/>
      </c>
      <c r="H496" s="22" t="str">
        <f t="shared" si="7"/>
        <v/>
      </c>
      <c r="I496" s="14" t="str">
        <f>IF(OR($C496="",$F496=""),"",IFERROR(INDEX(Productos!$I$5:$I$504,MATCH($C496,Productos!$A$5:$A$504,0)),0)+SUMIFS($F$5:$F496,$C$5:$C496,$C496,$B$5:$B496,"Entrada")-SUMIFS($F$5:$F496,$C$5:$C496,$C496,$B$5:$B496,"Salida"))</f>
        <v/>
      </c>
      <c r="J496" s="20"/>
      <c r="K496" s="20"/>
      <c r="L496" s="20"/>
      <c r="M496" s="14" t="str">
        <f>IF(AND($C496&lt;&gt;"",$C496=Kardex!$C$4),COUNTIF($C$5:$C496,Kardex!$C$4),"")</f>
        <v/>
      </c>
    </row>
    <row r="497" spans="1:13" x14ac:dyDescent="0.25">
      <c r="A497" s="24"/>
      <c r="B497" s="20"/>
      <c r="C497" s="20"/>
      <c r="D497" s="14" t="str">
        <f>IF($C497="","",IFERROR(INDEX(Productos!$B$5:$B$504,MATCH($C497,Productos!$A$5:$A$504,0)),"Clave no existe"))</f>
        <v/>
      </c>
      <c r="E497" s="14" t="str">
        <f>IF($C497="","",IFERROR(INDEX(Productos!$D$5:$D$504,MATCH($C497,Productos!$A$5:$A$504,0)),""))</f>
        <v/>
      </c>
      <c r="F497" s="20"/>
      <c r="G497" s="22" t="str">
        <f>IF($C497="","",IFERROR(INDEX(Productos!$F$5:$F$504,MATCH($C497,Productos!$A$5:$A$504,0)),0))</f>
        <v/>
      </c>
      <c r="H497" s="22" t="str">
        <f t="shared" si="7"/>
        <v/>
      </c>
      <c r="I497" s="14" t="str">
        <f>IF(OR($C497="",$F497=""),"",IFERROR(INDEX(Productos!$I$5:$I$504,MATCH($C497,Productos!$A$5:$A$504,0)),0)+SUMIFS($F$5:$F497,$C$5:$C497,$C497,$B$5:$B497,"Entrada")-SUMIFS($F$5:$F497,$C$5:$C497,$C497,$B$5:$B497,"Salida"))</f>
        <v/>
      </c>
      <c r="J497" s="20"/>
      <c r="K497" s="20"/>
      <c r="L497" s="20"/>
      <c r="M497" s="14" t="str">
        <f>IF(AND($C497&lt;&gt;"",$C497=Kardex!$C$4),COUNTIF($C$5:$C497,Kardex!$C$4),"")</f>
        <v/>
      </c>
    </row>
    <row r="498" spans="1:13" x14ac:dyDescent="0.25">
      <c r="A498" s="24"/>
      <c r="B498" s="20"/>
      <c r="C498" s="20"/>
      <c r="D498" s="14" t="str">
        <f>IF($C498="","",IFERROR(INDEX(Productos!$B$5:$B$504,MATCH($C498,Productos!$A$5:$A$504,0)),"Clave no existe"))</f>
        <v/>
      </c>
      <c r="E498" s="14" t="str">
        <f>IF($C498="","",IFERROR(INDEX(Productos!$D$5:$D$504,MATCH($C498,Productos!$A$5:$A$504,0)),""))</f>
        <v/>
      </c>
      <c r="F498" s="20"/>
      <c r="G498" s="22" t="str">
        <f>IF($C498="","",IFERROR(INDEX(Productos!$F$5:$F$504,MATCH($C498,Productos!$A$5:$A$504,0)),0))</f>
        <v/>
      </c>
      <c r="H498" s="22" t="str">
        <f t="shared" si="7"/>
        <v/>
      </c>
      <c r="I498" s="14" t="str">
        <f>IF(OR($C498="",$F498=""),"",IFERROR(INDEX(Productos!$I$5:$I$504,MATCH($C498,Productos!$A$5:$A$504,0)),0)+SUMIFS($F$5:$F498,$C$5:$C498,$C498,$B$5:$B498,"Entrada")-SUMIFS($F$5:$F498,$C$5:$C498,$C498,$B$5:$B498,"Salida"))</f>
        <v/>
      </c>
      <c r="J498" s="20"/>
      <c r="K498" s="20"/>
      <c r="L498" s="20"/>
      <c r="M498" s="14" t="str">
        <f>IF(AND($C498&lt;&gt;"",$C498=Kardex!$C$4),COUNTIF($C$5:$C498,Kardex!$C$4),"")</f>
        <v/>
      </c>
    </row>
    <row r="499" spans="1:13" x14ac:dyDescent="0.25">
      <c r="A499" s="24"/>
      <c r="B499" s="20"/>
      <c r="C499" s="20"/>
      <c r="D499" s="14" t="str">
        <f>IF($C499="","",IFERROR(INDEX(Productos!$B$5:$B$504,MATCH($C499,Productos!$A$5:$A$504,0)),"Clave no existe"))</f>
        <v/>
      </c>
      <c r="E499" s="14" t="str">
        <f>IF($C499="","",IFERROR(INDEX(Productos!$D$5:$D$504,MATCH($C499,Productos!$A$5:$A$504,0)),""))</f>
        <v/>
      </c>
      <c r="F499" s="20"/>
      <c r="G499" s="22" t="str">
        <f>IF($C499="","",IFERROR(INDEX(Productos!$F$5:$F$504,MATCH($C499,Productos!$A$5:$A$504,0)),0))</f>
        <v/>
      </c>
      <c r="H499" s="22" t="str">
        <f t="shared" si="7"/>
        <v/>
      </c>
      <c r="I499" s="14" t="str">
        <f>IF(OR($C499="",$F499=""),"",IFERROR(INDEX(Productos!$I$5:$I$504,MATCH($C499,Productos!$A$5:$A$504,0)),0)+SUMIFS($F$5:$F499,$C$5:$C499,$C499,$B$5:$B499,"Entrada")-SUMIFS($F$5:$F499,$C$5:$C499,$C499,$B$5:$B499,"Salida"))</f>
        <v/>
      </c>
      <c r="J499" s="20"/>
      <c r="K499" s="20"/>
      <c r="L499" s="20"/>
      <c r="M499" s="14" t="str">
        <f>IF(AND($C499&lt;&gt;"",$C499=Kardex!$C$4),COUNTIF($C$5:$C499,Kardex!$C$4),"")</f>
        <v/>
      </c>
    </row>
    <row r="500" spans="1:13" x14ac:dyDescent="0.25">
      <c r="A500" s="24"/>
      <c r="B500" s="20"/>
      <c r="C500" s="20"/>
      <c r="D500" s="14" t="str">
        <f>IF($C500="","",IFERROR(INDEX(Productos!$B$5:$B$504,MATCH($C500,Productos!$A$5:$A$504,0)),"Clave no existe"))</f>
        <v/>
      </c>
      <c r="E500" s="14" t="str">
        <f>IF($C500="","",IFERROR(INDEX(Productos!$D$5:$D$504,MATCH($C500,Productos!$A$5:$A$504,0)),""))</f>
        <v/>
      </c>
      <c r="F500" s="20"/>
      <c r="G500" s="22" t="str">
        <f>IF($C500="","",IFERROR(INDEX(Productos!$F$5:$F$504,MATCH($C500,Productos!$A$5:$A$504,0)),0))</f>
        <v/>
      </c>
      <c r="H500" s="22" t="str">
        <f t="shared" si="7"/>
        <v/>
      </c>
      <c r="I500" s="14" t="str">
        <f>IF(OR($C500="",$F500=""),"",IFERROR(INDEX(Productos!$I$5:$I$504,MATCH($C500,Productos!$A$5:$A$504,0)),0)+SUMIFS($F$5:$F500,$C$5:$C500,$C500,$B$5:$B500,"Entrada")-SUMIFS($F$5:$F500,$C$5:$C500,$C500,$B$5:$B500,"Salida"))</f>
        <v/>
      </c>
      <c r="J500" s="20"/>
      <c r="K500" s="20"/>
      <c r="L500" s="20"/>
      <c r="M500" s="14" t="str">
        <f>IF(AND($C500&lt;&gt;"",$C500=Kardex!$C$4),COUNTIF($C$5:$C500,Kardex!$C$4),"")</f>
        <v/>
      </c>
    </row>
    <row r="501" spans="1:13" x14ac:dyDescent="0.25">
      <c r="A501" s="24"/>
      <c r="B501" s="20"/>
      <c r="C501" s="20"/>
      <c r="D501" s="14" t="str">
        <f>IF($C501="","",IFERROR(INDEX(Productos!$B$5:$B$504,MATCH($C501,Productos!$A$5:$A$504,0)),"Clave no existe"))</f>
        <v/>
      </c>
      <c r="E501" s="14" t="str">
        <f>IF($C501="","",IFERROR(INDEX(Productos!$D$5:$D$504,MATCH($C501,Productos!$A$5:$A$504,0)),""))</f>
        <v/>
      </c>
      <c r="F501" s="20"/>
      <c r="G501" s="22" t="str">
        <f>IF($C501="","",IFERROR(INDEX(Productos!$F$5:$F$504,MATCH($C501,Productos!$A$5:$A$504,0)),0))</f>
        <v/>
      </c>
      <c r="H501" s="22" t="str">
        <f t="shared" si="7"/>
        <v/>
      </c>
      <c r="I501" s="14" t="str">
        <f>IF(OR($C501="",$F501=""),"",IFERROR(INDEX(Productos!$I$5:$I$504,MATCH($C501,Productos!$A$5:$A$504,0)),0)+SUMIFS($F$5:$F501,$C$5:$C501,$C501,$B$5:$B501,"Entrada")-SUMIFS($F$5:$F501,$C$5:$C501,$C501,$B$5:$B501,"Salida"))</f>
        <v/>
      </c>
      <c r="J501" s="20"/>
      <c r="K501" s="20"/>
      <c r="L501" s="20"/>
      <c r="M501" s="14" t="str">
        <f>IF(AND($C501&lt;&gt;"",$C501=Kardex!$C$4),COUNTIF($C$5:$C501,Kardex!$C$4),"")</f>
        <v/>
      </c>
    </row>
    <row r="502" spans="1:13" x14ac:dyDescent="0.25">
      <c r="A502" s="24"/>
      <c r="B502" s="20"/>
      <c r="C502" s="20"/>
      <c r="D502" s="14" t="str">
        <f>IF($C502="","",IFERROR(INDEX(Productos!$B$5:$B$504,MATCH($C502,Productos!$A$5:$A$504,0)),"Clave no existe"))</f>
        <v/>
      </c>
      <c r="E502" s="14" t="str">
        <f>IF($C502="","",IFERROR(INDEX(Productos!$D$5:$D$504,MATCH($C502,Productos!$A$5:$A$504,0)),""))</f>
        <v/>
      </c>
      <c r="F502" s="20"/>
      <c r="G502" s="22" t="str">
        <f>IF($C502="","",IFERROR(INDEX(Productos!$F$5:$F$504,MATCH($C502,Productos!$A$5:$A$504,0)),0))</f>
        <v/>
      </c>
      <c r="H502" s="22" t="str">
        <f t="shared" si="7"/>
        <v/>
      </c>
      <c r="I502" s="14" t="str">
        <f>IF(OR($C502="",$F502=""),"",IFERROR(INDEX(Productos!$I$5:$I$504,MATCH($C502,Productos!$A$5:$A$504,0)),0)+SUMIFS($F$5:$F502,$C$5:$C502,$C502,$B$5:$B502,"Entrada")-SUMIFS($F$5:$F502,$C$5:$C502,$C502,$B$5:$B502,"Salida"))</f>
        <v/>
      </c>
      <c r="J502" s="20"/>
      <c r="K502" s="20"/>
      <c r="L502" s="20"/>
      <c r="M502" s="14" t="str">
        <f>IF(AND($C502&lt;&gt;"",$C502=Kardex!$C$4),COUNTIF($C$5:$C502,Kardex!$C$4),"")</f>
        <v/>
      </c>
    </row>
    <row r="503" spans="1:13" x14ac:dyDescent="0.25">
      <c r="A503" s="24"/>
      <c r="B503" s="20"/>
      <c r="C503" s="20"/>
      <c r="D503" s="14" t="str">
        <f>IF($C503="","",IFERROR(INDEX(Productos!$B$5:$B$504,MATCH($C503,Productos!$A$5:$A$504,0)),"Clave no existe"))</f>
        <v/>
      </c>
      <c r="E503" s="14" t="str">
        <f>IF($C503="","",IFERROR(INDEX(Productos!$D$5:$D$504,MATCH($C503,Productos!$A$5:$A$504,0)),""))</f>
        <v/>
      </c>
      <c r="F503" s="20"/>
      <c r="G503" s="22" t="str">
        <f>IF($C503="","",IFERROR(INDEX(Productos!$F$5:$F$504,MATCH($C503,Productos!$A$5:$A$504,0)),0))</f>
        <v/>
      </c>
      <c r="H503" s="22" t="str">
        <f t="shared" si="7"/>
        <v/>
      </c>
      <c r="I503" s="14" t="str">
        <f>IF(OR($C503="",$F503=""),"",IFERROR(INDEX(Productos!$I$5:$I$504,MATCH($C503,Productos!$A$5:$A$504,0)),0)+SUMIFS($F$5:$F503,$C$5:$C503,$C503,$B$5:$B503,"Entrada")-SUMIFS($F$5:$F503,$C$5:$C503,$C503,$B$5:$B503,"Salida"))</f>
        <v/>
      </c>
      <c r="J503" s="20"/>
      <c r="K503" s="20"/>
      <c r="L503" s="20"/>
      <c r="M503" s="14" t="str">
        <f>IF(AND($C503&lt;&gt;"",$C503=Kardex!$C$4),COUNTIF($C$5:$C503,Kardex!$C$4),"")</f>
        <v/>
      </c>
    </row>
    <row r="504" spans="1:13" x14ac:dyDescent="0.25">
      <c r="A504" s="24"/>
      <c r="B504" s="20"/>
      <c r="C504" s="20"/>
      <c r="D504" s="14" t="str">
        <f>IF($C504="","",IFERROR(INDEX(Productos!$B$5:$B$504,MATCH($C504,Productos!$A$5:$A$504,0)),"Clave no existe"))</f>
        <v/>
      </c>
      <c r="E504" s="14" t="str">
        <f>IF($C504="","",IFERROR(INDEX(Productos!$D$5:$D$504,MATCH($C504,Productos!$A$5:$A$504,0)),""))</f>
        <v/>
      </c>
      <c r="F504" s="20"/>
      <c r="G504" s="22" t="str">
        <f>IF($C504="","",IFERROR(INDEX(Productos!$F$5:$F$504,MATCH($C504,Productos!$A$5:$A$504,0)),0))</f>
        <v/>
      </c>
      <c r="H504" s="22" t="str">
        <f t="shared" si="7"/>
        <v/>
      </c>
      <c r="I504" s="14" t="str">
        <f>IF(OR($C504="",$F504=""),"",IFERROR(INDEX(Productos!$I$5:$I$504,MATCH($C504,Productos!$A$5:$A$504,0)),0)+SUMIFS($F$5:$F504,$C$5:$C504,$C504,$B$5:$B504,"Entrada")-SUMIFS($F$5:$F504,$C$5:$C504,$C504,$B$5:$B504,"Salida"))</f>
        <v/>
      </c>
      <c r="J504" s="20"/>
      <c r="K504" s="20"/>
      <c r="L504" s="20"/>
      <c r="M504" s="14" t="str">
        <f>IF(AND($C504&lt;&gt;"",$C504=Kardex!$C$4),COUNTIF($C$5:$C504,Kardex!$C$4),"")</f>
        <v/>
      </c>
    </row>
    <row r="505" spans="1:13" x14ac:dyDescent="0.25">
      <c r="A505" s="24"/>
      <c r="B505" s="20"/>
      <c r="C505" s="20"/>
      <c r="D505" s="14" t="str">
        <f>IF($C505="","",IFERROR(INDEX(Productos!$B$5:$B$504,MATCH($C505,Productos!$A$5:$A$504,0)),"Clave no existe"))</f>
        <v/>
      </c>
      <c r="E505" s="14" t="str">
        <f>IF($C505="","",IFERROR(INDEX(Productos!$D$5:$D$504,MATCH($C505,Productos!$A$5:$A$504,0)),""))</f>
        <v/>
      </c>
      <c r="F505" s="20"/>
      <c r="G505" s="22" t="str">
        <f>IF($C505="","",IFERROR(INDEX(Productos!$F$5:$F$504,MATCH($C505,Productos!$A$5:$A$504,0)),0))</f>
        <v/>
      </c>
      <c r="H505" s="22" t="str">
        <f t="shared" si="7"/>
        <v/>
      </c>
      <c r="I505" s="14" t="str">
        <f>IF(OR($C505="",$F505=""),"",IFERROR(INDEX(Productos!$I$5:$I$504,MATCH($C505,Productos!$A$5:$A$504,0)),0)+SUMIFS($F$5:$F505,$C$5:$C505,$C505,$B$5:$B505,"Entrada")-SUMIFS($F$5:$F505,$C$5:$C505,$C505,$B$5:$B505,"Salida"))</f>
        <v/>
      </c>
      <c r="J505" s="20"/>
      <c r="K505" s="20"/>
      <c r="L505" s="20"/>
      <c r="M505" s="14" t="str">
        <f>IF(AND($C505&lt;&gt;"",$C505=Kardex!$C$4),COUNTIF($C$5:$C505,Kardex!$C$4),"")</f>
        <v/>
      </c>
    </row>
    <row r="506" spans="1:13" x14ac:dyDescent="0.25">
      <c r="A506" s="24"/>
      <c r="B506" s="20"/>
      <c r="C506" s="20"/>
      <c r="D506" s="14" t="str">
        <f>IF($C506="","",IFERROR(INDEX(Productos!$B$5:$B$504,MATCH($C506,Productos!$A$5:$A$504,0)),"Clave no existe"))</f>
        <v/>
      </c>
      <c r="E506" s="14" t="str">
        <f>IF($C506="","",IFERROR(INDEX(Productos!$D$5:$D$504,MATCH($C506,Productos!$A$5:$A$504,0)),""))</f>
        <v/>
      </c>
      <c r="F506" s="20"/>
      <c r="G506" s="22" t="str">
        <f>IF($C506="","",IFERROR(INDEX(Productos!$F$5:$F$504,MATCH($C506,Productos!$A$5:$A$504,0)),0))</f>
        <v/>
      </c>
      <c r="H506" s="22" t="str">
        <f t="shared" si="7"/>
        <v/>
      </c>
      <c r="I506" s="14" t="str">
        <f>IF(OR($C506="",$F506=""),"",IFERROR(INDEX(Productos!$I$5:$I$504,MATCH($C506,Productos!$A$5:$A$504,0)),0)+SUMIFS($F$5:$F506,$C$5:$C506,$C506,$B$5:$B506,"Entrada")-SUMIFS($F$5:$F506,$C$5:$C506,$C506,$B$5:$B506,"Salida"))</f>
        <v/>
      </c>
      <c r="J506" s="20"/>
      <c r="K506" s="20"/>
      <c r="L506" s="20"/>
      <c r="M506" s="14" t="str">
        <f>IF(AND($C506&lt;&gt;"",$C506=Kardex!$C$4),COUNTIF($C$5:$C506,Kardex!$C$4),"")</f>
        <v/>
      </c>
    </row>
    <row r="507" spans="1:13" x14ac:dyDescent="0.25">
      <c r="A507" s="24"/>
      <c r="B507" s="20"/>
      <c r="C507" s="20"/>
      <c r="D507" s="14" t="str">
        <f>IF($C507="","",IFERROR(INDEX(Productos!$B$5:$B$504,MATCH($C507,Productos!$A$5:$A$504,0)),"Clave no existe"))</f>
        <v/>
      </c>
      <c r="E507" s="14" t="str">
        <f>IF($C507="","",IFERROR(INDEX(Productos!$D$5:$D$504,MATCH($C507,Productos!$A$5:$A$504,0)),""))</f>
        <v/>
      </c>
      <c r="F507" s="20"/>
      <c r="G507" s="22" t="str">
        <f>IF($C507="","",IFERROR(INDEX(Productos!$F$5:$F$504,MATCH($C507,Productos!$A$5:$A$504,0)),0))</f>
        <v/>
      </c>
      <c r="H507" s="22" t="str">
        <f t="shared" si="7"/>
        <v/>
      </c>
      <c r="I507" s="14" t="str">
        <f>IF(OR($C507="",$F507=""),"",IFERROR(INDEX(Productos!$I$5:$I$504,MATCH($C507,Productos!$A$5:$A$504,0)),0)+SUMIFS($F$5:$F507,$C$5:$C507,$C507,$B$5:$B507,"Entrada")-SUMIFS($F$5:$F507,$C$5:$C507,$C507,$B$5:$B507,"Salida"))</f>
        <v/>
      </c>
      <c r="J507" s="20"/>
      <c r="K507" s="20"/>
      <c r="L507" s="20"/>
      <c r="M507" s="14" t="str">
        <f>IF(AND($C507&lt;&gt;"",$C507=Kardex!$C$4),COUNTIF($C$5:$C507,Kardex!$C$4),"")</f>
        <v/>
      </c>
    </row>
    <row r="508" spans="1:13" x14ac:dyDescent="0.25">
      <c r="A508" s="24"/>
      <c r="B508" s="20"/>
      <c r="C508" s="20"/>
      <c r="D508" s="14" t="str">
        <f>IF($C508="","",IFERROR(INDEX(Productos!$B$5:$B$504,MATCH($C508,Productos!$A$5:$A$504,0)),"Clave no existe"))</f>
        <v/>
      </c>
      <c r="E508" s="14" t="str">
        <f>IF($C508="","",IFERROR(INDEX(Productos!$D$5:$D$504,MATCH($C508,Productos!$A$5:$A$504,0)),""))</f>
        <v/>
      </c>
      <c r="F508" s="20"/>
      <c r="G508" s="22" t="str">
        <f>IF($C508="","",IFERROR(INDEX(Productos!$F$5:$F$504,MATCH($C508,Productos!$A$5:$A$504,0)),0))</f>
        <v/>
      </c>
      <c r="H508" s="22" t="str">
        <f t="shared" si="7"/>
        <v/>
      </c>
      <c r="I508" s="14" t="str">
        <f>IF(OR($C508="",$F508=""),"",IFERROR(INDEX(Productos!$I$5:$I$504,MATCH($C508,Productos!$A$5:$A$504,0)),0)+SUMIFS($F$5:$F508,$C$5:$C508,$C508,$B$5:$B508,"Entrada")-SUMIFS($F$5:$F508,$C$5:$C508,$C508,$B$5:$B508,"Salida"))</f>
        <v/>
      </c>
      <c r="J508" s="20"/>
      <c r="K508" s="20"/>
      <c r="L508" s="20"/>
      <c r="M508" s="14" t="str">
        <f>IF(AND($C508&lt;&gt;"",$C508=Kardex!$C$4),COUNTIF($C$5:$C508,Kardex!$C$4),"")</f>
        <v/>
      </c>
    </row>
    <row r="509" spans="1:13" x14ac:dyDescent="0.25">
      <c r="A509" s="24"/>
      <c r="B509" s="20"/>
      <c r="C509" s="20"/>
      <c r="D509" s="14" t="str">
        <f>IF($C509="","",IFERROR(INDEX(Productos!$B$5:$B$504,MATCH($C509,Productos!$A$5:$A$504,0)),"Clave no existe"))</f>
        <v/>
      </c>
      <c r="E509" s="14" t="str">
        <f>IF($C509="","",IFERROR(INDEX(Productos!$D$5:$D$504,MATCH($C509,Productos!$A$5:$A$504,0)),""))</f>
        <v/>
      </c>
      <c r="F509" s="20"/>
      <c r="G509" s="22" t="str">
        <f>IF($C509="","",IFERROR(INDEX(Productos!$F$5:$F$504,MATCH($C509,Productos!$A$5:$A$504,0)),0))</f>
        <v/>
      </c>
      <c r="H509" s="22" t="str">
        <f t="shared" si="7"/>
        <v/>
      </c>
      <c r="I509" s="14" t="str">
        <f>IF(OR($C509="",$F509=""),"",IFERROR(INDEX(Productos!$I$5:$I$504,MATCH($C509,Productos!$A$5:$A$504,0)),0)+SUMIFS($F$5:$F509,$C$5:$C509,$C509,$B$5:$B509,"Entrada")-SUMIFS($F$5:$F509,$C$5:$C509,$C509,$B$5:$B509,"Salida"))</f>
        <v/>
      </c>
      <c r="J509" s="20"/>
      <c r="K509" s="20"/>
      <c r="L509" s="20"/>
      <c r="M509" s="14" t="str">
        <f>IF(AND($C509&lt;&gt;"",$C509=Kardex!$C$4),COUNTIF($C$5:$C509,Kardex!$C$4),"")</f>
        <v/>
      </c>
    </row>
    <row r="510" spans="1:13" x14ac:dyDescent="0.25">
      <c r="A510" s="24"/>
      <c r="B510" s="20"/>
      <c r="C510" s="20"/>
      <c r="D510" s="14" t="str">
        <f>IF($C510="","",IFERROR(INDEX(Productos!$B$5:$B$504,MATCH($C510,Productos!$A$5:$A$504,0)),"Clave no existe"))</f>
        <v/>
      </c>
      <c r="E510" s="14" t="str">
        <f>IF($C510="","",IFERROR(INDEX(Productos!$D$5:$D$504,MATCH($C510,Productos!$A$5:$A$504,0)),""))</f>
        <v/>
      </c>
      <c r="F510" s="20"/>
      <c r="G510" s="22" t="str">
        <f>IF($C510="","",IFERROR(INDEX(Productos!$F$5:$F$504,MATCH($C510,Productos!$A$5:$A$504,0)),0))</f>
        <v/>
      </c>
      <c r="H510" s="22" t="str">
        <f t="shared" si="7"/>
        <v/>
      </c>
      <c r="I510" s="14" t="str">
        <f>IF(OR($C510="",$F510=""),"",IFERROR(INDEX(Productos!$I$5:$I$504,MATCH($C510,Productos!$A$5:$A$504,0)),0)+SUMIFS($F$5:$F510,$C$5:$C510,$C510,$B$5:$B510,"Entrada")-SUMIFS($F$5:$F510,$C$5:$C510,$C510,$B$5:$B510,"Salida"))</f>
        <v/>
      </c>
      <c r="J510" s="20"/>
      <c r="K510" s="20"/>
      <c r="L510" s="20"/>
      <c r="M510" s="14" t="str">
        <f>IF(AND($C510&lt;&gt;"",$C510=Kardex!$C$4),COUNTIF($C$5:$C510,Kardex!$C$4),"")</f>
        <v/>
      </c>
    </row>
    <row r="511" spans="1:13" x14ac:dyDescent="0.25">
      <c r="A511" s="24"/>
      <c r="B511" s="20"/>
      <c r="C511" s="20"/>
      <c r="D511" s="14" t="str">
        <f>IF($C511="","",IFERROR(INDEX(Productos!$B$5:$B$504,MATCH($C511,Productos!$A$5:$A$504,0)),"Clave no existe"))</f>
        <v/>
      </c>
      <c r="E511" s="14" t="str">
        <f>IF($C511="","",IFERROR(INDEX(Productos!$D$5:$D$504,MATCH($C511,Productos!$A$5:$A$504,0)),""))</f>
        <v/>
      </c>
      <c r="F511" s="20"/>
      <c r="G511" s="22" t="str">
        <f>IF($C511="","",IFERROR(INDEX(Productos!$F$5:$F$504,MATCH($C511,Productos!$A$5:$A$504,0)),0))</f>
        <v/>
      </c>
      <c r="H511" s="22" t="str">
        <f t="shared" si="7"/>
        <v/>
      </c>
      <c r="I511" s="14" t="str">
        <f>IF(OR($C511="",$F511=""),"",IFERROR(INDEX(Productos!$I$5:$I$504,MATCH($C511,Productos!$A$5:$A$504,0)),0)+SUMIFS($F$5:$F511,$C$5:$C511,$C511,$B$5:$B511,"Entrada")-SUMIFS($F$5:$F511,$C$5:$C511,$C511,$B$5:$B511,"Salida"))</f>
        <v/>
      </c>
      <c r="J511" s="20"/>
      <c r="K511" s="20"/>
      <c r="L511" s="20"/>
      <c r="M511" s="14" t="str">
        <f>IF(AND($C511&lt;&gt;"",$C511=Kardex!$C$4),COUNTIF($C$5:$C511,Kardex!$C$4),"")</f>
        <v/>
      </c>
    </row>
    <row r="512" spans="1:13" x14ac:dyDescent="0.25">
      <c r="A512" s="24"/>
      <c r="B512" s="20"/>
      <c r="C512" s="20"/>
      <c r="D512" s="14" t="str">
        <f>IF($C512="","",IFERROR(INDEX(Productos!$B$5:$B$504,MATCH($C512,Productos!$A$5:$A$504,0)),"Clave no existe"))</f>
        <v/>
      </c>
      <c r="E512" s="14" t="str">
        <f>IF($C512="","",IFERROR(INDEX(Productos!$D$5:$D$504,MATCH($C512,Productos!$A$5:$A$504,0)),""))</f>
        <v/>
      </c>
      <c r="F512" s="20"/>
      <c r="G512" s="22" t="str">
        <f>IF($C512="","",IFERROR(INDEX(Productos!$F$5:$F$504,MATCH($C512,Productos!$A$5:$A$504,0)),0))</f>
        <v/>
      </c>
      <c r="H512" s="22" t="str">
        <f t="shared" si="7"/>
        <v/>
      </c>
      <c r="I512" s="14" t="str">
        <f>IF(OR($C512="",$F512=""),"",IFERROR(INDEX(Productos!$I$5:$I$504,MATCH($C512,Productos!$A$5:$A$504,0)),0)+SUMIFS($F$5:$F512,$C$5:$C512,$C512,$B$5:$B512,"Entrada")-SUMIFS($F$5:$F512,$C$5:$C512,$C512,$B$5:$B512,"Salida"))</f>
        <v/>
      </c>
      <c r="J512" s="20"/>
      <c r="K512" s="20"/>
      <c r="L512" s="20"/>
      <c r="M512" s="14" t="str">
        <f>IF(AND($C512&lt;&gt;"",$C512=Kardex!$C$4),COUNTIF($C$5:$C512,Kardex!$C$4),"")</f>
        <v/>
      </c>
    </row>
    <row r="513" spans="1:13" x14ac:dyDescent="0.25">
      <c r="A513" s="24"/>
      <c r="B513" s="20"/>
      <c r="C513" s="20"/>
      <c r="D513" s="14" t="str">
        <f>IF($C513="","",IFERROR(INDEX(Productos!$B$5:$B$504,MATCH($C513,Productos!$A$5:$A$504,0)),"Clave no existe"))</f>
        <v/>
      </c>
      <c r="E513" s="14" t="str">
        <f>IF($C513="","",IFERROR(INDEX(Productos!$D$5:$D$504,MATCH($C513,Productos!$A$5:$A$504,0)),""))</f>
        <v/>
      </c>
      <c r="F513" s="20"/>
      <c r="G513" s="22" t="str">
        <f>IF($C513="","",IFERROR(INDEX(Productos!$F$5:$F$504,MATCH($C513,Productos!$A$5:$A$504,0)),0))</f>
        <v/>
      </c>
      <c r="H513" s="22" t="str">
        <f t="shared" si="7"/>
        <v/>
      </c>
      <c r="I513" s="14" t="str">
        <f>IF(OR($C513="",$F513=""),"",IFERROR(INDEX(Productos!$I$5:$I$504,MATCH($C513,Productos!$A$5:$A$504,0)),0)+SUMIFS($F$5:$F513,$C$5:$C513,$C513,$B$5:$B513,"Entrada")-SUMIFS($F$5:$F513,$C$5:$C513,$C513,$B$5:$B513,"Salida"))</f>
        <v/>
      </c>
      <c r="J513" s="20"/>
      <c r="K513" s="20"/>
      <c r="L513" s="20"/>
      <c r="M513" s="14" t="str">
        <f>IF(AND($C513&lt;&gt;"",$C513=Kardex!$C$4),COUNTIF($C$5:$C513,Kardex!$C$4),"")</f>
        <v/>
      </c>
    </row>
    <row r="514" spans="1:13" x14ac:dyDescent="0.25">
      <c r="A514" s="24"/>
      <c r="B514" s="20"/>
      <c r="C514" s="20"/>
      <c r="D514" s="14" t="str">
        <f>IF($C514="","",IFERROR(INDEX(Productos!$B$5:$B$504,MATCH($C514,Productos!$A$5:$A$504,0)),"Clave no existe"))</f>
        <v/>
      </c>
      <c r="E514" s="14" t="str">
        <f>IF($C514="","",IFERROR(INDEX(Productos!$D$5:$D$504,MATCH($C514,Productos!$A$5:$A$504,0)),""))</f>
        <v/>
      </c>
      <c r="F514" s="20"/>
      <c r="G514" s="22" t="str">
        <f>IF($C514="","",IFERROR(INDEX(Productos!$F$5:$F$504,MATCH($C514,Productos!$A$5:$A$504,0)),0))</f>
        <v/>
      </c>
      <c r="H514" s="22" t="str">
        <f t="shared" si="7"/>
        <v/>
      </c>
      <c r="I514" s="14" t="str">
        <f>IF(OR($C514="",$F514=""),"",IFERROR(INDEX(Productos!$I$5:$I$504,MATCH($C514,Productos!$A$5:$A$504,0)),0)+SUMIFS($F$5:$F514,$C$5:$C514,$C514,$B$5:$B514,"Entrada")-SUMIFS($F$5:$F514,$C$5:$C514,$C514,$B$5:$B514,"Salida"))</f>
        <v/>
      </c>
      <c r="J514" s="20"/>
      <c r="K514" s="20"/>
      <c r="L514" s="20"/>
      <c r="M514" s="14" t="str">
        <f>IF(AND($C514&lt;&gt;"",$C514=Kardex!$C$4),COUNTIF($C$5:$C514,Kardex!$C$4),"")</f>
        <v/>
      </c>
    </row>
    <row r="515" spans="1:13" x14ac:dyDescent="0.25">
      <c r="A515" s="24"/>
      <c r="B515" s="20"/>
      <c r="C515" s="20"/>
      <c r="D515" s="14" t="str">
        <f>IF($C515="","",IFERROR(INDEX(Productos!$B$5:$B$504,MATCH($C515,Productos!$A$5:$A$504,0)),"Clave no existe"))</f>
        <v/>
      </c>
      <c r="E515" s="14" t="str">
        <f>IF($C515="","",IFERROR(INDEX(Productos!$D$5:$D$504,MATCH($C515,Productos!$A$5:$A$504,0)),""))</f>
        <v/>
      </c>
      <c r="F515" s="20"/>
      <c r="G515" s="22" t="str">
        <f>IF($C515="","",IFERROR(INDEX(Productos!$F$5:$F$504,MATCH($C515,Productos!$A$5:$A$504,0)),0))</f>
        <v/>
      </c>
      <c r="H515" s="22" t="str">
        <f t="shared" si="7"/>
        <v/>
      </c>
      <c r="I515" s="14" t="str">
        <f>IF(OR($C515="",$F515=""),"",IFERROR(INDEX(Productos!$I$5:$I$504,MATCH($C515,Productos!$A$5:$A$504,0)),0)+SUMIFS($F$5:$F515,$C$5:$C515,$C515,$B$5:$B515,"Entrada")-SUMIFS($F$5:$F515,$C$5:$C515,$C515,$B$5:$B515,"Salida"))</f>
        <v/>
      </c>
      <c r="J515" s="20"/>
      <c r="K515" s="20"/>
      <c r="L515" s="20"/>
      <c r="M515" s="14" t="str">
        <f>IF(AND($C515&lt;&gt;"",$C515=Kardex!$C$4),COUNTIF($C$5:$C515,Kardex!$C$4),"")</f>
        <v/>
      </c>
    </row>
    <row r="516" spans="1:13" x14ac:dyDescent="0.25">
      <c r="A516" s="24"/>
      <c r="B516" s="20"/>
      <c r="C516" s="20"/>
      <c r="D516" s="14" t="str">
        <f>IF($C516="","",IFERROR(INDEX(Productos!$B$5:$B$504,MATCH($C516,Productos!$A$5:$A$504,0)),"Clave no existe"))</f>
        <v/>
      </c>
      <c r="E516" s="14" t="str">
        <f>IF($C516="","",IFERROR(INDEX(Productos!$D$5:$D$504,MATCH($C516,Productos!$A$5:$A$504,0)),""))</f>
        <v/>
      </c>
      <c r="F516" s="20"/>
      <c r="G516" s="22" t="str">
        <f>IF($C516="","",IFERROR(INDEX(Productos!$F$5:$F$504,MATCH($C516,Productos!$A$5:$A$504,0)),0))</f>
        <v/>
      </c>
      <c r="H516" s="22" t="str">
        <f t="shared" si="7"/>
        <v/>
      </c>
      <c r="I516" s="14" t="str">
        <f>IF(OR($C516="",$F516=""),"",IFERROR(INDEX(Productos!$I$5:$I$504,MATCH($C516,Productos!$A$5:$A$504,0)),0)+SUMIFS($F$5:$F516,$C$5:$C516,$C516,$B$5:$B516,"Entrada")-SUMIFS($F$5:$F516,$C$5:$C516,$C516,$B$5:$B516,"Salida"))</f>
        <v/>
      </c>
      <c r="J516" s="20"/>
      <c r="K516" s="20"/>
      <c r="L516" s="20"/>
      <c r="M516" s="14" t="str">
        <f>IF(AND($C516&lt;&gt;"",$C516=Kardex!$C$4),COUNTIF($C$5:$C516,Kardex!$C$4),"")</f>
        <v/>
      </c>
    </row>
    <row r="517" spans="1:13" x14ac:dyDescent="0.25">
      <c r="A517" s="24"/>
      <c r="B517" s="20"/>
      <c r="C517" s="20"/>
      <c r="D517" s="14" t="str">
        <f>IF($C517="","",IFERROR(INDEX(Productos!$B$5:$B$504,MATCH($C517,Productos!$A$5:$A$504,0)),"Clave no existe"))</f>
        <v/>
      </c>
      <c r="E517" s="14" t="str">
        <f>IF($C517="","",IFERROR(INDEX(Productos!$D$5:$D$504,MATCH($C517,Productos!$A$5:$A$504,0)),""))</f>
        <v/>
      </c>
      <c r="F517" s="20"/>
      <c r="G517" s="22" t="str">
        <f>IF($C517="","",IFERROR(INDEX(Productos!$F$5:$F$504,MATCH($C517,Productos!$A$5:$A$504,0)),0))</f>
        <v/>
      </c>
      <c r="H517" s="22" t="str">
        <f t="shared" ref="H517:H580" si="8">IF(OR($C517="",$F517=""),"",F517*G517)</f>
        <v/>
      </c>
      <c r="I517" s="14" t="str">
        <f>IF(OR($C517="",$F517=""),"",IFERROR(INDEX(Productos!$I$5:$I$504,MATCH($C517,Productos!$A$5:$A$504,0)),0)+SUMIFS($F$5:$F517,$C$5:$C517,$C517,$B$5:$B517,"Entrada")-SUMIFS($F$5:$F517,$C$5:$C517,$C517,$B$5:$B517,"Salida"))</f>
        <v/>
      </c>
      <c r="J517" s="20"/>
      <c r="K517" s="20"/>
      <c r="L517" s="20"/>
      <c r="M517" s="14" t="str">
        <f>IF(AND($C517&lt;&gt;"",$C517=Kardex!$C$4),COUNTIF($C$5:$C517,Kardex!$C$4),"")</f>
        <v/>
      </c>
    </row>
    <row r="518" spans="1:13" x14ac:dyDescent="0.25">
      <c r="A518" s="24"/>
      <c r="B518" s="20"/>
      <c r="C518" s="20"/>
      <c r="D518" s="14" t="str">
        <f>IF($C518="","",IFERROR(INDEX(Productos!$B$5:$B$504,MATCH($C518,Productos!$A$5:$A$504,0)),"Clave no existe"))</f>
        <v/>
      </c>
      <c r="E518" s="14" t="str">
        <f>IF($C518="","",IFERROR(INDEX(Productos!$D$5:$D$504,MATCH($C518,Productos!$A$5:$A$504,0)),""))</f>
        <v/>
      </c>
      <c r="F518" s="20"/>
      <c r="G518" s="22" t="str">
        <f>IF($C518="","",IFERROR(INDEX(Productos!$F$5:$F$504,MATCH($C518,Productos!$A$5:$A$504,0)),0))</f>
        <v/>
      </c>
      <c r="H518" s="22" t="str">
        <f t="shared" si="8"/>
        <v/>
      </c>
      <c r="I518" s="14" t="str">
        <f>IF(OR($C518="",$F518=""),"",IFERROR(INDEX(Productos!$I$5:$I$504,MATCH($C518,Productos!$A$5:$A$504,0)),0)+SUMIFS($F$5:$F518,$C$5:$C518,$C518,$B$5:$B518,"Entrada")-SUMIFS($F$5:$F518,$C$5:$C518,$C518,$B$5:$B518,"Salida"))</f>
        <v/>
      </c>
      <c r="J518" s="20"/>
      <c r="K518" s="20"/>
      <c r="L518" s="20"/>
      <c r="M518" s="14" t="str">
        <f>IF(AND($C518&lt;&gt;"",$C518=Kardex!$C$4),COUNTIF($C$5:$C518,Kardex!$C$4),"")</f>
        <v/>
      </c>
    </row>
    <row r="519" spans="1:13" x14ac:dyDescent="0.25">
      <c r="A519" s="24"/>
      <c r="B519" s="20"/>
      <c r="C519" s="20"/>
      <c r="D519" s="14" t="str">
        <f>IF($C519="","",IFERROR(INDEX(Productos!$B$5:$B$504,MATCH($C519,Productos!$A$5:$A$504,0)),"Clave no existe"))</f>
        <v/>
      </c>
      <c r="E519" s="14" t="str">
        <f>IF($C519="","",IFERROR(INDEX(Productos!$D$5:$D$504,MATCH($C519,Productos!$A$5:$A$504,0)),""))</f>
        <v/>
      </c>
      <c r="F519" s="20"/>
      <c r="G519" s="22" t="str">
        <f>IF($C519="","",IFERROR(INDEX(Productos!$F$5:$F$504,MATCH($C519,Productos!$A$5:$A$504,0)),0))</f>
        <v/>
      </c>
      <c r="H519" s="22" t="str">
        <f t="shared" si="8"/>
        <v/>
      </c>
      <c r="I519" s="14" t="str">
        <f>IF(OR($C519="",$F519=""),"",IFERROR(INDEX(Productos!$I$5:$I$504,MATCH($C519,Productos!$A$5:$A$504,0)),0)+SUMIFS($F$5:$F519,$C$5:$C519,$C519,$B$5:$B519,"Entrada")-SUMIFS($F$5:$F519,$C$5:$C519,$C519,$B$5:$B519,"Salida"))</f>
        <v/>
      </c>
      <c r="J519" s="20"/>
      <c r="K519" s="20"/>
      <c r="L519" s="20"/>
      <c r="M519" s="14" t="str">
        <f>IF(AND($C519&lt;&gt;"",$C519=Kardex!$C$4),COUNTIF($C$5:$C519,Kardex!$C$4),"")</f>
        <v/>
      </c>
    </row>
    <row r="520" spans="1:13" x14ac:dyDescent="0.25">
      <c r="A520" s="24"/>
      <c r="B520" s="20"/>
      <c r="C520" s="20"/>
      <c r="D520" s="14" t="str">
        <f>IF($C520="","",IFERROR(INDEX(Productos!$B$5:$B$504,MATCH($C520,Productos!$A$5:$A$504,0)),"Clave no existe"))</f>
        <v/>
      </c>
      <c r="E520" s="14" t="str">
        <f>IF($C520="","",IFERROR(INDEX(Productos!$D$5:$D$504,MATCH($C520,Productos!$A$5:$A$504,0)),""))</f>
        <v/>
      </c>
      <c r="F520" s="20"/>
      <c r="G520" s="22" t="str">
        <f>IF($C520="","",IFERROR(INDEX(Productos!$F$5:$F$504,MATCH($C520,Productos!$A$5:$A$504,0)),0))</f>
        <v/>
      </c>
      <c r="H520" s="22" t="str">
        <f t="shared" si="8"/>
        <v/>
      </c>
      <c r="I520" s="14" t="str">
        <f>IF(OR($C520="",$F520=""),"",IFERROR(INDEX(Productos!$I$5:$I$504,MATCH($C520,Productos!$A$5:$A$504,0)),0)+SUMIFS($F$5:$F520,$C$5:$C520,$C520,$B$5:$B520,"Entrada")-SUMIFS($F$5:$F520,$C$5:$C520,$C520,$B$5:$B520,"Salida"))</f>
        <v/>
      </c>
      <c r="J520" s="20"/>
      <c r="K520" s="20"/>
      <c r="L520" s="20"/>
      <c r="M520" s="14" t="str">
        <f>IF(AND($C520&lt;&gt;"",$C520=Kardex!$C$4),COUNTIF($C$5:$C520,Kardex!$C$4),"")</f>
        <v/>
      </c>
    </row>
    <row r="521" spans="1:13" x14ac:dyDescent="0.25">
      <c r="A521" s="24"/>
      <c r="B521" s="20"/>
      <c r="C521" s="20"/>
      <c r="D521" s="14" t="str">
        <f>IF($C521="","",IFERROR(INDEX(Productos!$B$5:$B$504,MATCH($C521,Productos!$A$5:$A$504,0)),"Clave no existe"))</f>
        <v/>
      </c>
      <c r="E521" s="14" t="str">
        <f>IF($C521="","",IFERROR(INDEX(Productos!$D$5:$D$504,MATCH($C521,Productos!$A$5:$A$504,0)),""))</f>
        <v/>
      </c>
      <c r="F521" s="20"/>
      <c r="G521" s="22" t="str">
        <f>IF($C521="","",IFERROR(INDEX(Productos!$F$5:$F$504,MATCH($C521,Productos!$A$5:$A$504,0)),0))</f>
        <v/>
      </c>
      <c r="H521" s="22" t="str">
        <f t="shared" si="8"/>
        <v/>
      </c>
      <c r="I521" s="14" t="str">
        <f>IF(OR($C521="",$F521=""),"",IFERROR(INDEX(Productos!$I$5:$I$504,MATCH($C521,Productos!$A$5:$A$504,0)),0)+SUMIFS($F$5:$F521,$C$5:$C521,$C521,$B$5:$B521,"Entrada")-SUMIFS($F$5:$F521,$C$5:$C521,$C521,$B$5:$B521,"Salida"))</f>
        <v/>
      </c>
      <c r="J521" s="20"/>
      <c r="K521" s="20"/>
      <c r="L521" s="20"/>
      <c r="M521" s="14" t="str">
        <f>IF(AND($C521&lt;&gt;"",$C521=Kardex!$C$4),COUNTIF($C$5:$C521,Kardex!$C$4),"")</f>
        <v/>
      </c>
    </row>
    <row r="522" spans="1:13" x14ac:dyDescent="0.25">
      <c r="A522" s="24"/>
      <c r="B522" s="20"/>
      <c r="C522" s="20"/>
      <c r="D522" s="14" t="str">
        <f>IF($C522="","",IFERROR(INDEX(Productos!$B$5:$B$504,MATCH($C522,Productos!$A$5:$A$504,0)),"Clave no existe"))</f>
        <v/>
      </c>
      <c r="E522" s="14" t="str">
        <f>IF($C522="","",IFERROR(INDEX(Productos!$D$5:$D$504,MATCH($C522,Productos!$A$5:$A$504,0)),""))</f>
        <v/>
      </c>
      <c r="F522" s="20"/>
      <c r="G522" s="22" t="str">
        <f>IF($C522="","",IFERROR(INDEX(Productos!$F$5:$F$504,MATCH($C522,Productos!$A$5:$A$504,0)),0))</f>
        <v/>
      </c>
      <c r="H522" s="22" t="str">
        <f t="shared" si="8"/>
        <v/>
      </c>
      <c r="I522" s="14" t="str">
        <f>IF(OR($C522="",$F522=""),"",IFERROR(INDEX(Productos!$I$5:$I$504,MATCH($C522,Productos!$A$5:$A$504,0)),0)+SUMIFS($F$5:$F522,$C$5:$C522,$C522,$B$5:$B522,"Entrada")-SUMIFS($F$5:$F522,$C$5:$C522,$C522,$B$5:$B522,"Salida"))</f>
        <v/>
      </c>
      <c r="J522" s="20"/>
      <c r="K522" s="20"/>
      <c r="L522" s="20"/>
      <c r="M522" s="14" t="str">
        <f>IF(AND($C522&lt;&gt;"",$C522=Kardex!$C$4),COUNTIF($C$5:$C522,Kardex!$C$4),"")</f>
        <v/>
      </c>
    </row>
    <row r="523" spans="1:13" x14ac:dyDescent="0.25">
      <c r="A523" s="24"/>
      <c r="B523" s="20"/>
      <c r="C523" s="20"/>
      <c r="D523" s="14" t="str">
        <f>IF($C523="","",IFERROR(INDEX(Productos!$B$5:$B$504,MATCH($C523,Productos!$A$5:$A$504,0)),"Clave no existe"))</f>
        <v/>
      </c>
      <c r="E523" s="14" t="str">
        <f>IF($C523="","",IFERROR(INDEX(Productos!$D$5:$D$504,MATCH($C523,Productos!$A$5:$A$504,0)),""))</f>
        <v/>
      </c>
      <c r="F523" s="20"/>
      <c r="G523" s="22" t="str">
        <f>IF($C523="","",IFERROR(INDEX(Productos!$F$5:$F$504,MATCH($C523,Productos!$A$5:$A$504,0)),0))</f>
        <v/>
      </c>
      <c r="H523" s="22" t="str">
        <f t="shared" si="8"/>
        <v/>
      </c>
      <c r="I523" s="14" t="str">
        <f>IF(OR($C523="",$F523=""),"",IFERROR(INDEX(Productos!$I$5:$I$504,MATCH($C523,Productos!$A$5:$A$504,0)),0)+SUMIFS($F$5:$F523,$C$5:$C523,$C523,$B$5:$B523,"Entrada")-SUMIFS($F$5:$F523,$C$5:$C523,$C523,$B$5:$B523,"Salida"))</f>
        <v/>
      </c>
      <c r="J523" s="20"/>
      <c r="K523" s="20"/>
      <c r="L523" s="20"/>
      <c r="M523" s="14" t="str">
        <f>IF(AND($C523&lt;&gt;"",$C523=Kardex!$C$4),COUNTIF($C$5:$C523,Kardex!$C$4),"")</f>
        <v/>
      </c>
    </row>
    <row r="524" spans="1:13" x14ac:dyDescent="0.25">
      <c r="A524" s="24"/>
      <c r="B524" s="20"/>
      <c r="C524" s="20"/>
      <c r="D524" s="14" t="str">
        <f>IF($C524="","",IFERROR(INDEX(Productos!$B$5:$B$504,MATCH($C524,Productos!$A$5:$A$504,0)),"Clave no existe"))</f>
        <v/>
      </c>
      <c r="E524" s="14" t="str">
        <f>IF($C524="","",IFERROR(INDEX(Productos!$D$5:$D$504,MATCH($C524,Productos!$A$5:$A$504,0)),""))</f>
        <v/>
      </c>
      <c r="F524" s="20"/>
      <c r="G524" s="22" t="str">
        <f>IF($C524="","",IFERROR(INDEX(Productos!$F$5:$F$504,MATCH($C524,Productos!$A$5:$A$504,0)),0))</f>
        <v/>
      </c>
      <c r="H524" s="22" t="str">
        <f t="shared" si="8"/>
        <v/>
      </c>
      <c r="I524" s="14" t="str">
        <f>IF(OR($C524="",$F524=""),"",IFERROR(INDEX(Productos!$I$5:$I$504,MATCH($C524,Productos!$A$5:$A$504,0)),0)+SUMIFS($F$5:$F524,$C$5:$C524,$C524,$B$5:$B524,"Entrada")-SUMIFS($F$5:$F524,$C$5:$C524,$C524,$B$5:$B524,"Salida"))</f>
        <v/>
      </c>
      <c r="J524" s="20"/>
      <c r="K524" s="20"/>
      <c r="L524" s="20"/>
      <c r="M524" s="14" t="str">
        <f>IF(AND($C524&lt;&gt;"",$C524=Kardex!$C$4),COUNTIF($C$5:$C524,Kardex!$C$4),"")</f>
        <v/>
      </c>
    </row>
    <row r="525" spans="1:13" x14ac:dyDescent="0.25">
      <c r="A525" s="24"/>
      <c r="B525" s="20"/>
      <c r="C525" s="20"/>
      <c r="D525" s="14" t="str">
        <f>IF($C525="","",IFERROR(INDEX(Productos!$B$5:$B$504,MATCH($C525,Productos!$A$5:$A$504,0)),"Clave no existe"))</f>
        <v/>
      </c>
      <c r="E525" s="14" t="str">
        <f>IF($C525="","",IFERROR(INDEX(Productos!$D$5:$D$504,MATCH($C525,Productos!$A$5:$A$504,0)),""))</f>
        <v/>
      </c>
      <c r="F525" s="20"/>
      <c r="G525" s="22" t="str">
        <f>IF($C525="","",IFERROR(INDEX(Productos!$F$5:$F$504,MATCH($C525,Productos!$A$5:$A$504,0)),0))</f>
        <v/>
      </c>
      <c r="H525" s="22" t="str">
        <f t="shared" si="8"/>
        <v/>
      </c>
      <c r="I525" s="14" t="str">
        <f>IF(OR($C525="",$F525=""),"",IFERROR(INDEX(Productos!$I$5:$I$504,MATCH($C525,Productos!$A$5:$A$504,0)),0)+SUMIFS($F$5:$F525,$C$5:$C525,$C525,$B$5:$B525,"Entrada")-SUMIFS($F$5:$F525,$C$5:$C525,$C525,$B$5:$B525,"Salida"))</f>
        <v/>
      </c>
      <c r="J525" s="20"/>
      <c r="K525" s="20"/>
      <c r="L525" s="20"/>
      <c r="M525" s="14" t="str">
        <f>IF(AND($C525&lt;&gt;"",$C525=Kardex!$C$4),COUNTIF($C$5:$C525,Kardex!$C$4),"")</f>
        <v/>
      </c>
    </row>
    <row r="526" spans="1:13" x14ac:dyDescent="0.25">
      <c r="A526" s="24"/>
      <c r="B526" s="20"/>
      <c r="C526" s="20"/>
      <c r="D526" s="14" t="str">
        <f>IF($C526="","",IFERROR(INDEX(Productos!$B$5:$B$504,MATCH($C526,Productos!$A$5:$A$504,0)),"Clave no existe"))</f>
        <v/>
      </c>
      <c r="E526" s="14" t="str">
        <f>IF($C526="","",IFERROR(INDEX(Productos!$D$5:$D$504,MATCH($C526,Productos!$A$5:$A$504,0)),""))</f>
        <v/>
      </c>
      <c r="F526" s="20"/>
      <c r="G526" s="22" t="str">
        <f>IF($C526="","",IFERROR(INDEX(Productos!$F$5:$F$504,MATCH($C526,Productos!$A$5:$A$504,0)),0))</f>
        <v/>
      </c>
      <c r="H526" s="22" t="str">
        <f t="shared" si="8"/>
        <v/>
      </c>
      <c r="I526" s="14" t="str">
        <f>IF(OR($C526="",$F526=""),"",IFERROR(INDEX(Productos!$I$5:$I$504,MATCH($C526,Productos!$A$5:$A$504,0)),0)+SUMIFS($F$5:$F526,$C$5:$C526,$C526,$B$5:$B526,"Entrada")-SUMIFS($F$5:$F526,$C$5:$C526,$C526,$B$5:$B526,"Salida"))</f>
        <v/>
      </c>
      <c r="J526" s="20"/>
      <c r="K526" s="20"/>
      <c r="L526" s="20"/>
      <c r="M526" s="14" t="str">
        <f>IF(AND($C526&lt;&gt;"",$C526=Kardex!$C$4),COUNTIF($C$5:$C526,Kardex!$C$4),"")</f>
        <v/>
      </c>
    </row>
    <row r="527" spans="1:13" x14ac:dyDescent="0.25">
      <c r="A527" s="24"/>
      <c r="B527" s="20"/>
      <c r="C527" s="20"/>
      <c r="D527" s="14" t="str">
        <f>IF($C527="","",IFERROR(INDEX(Productos!$B$5:$B$504,MATCH($C527,Productos!$A$5:$A$504,0)),"Clave no existe"))</f>
        <v/>
      </c>
      <c r="E527" s="14" t="str">
        <f>IF($C527="","",IFERROR(INDEX(Productos!$D$5:$D$504,MATCH($C527,Productos!$A$5:$A$504,0)),""))</f>
        <v/>
      </c>
      <c r="F527" s="20"/>
      <c r="G527" s="22" t="str">
        <f>IF($C527="","",IFERROR(INDEX(Productos!$F$5:$F$504,MATCH($C527,Productos!$A$5:$A$504,0)),0))</f>
        <v/>
      </c>
      <c r="H527" s="22" t="str">
        <f t="shared" si="8"/>
        <v/>
      </c>
      <c r="I527" s="14" t="str">
        <f>IF(OR($C527="",$F527=""),"",IFERROR(INDEX(Productos!$I$5:$I$504,MATCH($C527,Productos!$A$5:$A$504,0)),0)+SUMIFS($F$5:$F527,$C$5:$C527,$C527,$B$5:$B527,"Entrada")-SUMIFS($F$5:$F527,$C$5:$C527,$C527,$B$5:$B527,"Salida"))</f>
        <v/>
      </c>
      <c r="J527" s="20"/>
      <c r="K527" s="20"/>
      <c r="L527" s="20"/>
      <c r="M527" s="14" t="str">
        <f>IF(AND($C527&lt;&gt;"",$C527=Kardex!$C$4),COUNTIF($C$5:$C527,Kardex!$C$4),"")</f>
        <v/>
      </c>
    </row>
    <row r="528" spans="1:13" x14ac:dyDescent="0.25">
      <c r="A528" s="24"/>
      <c r="B528" s="20"/>
      <c r="C528" s="20"/>
      <c r="D528" s="14" t="str">
        <f>IF($C528="","",IFERROR(INDEX(Productos!$B$5:$B$504,MATCH($C528,Productos!$A$5:$A$504,0)),"Clave no existe"))</f>
        <v/>
      </c>
      <c r="E528" s="14" t="str">
        <f>IF($C528="","",IFERROR(INDEX(Productos!$D$5:$D$504,MATCH($C528,Productos!$A$5:$A$504,0)),""))</f>
        <v/>
      </c>
      <c r="F528" s="20"/>
      <c r="G528" s="22" t="str">
        <f>IF($C528="","",IFERROR(INDEX(Productos!$F$5:$F$504,MATCH($C528,Productos!$A$5:$A$504,0)),0))</f>
        <v/>
      </c>
      <c r="H528" s="22" t="str">
        <f t="shared" si="8"/>
        <v/>
      </c>
      <c r="I528" s="14" t="str">
        <f>IF(OR($C528="",$F528=""),"",IFERROR(INDEX(Productos!$I$5:$I$504,MATCH($C528,Productos!$A$5:$A$504,0)),0)+SUMIFS($F$5:$F528,$C$5:$C528,$C528,$B$5:$B528,"Entrada")-SUMIFS($F$5:$F528,$C$5:$C528,$C528,$B$5:$B528,"Salida"))</f>
        <v/>
      </c>
      <c r="J528" s="20"/>
      <c r="K528" s="20"/>
      <c r="L528" s="20"/>
      <c r="M528" s="14" t="str">
        <f>IF(AND($C528&lt;&gt;"",$C528=Kardex!$C$4),COUNTIF($C$5:$C528,Kardex!$C$4),"")</f>
        <v/>
      </c>
    </row>
    <row r="529" spans="1:13" x14ac:dyDescent="0.25">
      <c r="A529" s="24"/>
      <c r="B529" s="20"/>
      <c r="C529" s="20"/>
      <c r="D529" s="14" t="str">
        <f>IF($C529="","",IFERROR(INDEX(Productos!$B$5:$B$504,MATCH($C529,Productos!$A$5:$A$504,0)),"Clave no existe"))</f>
        <v/>
      </c>
      <c r="E529" s="14" t="str">
        <f>IF($C529="","",IFERROR(INDEX(Productos!$D$5:$D$504,MATCH($C529,Productos!$A$5:$A$504,0)),""))</f>
        <v/>
      </c>
      <c r="F529" s="20"/>
      <c r="G529" s="22" t="str">
        <f>IF($C529="","",IFERROR(INDEX(Productos!$F$5:$F$504,MATCH($C529,Productos!$A$5:$A$504,0)),0))</f>
        <v/>
      </c>
      <c r="H529" s="22" t="str">
        <f t="shared" si="8"/>
        <v/>
      </c>
      <c r="I529" s="14" t="str">
        <f>IF(OR($C529="",$F529=""),"",IFERROR(INDEX(Productos!$I$5:$I$504,MATCH($C529,Productos!$A$5:$A$504,0)),0)+SUMIFS($F$5:$F529,$C$5:$C529,$C529,$B$5:$B529,"Entrada")-SUMIFS($F$5:$F529,$C$5:$C529,$C529,$B$5:$B529,"Salida"))</f>
        <v/>
      </c>
      <c r="J529" s="20"/>
      <c r="K529" s="20"/>
      <c r="L529" s="20"/>
      <c r="M529" s="14" t="str">
        <f>IF(AND($C529&lt;&gt;"",$C529=Kardex!$C$4),COUNTIF($C$5:$C529,Kardex!$C$4),"")</f>
        <v/>
      </c>
    </row>
    <row r="530" spans="1:13" x14ac:dyDescent="0.25">
      <c r="A530" s="24"/>
      <c r="B530" s="20"/>
      <c r="C530" s="20"/>
      <c r="D530" s="14" t="str">
        <f>IF($C530="","",IFERROR(INDEX(Productos!$B$5:$B$504,MATCH($C530,Productos!$A$5:$A$504,0)),"Clave no existe"))</f>
        <v/>
      </c>
      <c r="E530" s="14" t="str">
        <f>IF($C530="","",IFERROR(INDEX(Productos!$D$5:$D$504,MATCH($C530,Productos!$A$5:$A$504,0)),""))</f>
        <v/>
      </c>
      <c r="F530" s="20"/>
      <c r="G530" s="22" t="str">
        <f>IF($C530="","",IFERROR(INDEX(Productos!$F$5:$F$504,MATCH($C530,Productos!$A$5:$A$504,0)),0))</f>
        <v/>
      </c>
      <c r="H530" s="22" t="str">
        <f t="shared" si="8"/>
        <v/>
      </c>
      <c r="I530" s="14" t="str">
        <f>IF(OR($C530="",$F530=""),"",IFERROR(INDEX(Productos!$I$5:$I$504,MATCH($C530,Productos!$A$5:$A$504,0)),0)+SUMIFS($F$5:$F530,$C$5:$C530,$C530,$B$5:$B530,"Entrada")-SUMIFS($F$5:$F530,$C$5:$C530,$C530,$B$5:$B530,"Salida"))</f>
        <v/>
      </c>
      <c r="J530" s="20"/>
      <c r="K530" s="20"/>
      <c r="L530" s="20"/>
      <c r="M530" s="14" t="str">
        <f>IF(AND($C530&lt;&gt;"",$C530=Kardex!$C$4),COUNTIF($C$5:$C530,Kardex!$C$4),"")</f>
        <v/>
      </c>
    </row>
    <row r="531" spans="1:13" x14ac:dyDescent="0.25">
      <c r="A531" s="24"/>
      <c r="B531" s="20"/>
      <c r="C531" s="20"/>
      <c r="D531" s="14" t="str">
        <f>IF($C531="","",IFERROR(INDEX(Productos!$B$5:$B$504,MATCH($C531,Productos!$A$5:$A$504,0)),"Clave no existe"))</f>
        <v/>
      </c>
      <c r="E531" s="14" t="str">
        <f>IF($C531="","",IFERROR(INDEX(Productos!$D$5:$D$504,MATCH($C531,Productos!$A$5:$A$504,0)),""))</f>
        <v/>
      </c>
      <c r="F531" s="20"/>
      <c r="G531" s="22" t="str">
        <f>IF($C531="","",IFERROR(INDEX(Productos!$F$5:$F$504,MATCH($C531,Productos!$A$5:$A$504,0)),0))</f>
        <v/>
      </c>
      <c r="H531" s="22" t="str">
        <f t="shared" si="8"/>
        <v/>
      </c>
      <c r="I531" s="14" t="str">
        <f>IF(OR($C531="",$F531=""),"",IFERROR(INDEX(Productos!$I$5:$I$504,MATCH($C531,Productos!$A$5:$A$504,0)),0)+SUMIFS($F$5:$F531,$C$5:$C531,$C531,$B$5:$B531,"Entrada")-SUMIFS($F$5:$F531,$C$5:$C531,$C531,$B$5:$B531,"Salida"))</f>
        <v/>
      </c>
      <c r="J531" s="20"/>
      <c r="K531" s="20"/>
      <c r="L531" s="20"/>
      <c r="M531" s="14" t="str">
        <f>IF(AND($C531&lt;&gt;"",$C531=Kardex!$C$4),COUNTIF($C$5:$C531,Kardex!$C$4),"")</f>
        <v/>
      </c>
    </row>
    <row r="532" spans="1:13" x14ac:dyDescent="0.25">
      <c r="A532" s="24"/>
      <c r="B532" s="20"/>
      <c r="C532" s="20"/>
      <c r="D532" s="14" t="str">
        <f>IF($C532="","",IFERROR(INDEX(Productos!$B$5:$B$504,MATCH($C532,Productos!$A$5:$A$504,0)),"Clave no existe"))</f>
        <v/>
      </c>
      <c r="E532" s="14" t="str">
        <f>IF($C532="","",IFERROR(INDEX(Productos!$D$5:$D$504,MATCH($C532,Productos!$A$5:$A$504,0)),""))</f>
        <v/>
      </c>
      <c r="F532" s="20"/>
      <c r="G532" s="22" t="str">
        <f>IF($C532="","",IFERROR(INDEX(Productos!$F$5:$F$504,MATCH($C532,Productos!$A$5:$A$504,0)),0))</f>
        <v/>
      </c>
      <c r="H532" s="22" t="str">
        <f t="shared" si="8"/>
        <v/>
      </c>
      <c r="I532" s="14" t="str">
        <f>IF(OR($C532="",$F532=""),"",IFERROR(INDEX(Productos!$I$5:$I$504,MATCH($C532,Productos!$A$5:$A$504,0)),0)+SUMIFS($F$5:$F532,$C$5:$C532,$C532,$B$5:$B532,"Entrada")-SUMIFS($F$5:$F532,$C$5:$C532,$C532,$B$5:$B532,"Salida"))</f>
        <v/>
      </c>
      <c r="J532" s="20"/>
      <c r="K532" s="20"/>
      <c r="L532" s="20"/>
      <c r="M532" s="14" t="str">
        <f>IF(AND($C532&lt;&gt;"",$C532=Kardex!$C$4),COUNTIF($C$5:$C532,Kardex!$C$4),"")</f>
        <v/>
      </c>
    </row>
    <row r="533" spans="1:13" x14ac:dyDescent="0.25">
      <c r="A533" s="24"/>
      <c r="B533" s="20"/>
      <c r="C533" s="20"/>
      <c r="D533" s="14" t="str">
        <f>IF($C533="","",IFERROR(INDEX(Productos!$B$5:$B$504,MATCH($C533,Productos!$A$5:$A$504,0)),"Clave no existe"))</f>
        <v/>
      </c>
      <c r="E533" s="14" t="str">
        <f>IF($C533="","",IFERROR(INDEX(Productos!$D$5:$D$504,MATCH($C533,Productos!$A$5:$A$504,0)),""))</f>
        <v/>
      </c>
      <c r="F533" s="20"/>
      <c r="G533" s="22" t="str">
        <f>IF($C533="","",IFERROR(INDEX(Productos!$F$5:$F$504,MATCH($C533,Productos!$A$5:$A$504,0)),0))</f>
        <v/>
      </c>
      <c r="H533" s="22" t="str">
        <f t="shared" si="8"/>
        <v/>
      </c>
      <c r="I533" s="14" t="str">
        <f>IF(OR($C533="",$F533=""),"",IFERROR(INDEX(Productos!$I$5:$I$504,MATCH($C533,Productos!$A$5:$A$504,0)),0)+SUMIFS($F$5:$F533,$C$5:$C533,$C533,$B$5:$B533,"Entrada")-SUMIFS($F$5:$F533,$C$5:$C533,$C533,$B$5:$B533,"Salida"))</f>
        <v/>
      </c>
      <c r="J533" s="20"/>
      <c r="K533" s="20"/>
      <c r="L533" s="20"/>
      <c r="M533" s="14" t="str">
        <f>IF(AND($C533&lt;&gt;"",$C533=Kardex!$C$4),COUNTIF($C$5:$C533,Kardex!$C$4),"")</f>
        <v/>
      </c>
    </row>
    <row r="534" spans="1:13" x14ac:dyDescent="0.25">
      <c r="A534" s="24"/>
      <c r="B534" s="20"/>
      <c r="C534" s="20"/>
      <c r="D534" s="14" t="str">
        <f>IF($C534="","",IFERROR(INDEX(Productos!$B$5:$B$504,MATCH($C534,Productos!$A$5:$A$504,0)),"Clave no existe"))</f>
        <v/>
      </c>
      <c r="E534" s="14" t="str">
        <f>IF($C534="","",IFERROR(INDEX(Productos!$D$5:$D$504,MATCH($C534,Productos!$A$5:$A$504,0)),""))</f>
        <v/>
      </c>
      <c r="F534" s="20"/>
      <c r="G534" s="22" t="str">
        <f>IF($C534="","",IFERROR(INDEX(Productos!$F$5:$F$504,MATCH($C534,Productos!$A$5:$A$504,0)),0))</f>
        <v/>
      </c>
      <c r="H534" s="22" t="str">
        <f t="shared" si="8"/>
        <v/>
      </c>
      <c r="I534" s="14" t="str">
        <f>IF(OR($C534="",$F534=""),"",IFERROR(INDEX(Productos!$I$5:$I$504,MATCH($C534,Productos!$A$5:$A$504,0)),0)+SUMIFS($F$5:$F534,$C$5:$C534,$C534,$B$5:$B534,"Entrada")-SUMIFS($F$5:$F534,$C$5:$C534,$C534,$B$5:$B534,"Salida"))</f>
        <v/>
      </c>
      <c r="J534" s="20"/>
      <c r="K534" s="20"/>
      <c r="L534" s="20"/>
      <c r="M534" s="14" t="str">
        <f>IF(AND($C534&lt;&gt;"",$C534=Kardex!$C$4),COUNTIF($C$5:$C534,Kardex!$C$4),"")</f>
        <v/>
      </c>
    </row>
    <row r="535" spans="1:13" x14ac:dyDescent="0.25">
      <c r="A535" s="24"/>
      <c r="B535" s="20"/>
      <c r="C535" s="20"/>
      <c r="D535" s="14" t="str">
        <f>IF($C535="","",IFERROR(INDEX(Productos!$B$5:$B$504,MATCH($C535,Productos!$A$5:$A$504,0)),"Clave no existe"))</f>
        <v/>
      </c>
      <c r="E535" s="14" t="str">
        <f>IF($C535="","",IFERROR(INDEX(Productos!$D$5:$D$504,MATCH($C535,Productos!$A$5:$A$504,0)),""))</f>
        <v/>
      </c>
      <c r="F535" s="20"/>
      <c r="G535" s="22" t="str">
        <f>IF($C535="","",IFERROR(INDEX(Productos!$F$5:$F$504,MATCH($C535,Productos!$A$5:$A$504,0)),0))</f>
        <v/>
      </c>
      <c r="H535" s="22" t="str">
        <f t="shared" si="8"/>
        <v/>
      </c>
      <c r="I535" s="14" t="str">
        <f>IF(OR($C535="",$F535=""),"",IFERROR(INDEX(Productos!$I$5:$I$504,MATCH($C535,Productos!$A$5:$A$504,0)),0)+SUMIFS($F$5:$F535,$C$5:$C535,$C535,$B$5:$B535,"Entrada")-SUMIFS($F$5:$F535,$C$5:$C535,$C535,$B$5:$B535,"Salida"))</f>
        <v/>
      </c>
      <c r="J535" s="20"/>
      <c r="K535" s="20"/>
      <c r="L535" s="20"/>
      <c r="M535" s="14" t="str">
        <f>IF(AND($C535&lt;&gt;"",$C535=Kardex!$C$4),COUNTIF($C$5:$C535,Kardex!$C$4),"")</f>
        <v/>
      </c>
    </row>
    <row r="536" spans="1:13" x14ac:dyDescent="0.25">
      <c r="A536" s="24"/>
      <c r="B536" s="20"/>
      <c r="C536" s="20"/>
      <c r="D536" s="14" t="str">
        <f>IF($C536="","",IFERROR(INDEX(Productos!$B$5:$B$504,MATCH($C536,Productos!$A$5:$A$504,0)),"Clave no existe"))</f>
        <v/>
      </c>
      <c r="E536" s="14" t="str">
        <f>IF($C536="","",IFERROR(INDEX(Productos!$D$5:$D$504,MATCH($C536,Productos!$A$5:$A$504,0)),""))</f>
        <v/>
      </c>
      <c r="F536" s="20"/>
      <c r="G536" s="22" t="str">
        <f>IF($C536="","",IFERROR(INDEX(Productos!$F$5:$F$504,MATCH($C536,Productos!$A$5:$A$504,0)),0))</f>
        <v/>
      </c>
      <c r="H536" s="22" t="str">
        <f t="shared" si="8"/>
        <v/>
      </c>
      <c r="I536" s="14" t="str">
        <f>IF(OR($C536="",$F536=""),"",IFERROR(INDEX(Productos!$I$5:$I$504,MATCH($C536,Productos!$A$5:$A$504,0)),0)+SUMIFS($F$5:$F536,$C$5:$C536,$C536,$B$5:$B536,"Entrada")-SUMIFS($F$5:$F536,$C$5:$C536,$C536,$B$5:$B536,"Salida"))</f>
        <v/>
      </c>
      <c r="J536" s="20"/>
      <c r="K536" s="20"/>
      <c r="L536" s="20"/>
      <c r="M536" s="14" t="str">
        <f>IF(AND($C536&lt;&gt;"",$C536=Kardex!$C$4),COUNTIF($C$5:$C536,Kardex!$C$4),"")</f>
        <v/>
      </c>
    </row>
    <row r="537" spans="1:13" x14ac:dyDescent="0.25">
      <c r="A537" s="24"/>
      <c r="B537" s="20"/>
      <c r="C537" s="20"/>
      <c r="D537" s="14" t="str">
        <f>IF($C537="","",IFERROR(INDEX(Productos!$B$5:$B$504,MATCH($C537,Productos!$A$5:$A$504,0)),"Clave no existe"))</f>
        <v/>
      </c>
      <c r="E537" s="14" t="str">
        <f>IF($C537="","",IFERROR(INDEX(Productos!$D$5:$D$504,MATCH($C537,Productos!$A$5:$A$504,0)),""))</f>
        <v/>
      </c>
      <c r="F537" s="20"/>
      <c r="G537" s="22" t="str">
        <f>IF($C537="","",IFERROR(INDEX(Productos!$F$5:$F$504,MATCH($C537,Productos!$A$5:$A$504,0)),0))</f>
        <v/>
      </c>
      <c r="H537" s="22" t="str">
        <f t="shared" si="8"/>
        <v/>
      </c>
      <c r="I537" s="14" t="str">
        <f>IF(OR($C537="",$F537=""),"",IFERROR(INDEX(Productos!$I$5:$I$504,MATCH($C537,Productos!$A$5:$A$504,0)),0)+SUMIFS($F$5:$F537,$C$5:$C537,$C537,$B$5:$B537,"Entrada")-SUMIFS($F$5:$F537,$C$5:$C537,$C537,$B$5:$B537,"Salida"))</f>
        <v/>
      </c>
      <c r="J537" s="20"/>
      <c r="K537" s="20"/>
      <c r="L537" s="20"/>
      <c r="M537" s="14" t="str">
        <f>IF(AND($C537&lt;&gt;"",$C537=Kardex!$C$4),COUNTIF($C$5:$C537,Kardex!$C$4),"")</f>
        <v/>
      </c>
    </row>
    <row r="538" spans="1:13" x14ac:dyDescent="0.25">
      <c r="A538" s="24"/>
      <c r="B538" s="20"/>
      <c r="C538" s="20"/>
      <c r="D538" s="14" t="str">
        <f>IF($C538="","",IFERROR(INDEX(Productos!$B$5:$B$504,MATCH($C538,Productos!$A$5:$A$504,0)),"Clave no existe"))</f>
        <v/>
      </c>
      <c r="E538" s="14" t="str">
        <f>IF($C538="","",IFERROR(INDEX(Productos!$D$5:$D$504,MATCH($C538,Productos!$A$5:$A$504,0)),""))</f>
        <v/>
      </c>
      <c r="F538" s="20"/>
      <c r="G538" s="22" t="str">
        <f>IF($C538="","",IFERROR(INDEX(Productos!$F$5:$F$504,MATCH($C538,Productos!$A$5:$A$504,0)),0))</f>
        <v/>
      </c>
      <c r="H538" s="22" t="str">
        <f t="shared" si="8"/>
        <v/>
      </c>
      <c r="I538" s="14" t="str">
        <f>IF(OR($C538="",$F538=""),"",IFERROR(INDEX(Productos!$I$5:$I$504,MATCH($C538,Productos!$A$5:$A$504,0)),0)+SUMIFS($F$5:$F538,$C$5:$C538,$C538,$B$5:$B538,"Entrada")-SUMIFS($F$5:$F538,$C$5:$C538,$C538,$B$5:$B538,"Salida"))</f>
        <v/>
      </c>
      <c r="J538" s="20"/>
      <c r="K538" s="20"/>
      <c r="L538" s="20"/>
      <c r="M538" s="14" t="str">
        <f>IF(AND($C538&lt;&gt;"",$C538=Kardex!$C$4),COUNTIF($C$5:$C538,Kardex!$C$4),"")</f>
        <v/>
      </c>
    </row>
    <row r="539" spans="1:13" x14ac:dyDescent="0.25">
      <c r="A539" s="24"/>
      <c r="B539" s="20"/>
      <c r="C539" s="20"/>
      <c r="D539" s="14" t="str">
        <f>IF($C539="","",IFERROR(INDEX(Productos!$B$5:$B$504,MATCH($C539,Productos!$A$5:$A$504,0)),"Clave no existe"))</f>
        <v/>
      </c>
      <c r="E539" s="14" t="str">
        <f>IF($C539="","",IFERROR(INDEX(Productos!$D$5:$D$504,MATCH($C539,Productos!$A$5:$A$504,0)),""))</f>
        <v/>
      </c>
      <c r="F539" s="20"/>
      <c r="G539" s="22" t="str">
        <f>IF($C539="","",IFERROR(INDEX(Productos!$F$5:$F$504,MATCH($C539,Productos!$A$5:$A$504,0)),0))</f>
        <v/>
      </c>
      <c r="H539" s="22" t="str">
        <f t="shared" si="8"/>
        <v/>
      </c>
      <c r="I539" s="14" t="str">
        <f>IF(OR($C539="",$F539=""),"",IFERROR(INDEX(Productos!$I$5:$I$504,MATCH($C539,Productos!$A$5:$A$504,0)),0)+SUMIFS($F$5:$F539,$C$5:$C539,$C539,$B$5:$B539,"Entrada")-SUMIFS($F$5:$F539,$C$5:$C539,$C539,$B$5:$B539,"Salida"))</f>
        <v/>
      </c>
      <c r="J539" s="20"/>
      <c r="K539" s="20"/>
      <c r="L539" s="20"/>
      <c r="M539" s="14" t="str">
        <f>IF(AND($C539&lt;&gt;"",$C539=Kardex!$C$4),COUNTIF($C$5:$C539,Kardex!$C$4),"")</f>
        <v/>
      </c>
    </row>
    <row r="540" spans="1:13" x14ac:dyDescent="0.25">
      <c r="A540" s="24"/>
      <c r="B540" s="20"/>
      <c r="C540" s="20"/>
      <c r="D540" s="14" t="str">
        <f>IF($C540="","",IFERROR(INDEX(Productos!$B$5:$B$504,MATCH($C540,Productos!$A$5:$A$504,0)),"Clave no existe"))</f>
        <v/>
      </c>
      <c r="E540" s="14" t="str">
        <f>IF($C540="","",IFERROR(INDEX(Productos!$D$5:$D$504,MATCH($C540,Productos!$A$5:$A$504,0)),""))</f>
        <v/>
      </c>
      <c r="F540" s="20"/>
      <c r="G540" s="22" t="str">
        <f>IF($C540="","",IFERROR(INDEX(Productos!$F$5:$F$504,MATCH($C540,Productos!$A$5:$A$504,0)),0))</f>
        <v/>
      </c>
      <c r="H540" s="22" t="str">
        <f t="shared" si="8"/>
        <v/>
      </c>
      <c r="I540" s="14" t="str">
        <f>IF(OR($C540="",$F540=""),"",IFERROR(INDEX(Productos!$I$5:$I$504,MATCH($C540,Productos!$A$5:$A$504,0)),0)+SUMIFS($F$5:$F540,$C$5:$C540,$C540,$B$5:$B540,"Entrada")-SUMIFS($F$5:$F540,$C$5:$C540,$C540,$B$5:$B540,"Salida"))</f>
        <v/>
      </c>
      <c r="J540" s="20"/>
      <c r="K540" s="20"/>
      <c r="L540" s="20"/>
      <c r="M540" s="14" t="str">
        <f>IF(AND($C540&lt;&gt;"",$C540=Kardex!$C$4),COUNTIF($C$5:$C540,Kardex!$C$4),"")</f>
        <v/>
      </c>
    </row>
    <row r="541" spans="1:13" x14ac:dyDescent="0.25">
      <c r="A541" s="24"/>
      <c r="B541" s="20"/>
      <c r="C541" s="20"/>
      <c r="D541" s="14" t="str">
        <f>IF($C541="","",IFERROR(INDEX(Productos!$B$5:$B$504,MATCH($C541,Productos!$A$5:$A$504,0)),"Clave no existe"))</f>
        <v/>
      </c>
      <c r="E541" s="14" t="str">
        <f>IF($C541="","",IFERROR(INDEX(Productos!$D$5:$D$504,MATCH($C541,Productos!$A$5:$A$504,0)),""))</f>
        <v/>
      </c>
      <c r="F541" s="20"/>
      <c r="G541" s="22" t="str">
        <f>IF($C541="","",IFERROR(INDEX(Productos!$F$5:$F$504,MATCH($C541,Productos!$A$5:$A$504,0)),0))</f>
        <v/>
      </c>
      <c r="H541" s="22" t="str">
        <f t="shared" si="8"/>
        <v/>
      </c>
      <c r="I541" s="14" t="str">
        <f>IF(OR($C541="",$F541=""),"",IFERROR(INDEX(Productos!$I$5:$I$504,MATCH($C541,Productos!$A$5:$A$504,0)),0)+SUMIFS($F$5:$F541,$C$5:$C541,$C541,$B$5:$B541,"Entrada")-SUMIFS($F$5:$F541,$C$5:$C541,$C541,$B$5:$B541,"Salida"))</f>
        <v/>
      </c>
      <c r="J541" s="20"/>
      <c r="K541" s="20"/>
      <c r="L541" s="20"/>
      <c r="M541" s="14" t="str">
        <f>IF(AND($C541&lt;&gt;"",$C541=Kardex!$C$4),COUNTIF($C$5:$C541,Kardex!$C$4),"")</f>
        <v/>
      </c>
    </row>
    <row r="542" spans="1:13" x14ac:dyDescent="0.25">
      <c r="A542" s="24"/>
      <c r="B542" s="20"/>
      <c r="C542" s="20"/>
      <c r="D542" s="14" t="str">
        <f>IF($C542="","",IFERROR(INDEX(Productos!$B$5:$B$504,MATCH($C542,Productos!$A$5:$A$504,0)),"Clave no existe"))</f>
        <v/>
      </c>
      <c r="E542" s="14" t="str">
        <f>IF($C542="","",IFERROR(INDEX(Productos!$D$5:$D$504,MATCH($C542,Productos!$A$5:$A$504,0)),""))</f>
        <v/>
      </c>
      <c r="F542" s="20"/>
      <c r="G542" s="22" t="str">
        <f>IF($C542="","",IFERROR(INDEX(Productos!$F$5:$F$504,MATCH($C542,Productos!$A$5:$A$504,0)),0))</f>
        <v/>
      </c>
      <c r="H542" s="22" t="str">
        <f t="shared" si="8"/>
        <v/>
      </c>
      <c r="I542" s="14" t="str">
        <f>IF(OR($C542="",$F542=""),"",IFERROR(INDEX(Productos!$I$5:$I$504,MATCH($C542,Productos!$A$5:$A$504,0)),0)+SUMIFS($F$5:$F542,$C$5:$C542,$C542,$B$5:$B542,"Entrada")-SUMIFS($F$5:$F542,$C$5:$C542,$C542,$B$5:$B542,"Salida"))</f>
        <v/>
      </c>
      <c r="J542" s="20"/>
      <c r="K542" s="20"/>
      <c r="L542" s="20"/>
      <c r="M542" s="14" t="str">
        <f>IF(AND($C542&lt;&gt;"",$C542=Kardex!$C$4),COUNTIF($C$5:$C542,Kardex!$C$4),"")</f>
        <v/>
      </c>
    </row>
    <row r="543" spans="1:13" x14ac:dyDescent="0.25">
      <c r="A543" s="24"/>
      <c r="B543" s="20"/>
      <c r="C543" s="20"/>
      <c r="D543" s="14" t="str">
        <f>IF($C543="","",IFERROR(INDEX(Productos!$B$5:$B$504,MATCH($C543,Productos!$A$5:$A$504,0)),"Clave no existe"))</f>
        <v/>
      </c>
      <c r="E543" s="14" t="str">
        <f>IF($C543="","",IFERROR(INDEX(Productos!$D$5:$D$504,MATCH($C543,Productos!$A$5:$A$504,0)),""))</f>
        <v/>
      </c>
      <c r="F543" s="20"/>
      <c r="G543" s="22" t="str">
        <f>IF($C543="","",IFERROR(INDEX(Productos!$F$5:$F$504,MATCH($C543,Productos!$A$5:$A$504,0)),0))</f>
        <v/>
      </c>
      <c r="H543" s="22" t="str">
        <f t="shared" si="8"/>
        <v/>
      </c>
      <c r="I543" s="14" t="str">
        <f>IF(OR($C543="",$F543=""),"",IFERROR(INDEX(Productos!$I$5:$I$504,MATCH($C543,Productos!$A$5:$A$504,0)),0)+SUMIFS($F$5:$F543,$C$5:$C543,$C543,$B$5:$B543,"Entrada")-SUMIFS($F$5:$F543,$C$5:$C543,$C543,$B$5:$B543,"Salida"))</f>
        <v/>
      </c>
      <c r="J543" s="20"/>
      <c r="K543" s="20"/>
      <c r="L543" s="20"/>
      <c r="M543" s="14" t="str">
        <f>IF(AND($C543&lt;&gt;"",$C543=Kardex!$C$4),COUNTIF($C$5:$C543,Kardex!$C$4),"")</f>
        <v/>
      </c>
    </row>
    <row r="544" spans="1:13" x14ac:dyDescent="0.25">
      <c r="A544" s="24"/>
      <c r="B544" s="20"/>
      <c r="C544" s="20"/>
      <c r="D544" s="14" t="str">
        <f>IF($C544="","",IFERROR(INDEX(Productos!$B$5:$B$504,MATCH($C544,Productos!$A$5:$A$504,0)),"Clave no existe"))</f>
        <v/>
      </c>
      <c r="E544" s="14" t="str">
        <f>IF($C544="","",IFERROR(INDEX(Productos!$D$5:$D$504,MATCH($C544,Productos!$A$5:$A$504,0)),""))</f>
        <v/>
      </c>
      <c r="F544" s="20"/>
      <c r="G544" s="22" t="str">
        <f>IF($C544="","",IFERROR(INDEX(Productos!$F$5:$F$504,MATCH($C544,Productos!$A$5:$A$504,0)),0))</f>
        <v/>
      </c>
      <c r="H544" s="22" t="str">
        <f t="shared" si="8"/>
        <v/>
      </c>
      <c r="I544" s="14" t="str">
        <f>IF(OR($C544="",$F544=""),"",IFERROR(INDEX(Productos!$I$5:$I$504,MATCH($C544,Productos!$A$5:$A$504,0)),0)+SUMIFS($F$5:$F544,$C$5:$C544,$C544,$B$5:$B544,"Entrada")-SUMIFS($F$5:$F544,$C$5:$C544,$C544,$B$5:$B544,"Salida"))</f>
        <v/>
      </c>
      <c r="J544" s="20"/>
      <c r="K544" s="20"/>
      <c r="L544" s="20"/>
      <c r="M544" s="14" t="str">
        <f>IF(AND($C544&lt;&gt;"",$C544=Kardex!$C$4),COUNTIF($C$5:$C544,Kardex!$C$4),"")</f>
        <v/>
      </c>
    </row>
    <row r="545" spans="1:13" x14ac:dyDescent="0.25">
      <c r="A545" s="24"/>
      <c r="B545" s="20"/>
      <c r="C545" s="20"/>
      <c r="D545" s="14" t="str">
        <f>IF($C545="","",IFERROR(INDEX(Productos!$B$5:$B$504,MATCH($C545,Productos!$A$5:$A$504,0)),"Clave no existe"))</f>
        <v/>
      </c>
      <c r="E545" s="14" t="str">
        <f>IF($C545="","",IFERROR(INDEX(Productos!$D$5:$D$504,MATCH($C545,Productos!$A$5:$A$504,0)),""))</f>
        <v/>
      </c>
      <c r="F545" s="20"/>
      <c r="G545" s="22" t="str">
        <f>IF($C545="","",IFERROR(INDEX(Productos!$F$5:$F$504,MATCH($C545,Productos!$A$5:$A$504,0)),0))</f>
        <v/>
      </c>
      <c r="H545" s="22" t="str">
        <f t="shared" si="8"/>
        <v/>
      </c>
      <c r="I545" s="14" t="str">
        <f>IF(OR($C545="",$F545=""),"",IFERROR(INDEX(Productos!$I$5:$I$504,MATCH($C545,Productos!$A$5:$A$504,0)),0)+SUMIFS($F$5:$F545,$C$5:$C545,$C545,$B$5:$B545,"Entrada")-SUMIFS($F$5:$F545,$C$5:$C545,$C545,$B$5:$B545,"Salida"))</f>
        <v/>
      </c>
      <c r="J545" s="20"/>
      <c r="K545" s="20"/>
      <c r="L545" s="20"/>
      <c r="M545" s="14" t="str">
        <f>IF(AND($C545&lt;&gt;"",$C545=Kardex!$C$4),COUNTIF($C$5:$C545,Kardex!$C$4),"")</f>
        <v/>
      </c>
    </row>
    <row r="546" spans="1:13" x14ac:dyDescent="0.25">
      <c r="A546" s="24"/>
      <c r="B546" s="20"/>
      <c r="C546" s="20"/>
      <c r="D546" s="14" t="str">
        <f>IF($C546="","",IFERROR(INDEX(Productos!$B$5:$B$504,MATCH($C546,Productos!$A$5:$A$504,0)),"Clave no existe"))</f>
        <v/>
      </c>
      <c r="E546" s="14" t="str">
        <f>IF($C546="","",IFERROR(INDEX(Productos!$D$5:$D$504,MATCH($C546,Productos!$A$5:$A$504,0)),""))</f>
        <v/>
      </c>
      <c r="F546" s="20"/>
      <c r="G546" s="22" t="str">
        <f>IF($C546="","",IFERROR(INDEX(Productos!$F$5:$F$504,MATCH($C546,Productos!$A$5:$A$504,0)),0))</f>
        <v/>
      </c>
      <c r="H546" s="22" t="str">
        <f t="shared" si="8"/>
        <v/>
      </c>
      <c r="I546" s="14" t="str">
        <f>IF(OR($C546="",$F546=""),"",IFERROR(INDEX(Productos!$I$5:$I$504,MATCH($C546,Productos!$A$5:$A$504,0)),0)+SUMIFS($F$5:$F546,$C$5:$C546,$C546,$B$5:$B546,"Entrada")-SUMIFS($F$5:$F546,$C$5:$C546,$C546,$B$5:$B546,"Salida"))</f>
        <v/>
      </c>
      <c r="J546" s="20"/>
      <c r="K546" s="20"/>
      <c r="L546" s="20"/>
      <c r="M546" s="14" t="str">
        <f>IF(AND($C546&lt;&gt;"",$C546=Kardex!$C$4),COUNTIF($C$5:$C546,Kardex!$C$4),"")</f>
        <v/>
      </c>
    </row>
    <row r="547" spans="1:13" x14ac:dyDescent="0.25">
      <c r="A547" s="24"/>
      <c r="B547" s="20"/>
      <c r="C547" s="20"/>
      <c r="D547" s="14" t="str">
        <f>IF($C547="","",IFERROR(INDEX(Productos!$B$5:$B$504,MATCH($C547,Productos!$A$5:$A$504,0)),"Clave no existe"))</f>
        <v/>
      </c>
      <c r="E547" s="14" t="str">
        <f>IF($C547="","",IFERROR(INDEX(Productos!$D$5:$D$504,MATCH($C547,Productos!$A$5:$A$504,0)),""))</f>
        <v/>
      </c>
      <c r="F547" s="20"/>
      <c r="G547" s="22" t="str">
        <f>IF($C547="","",IFERROR(INDEX(Productos!$F$5:$F$504,MATCH($C547,Productos!$A$5:$A$504,0)),0))</f>
        <v/>
      </c>
      <c r="H547" s="22" t="str">
        <f t="shared" si="8"/>
        <v/>
      </c>
      <c r="I547" s="14" t="str">
        <f>IF(OR($C547="",$F547=""),"",IFERROR(INDEX(Productos!$I$5:$I$504,MATCH($C547,Productos!$A$5:$A$504,0)),0)+SUMIFS($F$5:$F547,$C$5:$C547,$C547,$B$5:$B547,"Entrada")-SUMIFS($F$5:$F547,$C$5:$C547,$C547,$B$5:$B547,"Salida"))</f>
        <v/>
      </c>
      <c r="J547" s="20"/>
      <c r="K547" s="20"/>
      <c r="L547" s="20"/>
      <c r="M547" s="14" t="str">
        <f>IF(AND($C547&lt;&gt;"",$C547=Kardex!$C$4),COUNTIF($C$5:$C547,Kardex!$C$4),"")</f>
        <v/>
      </c>
    </row>
    <row r="548" spans="1:13" x14ac:dyDescent="0.25">
      <c r="A548" s="24"/>
      <c r="B548" s="20"/>
      <c r="C548" s="20"/>
      <c r="D548" s="14" t="str">
        <f>IF($C548="","",IFERROR(INDEX(Productos!$B$5:$B$504,MATCH($C548,Productos!$A$5:$A$504,0)),"Clave no existe"))</f>
        <v/>
      </c>
      <c r="E548" s="14" t="str">
        <f>IF($C548="","",IFERROR(INDEX(Productos!$D$5:$D$504,MATCH($C548,Productos!$A$5:$A$504,0)),""))</f>
        <v/>
      </c>
      <c r="F548" s="20"/>
      <c r="G548" s="22" t="str">
        <f>IF($C548="","",IFERROR(INDEX(Productos!$F$5:$F$504,MATCH($C548,Productos!$A$5:$A$504,0)),0))</f>
        <v/>
      </c>
      <c r="H548" s="22" t="str">
        <f t="shared" si="8"/>
        <v/>
      </c>
      <c r="I548" s="14" t="str">
        <f>IF(OR($C548="",$F548=""),"",IFERROR(INDEX(Productos!$I$5:$I$504,MATCH($C548,Productos!$A$5:$A$504,0)),0)+SUMIFS($F$5:$F548,$C$5:$C548,$C548,$B$5:$B548,"Entrada")-SUMIFS($F$5:$F548,$C$5:$C548,$C548,$B$5:$B548,"Salida"))</f>
        <v/>
      </c>
      <c r="J548" s="20"/>
      <c r="K548" s="20"/>
      <c r="L548" s="20"/>
      <c r="M548" s="14" t="str">
        <f>IF(AND($C548&lt;&gt;"",$C548=Kardex!$C$4),COUNTIF($C$5:$C548,Kardex!$C$4),"")</f>
        <v/>
      </c>
    </row>
    <row r="549" spans="1:13" x14ac:dyDescent="0.25">
      <c r="A549" s="24"/>
      <c r="B549" s="20"/>
      <c r="C549" s="20"/>
      <c r="D549" s="14" t="str">
        <f>IF($C549="","",IFERROR(INDEX(Productos!$B$5:$B$504,MATCH($C549,Productos!$A$5:$A$504,0)),"Clave no existe"))</f>
        <v/>
      </c>
      <c r="E549" s="14" t="str">
        <f>IF($C549="","",IFERROR(INDEX(Productos!$D$5:$D$504,MATCH($C549,Productos!$A$5:$A$504,0)),""))</f>
        <v/>
      </c>
      <c r="F549" s="20"/>
      <c r="G549" s="22" t="str">
        <f>IF($C549="","",IFERROR(INDEX(Productos!$F$5:$F$504,MATCH($C549,Productos!$A$5:$A$504,0)),0))</f>
        <v/>
      </c>
      <c r="H549" s="22" t="str">
        <f t="shared" si="8"/>
        <v/>
      </c>
      <c r="I549" s="14" t="str">
        <f>IF(OR($C549="",$F549=""),"",IFERROR(INDEX(Productos!$I$5:$I$504,MATCH($C549,Productos!$A$5:$A$504,0)),0)+SUMIFS($F$5:$F549,$C$5:$C549,$C549,$B$5:$B549,"Entrada")-SUMIFS($F$5:$F549,$C$5:$C549,$C549,$B$5:$B549,"Salida"))</f>
        <v/>
      </c>
      <c r="J549" s="20"/>
      <c r="K549" s="20"/>
      <c r="L549" s="20"/>
      <c r="M549" s="14" t="str">
        <f>IF(AND($C549&lt;&gt;"",$C549=Kardex!$C$4),COUNTIF($C$5:$C549,Kardex!$C$4),"")</f>
        <v/>
      </c>
    </row>
    <row r="550" spans="1:13" x14ac:dyDescent="0.25">
      <c r="A550" s="24"/>
      <c r="B550" s="20"/>
      <c r="C550" s="20"/>
      <c r="D550" s="14" t="str">
        <f>IF($C550="","",IFERROR(INDEX(Productos!$B$5:$B$504,MATCH($C550,Productos!$A$5:$A$504,0)),"Clave no existe"))</f>
        <v/>
      </c>
      <c r="E550" s="14" t="str">
        <f>IF($C550="","",IFERROR(INDEX(Productos!$D$5:$D$504,MATCH($C550,Productos!$A$5:$A$504,0)),""))</f>
        <v/>
      </c>
      <c r="F550" s="20"/>
      <c r="G550" s="22" t="str">
        <f>IF($C550="","",IFERROR(INDEX(Productos!$F$5:$F$504,MATCH($C550,Productos!$A$5:$A$504,0)),0))</f>
        <v/>
      </c>
      <c r="H550" s="22" t="str">
        <f t="shared" si="8"/>
        <v/>
      </c>
      <c r="I550" s="14" t="str">
        <f>IF(OR($C550="",$F550=""),"",IFERROR(INDEX(Productos!$I$5:$I$504,MATCH($C550,Productos!$A$5:$A$504,0)),0)+SUMIFS($F$5:$F550,$C$5:$C550,$C550,$B$5:$B550,"Entrada")-SUMIFS($F$5:$F550,$C$5:$C550,$C550,$B$5:$B550,"Salida"))</f>
        <v/>
      </c>
      <c r="J550" s="20"/>
      <c r="K550" s="20"/>
      <c r="L550" s="20"/>
      <c r="M550" s="14" t="str">
        <f>IF(AND($C550&lt;&gt;"",$C550=Kardex!$C$4),COUNTIF($C$5:$C550,Kardex!$C$4),"")</f>
        <v/>
      </c>
    </row>
    <row r="551" spans="1:13" x14ac:dyDescent="0.25">
      <c r="A551" s="24"/>
      <c r="B551" s="20"/>
      <c r="C551" s="20"/>
      <c r="D551" s="14" t="str">
        <f>IF($C551="","",IFERROR(INDEX(Productos!$B$5:$B$504,MATCH($C551,Productos!$A$5:$A$504,0)),"Clave no existe"))</f>
        <v/>
      </c>
      <c r="E551" s="14" t="str">
        <f>IF($C551="","",IFERROR(INDEX(Productos!$D$5:$D$504,MATCH($C551,Productos!$A$5:$A$504,0)),""))</f>
        <v/>
      </c>
      <c r="F551" s="20"/>
      <c r="G551" s="22" t="str">
        <f>IF($C551="","",IFERROR(INDEX(Productos!$F$5:$F$504,MATCH($C551,Productos!$A$5:$A$504,0)),0))</f>
        <v/>
      </c>
      <c r="H551" s="22" t="str">
        <f t="shared" si="8"/>
        <v/>
      </c>
      <c r="I551" s="14" t="str">
        <f>IF(OR($C551="",$F551=""),"",IFERROR(INDEX(Productos!$I$5:$I$504,MATCH($C551,Productos!$A$5:$A$504,0)),0)+SUMIFS($F$5:$F551,$C$5:$C551,$C551,$B$5:$B551,"Entrada")-SUMIFS($F$5:$F551,$C$5:$C551,$C551,$B$5:$B551,"Salida"))</f>
        <v/>
      </c>
      <c r="J551" s="20"/>
      <c r="K551" s="20"/>
      <c r="L551" s="20"/>
      <c r="M551" s="14" t="str">
        <f>IF(AND($C551&lt;&gt;"",$C551=Kardex!$C$4),COUNTIF($C$5:$C551,Kardex!$C$4),"")</f>
        <v/>
      </c>
    </row>
    <row r="552" spans="1:13" x14ac:dyDescent="0.25">
      <c r="A552" s="24"/>
      <c r="B552" s="20"/>
      <c r="C552" s="20"/>
      <c r="D552" s="14" t="str">
        <f>IF($C552="","",IFERROR(INDEX(Productos!$B$5:$B$504,MATCH($C552,Productos!$A$5:$A$504,0)),"Clave no existe"))</f>
        <v/>
      </c>
      <c r="E552" s="14" t="str">
        <f>IF($C552="","",IFERROR(INDEX(Productos!$D$5:$D$504,MATCH($C552,Productos!$A$5:$A$504,0)),""))</f>
        <v/>
      </c>
      <c r="F552" s="20"/>
      <c r="G552" s="22" t="str">
        <f>IF($C552="","",IFERROR(INDEX(Productos!$F$5:$F$504,MATCH($C552,Productos!$A$5:$A$504,0)),0))</f>
        <v/>
      </c>
      <c r="H552" s="22" t="str">
        <f t="shared" si="8"/>
        <v/>
      </c>
      <c r="I552" s="14" t="str">
        <f>IF(OR($C552="",$F552=""),"",IFERROR(INDEX(Productos!$I$5:$I$504,MATCH($C552,Productos!$A$5:$A$504,0)),0)+SUMIFS($F$5:$F552,$C$5:$C552,$C552,$B$5:$B552,"Entrada")-SUMIFS($F$5:$F552,$C$5:$C552,$C552,$B$5:$B552,"Salida"))</f>
        <v/>
      </c>
      <c r="J552" s="20"/>
      <c r="K552" s="20"/>
      <c r="L552" s="20"/>
      <c r="M552" s="14" t="str">
        <f>IF(AND($C552&lt;&gt;"",$C552=Kardex!$C$4),COUNTIF($C$5:$C552,Kardex!$C$4),"")</f>
        <v/>
      </c>
    </row>
    <row r="553" spans="1:13" x14ac:dyDescent="0.25">
      <c r="A553" s="24"/>
      <c r="B553" s="20"/>
      <c r="C553" s="20"/>
      <c r="D553" s="14" t="str">
        <f>IF($C553="","",IFERROR(INDEX(Productos!$B$5:$B$504,MATCH($C553,Productos!$A$5:$A$504,0)),"Clave no existe"))</f>
        <v/>
      </c>
      <c r="E553" s="14" t="str">
        <f>IF($C553="","",IFERROR(INDEX(Productos!$D$5:$D$504,MATCH($C553,Productos!$A$5:$A$504,0)),""))</f>
        <v/>
      </c>
      <c r="F553" s="20"/>
      <c r="G553" s="22" t="str">
        <f>IF($C553="","",IFERROR(INDEX(Productos!$F$5:$F$504,MATCH($C553,Productos!$A$5:$A$504,0)),0))</f>
        <v/>
      </c>
      <c r="H553" s="22" t="str">
        <f t="shared" si="8"/>
        <v/>
      </c>
      <c r="I553" s="14" t="str">
        <f>IF(OR($C553="",$F553=""),"",IFERROR(INDEX(Productos!$I$5:$I$504,MATCH($C553,Productos!$A$5:$A$504,0)),0)+SUMIFS($F$5:$F553,$C$5:$C553,$C553,$B$5:$B553,"Entrada")-SUMIFS($F$5:$F553,$C$5:$C553,$C553,$B$5:$B553,"Salida"))</f>
        <v/>
      </c>
      <c r="J553" s="20"/>
      <c r="K553" s="20"/>
      <c r="L553" s="20"/>
      <c r="M553" s="14" t="str">
        <f>IF(AND($C553&lt;&gt;"",$C553=Kardex!$C$4),COUNTIF($C$5:$C553,Kardex!$C$4),"")</f>
        <v/>
      </c>
    </row>
    <row r="554" spans="1:13" x14ac:dyDescent="0.25">
      <c r="A554" s="24"/>
      <c r="B554" s="20"/>
      <c r="C554" s="20"/>
      <c r="D554" s="14" t="str">
        <f>IF($C554="","",IFERROR(INDEX(Productos!$B$5:$B$504,MATCH($C554,Productos!$A$5:$A$504,0)),"Clave no existe"))</f>
        <v/>
      </c>
      <c r="E554" s="14" t="str">
        <f>IF($C554="","",IFERROR(INDEX(Productos!$D$5:$D$504,MATCH($C554,Productos!$A$5:$A$504,0)),""))</f>
        <v/>
      </c>
      <c r="F554" s="20"/>
      <c r="G554" s="22" t="str">
        <f>IF($C554="","",IFERROR(INDEX(Productos!$F$5:$F$504,MATCH($C554,Productos!$A$5:$A$504,0)),0))</f>
        <v/>
      </c>
      <c r="H554" s="22" t="str">
        <f t="shared" si="8"/>
        <v/>
      </c>
      <c r="I554" s="14" t="str">
        <f>IF(OR($C554="",$F554=""),"",IFERROR(INDEX(Productos!$I$5:$I$504,MATCH($C554,Productos!$A$5:$A$504,0)),0)+SUMIFS($F$5:$F554,$C$5:$C554,$C554,$B$5:$B554,"Entrada")-SUMIFS($F$5:$F554,$C$5:$C554,$C554,$B$5:$B554,"Salida"))</f>
        <v/>
      </c>
      <c r="J554" s="20"/>
      <c r="K554" s="20"/>
      <c r="L554" s="20"/>
      <c r="M554" s="14" t="str">
        <f>IF(AND($C554&lt;&gt;"",$C554=Kardex!$C$4),COUNTIF($C$5:$C554,Kardex!$C$4),"")</f>
        <v/>
      </c>
    </row>
    <row r="555" spans="1:13" x14ac:dyDescent="0.25">
      <c r="A555" s="24"/>
      <c r="B555" s="20"/>
      <c r="C555" s="20"/>
      <c r="D555" s="14" t="str">
        <f>IF($C555="","",IFERROR(INDEX(Productos!$B$5:$B$504,MATCH($C555,Productos!$A$5:$A$504,0)),"Clave no existe"))</f>
        <v/>
      </c>
      <c r="E555" s="14" t="str">
        <f>IF($C555="","",IFERROR(INDEX(Productos!$D$5:$D$504,MATCH($C555,Productos!$A$5:$A$504,0)),""))</f>
        <v/>
      </c>
      <c r="F555" s="20"/>
      <c r="G555" s="22" t="str">
        <f>IF($C555="","",IFERROR(INDEX(Productos!$F$5:$F$504,MATCH($C555,Productos!$A$5:$A$504,0)),0))</f>
        <v/>
      </c>
      <c r="H555" s="22" t="str">
        <f t="shared" si="8"/>
        <v/>
      </c>
      <c r="I555" s="14" t="str">
        <f>IF(OR($C555="",$F555=""),"",IFERROR(INDEX(Productos!$I$5:$I$504,MATCH($C555,Productos!$A$5:$A$504,0)),0)+SUMIFS($F$5:$F555,$C$5:$C555,$C555,$B$5:$B555,"Entrada")-SUMIFS($F$5:$F555,$C$5:$C555,$C555,$B$5:$B555,"Salida"))</f>
        <v/>
      </c>
      <c r="J555" s="20"/>
      <c r="K555" s="20"/>
      <c r="L555" s="20"/>
      <c r="M555" s="14" t="str">
        <f>IF(AND($C555&lt;&gt;"",$C555=Kardex!$C$4),COUNTIF($C$5:$C555,Kardex!$C$4),"")</f>
        <v/>
      </c>
    </row>
    <row r="556" spans="1:13" x14ac:dyDescent="0.25">
      <c r="A556" s="24"/>
      <c r="B556" s="20"/>
      <c r="C556" s="20"/>
      <c r="D556" s="14" t="str">
        <f>IF($C556="","",IFERROR(INDEX(Productos!$B$5:$B$504,MATCH($C556,Productos!$A$5:$A$504,0)),"Clave no existe"))</f>
        <v/>
      </c>
      <c r="E556" s="14" t="str">
        <f>IF($C556="","",IFERROR(INDEX(Productos!$D$5:$D$504,MATCH($C556,Productos!$A$5:$A$504,0)),""))</f>
        <v/>
      </c>
      <c r="F556" s="20"/>
      <c r="G556" s="22" t="str">
        <f>IF($C556="","",IFERROR(INDEX(Productos!$F$5:$F$504,MATCH($C556,Productos!$A$5:$A$504,0)),0))</f>
        <v/>
      </c>
      <c r="H556" s="22" t="str">
        <f t="shared" si="8"/>
        <v/>
      </c>
      <c r="I556" s="14" t="str">
        <f>IF(OR($C556="",$F556=""),"",IFERROR(INDEX(Productos!$I$5:$I$504,MATCH($C556,Productos!$A$5:$A$504,0)),0)+SUMIFS($F$5:$F556,$C$5:$C556,$C556,$B$5:$B556,"Entrada")-SUMIFS($F$5:$F556,$C$5:$C556,$C556,$B$5:$B556,"Salida"))</f>
        <v/>
      </c>
      <c r="J556" s="20"/>
      <c r="K556" s="20"/>
      <c r="L556" s="20"/>
      <c r="M556" s="14" t="str">
        <f>IF(AND($C556&lt;&gt;"",$C556=Kardex!$C$4),COUNTIF($C$5:$C556,Kardex!$C$4),"")</f>
        <v/>
      </c>
    </row>
    <row r="557" spans="1:13" x14ac:dyDescent="0.25">
      <c r="A557" s="24"/>
      <c r="B557" s="20"/>
      <c r="C557" s="20"/>
      <c r="D557" s="14" t="str">
        <f>IF($C557="","",IFERROR(INDEX(Productos!$B$5:$B$504,MATCH($C557,Productos!$A$5:$A$504,0)),"Clave no existe"))</f>
        <v/>
      </c>
      <c r="E557" s="14" t="str">
        <f>IF($C557="","",IFERROR(INDEX(Productos!$D$5:$D$504,MATCH($C557,Productos!$A$5:$A$504,0)),""))</f>
        <v/>
      </c>
      <c r="F557" s="20"/>
      <c r="G557" s="22" t="str">
        <f>IF($C557="","",IFERROR(INDEX(Productos!$F$5:$F$504,MATCH($C557,Productos!$A$5:$A$504,0)),0))</f>
        <v/>
      </c>
      <c r="H557" s="22" t="str">
        <f t="shared" si="8"/>
        <v/>
      </c>
      <c r="I557" s="14" t="str">
        <f>IF(OR($C557="",$F557=""),"",IFERROR(INDEX(Productos!$I$5:$I$504,MATCH($C557,Productos!$A$5:$A$504,0)),0)+SUMIFS($F$5:$F557,$C$5:$C557,$C557,$B$5:$B557,"Entrada")-SUMIFS($F$5:$F557,$C$5:$C557,$C557,$B$5:$B557,"Salida"))</f>
        <v/>
      </c>
      <c r="J557" s="20"/>
      <c r="K557" s="20"/>
      <c r="L557" s="20"/>
      <c r="M557" s="14" t="str">
        <f>IF(AND($C557&lt;&gt;"",$C557=Kardex!$C$4),COUNTIF($C$5:$C557,Kardex!$C$4),"")</f>
        <v/>
      </c>
    </row>
    <row r="558" spans="1:13" x14ac:dyDescent="0.25">
      <c r="A558" s="24"/>
      <c r="B558" s="20"/>
      <c r="C558" s="20"/>
      <c r="D558" s="14" t="str">
        <f>IF($C558="","",IFERROR(INDEX(Productos!$B$5:$B$504,MATCH($C558,Productos!$A$5:$A$504,0)),"Clave no existe"))</f>
        <v/>
      </c>
      <c r="E558" s="14" t="str">
        <f>IF($C558="","",IFERROR(INDEX(Productos!$D$5:$D$504,MATCH($C558,Productos!$A$5:$A$504,0)),""))</f>
        <v/>
      </c>
      <c r="F558" s="20"/>
      <c r="G558" s="22" t="str">
        <f>IF($C558="","",IFERROR(INDEX(Productos!$F$5:$F$504,MATCH($C558,Productos!$A$5:$A$504,0)),0))</f>
        <v/>
      </c>
      <c r="H558" s="22" t="str">
        <f t="shared" si="8"/>
        <v/>
      </c>
      <c r="I558" s="14" t="str">
        <f>IF(OR($C558="",$F558=""),"",IFERROR(INDEX(Productos!$I$5:$I$504,MATCH($C558,Productos!$A$5:$A$504,0)),0)+SUMIFS($F$5:$F558,$C$5:$C558,$C558,$B$5:$B558,"Entrada")-SUMIFS($F$5:$F558,$C$5:$C558,$C558,$B$5:$B558,"Salida"))</f>
        <v/>
      </c>
      <c r="J558" s="20"/>
      <c r="K558" s="20"/>
      <c r="L558" s="20"/>
      <c r="M558" s="14" t="str">
        <f>IF(AND($C558&lt;&gt;"",$C558=Kardex!$C$4),COUNTIF($C$5:$C558,Kardex!$C$4),"")</f>
        <v/>
      </c>
    </row>
    <row r="559" spans="1:13" x14ac:dyDescent="0.25">
      <c r="A559" s="24"/>
      <c r="B559" s="20"/>
      <c r="C559" s="20"/>
      <c r="D559" s="14" t="str">
        <f>IF($C559="","",IFERROR(INDEX(Productos!$B$5:$B$504,MATCH($C559,Productos!$A$5:$A$504,0)),"Clave no existe"))</f>
        <v/>
      </c>
      <c r="E559" s="14" t="str">
        <f>IF($C559="","",IFERROR(INDEX(Productos!$D$5:$D$504,MATCH($C559,Productos!$A$5:$A$504,0)),""))</f>
        <v/>
      </c>
      <c r="F559" s="20"/>
      <c r="G559" s="22" t="str">
        <f>IF($C559="","",IFERROR(INDEX(Productos!$F$5:$F$504,MATCH($C559,Productos!$A$5:$A$504,0)),0))</f>
        <v/>
      </c>
      <c r="H559" s="22" t="str">
        <f t="shared" si="8"/>
        <v/>
      </c>
      <c r="I559" s="14" t="str">
        <f>IF(OR($C559="",$F559=""),"",IFERROR(INDEX(Productos!$I$5:$I$504,MATCH($C559,Productos!$A$5:$A$504,0)),0)+SUMIFS($F$5:$F559,$C$5:$C559,$C559,$B$5:$B559,"Entrada")-SUMIFS($F$5:$F559,$C$5:$C559,$C559,$B$5:$B559,"Salida"))</f>
        <v/>
      </c>
      <c r="J559" s="20"/>
      <c r="K559" s="20"/>
      <c r="L559" s="20"/>
      <c r="M559" s="14" t="str">
        <f>IF(AND($C559&lt;&gt;"",$C559=Kardex!$C$4),COUNTIF($C$5:$C559,Kardex!$C$4),"")</f>
        <v/>
      </c>
    </row>
    <row r="560" spans="1:13" x14ac:dyDescent="0.25">
      <c r="A560" s="24"/>
      <c r="B560" s="20"/>
      <c r="C560" s="20"/>
      <c r="D560" s="14" t="str">
        <f>IF($C560="","",IFERROR(INDEX(Productos!$B$5:$B$504,MATCH($C560,Productos!$A$5:$A$504,0)),"Clave no existe"))</f>
        <v/>
      </c>
      <c r="E560" s="14" t="str">
        <f>IF($C560="","",IFERROR(INDEX(Productos!$D$5:$D$504,MATCH($C560,Productos!$A$5:$A$504,0)),""))</f>
        <v/>
      </c>
      <c r="F560" s="20"/>
      <c r="G560" s="22" t="str">
        <f>IF($C560="","",IFERROR(INDEX(Productos!$F$5:$F$504,MATCH($C560,Productos!$A$5:$A$504,0)),0))</f>
        <v/>
      </c>
      <c r="H560" s="22" t="str">
        <f t="shared" si="8"/>
        <v/>
      </c>
      <c r="I560" s="14" t="str">
        <f>IF(OR($C560="",$F560=""),"",IFERROR(INDEX(Productos!$I$5:$I$504,MATCH($C560,Productos!$A$5:$A$504,0)),0)+SUMIFS($F$5:$F560,$C$5:$C560,$C560,$B$5:$B560,"Entrada")-SUMIFS($F$5:$F560,$C$5:$C560,$C560,$B$5:$B560,"Salida"))</f>
        <v/>
      </c>
      <c r="J560" s="20"/>
      <c r="K560" s="20"/>
      <c r="L560" s="20"/>
      <c r="M560" s="14" t="str">
        <f>IF(AND($C560&lt;&gt;"",$C560=Kardex!$C$4),COUNTIF($C$5:$C560,Kardex!$C$4),"")</f>
        <v/>
      </c>
    </row>
    <row r="561" spans="1:13" x14ac:dyDescent="0.25">
      <c r="A561" s="24"/>
      <c r="B561" s="20"/>
      <c r="C561" s="20"/>
      <c r="D561" s="14" t="str">
        <f>IF($C561="","",IFERROR(INDEX(Productos!$B$5:$B$504,MATCH($C561,Productos!$A$5:$A$504,0)),"Clave no existe"))</f>
        <v/>
      </c>
      <c r="E561" s="14" t="str">
        <f>IF($C561="","",IFERROR(INDEX(Productos!$D$5:$D$504,MATCH($C561,Productos!$A$5:$A$504,0)),""))</f>
        <v/>
      </c>
      <c r="F561" s="20"/>
      <c r="G561" s="22" t="str">
        <f>IF($C561="","",IFERROR(INDEX(Productos!$F$5:$F$504,MATCH($C561,Productos!$A$5:$A$504,0)),0))</f>
        <v/>
      </c>
      <c r="H561" s="22" t="str">
        <f t="shared" si="8"/>
        <v/>
      </c>
      <c r="I561" s="14" t="str">
        <f>IF(OR($C561="",$F561=""),"",IFERROR(INDEX(Productos!$I$5:$I$504,MATCH($C561,Productos!$A$5:$A$504,0)),0)+SUMIFS($F$5:$F561,$C$5:$C561,$C561,$B$5:$B561,"Entrada")-SUMIFS($F$5:$F561,$C$5:$C561,$C561,$B$5:$B561,"Salida"))</f>
        <v/>
      </c>
      <c r="J561" s="20"/>
      <c r="K561" s="20"/>
      <c r="L561" s="20"/>
      <c r="M561" s="14" t="str">
        <f>IF(AND($C561&lt;&gt;"",$C561=Kardex!$C$4),COUNTIF($C$5:$C561,Kardex!$C$4),"")</f>
        <v/>
      </c>
    </row>
    <row r="562" spans="1:13" x14ac:dyDescent="0.25">
      <c r="A562" s="24"/>
      <c r="B562" s="20"/>
      <c r="C562" s="20"/>
      <c r="D562" s="14" t="str">
        <f>IF($C562="","",IFERROR(INDEX(Productos!$B$5:$B$504,MATCH($C562,Productos!$A$5:$A$504,0)),"Clave no existe"))</f>
        <v/>
      </c>
      <c r="E562" s="14" t="str">
        <f>IF($C562="","",IFERROR(INDEX(Productos!$D$5:$D$504,MATCH($C562,Productos!$A$5:$A$504,0)),""))</f>
        <v/>
      </c>
      <c r="F562" s="20"/>
      <c r="G562" s="22" t="str">
        <f>IF($C562="","",IFERROR(INDEX(Productos!$F$5:$F$504,MATCH($C562,Productos!$A$5:$A$504,0)),0))</f>
        <v/>
      </c>
      <c r="H562" s="22" t="str">
        <f t="shared" si="8"/>
        <v/>
      </c>
      <c r="I562" s="14" t="str">
        <f>IF(OR($C562="",$F562=""),"",IFERROR(INDEX(Productos!$I$5:$I$504,MATCH($C562,Productos!$A$5:$A$504,0)),0)+SUMIFS($F$5:$F562,$C$5:$C562,$C562,$B$5:$B562,"Entrada")-SUMIFS($F$5:$F562,$C$5:$C562,$C562,$B$5:$B562,"Salida"))</f>
        <v/>
      </c>
      <c r="J562" s="20"/>
      <c r="K562" s="20"/>
      <c r="L562" s="20"/>
      <c r="M562" s="14" t="str">
        <f>IF(AND($C562&lt;&gt;"",$C562=Kardex!$C$4),COUNTIF($C$5:$C562,Kardex!$C$4),"")</f>
        <v/>
      </c>
    </row>
    <row r="563" spans="1:13" x14ac:dyDescent="0.25">
      <c r="A563" s="24"/>
      <c r="B563" s="20"/>
      <c r="C563" s="20"/>
      <c r="D563" s="14" t="str">
        <f>IF($C563="","",IFERROR(INDEX(Productos!$B$5:$B$504,MATCH($C563,Productos!$A$5:$A$504,0)),"Clave no existe"))</f>
        <v/>
      </c>
      <c r="E563" s="14" t="str">
        <f>IF($C563="","",IFERROR(INDEX(Productos!$D$5:$D$504,MATCH($C563,Productos!$A$5:$A$504,0)),""))</f>
        <v/>
      </c>
      <c r="F563" s="20"/>
      <c r="G563" s="22" t="str">
        <f>IF($C563="","",IFERROR(INDEX(Productos!$F$5:$F$504,MATCH($C563,Productos!$A$5:$A$504,0)),0))</f>
        <v/>
      </c>
      <c r="H563" s="22" t="str">
        <f t="shared" si="8"/>
        <v/>
      </c>
      <c r="I563" s="14" t="str">
        <f>IF(OR($C563="",$F563=""),"",IFERROR(INDEX(Productos!$I$5:$I$504,MATCH($C563,Productos!$A$5:$A$504,0)),0)+SUMIFS($F$5:$F563,$C$5:$C563,$C563,$B$5:$B563,"Entrada")-SUMIFS($F$5:$F563,$C$5:$C563,$C563,$B$5:$B563,"Salida"))</f>
        <v/>
      </c>
      <c r="J563" s="20"/>
      <c r="K563" s="20"/>
      <c r="L563" s="20"/>
      <c r="M563" s="14" t="str">
        <f>IF(AND($C563&lt;&gt;"",$C563=Kardex!$C$4),COUNTIF($C$5:$C563,Kardex!$C$4),"")</f>
        <v/>
      </c>
    </row>
    <row r="564" spans="1:13" x14ac:dyDescent="0.25">
      <c r="A564" s="24"/>
      <c r="B564" s="20"/>
      <c r="C564" s="20"/>
      <c r="D564" s="14" t="str">
        <f>IF($C564="","",IFERROR(INDEX(Productos!$B$5:$B$504,MATCH($C564,Productos!$A$5:$A$504,0)),"Clave no existe"))</f>
        <v/>
      </c>
      <c r="E564" s="14" t="str">
        <f>IF($C564="","",IFERROR(INDEX(Productos!$D$5:$D$504,MATCH($C564,Productos!$A$5:$A$504,0)),""))</f>
        <v/>
      </c>
      <c r="F564" s="20"/>
      <c r="G564" s="22" t="str">
        <f>IF($C564="","",IFERROR(INDEX(Productos!$F$5:$F$504,MATCH($C564,Productos!$A$5:$A$504,0)),0))</f>
        <v/>
      </c>
      <c r="H564" s="22" t="str">
        <f t="shared" si="8"/>
        <v/>
      </c>
      <c r="I564" s="14" t="str">
        <f>IF(OR($C564="",$F564=""),"",IFERROR(INDEX(Productos!$I$5:$I$504,MATCH($C564,Productos!$A$5:$A$504,0)),0)+SUMIFS($F$5:$F564,$C$5:$C564,$C564,$B$5:$B564,"Entrada")-SUMIFS($F$5:$F564,$C$5:$C564,$C564,$B$5:$B564,"Salida"))</f>
        <v/>
      </c>
      <c r="J564" s="20"/>
      <c r="K564" s="20"/>
      <c r="L564" s="20"/>
      <c r="M564" s="14" t="str">
        <f>IF(AND($C564&lt;&gt;"",$C564=Kardex!$C$4),COUNTIF($C$5:$C564,Kardex!$C$4),"")</f>
        <v/>
      </c>
    </row>
    <row r="565" spans="1:13" x14ac:dyDescent="0.25">
      <c r="A565" s="24"/>
      <c r="B565" s="20"/>
      <c r="C565" s="20"/>
      <c r="D565" s="14" t="str">
        <f>IF($C565="","",IFERROR(INDEX(Productos!$B$5:$B$504,MATCH($C565,Productos!$A$5:$A$504,0)),"Clave no existe"))</f>
        <v/>
      </c>
      <c r="E565" s="14" t="str">
        <f>IF($C565="","",IFERROR(INDEX(Productos!$D$5:$D$504,MATCH($C565,Productos!$A$5:$A$504,0)),""))</f>
        <v/>
      </c>
      <c r="F565" s="20"/>
      <c r="G565" s="22" t="str">
        <f>IF($C565="","",IFERROR(INDEX(Productos!$F$5:$F$504,MATCH($C565,Productos!$A$5:$A$504,0)),0))</f>
        <v/>
      </c>
      <c r="H565" s="22" t="str">
        <f t="shared" si="8"/>
        <v/>
      </c>
      <c r="I565" s="14" t="str">
        <f>IF(OR($C565="",$F565=""),"",IFERROR(INDEX(Productos!$I$5:$I$504,MATCH($C565,Productos!$A$5:$A$504,0)),0)+SUMIFS($F$5:$F565,$C$5:$C565,$C565,$B$5:$B565,"Entrada")-SUMIFS($F$5:$F565,$C$5:$C565,$C565,$B$5:$B565,"Salida"))</f>
        <v/>
      </c>
      <c r="J565" s="20"/>
      <c r="K565" s="20"/>
      <c r="L565" s="20"/>
      <c r="M565" s="14" t="str">
        <f>IF(AND($C565&lt;&gt;"",$C565=Kardex!$C$4),COUNTIF($C$5:$C565,Kardex!$C$4),"")</f>
        <v/>
      </c>
    </row>
    <row r="566" spans="1:13" x14ac:dyDescent="0.25">
      <c r="A566" s="24"/>
      <c r="B566" s="20"/>
      <c r="C566" s="20"/>
      <c r="D566" s="14" t="str">
        <f>IF($C566="","",IFERROR(INDEX(Productos!$B$5:$B$504,MATCH($C566,Productos!$A$5:$A$504,0)),"Clave no existe"))</f>
        <v/>
      </c>
      <c r="E566" s="14" t="str">
        <f>IF($C566="","",IFERROR(INDEX(Productos!$D$5:$D$504,MATCH($C566,Productos!$A$5:$A$504,0)),""))</f>
        <v/>
      </c>
      <c r="F566" s="20"/>
      <c r="G566" s="22" t="str">
        <f>IF($C566="","",IFERROR(INDEX(Productos!$F$5:$F$504,MATCH($C566,Productos!$A$5:$A$504,0)),0))</f>
        <v/>
      </c>
      <c r="H566" s="22" t="str">
        <f t="shared" si="8"/>
        <v/>
      </c>
      <c r="I566" s="14" t="str">
        <f>IF(OR($C566="",$F566=""),"",IFERROR(INDEX(Productos!$I$5:$I$504,MATCH($C566,Productos!$A$5:$A$504,0)),0)+SUMIFS($F$5:$F566,$C$5:$C566,$C566,$B$5:$B566,"Entrada")-SUMIFS($F$5:$F566,$C$5:$C566,$C566,$B$5:$B566,"Salida"))</f>
        <v/>
      </c>
      <c r="J566" s="20"/>
      <c r="K566" s="20"/>
      <c r="L566" s="20"/>
      <c r="M566" s="14" t="str">
        <f>IF(AND($C566&lt;&gt;"",$C566=Kardex!$C$4),COUNTIF($C$5:$C566,Kardex!$C$4),"")</f>
        <v/>
      </c>
    </row>
    <row r="567" spans="1:13" x14ac:dyDescent="0.25">
      <c r="A567" s="24"/>
      <c r="B567" s="20"/>
      <c r="C567" s="20"/>
      <c r="D567" s="14" t="str">
        <f>IF($C567="","",IFERROR(INDEX(Productos!$B$5:$B$504,MATCH($C567,Productos!$A$5:$A$504,0)),"Clave no existe"))</f>
        <v/>
      </c>
      <c r="E567" s="14" t="str">
        <f>IF($C567="","",IFERROR(INDEX(Productos!$D$5:$D$504,MATCH($C567,Productos!$A$5:$A$504,0)),""))</f>
        <v/>
      </c>
      <c r="F567" s="20"/>
      <c r="G567" s="22" t="str">
        <f>IF($C567="","",IFERROR(INDEX(Productos!$F$5:$F$504,MATCH($C567,Productos!$A$5:$A$504,0)),0))</f>
        <v/>
      </c>
      <c r="H567" s="22" t="str">
        <f t="shared" si="8"/>
        <v/>
      </c>
      <c r="I567" s="14" t="str">
        <f>IF(OR($C567="",$F567=""),"",IFERROR(INDEX(Productos!$I$5:$I$504,MATCH($C567,Productos!$A$5:$A$504,0)),0)+SUMIFS($F$5:$F567,$C$5:$C567,$C567,$B$5:$B567,"Entrada")-SUMIFS($F$5:$F567,$C$5:$C567,$C567,$B$5:$B567,"Salida"))</f>
        <v/>
      </c>
      <c r="J567" s="20"/>
      <c r="K567" s="20"/>
      <c r="L567" s="20"/>
      <c r="M567" s="14" t="str">
        <f>IF(AND($C567&lt;&gt;"",$C567=Kardex!$C$4),COUNTIF($C$5:$C567,Kardex!$C$4),"")</f>
        <v/>
      </c>
    </row>
    <row r="568" spans="1:13" x14ac:dyDescent="0.25">
      <c r="A568" s="24"/>
      <c r="B568" s="20"/>
      <c r="C568" s="20"/>
      <c r="D568" s="14" t="str">
        <f>IF($C568="","",IFERROR(INDEX(Productos!$B$5:$B$504,MATCH($C568,Productos!$A$5:$A$504,0)),"Clave no existe"))</f>
        <v/>
      </c>
      <c r="E568" s="14" t="str">
        <f>IF($C568="","",IFERROR(INDEX(Productos!$D$5:$D$504,MATCH($C568,Productos!$A$5:$A$504,0)),""))</f>
        <v/>
      </c>
      <c r="F568" s="20"/>
      <c r="G568" s="22" t="str">
        <f>IF($C568="","",IFERROR(INDEX(Productos!$F$5:$F$504,MATCH($C568,Productos!$A$5:$A$504,0)),0))</f>
        <v/>
      </c>
      <c r="H568" s="22" t="str">
        <f t="shared" si="8"/>
        <v/>
      </c>
      <c r="I568" s="14" t="str">
        <f>IF(OR($C568="",$F568=""),"",IFERROR(INDEX(Productos!$I$5:$I$504,MATCH($C568,Productos!$A$5:$A$504,0)),0)+SUMIFS($F$5:$F568,$C$5:$C568,$C568,$B$5:$B568,"Entrada")-SUMIFS($F$5:$F568,$C$5:$C568,$C568,$B$5:$B568,"Salida"))</f>
        <v/>
      </c>
      <c r="J568" s="20"/>
      <c r="K568" s="20"/>
      <c r="L568" s="20"/>
      <c r="M568" s="14" t="str">
        <f>IF(AND($C568&lt;&gt;"",$C568=Kardex!$C$4),COUNTIF($C$5:$C568,Kardex!$C$4),"")</f>
        <v/>
      </c>
    </row>
    <row r="569" spans="1:13" x14ac:dyDescent="0.25">
      <c r="A569" s="24"/>
      <c r="B569" s="20"/>
      <c r="C569" s="20"/>
      <c r="D569" s="14" t="str">
        <f>IF($C569="","",IFERROR(INDEX(Productos!$B$5:$B$504,MATCH($C569,Productos!$A$5:$A$504,0)),"Clave no existe"))</f>
        <v/>
      </c>
      <c r="E569" s="14" t="str">
        <f>IF($C569="","",IFERROR(INDEX(Productos!$D$5:$D$504,MATCH($C569,Productos!$A$5:$A$504,0)),""))</f>
        <v/>
      </c>
      <c r="F569" s="20"/>
      <c r="G569" s="22" t="str">
        <f>IF($C569="","",IFERROR(INDEX(Productos!$F$5:$F$504,MATCH($C569,Productos!$A$5:$A$504,0)),0))</f>
        <v/>
      </c>
      <c r="H569" s="22" t="str">
        <f t="shared" si="8"/>
        <v/>
      </c>
      <c r="I569" s="14" t="str">
        <f>IF(OR($C569="",$F569=""),"",IFERROR(INDEX(Productos!$I$5:$I$504,MATCH($C569,Productos!$A$5:$A$504,0)),0)+SUMIFS($F$5:$F569,$C$5:$C569,$C569,$B$5:$B569,"Entrada")-SUMIFS($F$5:$F569,$C$5:$C569,$C569,$B$5:$B569,"Salida"))</f>
        <v/>
      </c>
      <c r="J569" s="20"/>
      <c r="K569" s="20"/>
      <c r="L569" s="20"/>
      <c r="M569" s="14" t="str">
        <f>IF(AND($C569&lt;&gt;"",$C569=Kardex!$C$4),COUNTIF($C$5:$C569,Kardex!$C$4),"")</f>
        <v/>
      </c>
    </row>
    <row r="570" spans="1:13" x14ac:dyDescent="0.25">
      <c r="A570" s="24"/>
      <c r="B570" s="20"/>
      <c r="C570" s="20"/>
      <c r="D570" s="14" t="str">
        <f>IF($C570="","",IFERROR(INDEX(Productos!$B$5:$B$504,MATCH($C570,Productos!$A$5:$A$504,0)),"Clave no existe"))</f>
        <v/>
      </c>
      <c r="E570" s="14" t="str">
        <f>IF($C570="","",IFERROR(INDEX(Productos!$D$5:$D$504,MATCH($C570,Productos!$A$5:$A$504,0)),""))</f>
        <v/>
      </c>
      <c r="F570" s="20"/>
      <c r="G570" s="22" t="str">
        <f>IF($C570="","",IFERROR(INDEX(Productos!$F$5:$F$504,MATCH($C570,Productos!$A$5:$A$504,0)),0))</f>
        <v/>
      </c>
      <c r="H570" s="22" t="str">
        <f t="shared" si="8"/>
        <v/>
      </c>
      <c r="I570" s="14" t="str">
        <f>IF(OR($C570="",$F570=""),"",IFERROR(INDEX(Productos!$I$5:$I$504,MATCH($C570,Productos!$A$5:$A$504,0)),0)+SUMIFS($F$5:$F570,$C$5:$C570,$C570,$B$5:$B570,"Entrada")-SUMIFS($F$5:$F570,$C$5:$C570,$C570,$B$5:$B570,"Salida"))</f>
        <v/>
      </c>
      <c r="J570" s="20"/>
      <c r="K570" s="20"/>
      <c r="L570" s="20"/>
      <c r="M570" s="14" t="str">
        <f>IF(AND($C570&lt;&gt;"",$C570=Kardex!$C$4),COUNTIF($C$5:$C570,Kardex!$C$4),"")</f>
        <v/>
      </c>
    </row>
    <row r="571" spans="1:13" x14ac:dyDescent="0.25">
      <c r="A571" s="24"/>
      <c r="B571" s="20"/>
      <c r="C571" s="20"/>
      <c r="D571" s="14" t="str">
        <f>IF($C571="","",IFERROR(INDEX(Productos!$B$5:$B$504,MATCH($C571,Productos!$A$5:$A$504,0)),"Clave no existe"))</f>
        <v/>
      </c>
      <c r="E571" s="14" t="str">
        <f>IF($C571="","",IFERROR(INDEX(Productos!$D$5:$D$504,MATCH($C571,Productos!$A$5:$A$504,0)),""))</f>
        <v/>
      </c>
      <c r="F571" s="20"/>
      <c r="G571" s="22" t="str">
        <f>IF($C571="","",IFERROR(INDEX(Productos!$F$5:$F$504,MATCH($C571,Productos!$A$5:$A$504,0)),0))</f>
        <v/>
      </c>
      <c r="H571" s="22" t="str">
        <f t="shared" si="8"/>
        <v/>
      </c>
      <c r="I571" s="14" t="str">
        <f>IF(OR($C571="",$F571=""),"",IFERROR(INDEX(Productos!$I$5:$I$504,MATCH($C571,Productos!$A$5:$A$504,0)),0)+SUMIFS($F$5:$F571,$C$5:$C571,$C571,$B$5:$B571,"Entrada")-SUMIFS($F$5:$F571,$C$5:$C571,$C571,$B$5:$B571,"Salida"))</f>
        <v/>
      </c>
      <c r="J571" s="20"/>
      <c r="K571" s="20"/>
      <c r="L571" s="20"/>
      <c r="M571" s="14" t="str">
        <f>IF(AND($C571&lt;&gt;"",$C571=Kardex!$C$4),COUNTIF($C$5:$C571,Kardex!$C$4),"")</f>
        <v/>
      </c>
    </row>
    <row r="572" spans="1:13" x14ac:dyDescent="0.25">
      <c r="A572" s="24"/>
      <c r="B572" s="20"/>
      <c r="C572" s="20"/>
      <c r="D572" s="14" t="str">
        <f>IF($C572="","",IFERROR(INDEX(Productos!$B$5:$B$504,MATCH($C572,Productos!$A$5:$A$504,0)),"Clave no existe"))</f>
        <v/>
      </c>
      <c r="E572" s="14" t="str">
        <f>IF($C572="","",IFERROR(INDEX(Productos!$D$5:$D$504,MATCH($C572,Productos!$A$5:$A$504,0)),""))</f>
        <v/>
      </c>
      <c r="F572" s="20"/>
      <c r="G572" s="22" t="str">
        <f>IF($C572="","",IFERROR(INDEX(Productos!$F$5:$F$504,MATCH($C572,Productos!$A$5:$A$504,0)),0))</f>
        <v/>
      </c>
      <c r="H572" s="22" t="str">
        <f t="shared" si="8"/>
        <v/>
      </c>
      <c r="I572" s="14" t="str">
        <f>IF(OR($C572="",$F572=""),"",IFERROR(INDEX(Productos!$I$5:$I$504,MATCH($C572,Productos!$A$5:$A$504,0)),0)+SUMIFS($F$5:$F572,$C$5:$C572,$C572,$B$5:$B572,"Entrada")-SUMIFS($F$5:$F572,$C$5:$C572,$C572,$B$5:$B572,"Salida"))</f>
        <v/>
      </c>
      <c r="J572" s="20"/>
      <c r="K572" s="20"/>
      <c r="L572" s="20"/>
      <c r="M572" s="14" t="str">
        <f>IF(AND($C572&lt;&gt;"",$C572=Kardex!$C$4),COUNTIF($C$5:$C572,Kardex!$C$4),"")</f>
        <v/>
      </c>
    </row>
    <row r="573" spans="1:13" x14ac:dyDescent="0.25">
      <c r="A573" s="24"/>
      <c r="B573" s="20"/>
      <c r="C573" s="20"/>
      <c r="D573" s="14" t="str">
        <f>IF($C573="","",IFERROR(INDEX(Productos!$B$5:$B$504,MATCH($C573,Productos!$A$5:$A$504,0)),"Clave no existe"))</f>
        <v/>
      </c>
      <c r="E573" s="14" t="str">
        <f>IF($C573="","",IFERROR(INDEX(Productos!$D$5:$D$504,MATCH($C573,Productos!$A$5:$A$504,0)),""))</f>
        <v/>
      </c>
      <c r="F573" s="20"/>
      <c r="G573" s="22" t="str">
        <f>IF($C573="","",IFERROR(INDEX(Productos!$F$5:$F$504,MATCH($C573,Productos!$A$5:$A$504,0)),0))</f>
        <v/>
      </c>
      <c r="H573" s="22" t="str">
        <f t="shared" si="8"/>
        <v/>
      </c>
      <c r="I573" s="14" t="str">
        <f>IF(OR($C573="",$F573=""),"",IFERROR(INDEX(Productos!$I$5:$I$504,MATCH($C573,Productos!$A$5:$A$504,0)),0)+SUMIFS($F$5:$F573,$C$5:$C573,$C573,$B$5:$B573,"Entrada")-SUMIFS($F$5:$F573,$C$5:$C573,$C573,$B$5:$B573,"Salida"))</f>
        <v/>
      </c>
      <c r="J573" s="20"/>
      <c r="K573" s="20"/>
      <c r="L573" s="20"/>
      <c r="M573" s="14" t="str">
        <f>IF(AND($C573&lt;&gt;"",$C573=Kardex!$C$4),COUNTIF($C$5:$C573,Kardex!$C$4),"")</f>
        <v/>
      </c>
    </row>
    <row r="574" spans="1:13" x14ac:dyDescent="0.25">
      <c r="A574" s="24"/>
      <c r="B574" s="20"/>
      <c r="C574" s="20"/>
      <c r="D574" s="14" t="str">
        <f>IF($C574="","",IFERROR(INDEX(Productos!$B$5:$B$504,MATCH($C574,Productos!$A$5:$A$504,0)),"Clave no existe"))</f>
        <v/>
      </c>
      <c r="E574" s="14" t="str">
        <f>IF($C574="","",IFERROR(INDEX(Productos!$D$5:$D$504,MATCH($C574,Productos!$A$5:$A$504,0)),""))</f>
        <v/>
      </c>
      <c r="F574" s="20"/>
      <c r="G574" s="22" t="str">
        <f>IF($C574="","",IFERROR(INDEX(Productos!$F$5:$F$504,MATCH($C574,Productos!$A$5:$A$504,0)),0))</f>
        <v/>
      </c>
      <c r="H574" s="22" t="str">
        <f t="shared" si="8"/>
        <v/>
      </c>
      <c r="I574" s="14" t="str">
        <f>IF(OR($C574="",$F574=""),"",IFERROR(INDEX(Productos!$I$5:$I$504,MATCH($C574,Productos!$A$5:$A$504,0)),0)+SUMIFS($F$5:$F574,$C$5:$C574,$C574,$B$5:$B574,"Entrada")-SUMIFS($F$5:$F574,$C$5:$C574,$C574,$B$5:$B574,"Salida"))</f>
        <v/>
      </c>
      <c r="J574" s="20"/>
      <c r="K574" s="20"/>
      <c r="L574" s="20"/>
      <c r="M574" s="14" t="str">
        <f>IF(AND($C574&lt;&gt;"",$C574=Kardex!$C$4),COUNTIF($C$5:$C574,Kardex!$C$4),"")</f>
        <v/>
      </c>
    </row>
    <row r="575" spans="1:13" x14ac:dyDescent="0.25">
      <c r="A575" s="24"/>
      <c r="B575" s="20"/>
      <c r="C575" s="20"/>
      <c r="D575" s="14" t="str">
        <f>IF($C575="","",IFERROR(INDEX(Productos!$B$5:$B$504,MATCH($C575,Productos!$A$5:$A$504,0)),"Clave no existe"))</f>
        <v/>
      </c>
      <c r="E575" s="14" t="str">
        <f>IF($C575="","",IFERROR(INDEX(Productos!$D$5:$D$504,MATCH($C575,Productos!$A$5:$A$504,0)),""))</f>
        <v/>
      </c>
      <c r="F575" s="20"/>
      <c r="G575" s="22" t="str">
        <f>IF($C575="","",IFERROR(INDEX(Productos!$F$5:$F$504,MATCH($C575,Productos!$A$5:$A$504,0)),0))</f>
        <v/>
      </c>
      <c r="H575" s="22" t="str">
        <f t="shared" si="8"/>
        <v/>
      </c>
      <c r="I575" s="14" t="str">
        <f>IF(OR($C575="",$F575=""),"",IFERROR(INDEX(Productos!$I$5:$I$504,MATCH($C575,Productos!$A$5:$A$504,0)),0)+SUMIFS($F$5:$F575,$C$5:$C575,$C575,$B$5:$B575,"Entrada")-SUMIFS($F$5:$F575,$C$5:$C575,$C575,$B$5:$B575,"Salida"))</f>
        <v/>
      </c>
      <c r="J575" s="20"/>
      <c r="K575" s="20"/>
      <c r="L575" s="20"/>
      <c r="M575" s="14" t="str">
        <f>IF(AND($C575&lt;&gt;"",$C575=Kardex!$C$4),COUNTIF($C$5:$C575,Kardex!$C$4),"")</f>
        <v/>
      </c>
    </row>
    <row r="576" spans="1:13" x14ac:dyDescent="0.25">
      <c r="A576" s="24"/>
      <c r="B576" s="20"/>
      <c r="C576" s="20"/>
      <c r="D576" s="14" t="str">
        <f>IF($C576="","",IFERROR(INDEX(Productos!$B$5:$B$504,MATCH($C576,Productos!$A$5:$A$504,0)),"Clave no existe"))</f>
        <v/>
      </c>
      <c r="E576" s="14" t="str">
        <f>IF($C576="","",IFERROR(INDEX(Productos!$D$5:$D$504,MATCH($C576,Productos!$A$5:$A$504,0)),""))</f>
        <v/>
      </c>
      <c r="F576" s="20"/>
      <c r="G576" s="22" t="str">
        <f>IF($C576="","",IFERROR(INDEX(Productos!$F$5:$F$504,MATCH($C576,Productos!$A$5:$A$504,0)),0))</f>
        <v/>
      </c>
      <c r="H576" s="22" t="str">
        <f t="shared" si="8"/>
        <v/>
      </c>
      <c r="I576" s="14" t="str">
        <f>IF(OR($C576="",$F576=""),"",IFERROR(INDEX(Productos!$I$5:$I$504,MATCH($C576,Productos!$A$5:$A$504,0)),0)+SUMIFS($F$5:$F576,$C$5:$C576,$C576,$B$5:$B576,"Entrada")-SUMIFS($F$5:$F576,$C$5:$C576,$C576,$B$5:$B576,"Salida"))</f>
        <v/>
      </c>
      <c r="J576" s="20"/>
      <c r="K576" s="20"/>
      <c r="L576" s="20"/>
      <c r="M576" s="14" t="str">
        <f>IF(AND($C576&lt;&gt;"",$C576=Kardex!$C$4),COUNTIF($C$5:$C576,Kardex!$C$4),"")</f>
        <v/>
      </c>
    </row>
    <row r="577" spans="1:13" x14ac:dyDescent="0.25">
      <c r="A577" s="24"/>
      <c r="B577" s="20"/>
      <c r="C577" s="20"/>
      <c r="D577" s="14" t="str">
        <f>IF($C577="","",IFERROR(INDEX(Productos!$B$5:$B$504,MATCH($C577,Productos!$A$5:$A$504,0)),"Clave no existe"))</f>
        <v/>
      </c>
      <c r="E577" s="14" t="str">
        <f>IF($C577="","",IFERROR(INDEX(Productos!$D$5:$D$504,MATCH($C577,Productos!$A$5:$A$504,0)),""))</f>
        <v/>
      </c>
      <c r="F577" s="20"/>
      <c r="G577" s="22" t="str">
        <f>IF($C577="","",IFERROR(INDEX(Productos!$F$5:$F$504,MATCH($C577,Productos!$A$5:$A$504,0)),0))</f>
        <v/>
      </c>
      <c r="H577" s="22" t="str">
        <f t="shared" si="8"/>
        <v/>
      </c>
      <c r="I577" s="14" t="str">
        <f>IF(OR($C577="",$F577=""),"",IFERROR(INDEX(Productos!$I$5:$I$504,MATCH($C577,Productos!$A$5:$A$504,0)),0)+SUMIFS($F$5:$F577,$C$5:$C577,$C577,$B$5:$B577,"Entrada")-SUMIFS($F$5:$F577,$C$5:$C577,$C577,$B$5:$B577,"Salida"))</f>
        <v/>
      </c>
      <c r="J577" s="20"/>
      <c r="K577" s="20"/>
      <c r="L577" s="20"/>
      <c r="M577" s="14" t="str">
        <f>IF(AND($C577&lt;&gt;"",$C577=Kardex!$C$4),COUNTIF($C$5:$C577,Kardex!$C$4),"")</f>
        <v/>
      </c>
    </row>
    <row r="578" spans="1:13" x14ac:dyDescent="0.25">
      <c r="A578" s="24"/>
      <c r="B578" s="20"/>
      <c r="C578" s="20"/>
      <c r="D578" s="14" t="str">
        <f>IF($C578="","",IFERROR(INDEX(Productos!$B$5:$B$504,MATCH($C578,Productos!$A$5:$A$504,0)),"Clave no existe"))</f>
        <v/>
      </c>
      <c r="E578" s="14" t="str">
        <f>IF($C578="","",IFERROR(INDEX(Productos!$D$5:$D$504,MATCH($C578,Productos!$A$5:$A$504,0)),""))</f>
        <v/>
      </c>
      <c r="F578" s="20"/>
      <c r="G578" s="22" t="str">
        <f>IF($C578="","",IFERROR(INDEX(Productos!$F$5:$F$504,MATCH($C578,Productos!$A$5:$A$504,0)),0))</f>
        <v/>
      </c>
      <c r="H578" s="22" t="str">
        <f t="shared" si="8"/>
        <v/>
      </c>
      <c r="I578" s="14" t="str">
        <f>IF(OR($C578="",$F578=""),"",IFERROR(INDEX(Productos!$I$5:$I$504,MATCH($C578,Productos!$A$5:$A$504,0)),0)+SUMIFS($F$5:$F578,$C$5:$C578,$C578,$B$5:$B578,"Entrada")-SUMIFS($F$5:$F578,$C$5:$C578,$C578,$B$5:$B578,"Salida"))</f>
        <v/>
      </c>
      <c r="J578" s="20"/>
      <c r="K578" s="20"/>
      <c r="L578" s="20"/>
      <c r="M578" s="14" t="str">
        <f>IF(AND($C578&lt;&gt;"",$C578=Kardex!$C$4),COUNTIF($C$5:$C578,Kardex!$C$4),"")</f>
        <v/>
      </c>
    </row>
    <row r="579" spans="1:13" x14ac:dyDescent="0.25">
      <c r="A579" s="24"/>
      <c r="B579" s="20"/>
      <c r="C579" s="20"/>
      <c r="D579" s="14" t="str">
        <f>IF($C579="","",IFERROR(INDEX(Productos!$B$5:$B$504,MATCH($C579,Productos!$A$5:$A$504,0)),"Clave no existe"))</f>
        <v/>
      </c>
      <c r="E579" s="14" t="str">
        <f>IF($C579="","",IFERROR(INDEX(Productos!$D$5:$D$504,MATCH($C579,Productos!$A$5:$A$504,0)),""))</f>
        <v/>
      </c>
      <c r="F579" s="20"/>
      <c r="G579" s="22" t="str">
        <f>IF($C579="","",IFERROR(INDEX(Productos!$F$5:$F$504,MATCH($C579,Productos!$A$5:$A$504,0)),0))</f>
        <v/>
      </c>
      <c r="H579" s="22" t="str">
        <f t="shared" si="8"/>
        <v/>
      </c>
      <c r="I579" s="14" t="str">
        <f>IF(OR($C579="",$F579=""),"",IFERROR(INDEX(Productos!$I$5:$I$504,MATCH($C579,Productos!$A$5:$A$504,0)),0)+SUMIFS($F$5:$F579,$C$5:$C579,$C579,$B$5:$B579,"Entrada")-SUMIFS($F$5:$F579,$C$5:$C579,$C579,$B$5:$B579,"Salida"))</f>
        <v/>
      </c>
      <c r="J579" s="20"/>
      <c r="K579" s="20"/>
      <c r="L579" s="20"/>
      <c r="M579" s="14" t="str">
        <f>IF(AND($C579&lt;&gt;"",$C579=Kardex!$C$4),COUNTIF($C$5:$C579,Kardex!$C$4),"")</f>
        <v/>
      </c>
    </row>
    <row r="580" spans="1:13" x14ac:dyDescent="0.25">
      <c r="A580" s="24"/>
      <c r="B580" s="20"/>
      <c r="C580" s="20"/>
      <c r="D580" s="14" t="str">
        <f>IF($C580="","",IFERROR(INDEX(Productos!$B$5:$B$504,MATCH($C580,Productos!$A$5:$A$504,0)),"Clave no existe"))</f>
        <v/>
      </c>
      <c r="E580" s="14" t="str">
        <f>IF($C580="","",IFERROR(INDEX(Productos!$D$5:$D$504,MATCH($C580,Productos!$A$5:$A$504,0)),""))</f>
        <v/>
      </c>
      <c r="F580" s="20"/>
      <c r="G580" s="22" t="str">
        <f>IF($C580="","",IFERROR(INDEX(Productos!$F$5:$F$504,MATCH($C580,Productos!$A$5:$A$504,0)),0))</f>
        <v/>
      </c>
      <c r="H580" s="22" t="str">
        <f t="shared" si="8"/>
        <v/>
      </c>
      <c r="I580" s="14" t="str">
        <f>IF(OR($C580="",$F580=""),"",IFERROR(INDEX(Productos!$I$5:$I$504,MATCH($C580,Productos!$A$5:$A$504,0)),0)+SUMIFS($F$5:$F580,$C$5:$C580,$C580,$B$5:$B580,"Entrada")-SUMIFS($F$5:$F580,$C$5:$C580,$C580,$B$5:$B580,"Salida"))</f>
        <v/>
      </c>
      <c r="J580" s="20"/>
      <c r="K580" s="20"/>
      <c r="L580" s="20"/>
      <c r="M580" s="14" t="str">
        <f>IF(AND($C580&lt;&gt;"",$C580=Kardex!$C$4),COUNTIF($C$5:$C580,Kardex!$C$4),"")</f>
        <v/>
      </c>
    </row>
    <row r="581" spans="1:13" x14ac:dyDescent="0.25">
      <c r="A581" s="24"/>
      <c r="B581" s="20"/>
      <c r="C581" s="20"/>
      <c r="D581" s="14" t="str">
        <f>IF($C581="","",IFERROR(INDEX(Productos!$B$5:$B$504,MATCH($C581,Productos!$A$5:$A$504,0)),"Clave no existe"))</f>
        <v/>
      </c>
      <c r="E581" s="14" t="str">
        <f>IF($C581="","",IFERROR(INDEX(Productos!$D$5:$D$504,MATCH($C581,Productos!$A$5:$A$504,0)),""))</f>
        <v/>
      </c>
      <c r="F581" s="20"/>
      <c r="G581" s="22" t="str">
        <f>IF($C581="","",IFERROR(INDEX(Productos!$F$5:$F$504,MATCH($C581,Productos!$A$5:$A$504,0)),0))</f>
        <v/>
      </c>
      <c r="H581" s="22" t="str">
        <f t="shared" ref="H581:H644" si="9">IF(OR($C581="",$F581=""),"",F581*G581)</f>
        <v/>
      </c>
      <c r="I581" s="14" t="str">
        <f>IF(OR($C581="",$F581=""),"",IFERROR(INDEX(Productos!$I$5:$I$504,MATCH($C581,Productos!$A$5:$A$504,0)),0)+SUMIFS($F$5:$F581,$C$5:$C581,$C581,$B$5:$B581,"Entrada")-SUMIFS($F$5:$F581,$C$5:$C581,$C581,$B$5:$B581,"Salida"))</f>
        <v/>
      </c>
      <c r="J581" s="20"/>
      <c r="K581" s="20"/>
      <c r="L581" s="20"/>
      <c r="M581" s="14" t="str">
        <f>IF(AND($C581&lt;&gt;"",$C581=Kardex!$C$4),COUNTIF($C$5:$C581,Kardex!$C$4),"")</f>
        <v/>
      </c>
    </row>
    <row r="582" spans="1:13" x14ac:dyDescent="0.25">
      <c r="A582" s="24"/>
      <c r="B582" s="20"/>
      <c r="C582" s="20"/>
      <c r="D582" s="14" t="str">
        <f>IF($C582="","",IFERROR(INDEX(Productos!$B$5:$B$504,MATCH($C582,Productos!$A$5:$A$504,0)),"Clave no existe"))</f>
        <v/>
      </c>
      <c r="E582" s="14" t="str">
        <f>IF($C582="","",IFERROR(INDEX(Productos!$D$5:$D$504,MATCH($C582,Productos!$A$5:$A$504,0)),""))</f>
        <v/>
      </c>
      <c r="F582" s="20"/>
      <c r="G582" s="22" t="str">
        <f>IF($C582="","",IFERROR(INDEX(Productos!$F$5:$F$504,MATCH($C582,Productos!$A$5:$A$504,0)),0))</f>
        <v/>
      </c>
      <c r="H582" s="22" t="str">
        <f t="shared" si="9"/>
        <v/>
      </c>
      <c r="I582" s="14" t="str">
        <f>IF(OR($C582="",$F582=""),"",IFERROR(INDEX(Productos!$I$5:$I$504,MATCH($C582,Productos!$A$5:$A$504,0)),0)+SUMIFS($F$5:$F582,$C$5:$C582,$C582,$B$5:$B582,"Entrada")-SUMIFS($F$5:$F582,$C$5:$C582,$C582,$B$5:$B582,"Salida"))</f>
        <v/>
      </c>
      <c r="J582" s="20"/>
      <c r="K582" s="20"/>
      <c r="L582" s="20"/>
      <c r="M582" s="14" t="str">
        <f>IF(AND($C582&lt;&gt;"",$C582=Kardex!$C$4),COUNTIF($C$5:$C582,Kardex!$C$4),"")</f>
        <v/>
      </c>
    </row>
    <row r="583" spans="1:13" x14ac:dyDescent="0.25">
      <c r="A583" s="24"/>
      <c r="B583" s="20"/>
      <c r="C583" s="20"/>
      <c r="D583" s="14" t="str">
        <f>IF($C583="","",IFERROR(INDEX(Productos!$B$5:$B$504,MATCH($C583,Productos!$A$5:$A$504,0)),"Clave no existe"))</f>
        <v/>
      </c>
      <c r="E583" s="14" t="str">
        <f>IF($C583="","",IFERROR(INDEX(Productos!$D$5:$D$504,MATCH($C583,Productos!$A$5:$A$504,0)),""))</f>
        <v/>
      </c>
      <c r="F583" s="20"/>
      <c r="G583" s="22" t="str">
        <f>IF($C583="","",IFERROR(INDEX(Productos!$F$5:$F$504,MATCH($C583,Productos!$A$5:$A$504,0)),0))</f>
        <v/>
      </c>
      <c r="H583" s="22" t="str">
        <f t="shared" si="9"/>
        <v/>
      </c>
      <c r="I583" s="14" t="str">
        <f>IF(OR($C583="",$F583=""),"",IFERROR(INDEX(Productos!$I$5:$I$504,MATCH($C583,Productos!$A$5:$A$504,0)),0)+SUMIFS($F$5:$F583,$C$5:$C583,$C583,$B$5:$B583,"Entrada")-SUMIFS($F$5:$F583,$C$5:$C583,$C583,$B$5:$B583,"Salida"))</f>
        <v/>
      </c>
      <c r="J583" s="20"/>
      <c r="K583" s="20"/>
      <c r="L583" s="20"/>
      <c r="M583" s="14" t="str">
        <f>IF(AND($C583&lt;&gt;"",$C583=Kardex!$C$4),COUNTIF($C$5:$C583,Kardex!$C$4),"")</f>
        <v/>
      </c>
    </row>
    <row r="584" spans="1:13" x14ac:dyDescent="0.25">
      <c r="A584" s="24"/>
      <c r="B584" s="20"/>
      <c r="C584" s="20"/>
      <c r="D584" s="14" t="str">
        <f>IF($C584="","",IFERROR(INDEX(Productos!$B$5:$B$504,MATCH($C584,Productos!$A$5:$A$504,0)),"Clave no existe"))</f>
        <v/>
      </c>
      <c r="E584" s="14" t="str">
        <f>IF($C584="","",IFERROR(INDEX(Productos!$D$5:$D$504,MATCH($C584,Productos!$A$5:$A$504,0)),""))</f>
        <v/>
      </c>
      <c r="F584" s="20"/>
      <c r="G584" s="22" t="str">
        <f>IF($C584="","",IFERROR(INDEX(Productos!$F$5:$F$504,MATCH($C584,Productos!$A$5:$A$504,0)),0))</f>
        <v/>
      </c>
      <c r="H584" s="22" t="str">
        <f t="shared" si="9"/>
        <v/>
      </c>
      <c r="I584" s="14" t="str">
        <f>IF(OR($C584="",$F584=""),"",IFERROR(INDEX(Productos!$I$5:$I$504,MATCH($C584,Productos!$A$5:$A$504,0)),0)+SUMIFS($F$5:$F584,$C$5:$C584,$C584,$B$5:$B584,"Entrada")-SUMIFS($F$5:$F584,$C$5:$C584,$C584,$B$5:$B584,"Salida"))</f>
        <v/>
      </c>
      <c r="J584" s="20"/>
      <c r="K584" s="20"/>
      <c r="L584" s="20"/>
      <c r="M584" s="14" t="str">
        <f>IF(AND($C584&lt;&gt;"",$C584=Kardex!$C$4),COUNTIF($C$5:$C584,Kardex!$C$4),"")</f>
        <v/>
      </c>
    </row>
    <row r="585" spans="1:13" x14ac:dyDescent="0.25">
      <c r="A585" s="24"/>
      <c r="B585" s="20"/>
      <c r="C585" s="20"/>
      <c r="D585" s="14" t="str">
        <f>IF($C585="","",IFERROR(INDEX(Productos!$B$5:$B$504,MATCH($C585,Productos!$A$5:$A$504,0)),"Clave no existe"))</f>
        <v/>
      </c>
      <c r="E585" s="14" t="str">
        <f>IF($C585="","",IFERROR(INDEX(Productos!$D$5:$D$504,MATCH($C585,Productos!$A$5:$A$504,0)),""))</f>
        <v/>
      </c>
      <c r="F585" s="20"/>
      <c r="G585" s="22" t="str">
        <f>IF($C585="","",IFERROR(INDEX(Productos!$F$5:$F$504,MATCH($C585,Productos!$A$5:$A$504,0)),0))</f>
        <v/>
      </c>
      <c r="H585" s="22" t="str">
        <f t="shared" si="9"/>
        <v/>
      </c>
      <c r="I585" s="14" t="str">
        <f>IF(OR($C585="",$F585=""),"",IFERROR(INDEX(Productos!$I$5:$I$504,MATCH($C585,Productos!$A$5:$A$504,0)),0)+SUMIFS($F$5:$F585,$C$5:$C585,$C585,$B$5:$B585,"Entrada")-SUMIFS($F$5:$F585,$C$5:$C585,$C585,$B$5:$B585,"Salida"))</f>
        <v/>
      </c>
      <c r="J585" s="20"/>
      <c r="K585" s="20"/>
      <c r="L585" s="20"/>
      <c r="M585" s="14" t="str">
        <f>IF(AND($C585&lt;&gt;"",$C585=Kardex!$C$4),COUNTIF($C$5:$C585,Kardex!$C$4),"")</f>
        <v/>
      </c>
    </row>
    <row r="586" spans="1:13" x14ac:dyDescent="0.25">
      <c r="A586" s="24"/>
      <c r="B586" s="20"/>
      <c r="C586" s="20"/>
      <c r="D586" s="14" t="str">
        <f>IF($C586="","",IFERROR(INDEX(Productos!$B$5:$B$504,MATCH($C586,Productos!$A$5:$A$504,0)),"Clave no existe"))</f>
        <v/>
      </c>
      <c r="E586" s="14" t="str">
        <f>IF($C586="","",IFERROR(INDEX(Productos!$D$5:$D$504,MATCH($C586,Productos!$A$5:$A$504,0)),""))</f>
        <v/>
      </c>
      <c r="F586" s="20"/>
      <c r="G586" s="22" t="str">
        <f>IF($C586="","",IFERROR(INDEX(Productos!$F$5:$F$504,MATCH($C586,Productos!$A$5:$A$504,0)),0))</f>
        <v/>
      </c>
      <c r="H586" s="22" t="str">
        <f t="shared" si="9"/>
        <v/>
      </c>
      <c r="I586" s="14" t="str">
        <f>IF(OR($C586="",$F586=""),"",IFERROR(INDEX(Productos!$I$5:$I$504,MATCH($C586,Productos!$A$5:$A$504,0)),0)+SUMIFS($F$5:$F586,$C$5:$C586,$C586,$B$5:$B586,"Entrada")-SUMIFS($F$5:$F586,$C$5:$C586,$C586,$B$5:$B586,"Salida"))</f>
        <v/>
      </c>
      <c r="J586" s="20"/>
      <c r="K586" s="20"/>
      <c r="L586" s="20"/>
      <c r="M586" s="14" t="str">
        <f>IF(AND($C586&lt;&gt;"",$C586=Kardex!$C$4),COUNTIF($C$5:$C586,Kardex!$C$4),"")</f>
        <v/>
      </c>
    </row>
    <row r="587" spans="1:13" x14ac:dyDescent="0.25">
      <c r="A587" s="24"/>
      <c r="B587" s="20"/>
      <c r="C587" s="20"/>
      <c r="D587" s="14" t="str">
        <f>IF($C587="","",IFERROR(INDEX(Productos!$B$5:$B$504,MATCH($C587,Productos!$A$5:$A$504,0)),"Clave no existe"))</f>
        <v/>
      </c>
      <c r="E587" s="14" t="str">
        <f>IF($C587="","",IFERROR(INDEX(Productos!$D$5:$D$504,MATCH($C587,Productos!$A$5:$A$504,0)),""))</f>
        <v/>
      </c>
      <c r="F587" s="20"/>
      <c r="G587" s="22" t="str">
        <f>IF($C587="","",IFERROR(INDEX(Productos!$F$5:$F$504,MATCH($C587,Productos!$A$5:$A$504,0)),0))</f>
        <v/>
      </c>
      <c r="H587" s="22" t="str">
        <f t="shared" si="9"/>
        <v/>
      </c>
      <c r="I587" s="14" t="str">
        <f>IF(OR($C587="",$F587=""),"",IFERROR(INDEX(Productos!$I$5:$I$504,MATCH($C587,Productos!$A$5:$A$504,0)),0)+SUMIFS($F$5:$F587,$C$5:$C587,$C587,$B$5:$B587,"Entrada")-SUMIFS($F$5:$F587,$C$5:$C587,$C587,$B$5:$B587,"Salida"))</f>
        <v/>
      </c>
      <c r="J587" s="20"/>
      <c r="K587" s="20"/>
      <c r="L587" s="20"/>
      <c r="M587" s="14" t="str">
        <f>IF(AND($C587&lt;&gt;"",$C587=Kardex!$C$4),COUNTIF($C$5:$C587,Kardex!$C$4),"")</f>
        <v/>
      </c>
    </row>
    <row r="588" spans="1:13" x14ac:dyDescent="0.25">
      <c r="A588" s="24"/>
      <c r="B588" s="20"/>
      <c r="C588" s="20"/>
      <c r="D588" s="14" t="str">
        <f>IF($C588="","",IFERROR(INDEX(Productos!$B$5:$B$504,MATCH($C588,Productos!$A$5:$A$504,0)),"Clave no existe"))</f>
        <v/>
      </c>
      <c r="E588" s="14" t="str">
        <f>IF($C588="","",IFERROR(INDEX(Productos!$D$5:$D$504,MATCH($C588,Productos!$A$5:$A$504,0)),""))</f>
        <v/>
      </c>
      <c r="F588" s="20"/>
      <c r="G588" s="22" t="str">
        <f>IF($C588="","",IFERROR(INDEX(Productos!$F$5:$F$504,MATCH($C588,Productos!$A$5:$A$504,0)),0))</f>
        <v/>
      </c>
      <c r="H588" s="22" t="str">
        <f t="shared" si="9"/>
        <v/>
      </c>
      <c r="I588" s="14" t="str">
        <f>IF(OR($C588="",$F588=""),"",IFERROR(INDEX(Productos!$I$5:$I$504,MATCH($C588,Productos!$A$5:$A$504,0)),0)+SUMIFS($F$5:$F588,$C$5:$C588,$C588,$B$5:$B588,"Entrada")-SUMIFS($F$5:$F588,$C$5:$C588,$C588,$B$5:$B588,"Salida"))</f>
        <v/>
      </c>
      <c r="J588" s="20"/>
      <c r="K588" s="20"/>
      <c r="L588" s="20"/>
      <c r="M588" s="14" t="str">
        <f>IF(AND($C588&lt;&gt;"",$C588=Kardex!$C$4),COUNTIF($C$5:$C588,Kardex!$C$4),"")</f>
        <v/>
      </c>
    </row>
    <row r="589" spans="1:13" x14ac:dyDescent="0.25">
      <c r="A589" s="24"/>
      <c r="B589" s="20"/>
      <c r="C589" s="20"/>
      <c r="D589" s="14" t="str">
        <f>IF($C589="","",IFERROR(INDEX(Productos!$B$5:$B$504,MATCH($C589,Productos!$A$5:$A$504,0)),"Clave no existe"))</f>
        <v/>
      </c>
      <c r="E589" s="14" t="str">
        <f>IF($C589="","",IFERROR(INDEX(Productos!$D$5:$D$504,MATCH($C589,Productos!$A$5:$A$504,0)),""))</f>
        <v/>
      </c>
      <c r="F589" s="20"/>
      <c r="G589" s="22" t="str">
        <f>IF($C589="","",IFERROR(INDEX(Productos!$F$5:$F$504,MATCH($C589,Productos!$A$5:$A$504,0)),0))</f>
        <v/>
      </c>
      <c r="H589" s="22" t="str">
        <f t="shared" si="9"/>
        <v/>
      </c>
      <c r="I589" s="14" t="str">
        <f>IF(OR($C589="",$F589=""),"",IFERROR(INDEX(Productos!$I$5:$I$504,MATCH($C589,Productos!$A$5:$A$504,0)),0)+SUMIFS($F$5:$F589,$C$5:$C589,$C589,$B$5:$B589,"Entrada")-SUMIFS($F$5:$F589,$C$5:$C589,$C589,$B$5:$B589,"Salida"))</f>
        <v/>
      </c>
      <c r="J589" s="20"/>
      <c r="K589" s="20"/>
      <c r="L589" s="20"/>
      <c r="M589" s="14" t="str">
        <f>IF(AND($C589&lt;&gt;"",$C589=Kardex!$C$4),COUNTIF($C$5:$C589,Kardex!$C$4),"")</f>
        <v/>
      </c>
    </row>
    <row r="590" spans="1:13" x14ac:dyDescent="0.25">
      <c r="A590" s="24"/>
      <c r="B590" s="20"/>
      <c r="C590" s="20"/>
      <c r="D590" s="14" t="str">
        <f>IF($C590="","",IFERROR(INDEX(Productos!$B$5:$B$504,MATCH($C590,Productos!$A$5:$A$504,0)),"Clave no existe"))</f>
        <v/>
      </c>
      <c r="E590" s="14" t="str">
        <f>IF($C590="","",IFERROR(INDEX(Productos!$D$5:$D$504,MATCH($C590,Productos!$A$5:$A$504,0)),""))</f>
        <v/>
      </c>
      <c r="F590" s="20"/>
      <c r="G590" s="22" t="str">
        <f>IF($C590="","",IFERROR(INDEX(Productos!$F$5:$F$504,MATCH($C590,Productos!$A$5:$A$504,0)),0))</f>
        <v/>
      </c>
      <c r="H590" s="22" t="str">
        <f t="shared" si="9"/>
        <v/>
      </c>
      <c r="I590" s="14" t="str">
        <f>IF(OR($C590="",$F590=""),"",IFERROR(INDEX(Productos!$I$5:$I$504,MATCH($C590,Productos!$A$5:$A$504,0)),0)+SUMIFS($F$5:$F590,$C$5:$C590,$C590,$B$5:$B590,"Entrada")-SUMIFS($F$5:$F590,$C$5:$C590,$C590,$B$5:$B590,"Salida"))</f>
        <v/>
      </c>
      <c r="J590" s="20"/>
      <c r="K590" s="20"/>
      <c r="L590" s="20"/>
      <c r="M590" s="14" t="str">
        <f>IF(AND($C590&lt;&gt;"",$C590=Kardex!$C$4),COUNTIF($C$5:$C590,Kardex!$C$4),"")</f>
        <v/>
      </c>
    </row>
    <row r="591" spans="1:13" x14ac:dyDescent="0.25">
      <c r="A591" s="24"/>
      <c r="B591" s="20"/>
      <c r="C591" s="20"/>
      <c r="D591" s="14" t="str">
        <f>IF($C591="","",IFERROR(INDEX(Productos!$B$5:$B$504,MATCH($C591,Productos!$A$5:$A$504,0)),"Clave no existe"))</f>
        <v/>
      </c>
      <c r="E591" s="14" t="str">
        <f>IF($C591="","",IFERROR(INDEX(Productos!$D$5:$D$504,MATCH($C591,Productos!$A$5:$A$504,0)),""))</f>
        <v/>
      </c>
      <c r="F591" s="20"/>
      <c r="G591" s="22" t="str">
        <f>IF($C591="","",IFERROR(INDEX(Productos!$F$5:$F$504,MATCH($C591,Productos!$A$5:$A$504,0)),0))</f>
        <v/>
      </c>
      <c r="H591" s="22" t="str">
        <f t="shared" si="9"/>
        <v/>
      </c>
      <c r="I591" s="14" t="str">
        <f>IF(OR($C591="",$F591=""),"",IFERROR(INDEX(Productos!$I$5:$I$504,MATCH($C591,Productos!$A$5:$A$504,0)),0)+SUMIFS($F$5:$F591,$C$5:$C591,$C591,$B$5:$B591,"Entrada")-SUMIFS($F$5:$F591,$C$5:$C591,$C591,$B$5:$B591,"Salida"))</f>
        <v/>
      </c>
      <c r="J591" s="20"/>
      <c r="K591" s="20"/>
      <c r="L591" s="20"/>
      <c r="M591" s="14" t="str">
        <f>IF(AND($C591&lt;&gt;"",$C591=Kardex!$C$4),COUNTIF($C$5:$C591,Kardex!$C$4),"")</f>
        <v/>
      </c>
    </row>
    <row r="592" spans="1:13" x14ac:dyDescent="0.25">
      <c r="A592" s="24"/>
      <c r="B592" s="20"/>
      <c r="C592" s="20"/>
      <c r="D592" s="14" t="str">
        <f>IF($C592="","",IFERROR(INDEX(Productos!$B$5:$B$504,MATCH($C592,Productos!$A$5:$A$504,0)),"Clave no existe"))</f>
        <v/>
      </c>
      <c r="E592" s="14" t="str">
        <f>IF($C592="","",IFERROR(INDEX(Productos!$D$5:$D$504,MATCH($C592,Productos!$A$5:$A$504,0)),""))</f>
        <v/>
      </c>
      <c r="F592" s="20"/>
      <c r="G592" s="22" t="str">
        <f>IF($C592="","",IFERROR(INDEX(Productos!$F$5:$F$504,MATCH($C592,Productos!$A$5:$A$504,0)),0))</f>
        <v/>
      </c>
      <c r="H592" s="22" t="str">
        <f t="shared" si="9"/>
        <v/>
      </c>
      <c r="I592" s="14" t="str">
        <f>IF(OR($C592="",$F592=""),"",IFERROR(INDEX(Productos!$I$5:$I$504,MATCH($C592,Productos!$A$5:$A$504,0)),0)+SUMIFS($F$5:$F592,$C$5:$C592,$C592,$B$5:$B592,"Entrada")-SUMIFS($F$5:$F592,$C$5:$C592,$C592,$B$5:$B592,"Salida"))</f>
        <v/>
      </c>
      <c r="J592" s="20"/>
      <c r="K592" s="20"/>
      <c r="L592" s="20"/>
      <c r="M592" s="14" t="str">
        <f>IF(AND($C592&lt;&gt;"",$C592=Kardex!$C$4),COUNTIF($C$5:$C592,Kardex!$C$4),"")</f>
        <v/>
      </c>
    </row>
    <row r="593" spans="1:13" x14ac:dyDescent="0.25">
      <c r="A593" s="24"/>
      <c r="B593" s="20"/>
      <c r="C593" s="20"/>
      <c r="D593" s="14" t="str">
        <f>IF($C593="","",IFERROR(INDEX(Productos!$B$5:$B$504,MATCH($C593,Productos!$A$5:$A$504,0)),"Clave no existe"))</f>
        <v/>
      </c>
      <c r="E593" s="14" t="str">
        <f>IF($C593="","",IFERROR(INDEX(Productos!$D$5:$D$504,MATCH($C593,Productos!$A$5:$A$504,0)),""))</f>
        <v/>
      </c>
      <c r="F593" s="20"/>
      <c r="G593" s="22" t="str">
        <f>IF($C593="","",IFERROR(INDEX(Productos!$F$5:$F$504,MATCH($C593,Productos!$A$5:$A$504,0)),0))</f>
        <v/>
      </c>
      <c r="H593" s="22" t="str">
        <f t="shared" si="9"/>
        <v/>
      </c>
      <c r="I593" s="14" t="str">
        <f>IF(OR($C593="",$F593=""),"",IFERROR(INDEX(Productos!$I$5:$I$504,MATCH($C593,Productos!$A$5:$A$504,0)),0)+SUMIFS($F$5:$F593,$C$5:$C593,$C593,$B$5:$B593,"Entrada")-SUMIFS($F$5:$F593,$C$5:$C593,$C593,$B$5:$B593,"Salida"))</f>
        <v/>
      </c>
      <c r="J593" s="20"/>
      <c r="K593" s="20"/>
      <c r="L593" s="20"/>
      <c r="M593" s="14" t="str">
        <f>IF(AND($C593&lt;&gt;"",$C593=Kardex!$C$4),COUNTIF($C$5:$C593,Kardex!$C$4),"")</f>
        <v/>
      </c>
    </row>
    <row r="594" spans="1:13" x14ac:dyDescent="0.25">
      <c r="A594" s="24"/>
      <c r="B594" s="20"/>
      <c r="C594" s="20"/>
      <c r="D594" s="14" t="str">
        <f>IF($C594="","",IFERROR(INDEX(Productos!$B$5:$B$504,MATCH($C594,Productos!$A$5:$A$504,0)),"Clave no existe"))</f>
        <v/>
      </c>
      <c r="E594" s="14" t="str">
        <f>IF($C594="","",IFERROR(INDEX(Productos!$D$5:$D$504,MATCH($C594,Productos!$A$5:$A$504,0)),""))</f>
        <v/>
      </c>
      <c r="F594" s="20"/>
      <c r="G594" s="22" t="str">
        <f>IF($C594="","",IFERROR(INDEX(Productos!$F$5:$F$504,MATCH($C594,Productos!$A$5:$A$504,0)),0))</f>
        <v/>
      </c>
      <c r="H594" s="22" t="str">
        <f t="shared" si="9"/>
        <v/>
      </c>
      <c r="I594" s="14" t="str">
        <f>IF(OR($C594="",$F594=""),"",IFERROR(INDEX(Productos!$I$5:$I$504,MATCH($C594,Productos!$A$5:$A$504,0)),0)+SUMIFS($F$5:$F594,$C$5:$C594,$C594,$B$5:$B594,"Entrada")-SUMIFS($F$5:$F594,$C$5:$C594,$C594,$B$5:$B594,"Salida"))</f>
        <v/>
      </c>
      <c r="J594" s="20"/>
      <c r="K594" s="20"/>
      <c r="L594" s="20"/>
      <c r="M594" s="14" t="str">
        <f>IF(AND($C594&lt;&gt;"",$C594=Kardex!$C$4),COUNTIF($C$5:$C594,Kardex!$C$4),"")</f>
        <v/>
      </c>
    </row>
    <row r="595" spans="1:13" x14ac:dyDescent="0.25">
      <c r="A595" s="24"/>
      <c r="B595" s="20"/>
      <c r="C595" s="20"/>
      <c r="D595" s="14" t="str">
        <f>IF($C595="","",IFERROR(INDEX(Productos!$B$5:$B$504,MATCH($C595,Productos!$A$5:$A$504,0)),"Clave no existe"))</f>
        <v/>
      </c>
      <c r="E595" s="14" t="str">
        <f>IF($C595="","",IFERROR(INDEX(Productos!$D$5:$D$504,MATCH($C595,Productos!$A$5:$A$504,0)),""))</f>
        <v/>
      </c>
      <c r="F595" s="20"/>
      <c r="G595" s="22" t="str">
        <f>IF($C595="","",IFERROR(INDEX(Productos!$F$5:$F$504,MATCH($C595,Productos!$A$5:$A$504,0)),0))</f>
        <v/>
      </c>
      <c r="H595" s="22" t="str">
        <f t="shared" si="9"/>
        <v/>
      </c>
      <c r="I595" s="14" t="str">
        <f>IF(OR($C595="",$F595=""),"",IFERROR(INDEX(Productos!$I$5:$I$504,MATCH($C595,Productos!$A$5:$A$504,0)),0)+SUMIFS($F$5:$F595,$C$5:$C595,$C595,$B$5:$B595,"Entrada")-SUMIFS($F$5:$F595,$C$5:$C595,$C595,$B$5:$B595,"Salida"))</f>
        <v/>
      </c>
      <c r="J595" s="20"/>
      <c r="K595" s="20"/>
      <c r="L595" s="20"/>
      <c r="M595" s="14" t="str">
        <f>IF(AND($C595&lt;&gt;"",$C595=Kardex!$C$4),COUNTIF($C$5:$C595,Kardex!$C$4),"")</f>
        <v/>
      </c>
    </row>
    <row r="596" spans="1:13" x14ac:dyDescent="0.25">
      <c r="A596" s="24"/>
      <c r="B596" s="20"/>
      <c r="C596" s="20"/>
      <c r="D596" s="14" t="str">
        <f>IF($C596="","",IFERROR(INDEX(Productos!$B$5:$B$504,MATCH($C596,Productos!$A$5:$A$504,0)),"Clave no existe"))</f>
        <v/>
      </c>
      <c r="E596" s="14" t="str">
        <f>IF($C596="","",IFERROR(INDEX(Productos!$D$5:$D$504,MATCH($C596,Productos!$A$5:$A$504,0)),""))</f>
        <v/>
      </c>
      <c r="F596" s="20"/>
      <c r="G596" s="22" t="str">
        <f>IF($C596="","",IFERROR(INDEX(Productos!$F$5:$F$504,MATCH($C596,Productos!$A$5:$A$504,0)),0))</f>
        <v/>
      </c>
      <c r="H596" s="22" t="str">
        <f t="shared" si="9"/>
        <v/>
      </c>
      <c r="I596" s="14" t="str">
        <f>IF(OR($C596="",$F596=""),"",IFERROR(INDEX(Productos!$I$5:$I$504,MATCH($C596,Productos!$A$5:$A$504,0)),0)+SUMIFS($F$5:$F596,$C$5:$C596,$C596,$B$5:$B596,"Entrada")-SUMIFS($F$5:$F596,$C$5:$C596,$C596,$B$5:$B596,"Salida"))</f>
        <v/>
      </c>
      <c r="J596" s="20"/>
      <c r="K596" s="20"/>
      <c r="L596" s="20"/>
      <c r="M596" s="14" t="str">
        <f>IF(AND($C596&lt;&gt;"",$C596=Kardex!$C$4),COUNTIF($C$5:$C596,Kardex!$C$4),"")</f>
        <v/>
      </c>
    </row>
    <row r="597" spans="1:13" x14ac:dyDescent="0.25">
      <c r="A597" s="24"/>
      <c r="B597" s="20"/>
      <c r="C597" s="20"/>
      <c r="D597" s="14" t="str">
        <f>IF($C597="","",IFERROR(INDEX(Productos!$B$5:$B$504,MATCH($C597,Productos!$A$5:$A$504,0)),"Clave no existe"))</f>
        <v/>
      </c>
      <c r="E597" s="14" t="str">
        <f>IF($C597="","",IFERROR(INDEX(Productos!$D$5:$D$504,MATCH($C597,Productos!$A$5:$A$504,0)),""))</f>
        <v/>
      </c>
      <c r="F597" s="20"/>
      <c r="G597" s="22" t="str">
        <f>IF($C597="","",IFERROR(INDEX(Productos!$F$5:$F$504,MATCH($C597,Productos!$A$5:$A$504,0)),0))</f>
        <v/>
      </c>
      <c r="H597" s="22" t="str">
        <f t="shared" si="9"/>
        <v/>
      </c>
      <c r="I597" s="14" t="str">
        <f>IF(OR($C597="",$F597=""),"",IFERROR(INDEX(Productos!$I$5:$I$504,MATCH($C597,Productos!$A$5:$A$504,0)),0)+SUMIFS($F$5:$F597,$C$5:$C597,$C597,$B$5:$B597,"Entrada")-SUMIFS($F$5:$F597,$C$5:$C597,$C597,$B$5:$B597,"Salida"))</f>
        <v/>
      </c>
      <c r="J597" s="20"/>
      <c r="K597" s="20"/>
      <c r="L597" s="20"/>
      <c r="M597" s="14" t="str">
        <f>IF(AND($C597&lt;&gt;"",$C597=Kardex!$C$4),COUNTIF($C$5:$C597,Kardex!$C$4),"")</f>
        <v/>
      </c>
    </row>
    <row r="598" spans="1:13" x14ac:dyDescent="0.25">
      <c r="A598" s="24"/>
      <c r="B598" s="20"/>
      <c r="C598" s="20"/>
      <c r="D598" s="14" t="str">
        <f>IF($C598="","",IFERROR(INDEX(Productos!$B$5:$B$504,MATCH($C598,Productos!$A$5:$A$504,0)),"Clave no existe"))</f>
        <v/>
      </c>
      <c r="E598" s="14" t="str">
        <f>IF($C598="","",IFERROR(INDEX(Productos!$D$5:$D$504,MATCH($C598,Productos!$A$5:$A$504,0)),""))</f>
        <v/>
      </c>
      <c r="F598" s="20"/>
      <c r="G598" s="22" t="str">
        <f>IF($C598="","",IFERROR(INDEX(Productos!$F$5:$F$504,MATCH($C598,Productos!$A$5:$A$504,0)),0))</f>
        <v/>
      </c>
      <c r="H598" s="22" t="str">
        <f t="shared" si="9"/>
        <v/>
      </c>
      <c r="I598" s="14" t="str">
        <f>IF(OR($C598="",$F598=""),"",IFERROR(INDEX(Productos!$I$5:$I$504,MATCH($C598,Productos!$A$5:$A$504,0)),0)+SUMIFS($F$5:$F598,$C$5:$C598,$C598,$B$5:$B598,"Entrada")-SUMIFS($F$5:$F598,$C$5:$C598,$C598,$B$5:$B598,"Salida"))</f>
        <v/>
      </c>
      <c r="J598" s="20"/>
      <c r="K598" s="20"/>
      <c r="L598" s="20"/>
      <c r="M598" s="14" t="str">
        <f>IF(AND($C598&lt;&gt;"",$C598=Kardex!$C$4),COUNTIF($C$5:$C598,Kardex!$C$4),"")</f>
        <v/>
      </c>
    </row>
    <row r="599" spans="1:13" x14ac:dyDescent="0.25">
      <c r="A599" s="24"/>
      <c r="B599" s="20"/>
      <c r="C599" s="20"/>
      <c r="D599" s="14" t="str">
        <f>IF($C599="","",IFERROR(INDEX(Productos!$B$5:$B$504,MATCH($C599,Productos!$A$5:$A$504,0)),"Clave no existe"))</f>
        <v/>
      </c>
      <c r="E599" s="14" t="str">
        <f>IF($C599="","",IFERROR(INDEX(Productos!$D$5:$D$504,MATCH($C599,Productos!$A$5:$A$504,0)),""))</f>
        <v/>
      </c>
      <c r="F599" s="20"/>
      <c r="G599" s="22" t="str">
        <f>IF($C599="","",IFERROR(INDEX(Productos!$F$5:$F$504,MATCH($C599,Productos!$A$5:$A$504,0)),0))</f>
        <v/>
      </c>
      <c r="H599" s="22" t="str">
        <f t="shared" si="9"/>
        <v/>
      </c>
      <c r="I599" s="14" t="str">
        <f>IF(OR($C599="",$F599=""),"",IFERROR(INDEX(Productos!$I$5:$I$504,MATCH($C599,Productos!$A$5:$A$504,0)),0)+SUMIFS($F$5:$F599,$C$5:$C599,$C599,$B$5:$B599,"Entrada")-SUMIFS($F$5:$F599,$C$5:$C599,$C599,$B$5:$B599,"Salida"))</f>
        <v/>
      </c>
      <c r="J599" s="20"/>
      <c r="K599" s="20"/>
      <c r="L599" s="20"/>
      <c r="M599" s="14" t="str">
        <f>IF(AND($C599&lt;&gt;"",$C599=Kardex!$C$4),COUNTIF($C$5:$C599,Kardex!$C$4),"")</f>
        <v/>
      </c>
    </row>
    <row r="600" spans="1:13" x14ac:dyDescent="0.25">
      <c r="A600" s="24"/>
      <c r="B600" s="20"/>
      <c r="C600" s="20"/>
      <c r="D600" s="14" t="str">
        <f>IF($C600="","",IFERROR(INDEX(Productos!$B$5:$B$504,MATCH($C600,Productos!$A$5:$A$504,0)),"Clave no existe"))</f>
        <v/>
      </c>
      <c r="E600" s="14" t="str">
        <f>IF($C600="","",IFERROR(INDEX(Productos!$D$5:$D$504,MATCH($C600,Productos!$A$5:$A$504,0)),""))</f>
        <v/>
      </c>
      <c r="F600" s="20"/>
      <c r="G600" s="22" t="str">
        <f>IF($C600="","",IFERROR(INDEX(Productos!$F$5:$F$504,MATCH($C600,Productos!$A$5:$A$504,0)),0))</f>
        <v/>
      </c>
      <c r="H600" s="22" t="str">
        <f t="shared" si="9"/>
        <v/>
      </c>
      <c r="I600" s="14" t="str">
        <f>IF(OR($C600="",$F600=""),"",IFERROR(INDEX(Productos!$I$5:$I$504,MATCH($C600,Productos!$A$5:$A$504,0)),0)+SUMIFS($F$5:$F600,$C$5:$C600,$C600,$B$5:$B600,"Entrada")-SUMIFS($F$5:$F600,$C$5:$C600,$C600,$B$5:$B600,"Salida"))</f>
        <v/>
      </c>
      <c r="J600" s="20"/>
      <c r="K600" s="20"/>
      <c r="L600" s="20"/>
      <c r="M600" s="14" t="str">
        <f>IF(AND($C600&lt;&gt;"",$C600=Kardex!$C$4),COUNTIF($C$5:$C600,Kardex!$C$4),"")</f>
        <v/>
      </c>
    </row>
    <row r="601" spans="1:13" x14ac:dyDescent="0.25">
      <c r="A601" s="24"/>
      <c r="B601" s="20"/>
      <c r="C601" s="20"/>
      <c r="D601" s="14" t="str">
        <f>IF($C601="","",IFERROR(INDEX(Productos!$B$5:$B$504,MATCH($C601,Productos!$A$5:$A$504,0)),"Clave no existe"))</f>
        <v/>
      </c>
      <c r="E601" s="14" t="str">
        <f>IF($C601="","",IFERROR(INDEX(Productos!$D$5:$D$504,MATCH($C601,Productos!$A$5:$A$504,0)),""))</f>
        <v/>
      </c>
      <c r="F601" s="20"/>
      <c r="G601" s="22" t="str">
        <f>IF($C601="","",IFERROR(INDEX(Productos!$F$5:$F$504,MATCH($C601,Productos!$A$5:$A$504,0)),0))</f>
        <v/>
      </c>
      <c r="H601" s="22" t="str">
        <f t="shared" si="9"/>
        <v/>
      </c>
      <c r="I601" s="14" t="str">
        <f>IF(OR($C601="",$F601=""),"",IFERROR(INDEX(Productos!$I$5:$I$504,MATCH($C601,Productos!$A$5:$A$504,0)),0)+SUMIFS($F$5:$F601,$C$5:$C601,$C601,$B$5:$B601,"Entrada")-SUMIFS($F$5:$F601,$C$5:$C601,$C601,$B$5:$B601,"Salida"))</f>
        <v/>
      </c>
      <c r="J601" s="20"/>
      <c r="K601" s="20"/>
      <c r="L601" s="20"/>
      <c r="M601" s="14" t="str">
        <f>IF(AND($C601&lt;&gt;"",$C601=Kardex!$C$4),COUNTIF($C$5:$C601,Kardex!$C$4),"")</f>
        <v/>
      </c>
    </row>
    <row r="602" spans="1:13" x14ac:dyDescent="0.25">
      <c r="A602" s="24"/>
      <c r="B602" s="20"/>
      <c r="C602" s="20"/>
      <c r="D602" s="14" t="str">
        <f>IF($C602="","",IFERROR(INDEX(Productos!$B$5:$B$504,MATCH($C602,Productos!$A$5:$A$504,0)),"Clave no existe"))</f>
        <v/>
      </c>
      <c r="E602" s="14" t="str">
        <f>IF($C602="","",IFERROR(INDEX(Productos!$D$5:$D$504,MATCH($C602,Productos!$A$5:$A$504,0)),""))</f>
        <v/>
      </c>
      <c r="F602" s="20"/>
      <c r="G602" s="22" t="str">
        <f>IF($C602="","",IFERROR(INDEX(Productos!$F$5:$F$504,MATCH($C602,Productos!$A$5:$A$504,0)),0))</f>
        <v/>
      </c>
      <c r="H602" s="22" t="str">
        <f t="shared" si="9"/>
        <v/>
      </c>
      <c r="I602" s="14" t="str">
        <f>IF(OR($C602="",$F602=""),"",IFERROR(INDEX(Productos!$I$5:$I$504,MATCH($C602,Productos!$A$5:$A$504,0)),0)+SUMIFS($F$5:$F602,$C$5:$C602,$C602,$B$5:$B602,"Entrada")-SUMIFS($F$5:$F602,$C$5:$C602,$C602,$B$5:$B602,"Salida"))</f>
        <v/>
      </c>
      <c r="J602" s="20"/>
      <c r="K602" s="20"/>
      <c r="L602" s="20"/>
      <c r="M602" s="14" t="str">
        <f>IF(AND($C602&lt;&gt;"",$C602=Kardex!$C$4),COUNTIF($C$5:$C602,Kardex!$C$4),"")</f>
        <v/>
      </c>
    </row>
    <row r="603" spans="1:13" x14ac:dyDescent="0.25">
      <c r="A603" s="24"/>
      <c r="B603" s="20"/>
      <c r="C603" s="20"/>
      <c r="D603" s="14" t="str">
        <f>IF($C603="","",IFERROR(INDEX(Productos!$B$5:$B$504,MATCH($C603,Productos!$A$5:$A$504,0)),"Clave no existe"))</f>
        <v/>
      </c>
      <c r="E603" s="14" t="str">
        <f>IF($C603="","",IFERROR(INDEX(Productos!$D$5:$D$504,MATCH($C603,Productos!$A$5:$A$504,0)),""))</f>
        <v/>
      </c>
      <c r="F603" s="20"/>
      <c r="G603" s="22" t="str">
        <f>IF($C603="","",IFERROR(INDEX(Productos!$F$5:$F$504,MATCH($C603,Productos!$A$5:$A$504,0)),0))</f>
        <v/>
      </c>
      <c r="H603" s="22" t="str">
        <f t="shared" si="9"/>
        <v/>
      </c>
      <c r="I603" s="14" t="str">
        <f>IF(OR($C603="",$F603=""),"",IFERROR(INDEX(Productos!$I$5:$I$504,MATCH($C603,Productos!$A$5:$A$504,0)),0)+SUMIFS($F$5:$F603,$C$5:$C603,$C603,$B$5:$B603,"Entrada")-SUMIFS($F$5:$F603,$C$5:$C603,$C603,$B$5:$B603,"Salida"))</f>
        <v/>
      </c>
      <c r="J603" s="20"/>
      <c r="K603" s="20"/>
      <c r="L603" s="20"/>
      <c r="M603" s="14" t="str">
        <f>IF(AND($C603&lt;&gt;"",$C603=Kardex!$C$4),COUNTIF($C$5:$C603,Kardex!$C$4),"")</f>
        <v/>
      </c>
    </row>
    <row r="604" spans="1:13" x14ac:dyDescent="0.25">
      <c r="A604" s="24"/>
      <c r="B604" s="20"/>
      <c r="C604" s="20"/>
      <c r="D604" s="14" t="str">
        <f>IF($C604="","",IFERROR(INDEX(Productos!$B$5:$B$504,MATCH($C604,Productos!$A$5:$A$504,0)),"Clave no existe"))</f>
        <v/>
      </c>
      <c r="E604" s="14" t="str">
        <f>IF($C604="","",IFERROR(INDEX(Productos!$D$5:$D$504,MATCH($C604,Productos!$A$5:$A$504,0)),""))</f>
        <v/>
      </c>
      <c r="F604" s="20"/>
      <c r="G604" s="22" t="str">
        <f>IF($C604="","",IFERROR(INDEX(Productos!$F$5:$F$504,MATCH($C604,Productos!$A$5:$A$504,0)),0))</f>
        <v/>
      </c>
      <c r="H604" s="22" t="str">
        <f t="shared" si="9"/>
        <v/>
      </c>
      <c r="I604" s="14" t="str">
        <f>IF(OR($C604="",$F604=""),"",IFERROR(INDEX(Productos!$I$5:$I$504,MATCH($C604,Productos!$A$5:$A$504,0)),0)+SUMIFS($F$5:$F604,$C$5:$C604,$C604,$B$5:$B604,"Entrada")-SUMIFS($F$5:$F604,$C$5:$C604,$C604,$B$5:$B604,"Salida"))</f>
        <v/>
      </c>
      <c r="J604" s="20"/>
      <c r="K604" s="20"/>
      <c r="L604" s="20"/>
      <c r="M604" s="14" t="str">
        <f>IF(AND($C604&lt;&gt;"",$C604=Kardex!$C$4),COUNTIF($C$5:$C604,Kardex!$C$4),"")</f>
        <v/>
      </c>
    </row>
    <row r="605" spans="1:13" x14ac:dyDescent="0.25">
      <c r="A605" s="24"/>
      <c r="B605" s="20"/>
      <c r="C605" s="20"/>
      <c r="D605" s="14" t="str">
        <f>IF($C605="","",IFERROR(INDEX(Productos!$B$5:$B$504,MATCH($C605,Productos!$A$5:$A$504,0)),"Clave no existe"))</f>
        <v/>
      </c>
      <c r="E605" s="14" t="str">
        <f>IF($C605="","",IFERROR(INDEX(Productos!$D$5:$D$504,MATCH($C605,Productos!$A$5:$A$504,0)),""))</f>
        <v/>
      </c>
      <c r="F605" s="20"/>
      <c r="G605" s="22" t="str">
        <f>IF($C605="","",IFERROR(INDEX(Productos!$F$5:$F$504,MATCH($C605,Productos!$A$5:$A$504,0)),0))</f>
        <v/>
      </c>
      <c r="H605" s="22" t="str">
        <f t="shared" si="9"/>
        <v/>
      </c>
      <c r="I605" s="14" t="str">
        <f>IF(OR($C605="",$F605=""),"",IFERROR(INDEX(Productos!$I$5:$I$504,MATCH($C605,Productos!$A$5:$A$504,0)),0)+SUMIFS($F$5:$F605,$C$5:$C605,$C605,$B$5:$B605,"Entrada")-SUMIFS($F$5:$F605,$C$5:$C605,$C605,$B$5:$B605,"Salida"))</f>
        <v/>
      </c>
      <c r="J605" s="20"/>
      <c r="K605" s="20"/>
      <c r="L605" s="20"/>
      <c r="M605" s="14" t="str">
        <f>IF(AND($C605&lt;&gt;"",$C605=Kardex!$C$4),COUNTIF($C$5:$C605,Kardex!$C$4),"")</f>
        <v/>
      </c>
    </row>
    <row r="606" spans="1:13" x14ac:dyDescent="0.25">
      <c r="A606" s="24"/>
      <c r="B606" s="20"/>
      <c r="C606" s="20"/>
      <c r="D606" s="14" t="str">
        <f>IF($C606="","",IFERROR(INDEX(Productos!$B$5:$B$504,MATCH($C606,Productos!$A$5:$A$504,0)),"Clave no existe"))</f>
        <v/>
      </c>
      <c r="E606" s="14" t="str">
        <f>IF($C606="","",IFERROR(INDEX(Productos!$D$5:$D$504,MATCH($C606,Productos!$A$5:$A$504,0)),""))</f>
        <v/>
      </c>
      <c r="F606" s="20"/>
      <c r="G606" s="22" t="str">
        <f>IF($C606="","",IFERROR(INDEX(Productos!$F$5:$F$504,MATCH($C606,Productos!$A$5:$A$504,0)),0))</f>
        <v/>
      </c>
      <c r="H606" s="22" t="str">
        <f t="shared" si="9"/>
        <v/>
      </c>
      <c r="I606" s="14" t="str">
        <f>IF(OR($C606="",$F606=""),"",IFERROR(INDEX(Productos!$I$5:$I$504,MATCH($C606,Productos!$A$5:$A$504,0)),0)+SUMIFS($F$5:$F606,$C$5:$C606,$C606,$B$5:$B606,"Entrada")-SUMIFS($F$5:$F606,$C$5:$C606,$C606,$B$5:$B606,"Salida"))</f>
        <v/>
      </c>
      <c r="J606" s="20"/>
      <c r="K606" s="20"/>
      <c r="L606" s="20"/>
      <c r="M606" s="14" t="str">
        <f>IF(AND($C606&lt;&gt;"",$C606=Kardex!$C$4),COUNTIF($C$5:$C606,Kardex!$C$4),"")</f>
        <v/>
      </c>
    </row>
    <row r="607" spans="1:13" x14ac:dyDescent="0.25">
      <c r="A607" s="24"/>
      <c r="B607" s="20"/>
      <c r="C607" s="20"/>
      <c r="D607" s="14" t="str">
        <f>IF($C607="","",IFERROR(INDEX(Productos!$B$5:$B$504,MATCH($C607,Productos!$A$5:$A$504,0)),"Clave no existe"))</f>
        <v/>
      </c>
      <c r="E607" s="14" t="str">
        <f>IF($C607="","",IFERROR(INDEX(Productos!$D$5:$D$504,MATCH($C607,Productos!$A$5:$A$504,0)),""))</f>
        <v/>
      </c>
      <c r="F607" s="20"/>
      <c r="G607" s="22" t="str">
        <f>IF($C607="","",IFERROR(INDEX(Productos!$F$5:$F$504,MATCH($C607,Productos!$A$5:$A$504,0)),0))</f>
        <v/>
      </c>
      <c r="H607" s="22" t="str">
        <f t="shared" si="9"/>
        <v/>
      </c>
      <c r="I607" s="14" t="str">
        <f>IF(OR($C607="",$F607=""),"",IFERROR(INDEX(Productos!$I$5:$I$504,MATCH($C607,Productos!$A$5:$A$504,0)),0)+SUMIFS($F$5:$F607,$C$5:$C607,$C607,$B$5:$B607,"Entrada")-SUMIFS($F$5:$F607,$C$5:$C607,$C607,$B$5:$B607,"Salida"))</f>
        <v/>
      </c>
      <c r="J607" s="20"/>
      <c r="K607" s="20"/>
      <c r="L607" s="20"/>
      <c r="M607" s="14" t="str">
        <f>IF(AND($C607&lt;&gt;"",$C607=Kardex!$C$4),COUNTIF($C$5:$C607,Kardex!$C$4),"")</f>
        <v/>
      </c>
    </row>
    <row r="608" spans="1:13" x14ac:dyDescent="0.25">
      <c r="A608" s="24"/>
      <c r="B608" s="20"/>
      <c r="C608" s="20"/>
      <c r="D608" s="14" t="str">
        <f>IF($C608="","",IFERROR(INDEX(Productos!$B$5:$B$504,MATCH($C608,Productos!$A$5:$A$504,0)),"Clave no existe"))</f>
        <v/>
      </c>
      <c r="E608" s="14" t="str">
        <f>IF($C608="","",IFERROR(INDEX(Productos!$D$5:$D$504,MATCH($C608,Productos!$A$5:$A$504,0)),""))</f>
        <v/>
      </c>
      <c r="F608" s="20"/>
      <c r="G608" s="22" t="str">
        <f>IF($C608="","",IFERROR(INDEX(Productos!$F$5:$F$504,MATCH($C608,Productos!$A$5:$A$504,0)),0))</f>
        <v/>
      </c>
      <c r="H608" s="22" t="str">
        <f t="shared" si="9"/>
        <v/>
      </c>
      <c r="I608" s="14" t="str">
        <f>IF(OR($C608="",$F608=""),"",IFERROR(INDEX(Productos!$I$5:$I$504,MATCH($C608,Productos!$A$5:$A$504,0)),0)+SUMIFS($F$5:$F608,$C$5:$C608,$C608,$B$5:$B608,"Entrada")-SUMIFS($F$5:$F608,$C$5:$C608,$C608,$B$5:$B608,"Salida"))</f>
        <v/>
      </c>
      <c r="J608" s="20"/>
      <c r="K608" s="20"/>
      <c r="L608" s="20"/>
      <c r="M608" s="14" t="str">
        <f>IF(AND($C608&lt;&gt;"",$C608=Kardex!$C$4),COUNTIF($C$5:$C608,Kardex!$C$4),"")</f>
        <v/>
      </c>
    </row>
    <row r="609" spans="1:13" x14ac:dyDescent="0.25">
      <c r="A609" s="24"/>
      <c r="B609" s="20"/>
      <c r="C609" s="20"/>
      <c r="D609" s="14" t="str">
        <f>IF($C609="","",IFERROR(INDEX(Productos!$B$5:$B$504,MATCH($C609,Productos!$A$5:$A$504,0)),"Clave no existe"))</f>
        <v/>
      </c>
      <c r="E609" s="14" t="str">
        <f>IF($C609="","",IFERROR(INDEX(Productos!$D$5:$D$504,MATCH($C609,Productos!$A$5:$A$504,0)),""))</f>
        <v/>
      </c>
      <c r="F609" s="20"/>
      <c r="G609" s="22" t="str">
        <f>IF($C609="","",IFERROR(INDEX(Productos!$F$5:$F$504,MATCH($C609,Productos!$A$5:$A$504,0)),0))</f>
        <v/>
      </c>
      <c r="H609" s="22" t="str">
        <f t="shared" si="9"/>
        <v/>
      </c>
      <c r="I609" s="14" t="str">
        <f>IF(OR($C609="",$F609=""),"",IFERROR(INDEX(Productos!$I$5:$I$504,MATCH($C609,Productos!$A$5:$A$504,0)),0)+SUMIFS($F$5:$F609,$C$5:$C609,$C609,$B$5:$B609,"Entrada")-SUMIFS($F$5:$F609,$C$5:$C609,$C609,$B$5:$B609,"Salida"))</f>
        <v/>
      </c>
      <c r="J609" s="20"/>
      <c r="K609" s="20"/>
      <c r="L609" s="20"/>
      <c r="M609" s="14" t="str">
        <f>IF(AND($C609&lt;&gt;"",$C609=Kardex!$C$4),COUNTIF($C$5:$C609,Kardex!$C$4),"")</f>
        <v/>
      </c>
    </row>
    <row r="610" spans="1:13" x14ac:dyDescent="0.25">
      <c r="A610" s="24"/>
      <c r="B610" s="20"/>
      <c r="C610" s="20"/>
      <c r="D610" s="14" t="str">
        <f>IF($C610="","",IFERROR(INDEX(Productos!$B$5:$B$504,MATCH($C610,Productos!$A$5:$A$504,0)),"Clave no existe"))</f>
        <v/>
      </c>
      <c r="E610" s="14" t="str">
        <f>IF($C610="","",IFERROR(INDEX(Productos!$D$5:$D$504,MATCH($C610,Productos!$A$5:$A$504,0)),""))</f>
        <v/>
      </c>
      <c r="F610" s="20"/>
      <c r="G610" s="22" t="str">
        <f>IF($C610="","",IFERROR(INDEX(Productos!$F$5:$F$504,MATCH($C610,Productos!$A$5:$A$504,0)),0))</f>
        <v/>
      </c>
      <c r="H610" s="22" t="str">
        <f t="shared" si="9"/>
        <v/>
      </c>
      <c r="I610" s="14" t="str">
        <f>IF(OR($C610="",$F610=""),"",IFERROR(INDEX(Productos!$I$5:$I$504,MATCH($C610,Productos!$A$5:$A$504,0)),0)+SUMIFS($F$5:$F610,$C$5:$C610,$C610,$B$5:$B610,"Entrada")-SUMIFS($F$5:$F610,$C$5:$C610,$C610,$B$5:$B610,"Salida"))</f>
        <v/>
      </c>
      <c r="J610" s="20"/>
      <c r="K610" s="20"/>
      <c r="L610" s="20"/>
      <c r="M610" s="14" t="str">
        <f>IF(AND($C610&lt;&gt;"",$C610=Kardex!$C$4),COUNTIF($C$5:$C610,Kardex!$C$4),"")</f>
        <v/>
      </c>
    </row>
    <row r="611" spans="1:13" x14ac:dyDescent="0.25">
      <c r="A611" s="24"/>
      <c r="B611" s="20"/>
      <c r="C611" s="20"/>
      <c r="D611" s="14" t="str">
        <f>IF($C611="","",IFERROR(INDEX(Productos!$B$5:$B$504,MATCH($C611,Productos!$A$5:$A$504,0)),"Clave no existe"))</f>
        <v/>
      </c>
      <c r="E611" s="14" t="str">
        <f>IF($C611="","",IFERROR(INDEX(Productos!$D$5:$D$504,MATCH($C611,Productos!$A$5:$A$504,0)),""))</f>
        <v/>
      </c>
      <c r="F611" s="20"/>
      <c r="G611" s="22" t="str">
        <f>IF($C611="","",IFERROR(INDEX(Productos!$F$5:$F$504,MATCH($C611,Productos!$A$5:$A$504,0)),0))</f>
        <v/>
      </c>
      <c r="H611" s="22" t="str">
        <f t="shared" si="9"/>
        <v/>
      </c>
      <c r="I611" s="14" t="str">
        <f>IF(OR($C611="",$F611=""),"",IFERROR(INDEX(Productos!$I$5:$I$504,MATCH($C611,Productos!$A$5:$A$504,0)),0)+SUMIFS($F$5:$F611,$C$5:$C611,$C611,$B$5:$B611,"Entrada")-SUMIFS($F$5:$F611,$C$5:$C611,$C611,$B$5:$B611,"Salida"))</f>
        <v/>
      </c>
      <c r="J611" s="20"/>
      <c r="K611" s="20"/>
      <c r="L611" s="20"/>
      <c r="M611" s="14" t="str">
        <f>IF(AND($C611&lt;&gt;"",$C611=Kardex!$C$4),COUNTIF($C$5:$C611,Kardex!$C$4),"")</f>
        <v/>
      </c>
    </row>
    <row r="612" spans="1:13" x14ac:dyDescent="0.25">
      <c r="A612" s="24"/>
      <c r="B612" s="20"/>
      <c r="C612" s="20"/>
      <c r="D612" s="14" t="str">
        <f>IF($C612="","",IFERROR(INDEX(Productos!$B$5:$B$504,MATCH($C612,Productos!$A$5:$A$504,0)),"Clave no existe"))</f>
        <v/>
      </c>
      <c r="E612" s="14" t="str">
        <f>IF($C612="","",IFERROR(INDEX(Productos!$D$5:$D$504,MATCH($C612,Productos!$A$5:$A$504,0)),""))</f>
        <v/>
      </c>
      <c r="F612" s="20"/>
      <c r="G612" s="22" t="str">
        <f>IF($C612="","",IFERROR(INDEX(Productos!$F$5:$F$504,MATCH($C612,Productos!$A$5:$A$504,0)),0))</f>
        <v/>
      </c>
      <c r="H612" s="22" t="str">
        <f t="shared" si="9"/>
        <v/>
      </c>
      <c r="I612" s="14" t="str">
        <f>IF(OR($C612="",$F612=""),"",IFERROR(INDEX(Productos!$I$5:$I$504,MATCH($C612,Productos!$A$5:$A$504,0)),0)+SUMIFS($F$5:$F612,$C$5:$C612,$C612,$B$5:$B612,"Entrada")-SUMIFS($F$5:$F612,$C$5:$C612,$C612,$B$5:$B612,"Salida"))</f>
        <v/>
      </c>
      <c r="J612" s="20"/>
      <c r="K612" s="20"/>
      <c r="L612" s="20"/>
      <c r="M612" s="14" t="str">
        <f>IF(AND($C612&lt;&gt;"",$C612=Kardex!$C$4),COUNTIF($C$5:$C612,Kardex!$C$4),"")</f>
        <v/>
      </c>
    </row>
    <row r="613" spans="1:13" x14ac:dyDescent="0.25">
      <c r="A613" s="24"/>
      <c r="B613" s="20"/>
      <c r="C613" s="20"/>
      <c r="D613" s="14" t="str">
        <f>IF($C613="","",IFERROR(INDEX(Productos!$B$5:$B$504,MATCH($C613,Productos!$A$5:$A$504,0)),"Clave no existe"))</f>
        <v/>
      </c>
      <c r="E613" s="14" t="str">
        <f>IF($C613="","",IFERROR(INDEX(Productos!$D$5:$D$504,MATCH($C613,Productos!$A$5:$A$504,0)),""))</f>
        <v/>
      </c>
      <c r="F613" s="20"/>
      <c r="G613" s="22" t="str">
        <f>IF($C613="","",IFERROR(INDEX(Productos!$F$5:$F$504,MATCH($C613,Productos!$A$5:$A$504,0)),0))</f>
        <v/>
      </c>
      <c r="H613" s="22" t="str">
        <f t="shared" si="9"/>
        <v/>
      </c>
      <c r="I613" s="14" t="str">
        <f>IF(OR($C613="",$F613=""),"",IFERROR(INDEX(Productos!$I$5:$I$504,MATCH($C613,Productos!$A$5:$A$504,0)),0)+SUMIFS($F$5:$F613,$C$5:$C613,$C613,$B$5:$B613,"Entrada")-SUMIFS($F$5:$F613,$C$5:$C613,$C613,$B$5:$B613,"Salida"))</f>
        <v/>
      </c>
      <c r="J613" s="20"/>
      <c r="K613" s="20"/>
      <c r="L613" s="20"/>
      <c r="M613" s="14" t="str">
        <f>IF(AND($C613&lt;&gt;"",$C613=Kardex!$C$4),COUNTIF($C$5:$C613,Kardex!$C$4),"")</f>
        <v/>
      </c>
    </row>
    <row r="614" spans="1:13" x14ac:dyDescent="0.25">
      <c r="A614" s="24"/>
      <c r="B614" s="20"/>
      <c r="C614" s="20"/>
      <c r="D614" s="14" t="str">
        <f>IF($C614="","",IFERROR(INDEX(Productos!$B$5:$B$504,MATCH($C614,Productos!$A$5:$A$504,0)),"Clave no existe"))</f>
        <v/>
      </c>
      <c r="E614" s="14" t="str">
        <f>IF($C614="","",IFERROR(INDEX(Productos!$D$5:$D$504,MATCH($C614,Productos!$A$5:$A$504,0)),""))</f>
        <v/>
      </c>
      <c r="F614" s="20"/>
      <c r="G614" s="22" t="str">
        <f>IF($C614="","",IFERROR(INDEX(Productos!$F$5:$F$504,MATCH($C614,Productos!$A$5:$A$504,0)),0))</f>
        <v/>
      </c>
      <c r="H614" s="22" t="str">
        <f t="shared" si="9"/>
        <v/>
      </c>
      <c r="I614" s="14" t="str">
        <f>IF(OR($C614="",$F614=""),"",IFERROR(INDEX(Productos!$I$5:$I$504,MATCH($C614,Productos!$A$5:$A$504,0)),0)+SUMIFS($F$5:$F614,$C$5:$C614,$C614,$B$5:$B614,"Entrada")-SUMIFS($F$5:$F614,$C$5:$C614,$C614,$B$5:$B614,"Salida"))</f>
        <v/>
      </c>
      <c r="J614" s="20"/>
      <c r="K614" s="20"/>
      <c r="L614" s="20"/>
      <c r="M614" s="14" t="str">
        <f>IF(AND($C614&lt;&gt;"",$C614=Kardex!$C$4),COUNTIF($C$5:$C614,Kardex!$C$4),"")</f>
        <v/>
      </c>
    </row>
    <row r="615" spans="1:13" x14ac:dyDescent="0.25">
      <c r="A615" s="24"/>
      <c r="B615" s="20"/>
      <c r="C615" s="20"/>
      <c r="D615" s="14" t="str">
        <f>IF($C615="","",IFERROR(INDEX(Productos!$B$5:$B$504,MATCH($C615,Productos!$A$5:$A$504,0)),"Clave no existe"))</f>
        <v/>
      </c>
      <c r="E615" s="14" t="str">
        <f>IF($C615="","",IFERROR(INDEX(Productos!$D$5:$D$504,MATCH($C615,Productos!$A$5:$A$504,0)),""))</f>
        <v/>
      </c>
      <c r="F615" s="20"/>
      <c r="G615" s="22" t="str">
        <f>IF($C615="","",IFERROR(INDEX(Productos!$F$5:$F$504,MATCH($C615,Productos!$A$5:$A$504,0)),0))</f>
        <v/>
      </c>
      <c r="H615" s="22" t="str">
        <f t="shared" si="9"/>
        <v/>
      </c>
      <c r="I615" s="14" t="str">
        <f>IF(OR($C615="",$F615=""),"",IFERROR(INDEX(Productos!$I$5:$I$504,MATCH($C615,Productos!$A$5:$A$504,0)),0)+SUMIFS($F$5:$F615,$C$5:$C615,$C615,$B$5:$B615,"Entrada")-SUMIFS($F$5:$F615,$C$5:$C615,$C615,$B$5:$B615,"Salida"))</f>
        <v/>
      </c>
      <c r="J615" s="20"/>
      <c r="K615" s="20"/>
      <c r="L615" s="20"/>
      <c r="M615" s="14" t="str">
        <f>IF(AND($C615&lt;&gt;"",$C615=Kardex!$C$4),COUNTIF($C$5:$C615,Kardex!$C$4),"")</f>
        <v/>
      </c>
    </row>
    <row r="616" spans="1:13" x14ac:dyDescent="0.25">
      <c r="A616" s="24"/>
      <c r="B616" s="20"/>
      <c r="C616" s="20"/>
      <c r="D616" s="14" t="str">
        <f>IF($C616="","",IFERROR(INDEX(Productos!$B$5:$B$504,MATCH($C616,Productos!$A$5:$A$504,0)),"Clave no existe"))</f>
        <v/>
      </c>
      <c r="E616" s="14" t="str">
        <f>IF($C616="","",IFERROR(INDEX(Productos!$D$5:$D$504,MATCH($C616,Productos!$A$5:$A$504,0)),""))</f>
        <v/>
      </c>
      <c r="F616" s="20"/>
      <c r="G616" s="22" t="str">
        <f>IF($C616="","",IFERROR(INDEX(Productos!$F$5:$F$504,MATCH($C616,Productos!$A$5:$A$504,0)),0))</f>
        <v/>
      </c>
      <c r="H616" s="22" t="str">
        <f t="shared" si="9"/>
        <v/>
      </c>
      <c r="I616" s="14" t="str">
        <f>IF(OR($C616="",$F616=""),"",IFERROR(INDEX(Productos!$I$5:$I$504,MATCH($C616,Productos!$A$5:$A$504,0)),0)+SUMIFS($F$5:$F616,$C$5:$C616,$C616,$B$5:$B616,"Entrada")-SUMIFS($F$5:$F616,$C$5:$C616,$C616,$B$5:$B616,"Salida"))</f>
        <v/>
      </c>
      <c r="J616" s="20"/>
      <c r="K616" s="20"/>
      <c r="L616" s="20"/>
      <c r="M616" s="14" t="str">
        <f>IF(AND($C616&lt;&gt;"",$C616=Kardex!$C$4),COUNTIF($C$5:$C616,Kardex!$C$4),"")</f>
        <v/>
      </c>
    </row>
    <row r="617" spans="1:13" x14ac:dyDescent="0.25">
      <c r="A617" s="24"/>
      <c r="B617" s="20"/>
      <c r="C617" s="20"/>
      <c r="D617" s="14" t="str">
        <f>IF($C617="","",IFERROR(INDEX(Productos!$B$5:$B$504,MATCH($C617,Productos!$A$5:$A$504,0)),"Clave no existe"))</f>
        <v/>
      </c>
      <c r="E617" s="14" t="str">
        <f>IF($C617="","",IFERROR(INDEX(Productos!$D$5:$D$504,MATCH($C617,Productos!$A$5:$A$504,0)),""))</f>
        <v/>
      </c>
      <c r="F617" s="20"/>
      <c r="G617" s="22" t="str">
        <f>IF($C617="","",IFERROR(INDEX(Productos!$F$5:$F$504,MATCH($C617,Productos!$A$5:$A$504,0)),0))</f>
        <v/>
      </c>
      <c r="H617" s="22" t="str">
        <f t="shared" si="9"/>
        <v/>
      </c>
      <c r="I617" s="14" t="str">
        <f>IF(OR($C617="",$F617=""),"",IFERROR(INDEX(Productos!$I$5:$I$504,MATCH($C617,Productos!$A$5:$A$504,0)),0)+SUMIFS($F$5:$F617,$C$5:$C617,$C617,$B$5:$B617,"Entrada")-SUMIFS($F$5:$F617,$C$5:$C617,$C617,$B$5:$B617,"Salida"))</f>
        <v/>
      </c>
      <c r="J617" s="20"/>
      <c r="K617" s="20"/>
      <c r="L617" s="20"/>
      <c r="M617" s="14" t="str">
        <f>IF(AND($C617&lt;&gt;"",$C617=Kardex!$C$4),COUNTIF($C$5:$C617,Kardex!$C$4),"")</f>
        <v/>
      </c>
    </row>
    <row r="618" spans="1:13" x14ac:dyDescent="0.25">
      <c r="A618" s="24"/>
      <c r="B618" s="20"/>
      <c r="C618" s="20"/>
      <c r="D618" s="14" t="str">
        <f>IF($C618="","",IFERROR(INDEX(Productos!$B$5:$B$504,MATCH($C618,Productos!$A$5:$A$504,0)),"Clave no existe"))</f>
        <v/>
      </c>
      <c r="E618" s="14" t="str">
        <f>IF($C618="","",IFERROR(INDEX(Productos!$D$5:$D$504,MATCH($C618,Productos!$A$5:$A$504,0)),""))</f>
        <v/>
      </c>
      <c r="F618" s="20"/>
      <c r="G618" s="22" t="str">
        <f>IF($C618="","",IFERROR(INDEX(Productos!$F$5:$F$504,MATCH($C618,Productos!$A$5:$A$504,0)),0))</f>
        <v/>
      </c>
      <c r="H618" s="22" t="str">
        <f t="shared" si="9"/>
        <v/>
      </c>
      <c r="I618" s="14" t="str">
        <f>IF(OR($C618="",$F618=""),"",IFERROR(INDEX(Productos!$I$5:$I$504,MATCH($C618,Productos!$A$5:$A$504,0)),0)+SUMIFS($F$5:$F618,$C$5:$C618,$C618,$B$5:$B618,"Entrada")-SUMIFS($F$5:$F618,$C$5:$C618,$C618,$B$5:$B618,"Salida"))</f>
        <v/>
      </c>
      <c r="J618" s="20"/>
      <c r="K618" s="20"/>
      <c r="L618" s="20"/>
      <c r="M618" s="14" t="str">
        <f>IF(AND($C618&lt;&gt;"",$C618=Kardex!$C$4),COUNTIF($C$5:$C618,Kardex!$C$4),"")</f>
        <v/>
      </c>
    </row>
    <row r="619" spans="1:13" x14ac:dyDescent="0.25">
      <c r="A619" s="24"/>
      <c r="B619" s="20"/>
      <c r="C619" s="20"/>
      <c r="D619" s="14" t="str">
        <f>IF($C619="","",IFERROR(INDEX(Productos!$B$5:$B$504,MATCH($C619,Productos!$A$5:$A$504,0)),"Clave no existe"))</f>
        <v/>
      </c>
      <c r="E619" s="14" t="str">
        <f>IF($C619="","",IFERROR(INDEX(Productos!$D$5:$D$504,MATCH($C619,Productos!$A$5:$A$504,0)),""))</f>
        <v/>
      </c>
      <c r="F619" s="20"/>
      <c r="G619" s="22" t="str">
        <f>IF($C619="","",IFERROR(INDEX(Productos!$F$5:$F$504,MATCH($C619,Productos!$A$5:$A$504,0)),0))</f>
        <v/>
      </c>
      <c r="H619" s="22" t="str">
        <f t="shared" si="9"/>
        <v/>
      </c>
      <c r="I619" s="14" t="str">
        <f>IF(OR($C619="",$F619=""),"",IFERROR(INDEX(Productos!$I$5:$I$504,MATCH($C619,Productos!$A$5:$A$504,0)),0)+SUMIFS($F$5:$F619,$C$5:$C619,$C619,$B$5:$B619,"Entrada")-SUMIFS($F$5:$F619,$C$5:$C619,$C619,$B$5:$B619,"Salida"))</f>
        <v/>
      </c>
      <c r="J619" s="20"/>
      <c r="K619" s="20"/>
      <c r="L619" s="20"/>
      <c r="M619" s="14" t="str">
        <f>IF(AND($C619&lt;&gt;"",$C619=Kardex!$C$4),COUNTIF($C$5:$C619,Kardex!$C$4),"")</f>
        <v/>
      </c>
    </row>
    <row r="620" spans="1:13" x14ac:dyDescent="0.25">
      <c r="A620" s="24"/>
      <c r="B620" s="20"/>
      <c r="C620" s="20"/>
      <c r="D620" s="14" t="str">
        <f>IF($C620="","",IFERROR(INDEX(Productos!$B$5:$B$504,MATCH($C620,Productos!$A$5:$A$504,0)),"Clave no existe"))</f>
        <v/>
      </c>
      <c r="E620" s="14" t="str">
        <f>IF($C620="","",IFERROR(INDEX(Productos!$D$5:$D$504,MATCH($C620,Productos!$A$5:$A$504,0)),""))</f>
        <v/>
      </c>
      <c r="F620" s="20"/>
      <c r="G620" s="22" t="str">
        <f>IF($C620="","",IFERROR(INDEX(Productos!$F$5:$F$504,MATCH($C620,Productos!$A$5:$A$504,0)),0))</f>
        <v/>
      </c>
      <c r="H620" s="22" t="str">
        <f t="shared" si="9"/>
        <v/>
      </c>
      <c r="I620" s="14" t="str">
        <f>IF(OR($C620="",$F620=""),"",IFERROR(INDEX(Productos!$I$5:$I$504,MATCH($C620,Productos!$A$5:$A$504,0)),0)+SUMIFS($F$5:$F620,$C$5:$C620,$C620,$B$5:$B620,"Entrada")-SUMIFS($F$5:$F620,$C$5:$C620,$C620,$B$5:$B620,"Salida"))</f>
        <v/>
      </c>
      <c r="J620" s="20"/>
      <c r="K620" s="20"/>
      <c r="L620" s="20"/>
      <c r="M620" s="14" t="str">
        <f>IF(AND($C620&lt;&gt;"",$C620=Kardex!$C$4),COUNTIF($C$5:$C620,Kardex!$C$4),"")</f>
        <v/>
      </c>
    </row>
    <row r="621" spans="1:13" x14ac:dyDescent="0.25">
      <c r="A621" s="24"/>
      <c r="B621" s="20"/>
      <c r="C621" s="20"/>
      <c r="D621" s="14" t="str">
        <f>IF($C621="","",IFERROR(INDEX(Productos!$B$5:$B$504,MATCH($C621,Productos!$A$5:$A$504,0)),"Clave no existe"))</f>
        <v/>
      </c>
      <c r="E621" s="14" t="str">
        <f>IF($C621="","",IFERROR(INDEX(Productos!$D$5:$D$504,MATCH($C621,Productos!$A$5:$A$504,0)),""))</f>
        <v/>
      </c>
      <c r="F621" s="20"/>
      <c r="G621" s="22" t="str">
        <f>IF($C621="","",IFERROR(INDEX(Productos!$F$5:$F$504,MATCH($C621,Productos!$A$5:$A$504,0)),0))</f>
        <v/>
      </c>
      <c r="H621" s="22" t="str">
        <f t="shared" si="9"/>
        <v/>
      </c>
      <c r="I621" s="14" t="str">
        <f>IF(OR($C621="",$F621=""),"",IFERROR(INDEX(Productos!$I$5:$I$504,MATCH($C621,Productos!$A$5:$A$504,0)),0)+SUMIFS($F$5:$F621,$C$5:$C621,$C621,$B$5:$B621,"Entrada")-SUMIFS($F$5:$F621,$C$5:$C621,$C621,$B$5:$B621,"Salida"))</f>
        <v/>
      </c>
      <c r="J621" s="20"/>
      <c r="K621" s="20"/>
      <c r="L621" s="20"/>
      <c r="M621" s="14" t="str">
        <f>IF(AND($C621&lt;&gt;"",$C621=Kardex!$C$4),COUNTIF($C$5:$C621,Kardex!$C$4),"")</f>
        <v/>
      </c>
    </row>
    <row r="622" spans="1:13" x14ac:dyDescent="0.25">
      <c r="A622" s="24"/>
      <c r="B622" s="20"/>
      <c r="C622" s="20"/>
      <c r="D622" s="14" t="str">
        <f>IF($C622="","",IFERROR(INDEX(Productos!$B$5:$B$504,MATCH($C622,Productos!$A$5:$A$504,0)),"Clave no existe"))</f>
        <v/>
      </c>
      <c r="E622" s="14" t="str">
        <f>IF($C622="","",IFERROR(INDEX(Productos!$D$5:$D$504,MATCH($C622,Productos!$A$5:$A$504,0)),""))</f>
        <v/>
      </c>
      <c r="F622" s="20"/>
      <c r="G622" s="22" t="str">
        <f>IF($C622="","",IFERROR(INDEX(Productos!$F$5:$F$504,MATCH($C622,Productos!$A$5:$A$504,0)),0))</f>
        <v/>
      </c>
      <c r="H622" s="22" t="str">
        <f t="shared" si="9"/>
        <v/>
      </c>
      <c r="I622" s="14" t="str">
        <f>IF(OR($C622="",$F622=""),"",IFERROR(INDEX(Productos!$I$5:$I$504,MATCH($C622,Productos!$A$5:$A$504,0)),0)+SUMIFS($F$5:$F622,$C$5:$C622,$C622,$B$5:$B622,"Entrada")-SUMIFS($F$5:$F622,$C$5:$C622,$C622,$B$5:$B622,"Salida"))</f>
        <v/>
      </c>
      <c r="J622" s="20"/>
      <c r="K622" s="20"/>
      <c r="L622" s="20"/>
      <c r="M622" s="14" t="str">
        <f>IF(AND($C622&lt;&gt;"",$C622=Kardex!$C$4),COUNTIF($C$5:$C622,Kardex!$C$4),"")</f>
        <v/>
      </c>
    </row>
    <row r="623" spans="1:13" x14ac:dyDescent="0.25">
      <c r="A623" s="24"/>
      <c r="B623" s="20"/>
      <c r="C623" s="20"/>
      <c r="D623" s="14" t="str">
        <f>IF($C623="","",IFERROR(INDEX(Productos!$B$5:$B$504,MATCH($C623,Productos!$A$5:$A$504,0)),"Clave no existe"))</f>
        <v/>
      </c>
      <c r="E623" s="14" t="str">
        <f>IF($C623="","",IFERROR(INDEX(Productos!$D$5:$D$504,MATCH($C623,Productos!$A$5:$A$504,0)),""))</f>
        <v/>
      </c>
      <c r="F623" s="20"/>
      <c r="G623" s="22" t="str">
        <f>IF($C623="","",IFERROR(INDEX(Productos!$F$5:$F$504,MATCH($C623,Productos!$A$5:$A$504,0)),0))</f>
        <v/>
      </c>
      <c r="H623" s="22" t="str">
        <f t="shared" si="9"/>
        <v/>
      </c>
      <c r="I623" s="14" t="str">
        <f>IF(OR($C623="",$F623=""),"",IFERROR(INDEX(Productos!$I$5:$I$504,MATCH($C623,Productos!$A$5:$A$504,0)),0)+SUMIFS($F$5:$F623,$C$5:$C623,$C623,$B$5:$B623,"Entrada")-SUMIFS($F$5:$F623,$C$5:$C623,$C623,$B$5:$B623,"Salida"))</f>
        <v/>
      </c>
      <c r="J623" s="20"/>
      <c r="K623" s="20"/>
      <c r="L623" s="20"/>
      <c r="M623" s="14" t="str">
        <f>IF(AND($C623&lt;&gt;"",$C623=Kardex!$C$4),COUNTIF($C$5:$C623,Kardex!$C$4),"")</f>
        <v/>
      </c>
    </row>
    <row r="624" spans="1:13" x14ac:dyDescent="0.25">
      <c r="A624" s="24"/>
      <c r="B624" s="20"/>
      <c r="C624" s="20"/>
      <c r="D624" s="14" t="str">
        <f>IF($C624="","",IFERROR(INDEX(Productos!$B$5:$B$504,MATCH($C624,Productos!$A$5:$A$504,0)),"Clave no existe"))</f>
        <v/>
      </c>
      <c r="E624" s="14" t="str">
        <f>IF($C624="","",IFERROR(INDEX(Productos!$D$5:$D$504,MATCH($C624,Productos!$A$5:$A$504,0)),""))</f>
        <v/>
      </c>
      <c r="F624" s="20"/>
      <c r="G624" s="22" t="str">
        <f>IF($C624="","",IFERROR(INDEX(Productos!$F$5:$F$504,MATCH($C624,Productos!$A$5:$A$504,0)),0))</f>
        <v/>
      </c>
      <c r="H624" s="22" t="str">
        <f t="shared" si="9"/>
        <v/>
      </c>
      <c r="I624" s="14" t="str">
        <f>IF(OR($C624="",$F624=""),"",IFERROR(INDEX(Productos!$I$5:$I$504,MATCH($C624,Productos!$A$5:$A$504,0)),0)+SUMIFS($F$5:$F624,$C$5:$C624,$C624,$B$5:$B624,"Entrada")-SUMIFS($F$5:$F624,$C$5:$C624,$C624,$B$5:$B624,"Salida"))</f>
        <v/>
      </c>
      <c r="J624" s="20"/>
      <c r="K624" s="20"/>
      <c r="L624" s="20"/>
      <c r="M624" s="14" t="str">
        <f>IF(AND($C624&lt;&gt;"",$C624=Kardex!$C$4),COUNTIF($C$5:$C624,Kardex!$C$4),"")</f>
        <v/>
      </c>
    </row>
    <row r="625" spans="1:13" x14ac:dyDescent="0.25">
      <c r="A625" s="24"/>
      <c r="B625" s="20"/>
      <c r="C625" s="20"/>
      <c r="D625" s="14" t="str">
        <f>IF($C625="","",IFERROR(INDEX(Productos!$B$5:$B$504,MATCH($C625,Productos!$A$5:$A$504,0)),"Clave no existe"))</f>
        <v/>
      </c>
      <c r="E625" s="14" t="str">
        <f>IF($C625="","",IFERROR(INDEX(Productos!$D$5:$D$504,MATCH($C625,Productos!$A$5:$A$504,0)),""))</f>
        <v/>
      </c>
      <c r="F625" s="20"/>
      <c r="G625" s="22" t="str">
        <f>IF($C625="","",IFERROR(INDEX(Productos!$F$5:$F$504,MATCH($C625,Productos!$A$5:$A$504,0)),0))</f>
        <v/>
      </c>
      <c r="H625" s="22" t="str">
        <f t="shared" si="9"/>
        <v/>
      </c>
      <c r="I625" s="14" t="str">
        <f>IF(OR($C625="",$F625=""),"",IFERROR(INDEX(Productos!$I$5:$I$504,MATCH($C625,Productos!$A$5:$A$504,0)),0)+SUMIFS($F$5:$F625,$C$5:$C625,$C625,$B$5:$B625,"Entrada")-SUMIFS($F$5:$F625,$C$5:$C625,$C625,$B$5:$B625,"Salida"))</f>
        <v/>
      </c>
      <c r="J625" s="20"/>
      <c r="K625" s="20"/>
      <c r="L625" s="20"/>
      <c r="M625" s="14" t="str">
        <f>IF(AND($C625&lt;&gt;"",$C625=Kardex!$C$4),COUNTIF($C$5:$C625,Kardex!$C$4),"")</f>
        <v/>
      </c>
    </row>
    <row r="626" spans="1:13" x14ac:dyDescent="0.25">
      <c r="A626" s="24"/>
      <c r="B626" s="20"/>
      <c r="C626" s="20"/>
      <c r="D626" s="14" t="str">
        <f>IF($C626="","",IFERROR(INDEX(Productos!$B$5:$B$504,MATCH($C626,Productos!$A$5:$A$504,0)),"Clave no existe"))</f>
        <v/>
      </c>
      <c r="E626" s="14" t="str">
        <f>IF($C626="","",IFERROR(INDEX(Productos!$D$5:$D$504,MATCH($C626,Productos!$A$5:$A$504,0)),""))</f>
        <v/>
      </c>
      <c r="F626" s="20"/>
      <c r="G626" s="22" t="str">
        <f>IF($C626="","",IFERROR(INDEX(Productos!$F$5:$F$504,MATCH($C626,Productos!$A$5:$A$504,0)),0))</f>
        <v/>
      </c>
      <c r="H626" s="22" t="str">
        <f t="shared" si="9"/>
        <v/>
      </c>
      <c r="I626" s="14" t="str">
        <f>IF(OR($C626="",$F626=""),"",IFERROR(INDEX(Productos!$I$5:$I$504,MATCH($C626,Productos!$A$5:$A$504,0)),0)+SUMIFS($F$5:$F626,$C$5:$C626,$C626,$B$5:$B626,"Entrada")-SUMIFS($F$5:$F626,$C$5:$C626,$C626,$B$5:$B626,"Salida"))</f>
        <v/>
      </c>
      <c r="J626" s="20"/>
      <c r="K626" s="20"/>
      <c r="L626" s="20"/>
      <c r="M626" s="14" t="str">
        <f>IF(AND($C626&lt;&gt;"",$C626=Kardex!$C$4),COUNTIF($C$5:$C626,Kardex!$C$4),"")</f>
        <v/>
      </c>
    </row>
    <row r="627" spans="1:13" x14ac:dyDescent="0.25">
      <c r="A627" s="24"/>
      <c r="B627" s="20"/>
      <c r="C627" s="20"/>
      <c r="D627" s="14" t="str">
        <f>IF($C627="","",IFERROR(INDEX(Productos!$B$5:$B$504,MATCH($C627,Productos!$A$5:$A$504,0)),"Clave no existe"))</f>
        <v/>
      </c>
      <c r="E627" s="14" t="str">
        <f>IF($C627="","",IFERROR(INDEX(Productos!$D$5:$D$504,MATCH($C627,Productos!$A$5:$A$504,0)),""))</f>
        <v/>
      </c>
      <c r="F627" s="20"/>
      <c r="G627" s="22" t="str">
        <f>IF($C627="","",IFERROR(INDEX(Productos!$F$5:$F$504,MATCH($C627,Productos!$A$5:$A$504,0)),0))</f>
        <v/>
      </c>
      <c r="H627" s="22" t="str">
        <f t="shared" si="9"/>
        <v/>
      </c>
      <c r="I627" s="14" t="str">
        <f>IF(OR($C627="",$F627=""),"",IFERROR(INDEX(Productos!$I$5:$I$504,MATCH($C627,Productos!$A$5:$A$504,0)),0)+SUMIFS($F$5:$F627,$C$5:$C627,$C627,$B$5:$B627,"Entrada")-SUMIFS($F$5:$F627,$C$5:$C627,$C627,$B$5:$B627,"Salida"))</f>
        <v/>
      </c>
      <c r="J627" s="20"/>
      <c r="K627" s="20"/>
      <c r="L627" s="20"/>
      <c r="M627" s="14" t="str">
        <f>IF(AND($C627&lt;&gt;"",$C627=Kardex!$C$4),COUNTIF($C$5:$C627,Kardex!$C$4),"")</f>
        <v/>
      </c>
    </row>
    <row r="628" spans="1:13" x14ac:dyDescent="0.25">
      <c r="A628" s="24"/>
      <c r="B628" s="20"/>
      <c r="C628" s="20"/>
      <c r="D628" s="14" t="str">
        <f>IF($C628="","",IFERROR(INDEX(Productos!$B$5:$B$504,MATCH($C628,Productos!$A$5:$A$504,0)),"Clave no existe"))</f>
        <v/>
      </c>
      <c r="E628" s="14" t="str">
        <f>IF($C628="","",IFERROR(INDEX(Productos!$D$5:$D$504,MATCH($C628,Productos!$A$5:$A$504,0)),""))</f>
        <v/>
      </c>
      <c r="F628" s="20"/>
      <c r="G628" s="22" t="str">
        <f>IF($C628="","",IFERROR(INDEX(Productos!$F$5:$F$504,MATCH($C628,Productos!$A$5:$A$504,0)),0))</f>
        <v/>
      </c>
      <c r="H628" s="22" t="str">
        <f t="shared" si="9"/>
        <v/>
      </c>
      <c r="I628" s="14" t="str">
        <f>IF(OR($C628="",$F628=""),"",IFERROR(INDEX(Productos!$I$5:$I$504,MATCH($C628,Productos!$A$5:$A$504,0)),0)+SUMIFS($F$5:$F628,$C$5:$C628,$C628,$B$5:$B628,"Entrada")-SUMIFS($F$5:$F628,$C$5:$C628,$C628,$B$5:$B628,"Salida"))</f>
        <v/>
      </c>
      <c r="J628" s="20"/>
      <c r="K628" s="20"/>
      <c r="L628" s="20"/>
      <c r="M628" s="14" t="str">
        <f>IF(AND($C628&lt;&gt;"",$C628=Kardex!$C$4),COUNTIF($C$5:$C628,Kardex!$C$4),"")</f>
        <v/>
      </c>
    </row>
    <row r="629" spans="1:13" x14ac:dyDescent="0.25">
      <c r="A629" s="24"/>
      <c r="B629" s="20"/>
      <c r="C629" s="20"/>
      <c r="D629" s="14" t="str">
        <f>IF($C629="","",IFERROR(INDEX(Productos!$B$5:$B$504,MATCH($C629,Productos!$A$5:$A$504,0)),"Clave no existe"))</f>
        <v/>
      </c>
      <c r="E629" s="14" t="str">
        <f>IF($C629="","",IFERROR(INDEX(Productos!$D$5:$D$504,MATCH($C629,Productos!$A$5:$A$504,0)),""))</f>
        <v/>
      </c>
      <c r="F629" s="20"/>
      <c r="G629" s="22" t="str">
        <f>IF($C629="","",IFERROR(INDEX(Productos!$F$5:$F$504,MATCH($C629,Productos!$A$5:$A$504,0)),0))</f>
        <v/>
      </c>
      <c r="H629" s="22" t="str">
        <f t="shared" si="9"/>
        <v/>
      </c>
      <c r="I629" s="14" t="str">
        <f>IF(OR($C629="",$F629=""),"",IFERROR(INDEX(Productos!$I$5:$I$504,MATCH($C629,Productos!$A$5:$A$504,0)),0)+SUMIFS($F$5:$F629,$C$5:$C629,$C629,$B$5:$B629,"Entrada")-SUMIFS($F$5:$F629,$C$5:$C629,$C629,$B$5:$B629,"Salida"))</f>
        <v/>
      </c>
      <c r="J629" s="20"/>
      <c r="K629" s="20"/>
      <c r="L629" s="20"/>
      <c r="M629" s="14" t="str">
        <f>IF(AND($C629&lt;&gt;"",$C629=Kardex!$C$4),COUNTIF($C$5:$C629,Kardex!$C$4),"")</f>
        <v/>
      </c>
    </row>
    <row r="630" spans="1:13" x14ac:dyDescent="0.25">
      <c r="A630" s="24"/>
      <c r="B630" s="20"/>
      <c r="C630" s="20"/>
      <c r="D630" s="14" t="str">
        <f>IF($C630="","",IFERROR(INDEX(Productos!$B$5:$B$504,MATCH($C630,Productos!$A$5:$A$504,0)),"Clave no existe"))</f>
        <v/>
      </c>
      <c r="E630" s="14" t="str">
        <f>IF($C630="","",IFERROR(INDEX(Productos!$D$5:$D$504,MATCH($C630,Productos!$A$5:$A$504,0)),""))</f>
        <v/>
      </c>
      <c r="F630" s="20"/>
      <c r="G630" s="22" t="str">
        <f>IF($C630="","",IFERROR(INDEX(Productos!$F$5:$F$504,MATCH($C630,Productos!$A$5:$A$504,0)),0))</f>
        <v/>
      </c>
      <c r="H630" s="22" t="str">
        <f t="shared" si="9"/>
        <v/>
      </c>
      <c r="I630" s="14" t="str">
        <f>IF(OR($C630="",$F630=""),"",IFERROR(INDEX(Productos!$I$5:$I$504,MATCH($C630,Productos!$A$5:$A$504,0)),0)+SUMIFS($F$5:$F630,$C$5:$C630,$C630,$B$5:$B630,"Entrada")-SUMIFS($F$5:$F630,$C$5:$C630,$C630,$B$5:$B630,"Salida"))</f>
        <v/>
      </c>
      <c r="J630" s="20"/>
      <c r="K630" s="20"/>
      <c r="L630" s="20"/>
      <c r="M630" s="14" t="str">
        <f>IF(AND($C630&lt;&gt;"",$C630=Kardex!$C$4),COUNTIF($C$5:$C630,Kardex!$C$4),"")</f>
        <v/>
      </c>
    </row>
    <row r="631" spans="1:13" x14ac:dyDescent="0.25">
      <c r="A631" s="24"/>
      <c r="B631" s="20"/>
      <c r="C631" s="20"/>
      <c r="D631" s="14" t="str">
        <f>IF($C631="","",IFERROR(INDEX(Productos!$B$5:$B$504,MATCH($C631,Productos!$A$5:$A$504,0)),"Clave no existe"))</f>
        <v/>
      </c>
      <c r="E631" s="14" t="str">
        <f>IF($C631="","",IFERROR(INDEX(Productos!$D$5:$D$504,MATCH($C631,Productos!$A$5:$A$504,0)),""))</f>
        <v/>
      </c>
      <c r="F631" s="20"/>
      <c r="G631" s="22" t="str">
        <f>IF($C631="","",IFERROR(INDEX(Productos!$F$5:$F$504,MATCH($C631,Productos!$A$5:$A$504,0)),0))</f>
        <v/>
      </c>
      <c r="H631" s="22" t="str">
        <f t="shared" si="9"/>
        <v/>
      </c>
      <c r="I631" s="14" t="str">
        <f>IF(OR($C631="",$F631=""),"",IFERROR(INDEX(Productos!$I$5:$I$504,MATCH($C631,Productos!$A$5:$A$504,0)),0)+SUMIFS($F$5:$F631,$C$5:$C631,$C631,$B$5:$B631,"Entrada")-SUMIFS($F$5:$F631,$C$5:$C631,$C631,$B$5:$B631,"Salida"))</f>
        <v/>
      </c>
      <c r="J631" s="20"/>
      <c r="K631" s="20"/>
      <c r="L631" s="20"/>
      <c r="M631" s="14" t="str">
        <f>IF(AND($C631&lt;&gt;"",$C631=Kardex!$C$4),COUNTIF($C$5:$C631,Kardex!$C$4),"")</f>
        <v/>
      </c>
    </row>
    <row r="632" spans="1:13" x14ac:dyDescent="0.25">
      <c r="A632" s="24"/>
      <c r="B632" s="20"/>
      <c r="C632" s="20"/>
      <c r="D632" s="14" t="str">
        <f>IF($C632="","",IFERROR(INDEX(Productos!$B$5:$B$504,MATCH($C632,Productos!$A$5:$A$504,0)),"Clave no existe"))</f>
        <v/>
      </c>
      <c r="E632" s="14" t="str">
        <f>IF($C632="","",IFERROR(INDEX(Productos!$D$5:$D$504,MATCH($C632,Productos!$A$5:$A$504,0)),""))</f>
        <v/>
      </c>
      <c r="F632" s="20"/>
      <c r="G632" s="22" t="str">
        <f>IF($C632="","",IFERROR(INDEX(Productos!$F$5:$F$504,MATCH($C632,Productos!$A$5:$A$504,0)),0))</f>
        <v/>
      </c>
      <c r="H632" s="22" t="str">
        <f t="shared" si="9"/>
        <v/>
      </c>
      <c r="I632" s="14" t="str">
        <f>IF(OR($C632="",$F632=""),"",IFERROR(INDEX(Productos!$I$5:$I$504,MATCH($C632,Productos!$A$5:$A$504,0)),0)+SUMIFS($F$5:$F632,$C$5:$C632,$C632,$B$5:$B632,"Entrada")-SUMIFS($F$5:$F632,$C$5:$C632,$C632,$B$5:$B632,"Salida"))</f>
        <v/>
      </c>
      <c r="J632" s="20"/>
      <c r="K632" s="20"/>
      <c r="L632" s="20"/>
      <c r="M632" s="14" t="str">
        <f>IF(AND($C632&lt;&gt;"",$C632=Kardex!$C$4),COUNTIF($C$5:$C632,Kardex!$C$4),"")</f>
        <v/>
      </c>
    </row>
    <row r="633" spans="1:13" x14ac:dyDescent="0.25">
      <c r="A633" s="24"/>
      <c r="B633" s="20"/>
      <c r="C633" s="20"/>
      <c r="D633" s="14" t="str">
        <f>IF($C633="","",IFERROR(INDEX(Productos!$B$5:$B$504,MATCH($C633,Productos!$A$5:$A$504,0)),"Clave no existe"))</f>
        <v/>
      </c>
      <c r="E633" s="14" t="str">
        <f>IF($C633="","",IFERROR(INDEX(Productos!$D$5:$D$504,MATCH($C633,Productos!$A$5:$A$504,0)),""))</f>
        <v/>
      </c>
      <c r="F633" s="20"/>
      <c r="G633" s="22" t="str">
        <f>IF($C633="","",IFERROR(INDEX(Productos!$F$5:$F$504,MATCH($C633,Productos!$A$5:$A$504,0)),0))</f>
        <v/>
      </c>
      <c r="H633" s="22" t="str">
        <f t="shared" si="9"/>
        <v/>
      </c>
      <c r="I633" s="14" t="str">
        <f>IF(OR($C633="",$F633=""),"",IFERROR(INDEX(Productos!$I$5:$I$504,MATCH($C633,Productos!$A$5:$A$504,0)),0)+SUMIFS($F$5:$F633,$C$5:$C633,$C633,$B$5:$B633,"Entrada")-SUMIFS($F$5:$F633,$C$5:$C633,$C633,$B$5:$B633,"Salida"))</f>
        <v/>
      </c>
      <c r="J633" s="20"/>
      <c r="K633" s="20"/>
      <c r="L633" s="20"/>
      <c r="M633" s="14" t="str">
        <f>IF(AND($C633&lt;&gt;"",$C633=Kardex!$C$4),COUNTIF($C$5:$C633,Kardex!$C$4),"")</f>
        <v/>
      </c>
    </row>
    <row r="634" spans="1:13" x14ac:dyDescent="0.25">
      <c r="A634" s="24"/>
      <c r="B634" s="20"/>
      <c r="C634" s="20"/>
      <c r="D634" s="14" t="str">
        <f>IF($C634="","",IFERROR(INDEX(Productos!$B$5:$B$504,MATCH($C634,Productos!$A$5:$A$504,0)),"Clave no existe"))</f>
        <v/>
      </c>
      <c r="E634" s="14" t="str">
        <f>IF($C634="","",IFERROR(INDEX(Productos!$D$5:$D$504,MATCH($C634,Productos!$A$5:$A$504,0)),""))</f>
        <v/>
      </c>
      <c r="F634" s="20"/>
      <c r="G634" s="22" t="str">
        <f>IF($C634="","",IFERROR(INDEX(Productos!$F$5:$F$504,MATCH($C634,Productos!$A$5:$A$504,0)),0))</f>
        <v/>
      </c>
      <c r="H634" s="22" t="str">
        <f t="shared" si="9"/>
        <v/>
      </c>
      <c r="I634" s="14" t="str">
        <f>IF(OR($C634="",$F634=""),"",IFERROR(INDEX(Productos!$I$5:$I$504,MATCH($C634,Productos!$A$5:$A$504,0)),0)+SUMIFS($F$5:$F634,$C$5:$C634,$C634,$B$5:$B634,"Entrada")-SUMIFS($F$5:$F634,$C$5:$C634,$C634,$B$5:$B634,"Salida"))</f>
        <v/>
      </c>
      <c r="J634" s="20"/>
      <c r="K634" s="20"/>
      <c r="L634" s="20"/>
      <c r="M634" s="14" t="str">
        <f>IF(AND($C634&lt;&gt;"",$C634=Kardex!$C$4),COUNTIF($C$5:$C634,Kardex!$C$4),"")</f>
        <v/>
      </c>
    </row>
    <row r="635" spans="1:13" x14ac:dyDescent="0.25">
      <c r="A635" s="24"/>
      <c r="B635" s="20"/>
      <c r="C635" s="20"/>
      <c r="D635" s="14" t="str">
        <f>IF($C635="","",IFERROR(INDEX(Productos!$B$5:$B$504,MATCH($C635,Productos!$A$5:$A$504,0)),"Clave no existe"))</f>
        <v/>
      </c>
      <c r="E635" s="14" t="str">
        <f>IF($C635="","",IFERROR(INDEX(Productos!$D$5:$D$504,MATCH($C635,Productos!$A$5:$A$504,0)),""))</f>
        <v/>
      </c>
      <c r="F635" s="20"/>
      <c r="G635" s="22" t="str">
        <f>IF($C635="","",IFERROR(INDEX(Productos!$F$5:$F$504,MATCH($C635,Productos!$A$5:$A$504,0)),0))</f>
        <v/>
      </c>
      <c r="H635" s="22" t="str">
        <f t="shared" si="9"/>
        <v/>
      </c>
      <c r="I635" s="14" t="str">
        <f>IF(OR($C635="",$F635=""),"",IFERROR(INDEX(Productos!$I$5:$I$504,MATCH($C635,Productos!$A$5:$A$504,0)),0)+SUMIFS($F$5:$F635,$C$5:$C635,$C635,$B$5:$B635,"Entrada")-SUMIFS($F$5:$F635,$C$5:$C635,$C635,$B$5:$B635,"Salida"))</f>
        <v/>
      </c>
      <c r="J635" s="20"/>
      <c r="K635" s="20"/>
      <c r="L635" s="20"/>
      <c r="M635" s="14" t="str">
        <f>IF(AND($C635&lt;&gt;"",$C635=Kardex!$C$4),COUNTIF($C$5:$C635,Kardex!$C$4),"")</f>
        <v/>
      </c>
    </row>
    <row r="636" spans="1:13" x14ac:dyDescent="0.25">
      <c r="A636" s="24"/>
      <c r="B636" s="20"/>
      <c r="C636" s="20"/>
      <c r="D636" s="14" t="str">
        <f>IF($C636="","",IFERROR(INDEX(Productos!$B$5:$B$504,MATCH($C636,Productos!$A$5:$A$504,0)),"Clave no existe"))</f>
        <v/>
      </c>
      <c r="E636" s="14" t="str">
        <f>IF($C636="","",IFERROR(INDEX(Productos!$D$5:$D$504,MATCH($C636,Productos!$A$5:$A$504,0)),""))</f>
        <v/>
      </c>
      <c r="F636" s="20"/>
      <c r="G636" s="22" t="str">
        <f>IF($C636="","",IFERROR(INDEX(Productos!$F$5:$F$504,MATCH($C636,Productos!$A$5:$A$504,0)),0))</f>
        <v/>
      </c>
      <c r="H636" s="22" t="str">
        <f t="shared" si="9"/>
        <v/>
      </c>
      <c r="I636" s="14" t="str">
        <f>IF(OR($C636="",$F636=""),"",IFERROR(INDEX(Productos!$I$5:$I$504,MATCH($C636,Productos!$A$5:$A$504,0)),0)+SUMIFS($F$5:$F636,$C$5:$C636,$C636,$B$5:$B636,"Entrada")-SUMIFS($F$5:$F636,$C$5:$C636,$C636,$B$5:$B636,"Salida"))</f>
        <v/>
      </c>
      <c r="J636" s="20"/>
      <c r="K636" s="20"/>
      <c r="L636" s="20"/>
      <c r="M636" s="14" t="str">
        <f>IF(AND($C636&lt;&gt;"",$C636=Kardex!$C$4),COUNTIF($C$5:$C636,Kardex!$C$4),"")</f>
        <v/>
      </c>
    </row>
    <row r="637" spans="1:13" x14ac:dyDescent="0.25">
      <c r="A637" s="24"/>
      <c r="B637" s="20"/>
      <c r="C637" s="20"/>
      <c r="D637" s="14" t="str">
        <f>IF($C637="","",IFERROR(INDEX(Productos!$B$5:$B$504,MATCH($C637,Productos!$A$5:$A$504,0)),"Clave no existe"))</f>
        <v/>
      </c>
      <c r="E637" s="14" t="str">
        <f>IF($C637="","",IFERROR(INDEX(Productos!$D$5:$D$504,MATCH($C637,Productos!$A$5:$A$504,0)),""))</f>
        <v/>
      </c>
      <c r="F637" s="20"/>
      <c r="G637" s="22" t="str">
        <f>IF($C637="","",IFERROR(INDEX(Productos!$F$5:$F$504,MATCH($C637,Productos!$A$5:$A$504,0)),0))</f>
        <v/>
      </c>
      <c r="H637" s="22" t="str">
        <f t="shared" si="9"/>
        <v/>
      </c>
      <c r="I637" s="14" t="str">
        <f>IF(OR($C637="",$F637=""),"",IFERROR(INDEX(Productos!$I$5:$I$504,MATCH($C637,Productos!$A$5:$A$504,0)),0)+SUMIFS($F$5:$F637,$C$5:$C637,$C637,$B$5:$B637,"Entrada")-SUMIFS($F$5:$F637,$C$5:$C637,$C637,$B$5:$B637,"Salida"))</f>
        <v/>
      </c>
      <c r="J637" s="20"/>
      <c r="K637" s="20"/>
      <c r="L637" s="20"/>
      <c r="M637" s="14" t="str">
        <f>IF(AND($C637&lt;&gt;"",$C637=Kardex!$C$4),COUNTIF($C$5:$C637,Kardex!$C$4),"")</f>
        <v/>
      </c>
    </row>
    <row r="638" spans="1:13" x14ac:dyDescent="0.25">
      <c r="A638" s="24"/>
      <c r="B638" s="20"/>
      <c r="C638" s="20"/>
      <c r="D638" s="14" t="str">
        <f>IF($C638="","",IFERROR(INDEX(Productos!$B$5:$B$504,MATCH($C638,Productos!$A$5:$A$504,0)),"Clave no existe"))</f>
        <v/>
      </c>
      <c r="E638" s="14" t="str">
        <f>IF($C638="","",IFERROR(INDEX(Productos!$D$5:$D$504,MATCH($C638,Productos!$A$5:$A$504,0)),""))</f>
        <v/>
      </c>
      <c r="F638" s="20"/>
      <c r="G638" s="22" t="str">
        <f>IF($C638="","",IFERROR(INDEX(Productos!$F$5:$F$504,MATCH($C638,Productos!$A$5:$A$504,0)),0))</f>
        <v/>
      </c>
      <c r="H638" s="22" t="str">
        <f t="shared" si="9"/>
        <v/>
      </c>
      <c r="I638" s="14" t="str">
        <f>IF(OR($C638="",$F638=""),"",IFERROR(INDEX(Productos!$I$5:$I$504,MATCH($C638,Productos!$A$5:$A$504,0)),0)+SUMIFS($F$5:$F638,$C$5:$C638,$C638,$B$5:$B638,"Entrada")-SUMIFS($F$5:$F638,$C$5:$C638,$C638,$B$5:$B638,"Salida"))</f>
        <v/>
      </c>
      <c r="J638" s="20"/>
      <c r="K638" s="20"/>
      <c r="L638" s="20"/>
      <c r="M638" s="14" t="str">
        <f>IF(AND($C638&lt;&gt;"",$C638=Kardex!$C$4),COUNTIF($C$5:$C638,Kardex!$C$4),"")</f>
        <v/>
      </c>
    </row>
    <row r="639" spans="1:13" x14ac:dyDescent="0.25">
      <c r="A639" s="24"/>
      <c r="B639" s="20"/>
      <c r="C639" s="20"/>
      <c r="D639" s="14" t="str">
        <f>IF($C639="","",IFERROR(INDEX(Productos!$B$5:$B$504,MATCH($C639,Productos!$A$5:$A$504,0)),"Clave no existe"))</f>
        <v/>
      </c>
      <c r="E639" s="14" t="str">
        <f>IF($C639="","",IFERROR(INDEX(Productos!$D$5:$D$504,MATCH($C639,Productos!$A$5:$A$504,0)),""))</f>
        <v/>
      </c>
      <c r="F639" s="20"/>
      <c r="G639" s="22" t="str">
        <f>IF($C639="","",IFERROR(INDEX(Productos!$F$5:$F$504,MATCH($C639,Productos!$A$5:$A$504,0)),0))</f>
        <v/>
      </c>
      <c r="H639" s="22" t="str">
        <f t="shared" si="9"/>
        <v/>
      </c>
      <c r="I639" s="14" t="str">
        <f>IF(OR($C639="",$F639=""),"",IFERROR(INDEX(Productos!$I$5:$I$504,MATCH($C639,Productos!$A$5:$A$504,0)),0)+SUMIFS($F$5:$F639,$C$5:$C639,$C639,$B$5:$B639,"Entrada")-SUMIFS($F$5:$F639,$C$5:$C639,$C639,$B$5:$B639,"Salida"))</f>
        <v/>
      </c>
      <c r="J639" s="20"/>
      <c r="K639" s="20"/>
      <c r="L639" s="20"/>
      <c r="M639" s="14" t="str">
        <f>IF(AND($C639&lt;&gt;"",$C639=Kardex!$C$4),COUNTIF($C$5:$C639,Kardex!$C$4),"")</f>
        <v/>
      </c>
    </row>
    <row r="640" spans="1:13" x14ac:dyDescent="0.25">
      <c r="A640" s="24"/>
      <c r="B640" s="20"/>
      <c r="C640" s="20"/>
      <c r="D640" s="14" t="str">
        <f>IF($C640="","",IFERROR(INDEX(Productos!$B$5:$B$504,MATCH($C640,Productos!$A$5:$A$504,0)),"Clave no existe"))</f>
        <v/>
      </c>
      <c r="E640" s="14" t="str">
        <f>IF($C640="","",IFERROR(INDEX(Productos!$D$5:$D$504,MATCH($C640,Productos!$A$5:$A$504,0)),""))</f>
        <v/>
      </c>
      <c r="F640" s="20"/>
      <c r="G640" s="22" t="str">
        <f>IF($C640="","",IFERROR(INDEX(Productos!$F$5:$F$504,MATCH($C640,Productos!$A$5:$A$504,0)),0))</f>
        <v/>
      </c>
      <c r="H640" s="22" t="str">
        <f t="shared" si="9"/>
        <v/>
      </c>
      <c r="I640" s="14" t="str">
        <f>IF(OR($C640="",$F640=""),"",IFERROR(INDEX(Productos!$I$5:$I$504,MATCH($C640,Productos!$A$5:$A$504,0)),0)+SUMIFS($F$5:$F640,$C$5:$C640,$C640,$B$5:$B640,"Entrada")-SUMIFS($F$5:$F640,$C$5:$C640,$C640,$B$5:$B640,"Salida"))</f>
        <v/>
      </c>
      <c r="J640" s="20"/>
      <c r="K640" s="20"/>
      <c r="L640" s="20"/>
      <c r="M640" s="14" t="str">
        <f>IF(AND($C640&lt;&gt;"",$C640=Kardex!$C$4),COUNTIF($C$5:$C640,Kardex!$C$4),"")</f>
        <v/>
      </c>
    </row>
    <row r="641" spans="1:13" x14ac:dyDescent="0.25">
      <c r="A641" s="24"/>
      <c r="B641" s="20"/>
      <c r="C641" s="20"/>
      <c r="D641" s="14" t="str">
        <f>IF($C641="","",IFERROR(INDEX(Productos!$B$5:$B$504,MATCH($C641,Productos!$A$5:$A$504,0)),"Clave no existe"))</f>
        <v/>
      </c>
      <c r="E641" s="14" t="str">
        <f>IF($C641="","",IFERROR(INDEX(Productos!$D$5:$D$504,MATCH($C641,Productos!$A$5:$A$504,0)),""))</f>
        <v/>
      </c>
      <c r="F641" s="20"/>
      <c r="G641" s="22" t="str">
        <f>IF($C641="","",IFERROR(INDEX(Productos!$F$5:$F$504,MATCH($C641,Productos!$A$5:$A$504,0)),0))</f>
        <v/>
      </c>
      <c r="H641" s="22" t="str">
        <f t="shared" si="9"/>
        <v/>
      </c>
      <c r="I641" s="14" t="str">
        <f>IF(OR($C641="",$F641=""),"",IFERROR(INDEX(Productos!$I$5:$I$504,MATCH($C641,Productos!$A$5:$A$504,0)),0)+SUMIFS($F$5:$F641,$C$5:$C641,$C641,$B$5:$B641,"Entrada")-SUMIFS($F$5:$F641,$C$5:$C641,$C641,$B$5:$B641,"Salida"))</f>
        <v/>
      </c>
      <c r="J641" s="20"/>
      <c r="K641" s="20"/>
      <c r="L641" s="20"/>
      <c r="M641" s="14" t="str">
        <f>IF(AND($C641&lt;&gt;"",$C641=Kardex!$C$4),COUNTIF($C$5:$C641,Kardex!$C$4),"")</f>
        <v/>
      </c>
    </row>
    <row r="642" spans="1:13" x14ac:dyDescent="0.25">
      <c r="A642" s="24"/>
      <c r="B642" s="20"/>
      <c r="C642" s="20"/>
      <c r="D642" s="14" t="str">
        <f>IF($C642="","",IFERROR(INDEX(Productos!$B$5:$B$504,MATCH($C642,Productos!$A$5:$A$504,0)),"Clave no existe"))</f>
        <v/>
      </c>
      <c r="E642" s="14" t="str">
        <f>IF($C642="","",IFERROR(INDEX(Productos!$D$5:$D$504,MATCH($C642,Productos!$A$5:$A$504,0)),""))</f>
        <v/>
      </c>
      <c r="F642" s="20"/>
      <c r="G642" s="22" t="str">
        <f>IF($C642="","",IFERROR(INDEX(Productos!$F$5:$F$504,MATCH($C642,Productos!$A$5:$A$504,0)),0))</f>
        <v/>
      </c>
      <c r="H642" s="22" t="str">
        <f t="shared" si="9"/>
        <v/>
      </c>
      <c r="I642" s="14" t="str">
        <f>IF(OR($C642="",$F642=""),"",IFERROR(INDEX(Productos!$I$5:$I$504,MATCH($C642,Productos!$A$5:$A$504,0)),0)+SUMIFS($F$5:$F642,$C$5:$C642,$C642,$B$5:$B642,"Entrada")-SUMIFS($F$5:$F642,$C$5:$C642,$C642,$B$5:$B642,"Salida"))</f>
        <v/>
      </c>
      <c r="J642" s="20"/>
      <c r="K642" s="20"/>
      <c r="L642" s="20"/>
      <c r="M642" s="14" t="str">
        <f>IF(AND($C642&lt;&gt;"",$C642=Kardex!$C$4),COUNTIF($C$5:$C642,Kardex!$C$4),"")</f>
        <v/>
      </c>
    </row>
    <row r="643" spans="1:13" x14ac:dyDescent="0.25">
      <c r="A643" s="24"/>
      <c r="B643" s="20"/>
      <c r="C643" s="20"/>
      <c r="D643" s="14" t="str">
        <f>IF($C643="","",IFERROR(INDEX(Productos!$B$5:$B$504,MATCH($C643,Productos!$A$5:$A$504,0)),"Clave no existe"))</f>
        <v/>
      </c>
      <c r="E643" s="14" t="str">
        <f>IF($C643="","",IFERROR(INDEX(Productos!$D$5:$D$504,MATCH($C643,Productos!$A$5:$A$504,0)),""))</f>
        <v/>
      </c>
      <c r="F643" s="20"/>
      <c r="G643" s="22" t="str">
        <f>IF($C643="","",IFERROR(INDEX(Productos!$F$5:$F$504,MATCH($C643,Productos!$A$5:$A$504,0)),0))</f>
        <v/>
      </c>
      <c r="H643" s="22" t="str">
        <f t="shared" si="9"/>
        <v/>
      </c>
      <c r="I643" s="14" t="str">
        <f>IF(OR($C643="",$F643=""),"",IFERROR(INDEX(Productos!$I$5:$I$504,MATCH($C643,Productos!$A$5:$A$504,0)),0)+SUMIFS($F$5:$F643,$C$5:$C643,$C643,$B$5:$B643,"Entrada")-SUMIFS($F$5:$F643,$C$5:$C643,$C643,$B$5:$B643,"Salida"))</f>
        <v/>
      </c>
      <c r="J643" s="20"/>
      <c r="K643" s="20"/>
      <c r="L643" s="20"/>
      <c r="M643" s="14" t="str">
        <f>IF(AND($C643&lt;&gt;"",$C643=Kardex!$C$4),COUNTIF($C$5:$C643,Kardex!$C$4),"")</f>
        <v/>
      </c>
    </row>
    <row r="644" spans="1:13" x14ac:dyDescent="0.25">
      <c r="A644" s="24"/>
      <c r="B644" s="20"/>
      <c r="C644" s="20"/>
      <c r="D644" s="14" t="str">
        <f>IF($C644="","",IFERROR(INDEX(Productos!$B$5:$B$504,MATCH($C644,Productos!$A$5:$A$504,0)),"Clave no existe"))</f>
        <v/>
      </c>
      <c r="E644" s="14" t="str">
        <f>IF($C644="","",IFERROR(INDEX(Productos!$D$5:$D$504,MATCH($C644,Productos!$A$5:$A$504,0)),""))</f>
        <v/>
      </c>
      <c r="F644" s="20"/>
      <c r="G644" s="22" t="str">
        <f>IF($C644="","",IFERROR(INDEX(Productos!$F$5:$F$504,MATCH($C644,Productos!$A$5:$A$504,0)),0))</f>
        <v/>
      </c>
      <c r="H644" s="22" t="str">
        <f t="shared" si="9"/>
        <v/>
      </c>
      <c r="I644" s="14" t="str">
        <f>IF(OR($C644="",$F644=""),"",IFERROR(INDEX(Productos!$I$5:$I$504,MATCH($C644,Productos!$A$5:$A$504,0)),0)+SUMIFS($F$5:$F644,$C$5:$C644,$C644,$B$5:$B644,"Entrada")-SUMIFS($F$5:$F644,$C$5:$C644,$C644,$B$5:$B644,"Salida"))</f>
        <v/>
      </c>
      <c r="J644" s="20"/>
      <c r="K644" s="20"/>
      <c r="L644" s="20"/>
      <c r="M644" s="14" t="str">
        <f>IF(AND($C644&lt;&gt;"",$C644=Kardex!$C$4),COUNTIF($C$5:$C644,Kardex!$C$4),"")</f>
        <v/>
      </c>
    </row>
    <row r="645" spans="1:13" x14ac:dyDescent="0.25">
      <c r="A645" s="24"/>
      <c r="B645" s="20"/>
      <c r="C645" s="20"/>
      <c r="D645" s="14" t="str">
        <f>IF($C645="","",IFERROR(INDEX(Productos!$B$5:$B$504,MATCH($C645,Productos!$A$5:$A$504,0)),"Clave no existe"))</f>
        <v/>
      </c>
      <c r="E645" s="14" t="str">
        <f>IF($C645="","",IFERROR(INDEX(Productos!$D$5:$D$504,MATCH($C645,Productos!$A$5:$A$504,0)),""))</f>
        <v/>
      </c>
      <c r="F645" s="20"/>
      <c r="G645" s="22" t="str">
        <f>IF($C645="","",IFERROR(INDEX(Productos!$F$5:$F$504,MATCH($C645,Productos!$A$5:$A$504,0)),0))</f>
        <v/>
      </c>
      <c r="H645" s="22" t="str">
        <f t="shared" ref="H645:H708" si="10">IF(OR($C645="",$F645=""),"",F645*G645)</f>
        <v/>
      </c>
      <c r="I645" s="14" t="str">
        <f>IF(OR($C645="",$F645=""),"",IFERROR(INDEX(Productos!$I$5:$I$504,MATCH($C645,Productos!$A$5:$A$504,0)),0)+SUMIFS($F$5:$F645,$C$5:$C645,$C645,$B$5:$B645,"Entrada")-SUMIFS($F$5:$F645,$C$5:$C645,$C645,$B$5:$B645,"Salida"))</f>
        <v/>
      </c>
      <c r="J645" s="20"/>
      <c r="K645" s="20"/>
      <c r="L645" s="20"/>
      <c r="M645" s="14" t="str">
        <f>IF(AND($C645&lt;&gt;"",$C645=Kardex!$C$4),COUNTIF($C$5:$C645,Kardex!$C$4),"")</f>
        <v/>
      </c>
    </row>
    <row r="646" spans="1:13" x14ac:dyDescent="0.25">
      <c r="A646" s="24"/>
      <c r="B646" s="20"/>
      <c r="C646" s="20"/>
      <c r="D646" s="14" t="str">
        <f>IF($C646="","",IFERROR(INDEX(Productos!$B$5:$B$504,MATCH($C646,Productos!$A$5:$A$504,0)),"Clave no existe"))</f>
        <v/>
      </c>
      <c r="E646" s="14" t="str">
        <f>IF($C646="","",IFERROR(INDEX(Productos!$D$5:$D$504,MATCH($C646,Productos!$A$5:$A$504,0)),""))</f>
        <v/>
      </c>
      <c r="F646" s="20"/>
      <c r="G646" s="22" t="str">
        <f>IF($C646="","",IFERROR(INDEX(Productos!$F$5:$F$504,MATCH($C646,Productos!$A$5:$A$504,0)),0))</f>
        <v/>
      </c>
      <c r="H646" s="22" t="str">
        <f t="shared" si="10"/>
        <v/>
      </c>
      <c r="I646" s="14" t="str">
        <f>IF(OR($C646="",$F646=""),"",IFERROR(INDEX(Productos!$I$5:$I$504,MATCH($C646,Productos!$A$5:$A$504,0)),0)+SUMIFS($F$5:$F646,$C$5:$C646,$C646,$B$5:$B646,"Entrada")-SUMIFS($F$5:$F646,$C$5:$C646,$C646,$B$5:$B646,"Salida"))</f>
        <v/>
      </c>
      <c r="J646" s="20"/>
      <c r="K646" s="20"/>
      <c r="L646" s="20"/>
      <c r="M646" s="14" t="str">
        <f>IF(AND($C646&lt;&gt;"",$C646=Kardex!$C$4),COUNTIF($C$5:$C646,Kardex!$C$4),"")</f>
        <v/>
      </c>
    </row>
    <row r="647" spans="1:13" x14ac:dyDescent="0.25">
      <c r="A647" s="24"/>
      <c r="B647" s="20"/>
      <c r="C647" s="20"/>
      <c r="D647" s="14" t="str">
        <f>IF($C647="","",IFERROR(INDEX(Productos!$B$5:$B$504,MATCH($C647,Productos!$A$5:$A$504,0)),"Clave no existe"))</f>
        <v/>
      </c>
      <c r="E647" s="14" t="str">
        <f>IF($C647="","",IFERROR(INDEX(Productos!$D$5:$D$504,MATCH($C647,Productos!$A$5:$A$504,0)),""))</f>
        <v/>
      </c>
      <c r="F647" s="20"/>
      <c r="G647" s="22" t="str">
        <f>IF($C647="","",IFERROR(INDEX(Productos!$F$5:$F$504,MATCH($C647,Productos!$A$5:$A$504,0)),0))</f>
        <v/>
      </c>
      <c r="H647" s="22" t="str">
        <f t="shared" si="10"/>
        <v/>
      </c>
      <c r="I647" s="14" t="str">
        <f>IF(OR($C647="",$F647=""),"",IFERROR(INDEX(Productos!$I$5:$I$504,MATCH($C647,Productos!$A$5:$A$504,0)),0)+SUMIFS($F$5:$F647,$C$5:$C647,$C647,$B$5:$B647,"Entrada")-SUMIFS($F$5:$F647,$C$5:$C647,$C647,$B$5:$B647,"Salida"))</f>
        <v/>
      </c>
      <c r="J647" s="20"/>
      <c r="K647" s="20"/>
      <c r="L647" s="20"/>
      <c r="M647" s="14" t="str">
        <f>IF(AND($C647&lt;&gt;"",$C647=Kardex!$C$4),COUNTIF($C$5:$C647,Kardex!$C$4),"")</f>
        <v/>
      </c>
    </row>
    <row r="648" spans="1:13" x14ac:dyDescent="0.25">
      <c r="A648" s="24"/>
      <c r="B648" s="20"/>
      <c r="C648" s="20"/>
      <c r="D648" s="14" t="str">
        <f>IF($C648="","",IFERROR(INDEX(Productos!$B$5:$B$504,MATCH($C648,Productos!$A$5:$A$504,0)),"Clave no existe"))</f>
        <v/>
      </c>
      <c r="E648" s="14" t="str">
        <f>IF($C648="","",IFERROR(INDEX(Productos!$D$5:$D$504,MATCH($C648,Productos!$A$5:$A$504,0)),""))</f>
        <v/>
      </c>
      <c r="F648" s="20"/>
      <c r="G648" s="22" t="str">
        <f>IF($C648="","",IFERROR(INDEX(Productos!$F$5:$F$504,MATCH($C648,Productos!$A$5:$A$504,0)),0))</f>
        <v/>
      </c>
      <c r="H648" s="22" t="str">
        <f t="shared" si="10"/>
        <v/>
      </c>
      <c r="I648" s="14" t="str">
        <f>IF(OR($C648="",$F648=""),"",IFERROR(INDEX(Productos!$I$5:$I$504,MATCH($C648,Productos!$A$5:$A$504,0)),0)+SUMIFS($F$5:$F648,$C$5:$C648,$C648,$B$5:$B648,"Entrada")-SUMIFS($F$5:$F648,$C$5:$C648,$C648,$B$5:$B648,"Salida"))</f>
        <v/>
      </c>
      <c r="J648" s="20"/>
      <c r="K648" s="20"/>
      <c r="L648" s="20"/>
      <c r="M648" s="14" t="str">
        <f>IF(AND($C648&lt;&gt;"",$C648=Kardex!$C$4),COUNTIF($C$5:$C648,Kardex!$C$4),"")</f>
        <v/>
      </c>
    </row>
    <row r="649" spans="1:13" x14ac:dyDescent="0.25">
      <c r="A649" s="24"/>
      <c r="B649" s="20"/>
      <c r="C649" s="20"/>
      <c r="D649" s="14" t="str">
        <f>IF($C649="","",IFERROR(INDEX(Productos!$B$5:$B$504,MATCH($C649,Productos!$A$5:$A$504,0)),"Clave no existe"))</f>
        <v/>
      </c>
      <c r="E649" s="14" t="str">
        <f>IF($C649="","",IFERROR(INDEX(Productos!$D$5:$D$504,MATCH($C649,Productos!$A$5:$A$504,0)),""))</f>
        <v/>
      </c>
      <c r="F649" s="20"/>
      <c r="G649" s="22" t="str">
        <f>IF($C649="","",IFERROR(INDEX(Productos!$F$5:$F$504,MATCH($C649,Productos!$A$5:$A$504,0)),0))</f>
        <v/>
      </c>
      <c r="H649" s="22" t="str">
        <f t="shared" si="10"/>
        <v/>
      </c>
      <c r="I649" s="14" t="str">
        <f>IF(OR($C649="",$F649=""),"",IFERROR(INDEX(Productos!$I$5:$I$504,MATCH($C649,Productos!$A$5:$A$504,0)),0)+SUMIFS($F$5:$F649,$C$5:$C649,$C649,$B$5:$B649,"Entrada")-SUMIFS($F$5:$F649,$C$5:$C649,$C649,$B$5:$B649,"Salida"))</f>
        <v/>
      </c>
      <c r="J649" s="20"/>
      <c r="K649" s="20"/>
      <c r="L649" s="20"/>
      <c r="M649" s="14" t="str">
        <f>IF(AND($C649&lt;&gt;"",$C649=Kardex!$C$4),COUNTIF($C$5:$C649,Kardex!$C$4),"")</f>
        <v/>
      </c>
    </row>
    <row r="650" spans="1:13" x14ac:dyDescent="0.25">
      <c r="A650" s="24"/>
      <c r="B650" s="20"/>
      <c r="C650" s="20"/>
      <c r="D650" s="14" t="str">
        <f>IF($C650="","",IFERROR(INDEX(Productos!$B$5:$B$504,MATCH($C650,Productos!$A$5:$A$504,0)),"Clave no existe"))</f>
        <v/>
      </c>
      <c r="E650" s="14" t="str">
        <f>IF($C650="","",IFERROR(INDEX(Productos!$D$5:$D$504,MATCH($C650,Productos!$A$5:$A$504,0)),""))</f>
        <v/>
      </c>
      <c r="F650" s="20"/>
      <c r="G650" s="22" t="str">
        <f>IF($C650="","",IFERROR(INDEX(Productos!$F$5:$F$504,MATCH($C650,Productos!$A$5:$A$504,0)),0))</f>
        <v/>
      </c>
      <c r="H650" s="22" t="str">
        <f t="shared" si="10"/>
        <v/>
      </c>
      <c r="I650" s="14" t="str">
        <f>IF(OR($C650="",$F650=""),"",IFERROR(INDEX(Productos!$I$5:$I$504,MATCH($C650,Productos!$A$5:$A$504,0)),0)+SUMIFS($F$5:$F650,$C$5:$C650,$C650,$B$5:$B650,"Entrada")-SUMIFS($F$5:$F650,$C$5:$C650,$C650,$B$5:$B650,"Salida"))</f>
        <v/>
      </c>
      <c r="J650" s="20"/>
      <c r="K650" s="20"/>
      <c r="L650" s="20"/>
      <c r="M650" s="14" t="str">
        <f>IF(AND($C650&lt;&gt;"",$C650=Kardex!$C$4),COUNTIF($C$5:$C650,Kardex!$C$4),"")</f>
        <v/>
      </c>
    </row>
    <row r="651" spans="1:13" x14ac:dyDescent="0.25">
      <c r="A651" s="24"/>
      <c r="B651" s="20"/>
      <c r="C651" s="20"/>
      <c r="D651" s="14" t="str">
        <f>IF($C651="","",IFERROR(INDEX(Productos!$B$5:$B$504,MATCH($C651,Productos!$A$5:$A$504,0)),"Clave no existe"))</f>
        <v/>
      </c>
      <c r="E651" s="14" t="str">
        <f>IF($C651="","",IFERROR(INDEX(Productos!$D$5:$D$504,MATCH($C651,Productos!$A$5:$A$504,0)),""))</f>
        <v/>
      </c>
      <c r="F651" s="20"/>
      <c r="G651" s="22" t="str">
        <f>IF($C651="","",IFERROR(INDEX(Productos!$F$5:$F$504,MATCH($C651,Productos!$A$5:$A$504,0)),0))</f>
        <v/>
      </c>
      <c r="H651" s="22" t="str">
        <f t="shared" si="10"/>
        <v/>
      </c>
      <c r="I651" s="14" t="str">
        <f>IF(OR($C651="",$F651=""),"",IFERROR(INDEX(Productos!$I$5:$I$504,MATCH($C651,Productos!$A$5:$A$504,0)),0)+SUMIFS($F$5:$F651,$C$5:$C651,$C651,$B$5:$B651,"Entrada")-SUMIFS($F$5:$F651,$C$5:$C651,$C651,$B$5:$B651,"Salida"))</f>
        <v/>
      </c>
      <c r="J651" s="20"/>
      <c r="K651" s="20"/>
      <c r="L651" s="20"/>
      <c r="M651" s="14" t="str">
        <f>IF(AND($C651&lt;&gt;"",$C651=Kardex!$C$4),COUNTIF($C$5:$C651,Kardex!$C$4),"")</f>
        <v/>
      </c>
    </row>
    <row r="652" spans="1:13" x14ac:dyDescent="0.25">
      <c r="A652" s="24"/>
      <c r="B652" s="20"/>
      <c r="C652" s="20"/>
      <c r="D652" s="14" t="str">
        <f>IF($C652="","",IFERROR(INDEX(Productos!$B$5:$B$504,MATCH($C652,Productos!$A$5:$A$504,0)),"Clave no existe"))</f>
        <v/>
      </c>
      <c r="E652" s="14" t="str">
        <f>IF($C652="","",IFERROR(INDEX(Productos!$D$5:$D$504,MATCH($C652,Productos!$A$5:$A$504,0)),""))</f>
        <v/>
      </c>
      <c r="F652" s="20"/>
      <c r="G652" s="22" t="str">
        <f>IF($C652="","",IFERROR(INDEX(Productos!$F$5:$F$504,MATCH($C652,Productos!$A$5:$A$504,0)),0))</f>
        <v/>
      </c>
      <c r="H652" s="22" t="str">
        <f t="shared" si="10"/>
        <v/>
      </c>
      <c r="I652" s="14" t="str">
        <f>IF(OR($C652="",$F652=""),"",IFERROR(INDEX(Productos!$I$5:$I$504,MATCH($C652,Productos!$A$5:$A$504,0)),0)+SUMIFS($F$5:$F652,$C$5:$C652,$C652,$B$5:$B652,"Entrada")-SUMIFS($F$5:$F652,$C$5:$C652,$C652,$B$5:$B652,"Salida"))</f>
        <v/>
      </c>
      <c r="J652" s="20"/>
      <c r="K652" s="20"/>
      <c r="L652" s="20"/>
      <c r="M652" s="14" t="str">
        <f>IF(AND($C652&lt;&gt;"",$C652=Kardex!$C$4),COUNTIF($C$5:$C652,Kardex!$C$4),"")</f>
        <v/>
      </c>
    </row>
    <row r="653" spans="1:13" x14ac:dyDescent="0.25">
      <c r="A653" s="24"/>
      <c r="B653" s="20"/>
      <c r="C653" s="20"/>
      <c r="D653" s="14" t="str">
        <f>IF($C653="","",IFERROR(INDEX(Productos!$B$5:$B$504,MATCH($C653,Productos!$A$5:$A$504,0)),"Clave no existe"))</f>
        <v/>
      </c>
      <c r="E653" s="14" t="str">
        <f>IF($C653="","",IFERROR(INDEX(Productos!$D$5:$D$504,MATCH($C653,Productos!$A$5:$A$504,0)),""))</f>
        <v/>
      </c>
      <c r="F653" s="20"/>
      <c r="G653" s="22" t="str">
        <f>IF($C653="","",IFERROR(INDEX(Productos!$F$5:$F$504,MATCH($C653,Productos!$A$5:$A$504,0)),0))</f>
        <v/>
      </c>
      <c r="H653" s="22" t="str">
        <f t="shared" si="10"/>
        <v/>
      </c>
      <c r="I653" s="14" t="str">
        <f>IF(OR($C653="",$F653=""),"",IFERROR(INDEX(Productos!$I$5:$I$504,MATCH($C653,Productos!$A$5:$A$504,0)),0)+SUMIFS($F$5:$F653,$C$5:$C653,$C653,$B$5:$B653,"Entrada")-SUMIFS($F$5:$F653,$C$5:$C653,$C653,$B$5:$B653,"Salida"))</f>
        <v/>
      </c>
      <c r="J653" s="20"/>
      <c r="K653" s="20"/>
      <c r="L653" s="20"/>
      <c r="M653" s="14" t="str">
        <f>IF(AND($C653&lt;&gt;"",$C653=Kardex!$C$4),COUNTIF($C$5:$C653,Kardex!$C$4),"")</f>
        <v/>
      </c>
    </row>
    <row r="654" spans="1:13" x14ac:dyDescent="0.25">
      <c r="A654" s="24"/>
      <c r="B654" s="20"/>
      <c r="C654" s="20"/>
      <c r="D654" s="14" t="str">
        <f>IF($C654="","",IFERROR(INDEX(Productos!$B$5:$B$504,MATCH($C654,Productos!$A$5:$A$504,0)),"Clave no existe"))</f>
        <v/>
      </c>
      <c r="E654" s="14" t="str">
        <f>IF($C654="","",IFERROR(INDEX(Productos!$D$5:$D$504,MATCH($C654,Productos!$A$5:$A$504,0)),""))</f>
        <v/>
      </c>
      <c r="F654" s="20"/>
      <c r="G654" s="22" t="str">
        <f>IF($C654="","",IFERROR(INDEX(Productos!$F$5:$F$504,MATCH($C654,Productos!$A$5:$A$504,0)),0))</f>
        <v/>
      </c>
      <c r="H654" s="22" t="str">
        <f t="shared" si="10"/>
        <v/>
      </c>
      <c r="I654" s="14" t="str">
        <f>IF(OR($C654="",$F654=""),"",IFERROR(INDEX(Productos!$I$5:$I$504,MATCH($C654,Productos!$A$5:$A$504,0)),0)+SUMIFS($F$5:$F654,$C$5:$C654,$C654,$B$5:$B654,"Entrada")-SUMIFS($F$5:$F654,$C$5:$C654,$C654,$B$5:$B654,"Salida"))</f>
        <v/>
      </c>
      <c r="J654" s="20"/>
      <c r="K654" s="20"/>
      <c r="L654" s="20"/>
      <c r="M654" s="14" t="str">
        <f>IF(AND($C654&lt;&gt;"",$C654=Kardex!$C$4),COUNTIF($C$5:$C654,Kardex!$C$4),"")</f>
        <v/>
      </c>
    </row>
    <row r="655" spans="1:13" x14ac:dyDescent="0.25">
      <c r="A655" s="24"/>
      <c r="B655" s="20"/>
      <c r="C655" s="20"/>
      <c r="D655" s="14" t="str">
        <f>IF($C655="","",IFERROR(INDEX(Productos!$B$5:$B$504,MATCH($C655,Productos!$A$5:$A$504,0)),"Clave no existe"))</f>
        <v/>
      </c>
      <c r="E655" s="14" t="str">
        <f>IF($C655="","",IFERROR(INDEX(Productos!$D$5:$D$504,MATCH($C655,Productos!$A$5:$A$504,0)),""))</f>
        <v/>
      </c>
      <c r="F655" s="20"/>
      <c r="G655" s="22" t="str">
        <f>IF($C655="","",IFERROR(INDEX(Productos!$F$5:$F$504,MATCH($C655,Productos!$A$5:$A$504,0)),0))</f>
        <v/>
      </c>
      <c r="H655" s="22" t="str">
        <f t="shared" si="10"/>
        <v/>
      </c>
      <c r="I655" s="14" t="str">
        <f>IF(OR($C655="",$F655=""),"",IFERROR(INDEX(Productos!$I$5:$I$504,MATCH($C655,Productos!$A$5:$A$504,0)),0)+SUMIFS($F$5:$F655,$C$5:$C655,$C655,$B$5:$B655,"Entrada")-SUMIFS($F$5:$F655,$C$5:$C655,$C655,$B$5:$B655,"Salida"))</f>
        <v/>
      </c>
      <c r="J655" s="20"/>
      <c r="K655" s="20"/>
      <c r="L655" s="20"/>
      <c r="M655" s="14" t="str">
        <f>IF(AND($C655&lt;&gt;"",$C655=Kardex!$C$4),COUNTIF($C$5:$C655,Kardex!$C$4),"")</f>
        <v/>
      </c>
    </row>
    <row r="656" spans="1:13" x14ac:dyDescent="0.25">
      <c r="A656" s="24"/>
      <c r="B656" s="20"/>
      <c r="C656" s="20"/>
      <c r="D656" s="14" t="str">
        <f>IF($C656="","",IFERROR(INDEX(Productos!$B$5:$B$504,MATCH($C656,Productos!$A$5:$A$504,0)),"Clave no existe"))</f>
        <v/>
      </c>
      <c r="E656" s="14" t="str">
        <f>IF($C656="","",IFERROR(INDEX(Productos!$D$5:$D$504,MATCH($C656,Productos!$A$5:$A$504,0)),""))</f>
        <v/>
      </c>
      <c r="F656" s="20"/>
      <c r="G656" s="22" t="str">
        <f>IF($C656="","",IFERROR(INDEX(Productos!$F$5:$F$504,MATCH($C656,Productos!$A$5:$A$504,0)),0))</f>
        <v/>
      </c>
      <c r="H656" s="22" t="str">
        <f t="shared" si="10"/>
        <v/>
      </c>
      <c r="I656" s="14" t="str">
        <f>IF(OR($C656="",$F656=""),"",IFERROR(INDEX(Productos!$I$5:$I$504,MATCH($C656,Productos!$A$5:$A$504,0)),0)+SUMIFS($F$5:$F656,$C$5:$C656,$C656,$B$5:$B656,"Entrada")-SUMIFS($F$5:$F656,$C$5:$C656,$C656,$B$5:$B656,"Salida"))</f>
        <v/>
      </c>
      <c r="J656" s="20"/>
      <c r="K656" s="20"/>
      <c r="L656" s="20"/>
      <c r="M656" s="14" t="str">
        <f>IF(AND($C656&lt;&gt;"",$C656=Kardex!$C$4),COUNTIF($C$5:$C656,Kardex!$C$4),"")</f>
        <v/>
      </c>
    </row>
    <row r="657" spans="1:13" x14ac:dyDescent="0.25">
      <c r="A657" s="24"/>
      <c r="B657" s="20"/>
      <c r="C657" s="20"/>
      <c r="D657" s="14" t="str">
        <f>IF($C657="","",IFERROR(INDEX(Productos!$B$5:$B$504,MATCH($C657,Productos!$A$5:$A$504,0)),"Clave no existe"))</f>
        <v/>
      </c>
      <c r="E657" s="14" t="str">
        <f>IF($C657="","",IFERROR(INDEX(Productos!$D$5:$D$504,MATCH($C657,Productos!$A$5:$A$504,0)),""))</f>
        <v/>
      </c>
      <c r="F657" s="20"/>
      <c r="G657" s="22" t="str">
        <f>IF($C657="","",IFERROR(INDEX(Productos!$F$5:$F$504,MATCH($C657,Productos!$A$5:$A$504,0)),0))</f>
        <v/>
      </c>
      <c r="H657" s="22" t="str">
        <f t="shared" si="10"/>
        <v/>
      </c>
      <c r="I657" s="14" t="str">
        <f>IF(OR($C657="",$F657=""),"",IFERROR(INDEX(Productos!$I$5:$I$504,MATCH($C657,Productos!$A$5:$A$504,0)),0)+SUMIFS($F$5:$F657,$C$5:$C657,$C657,$B$5:$B657,"Entrada")-SUMIFS($F$5:$F657,$C$5:$C657,$C657,$B$5:$B657,"Salida"))</f>
        <v/>
      </c>
      <c r="J657" s="20"/>
      <c r="K657" s="20"/>
      <c r="L657" s="20"/>
      <c r="M657" s="14" t="str">
        <f>IF(AND($C657&lt;&gt;"",$C657=Kardex!$C$4),COUNTIF($C$5:$C657,Kardex!$C$4),"")</f>
        <v/>
      </c>
    </row>
    <row r="658" spans="1:13" x14ac:dyDescent="0.25">
      <c r="A658" s="24"/>
      <c r="B658" s="20"/>
      <c r="C658" s="20"/>
      <c r="D658" s="14" t="str">
        <f>IF($C658="","",IFERROR(INDEX(Productos!$B$5:$B$504,MATCH($C658,Productos!$A$5:$A$504,0)),"Clave no existe"))</f>
        <v/>
      </c>
      <c r="E658" s="14" t="str">
        <f>IF($C658="","",IFERROR(INDEX(Productos!$D$5:$D$504,MATCH($C658,Productos!$A$5:$A$504,0)),""))</f>
        <v/>
      </c>
      <c r="F658" s="20"/>
      <c r="G658" s="22" t="str">
        <f>IF($C658="","",IFERROR(INDEX(Productos!$F$5:$F$504,MATCH($C658,Productos!$A$5:$A$504,0)),0))</f>
        <v/>
      </c>
      <c r="H658" s="22" t="str">
        <f t="shared" si="10"/>
        <v/>
      </c>
      <c r="I658" s="14" t="str">
        <f>IF(OR($C658="",$F658=""),"",IFERROR(INDEX(Productos!$I$5:$I$504,MATCH($C658,Productos!$A$5:$A$504,0)),0)+SUMIFS($F$5:$F658,$C$5:$C658,$C658,$B$5:$B658,"Entrada")-SUMIFS($F$5:$F658,$C$5:$C658,$C658,$B$5:$B658,"Salida"))</f>
        <v/>
      </c>
      <c r="J658" s="20"/>
      <c r="K658" s="20"/>
      <c r="L658" s="20"/>
      <c r="M658" s="14" t="str">
        <f>IF(AND($C658&lt;&gt;"",$C658=Kardex!$C$4),COUNTIF($C$5:$C658,Kardex!$C$4),"")</f>
        <v/>
      </c>
    </row>
    <row r="659" spans="1:13" x14ac:dyDescent="0.25">
      <c r="A659" s="24"/>
      <c r="B659" s="20"/>
      <c r="C659" s="20"/>
      <c r="D659" s="14" t="str">
        <f>IF($C659="","",IFERROR(INDEX(Productos!$B$5:$B$504,MATCH($C659,Productos!$A$5:$A$504,0)),"Clave no existe"))</f>
        <v/>
      </c>
      <c r="E659" s="14" t="str">
        <f>IF($C659="","",IFERROR(INDEX(Productos!$D$5:$D$504,MATCH($C659,Productos!$A$5:$A$504,0)),""))</f>
        <v/>
      </c>
      <c r="F659" s="20"/>
      <c r="G659" s="22" t="str">
        <f>IF($C659="","",IFERROR(INDEX(Productos!$F$5:$F$504,MATCH($C659,Productos!$A$5:$A$504,0)),0))</f>
        <v/>
      </c>
      <c r="H659" s="22" t="str">
        <f t="shared" si="10"/>
        <v/>
      </c>
      <c r="I659" s="14" t="str">
        <f>IF(OR($C659="",$F659=""),"",IFERROR(INDEX(Productos!$I$5:$I$504,MATCH($C659,Productos!$A$5:$A$504,0)),0)+SUMIFS($F$5:$F659,$C$5:$C659,$C659,$B$5:$B659,"Entrada")-SUMIFS($F$5:$F659,$C$5:$C659,$C659,$B$5:$B659,"Salida"))</f>
        <v/>
      </c>
      <c r="J659" s="20"/>
      <c r="K659" s="20"/>
      <c r="L659" s="20"/>
      <c r="M659" s="14" t="str">
        <f>IF(AND($C659&lt;&gt;"",$C659=Kardex!$C$4),COUNTIF($C$5:$C659,Kardex!$C$4),"")</f>
        <v/>
      </c>
    </row>
    <row r="660" spans="1:13" x14ac:dyDescent="0.25">
      <c r="A660" s="24"/>
      <c r="B660" s="20"/>
      <c r="C660" s="20"/>
      <c r="D660" s="14" t="str">
        <f>IF($C660="","",IFERROR(INDEX(Productos!$B$5:$B$504,MATCH($C660,Productos!$A$5:$A$504,0)),"Clave no existe"))</f>
        <v/>
      </c>
      <c r="E660" s="14" t="str">
        <f>IF($C660="","",IFERROR(INDEX(Productos!$D$5:$D$504,MATCH($C660,Productos!$A$5:$A$504,0)),""))</f>
        <v/>
      </c>
      <c r="F660" s="20"/>
      <c r="G660" s="22" t="str">
        <f>IF($C660="","",IFERROR(INDEX(Productos!$F$5:$F$504,MATCH($C660,Productos!$A$5:$A$504,0)),0))</f>
        <v/>
      </c>
      <c r="H660" s="22" t="str">
        <f t="shared" si="10"/>
        <v/>
      </c>
      <c r="I660" s="14" t="str">
        <f>IF(OR($C660="",$F660=""),"",IFERROR(INDEX(Productos!$I$5:$I$504,MATCH($C660,Productos!$A$5:$A$504,0)),0)+SUMIFS($F$5:$F660,$C$5:$C660,$C660,$B$5:$B660,"Entrada")-SUMIFS($F$5:$F660,$C$5:$C660,$C660,$B$5:$B660,"Salida"))</f>
        <v/>
      </c>
      <c r="J660" s="20"/>
      <c r="K660" s="20"/>
      <c r="L660" s="20"/>
      <c r="M660" s="14" t="str">
        <f>IF(AND($C660&lt;&gt;"",$C660=Kardex!$C$4),COUNTIF($C$5:$C660,Kardex!$C$4),"")</f>
        <v/>
      </c>
    </row>
    <row r="661" spans="1:13" x14ac:dyDescent="0.25">
      <c r="A661" s="24"/>
      <c r="B661" s="20"/>
      <c r="C661" s="20"/>
      <c r="D661" s="14" t="str">
        <f>IF($C661="","",IFERROR(INDEX(Productos!$B$5:$B$504,MATCH($C661,Productos!$A$5:$A$504,0)),"Clave no existe"))</f>
        <v/>
      </c>
      <c r="E661" s="14" t="str">
        <f>IF($C661="","",IFERROR(INDEX(Productos!$D$5:$D$504,MATCH($C661,Productos!$A$5:$A$504,0)),""))</f>
        <v/>
      </c>
      <c r="F661" s="20"/>
      <c r="G661" s="22" t="str">
        <f>IF($C661="","",IFERROR(INDEX(Productos!$F$5:$F$504,MATCH($C661,Productos!$A$5:$A$504,0)),0))</f>
        <v/>
      </c>
      <c r="H661" s="22" t="str">
        <f t="shared" si="10"/>
        <v/>
      </c>
      <c r="I661" s="14" t="str">
        <f>IF(OR($C661="",$F661=""),"",IFERROR(INDEX(Productos!$I$5:$I$504,MATCH($C661,Productos!$A$5:$A$504,0)),0)+SUMIFS($F$5:$F661,$C$5:$C661,$C661,$B$5:$B661,"Entrada")-SUMIFS($F$5:$F661,$C$5:$C661,$C661,$B$5:$B661,"Salida"))</f>
        <v/>
      </c>
      <c r="J661" s="20"/>
      <c r="K661" s="20"/>
      <c r="L661" s="20"/>
      <c r="M661" s="14" t="str">
        <f>IF(AND($C661&lt;&gt;"",$C661=Kardex!$C$4),COUNTIF($C$5:$C661,Kardex!$C$4),"")</f>
        <v/>
      </c>
    </row>
    <row r="662" spans="1:13" x14ac:dyDescent="0.25">
      <c r="A662" s="24"/>
      <c r="B662" s="20"/>
      <c r="C662" s="20"/>
      <c r="D662" s="14" t="str">
        <f>IF($C662="","",IFERROR(INDEX(Productos!$B$5:$B$504,MATCH($C662,Productos!$A$5:$A$504,0)),"Clave no existe"))</f>
        <v/>
      </c>
      <c r="E662" s="14" t="str">
        <f>IF($C662="","",IFERROR(INDEX(Productos!$D$5:$D$504,MATCH($C662,Productos!$A$5:$A$504,0)),""))</f>
        <v/>
      </c>
      <c r="F662" s="20"/>
      <c r="G662" s="22" t="str">
        <f>IF($C662="","",IFERROR(INDEX(Productos!$F$5:$F$504,MATCH($C662,Productos!$A$5:$A$504,0)),0))</f>
        <v/>
      </c>
      <c r="H662" s="22" t="str">
        <f t="shared" si="10"/>
        <v/>
      </c>
      <c r="I662" s="14" t="str">
        <f>IF(OR($C662="",$F662=""),"",IFERROR(INDEX(Productos!$I$5:$I$504,MATCH($C662,Productos!$A$5:$A$504,0)),0)+SUMIFS($F$5:$F662,$C$5:$C662,$C662,$B$5:$B662,"Entrada")-SUMIFS($F$5:$F662,$C$5:$C662,$C662,$B$5:$B662,"Salida"))</f>
        <v/>
      </c>
      <c r="J662" s="20"/>
      <c r="K662" s="20"/>
      <c r="L662" s="20"/>
      <c r="M662" s="14" t="str">
        <f>IF(AND($C662&lt;&gt;"",$C662=Kardex!$C$4),COUNTIF($C$5:$C662,Kardex!$C$4),"")</f>
        <v/>
      </c>
    </row>
    <row r="663" spans="1:13" x14ac:dyDescent="0.25">
      <c r="A663" s="24"/>
      <c r="B663" s="20"/>
      <c r="C663" s="20"/>
      <c r="D663" s="14" t="str">
        <f>IF($C663="","",IFERROR(INDEX(Productos!$B$5:$B$504,MATCH($C663,Productos!$A$5:$A$504,0)),"Clave no existe"))</f>
        <v/>
      </c>
      <c r="E663" s="14" t="str">
        <f>IF($C663="","",IFERROR(INDEX(Productos!$D$5:$D$504,MATCH($C663,Productos!$A$5:$A$504,0)),""))</f>
        <v/>
      </c>
      <c r="F663" s="20"/>
      <c r="G663" s="22" t="str">
        <f>IF($C663="","",IFERROR(INDEX(Productos!$F$5:$F$504,MATCH($C663,Productos!$A$5:$A$504,0)),0))</f>
        <v/>
      </c>
      <c r="H663" s="22" t="str">
        <f t="shared" si="10"/>
        <v/>
      </c>
      <c r="I663" s="14" t="str">
        <f>IF(OR($C663="",$F663=""),"",IFERROR(INDEX(Productos!$I$5:$I$504,MATCH($C663,Productos!$A$5:$A$504,0)),0)+SUMIFS($F$5:$F663,$C$5:$C663,$C663,$B$5:$B663,"Entrada")-SUMIFS($F$5:$F663,$C$5:$C663,$C663,$B$5:$B663,"Salida"))</f>
        <v/>
      </c>
      <c r="J663" s="20"/>
      <c r="K663" s="20"/>
      <c r="L663" s="20"/>
      <c r="M663" s="14" t="str">
        <f>IF(AND($C663&lt;&gt;"",$C663=Kardex!$C$4),COUNTIF($C$5:$C663,Kardex!$C$4),"")</f>
        <v/>
      </c>
    </row>
    <row r="664" spans="1:13" x14ac:dyDescent="0.25">
      <c r="A664" s="24"/>
      <c r="B664" s="20"/>
      <c r="C664" s="20"/>
      <c r="D664" s="14" t="str">
        <f>IF($C664="","",IFERROR(INDEX(Productos!$B$5:$B$504,MATCH($C664,Productos!$A$5:$A$504,0)),"Clave no existe"))</f>
        <v/>
      </c>
      <c r="E664" s="14" t="str">
        <f>IF($C664="","",IFERROR(INDEX(Productos!$D$5:$D$504,MATCH($C664,Productos!$A$5:$A$504,0)),""))</f>
        <v/>
      </c>
      <c r="F664" s="20"/>
      <c r="G664" s="22" t="str">
        <f>IF($C664="","",IFERROR(INDEX(Productos!$F$5:$F$504,MATCH($C664,Productos!$A$5:$A$504,0)),0))</f>
        <v/>
      </c>
      <c r="H664" s="22" t="str">
        <f t="shared" si="10"/>
        <v/>
      </c>
      <c r="I664" s="14" t="str">
        <f>IF(OR($C664="",$F664=""),"",IFERROR(INDEX(Productos!$I$5:$I$504,MATCH($C664,Productos!$A$5:$A$504,0)),0)+SUMIFS($F$5:$F664,$C$5:$C664,$C664,$B$5:$B664,"Entrada")-SUMIFS($F$5:$F664,$C$5:$C664,$C664,$B$5:$B664,"Salida"))</f>
        <v/>
      </c>
      <c r="J664" s="20"/>
      <c r="K664" s="20"/>
      <c r="L664" s="20"/>
      <c r="M664" s="14" t="str">
        <f>IF(AND($C664&lt;&gt;"",$C664=Kardex!$C$4),COUNTIF($C$5:$C664,Kardex!$C$4),"")</f>
        <v/>
      </c>
    </row>
    <row r="665" spans="1:13" x14ac:dyDescent="0.25">
      <c r="A665" s="24"/>
      <c r="B665" s="20"/>
      <c r="C665" s="20"/>
      <c r="D665" s="14" t="str">
        <f>IF($C665="","",IFERROR(INDEX(Productos!$B$5:$B$504,MATCH($C665,Productos!$A$5:$A$504,0)),"Clave no existe"))</f>
        <v/>
      </c>
      <c r="E665" s="14" t="str">
        <f>IF($C665="","",IFERROR(INDEX(Productos!$D$5:$D$504,MATCH($C665,Productos!$A$5:$A$504,0)),""))</f>
        <v/>
      </c>
      <c r="F665" s="20"/>
      <c r="G665" s="22" t="str">
        <f>IF($C665="","",IFERROR(INDEX(Productos!$F$5:$F$504,MATCH($C665,Productos!$A$5:$A$504,0)),0))</f>
        <v/>
      </c>
      <c r="H665" s="22" t="str">
        <f t="shared" si="10"/>
        <v/>
      </c>
      <c r="I665" s="14" t="str">
        <f>IF(OR($C665="",$F665=""),"",IFERROR(INDEX(Productos!$I$5:$I$504,MATCH($C665,Productos!$A$5:$A$504,0)),0)+SUMIFS($F$5:$F665,$C$5:$C665,$C665,$B$5:$B665,"Entrada")-SUMIFS($F$5:$F665,$C$5:$C665,$C665,$B$5:$B665,"Salida"))</f>
        <v/>
      </c>
      <c r="J665" s="20"/>
      <c r="K665" s="20"/>
      <c r="L665" s="20"/>
      <c r="M665" s="14" t="str">
        <f>IF(AND($C665&lt;&gt;"",$C665=Kardex!$C$4),COUNTIF($C$5:$C665,Kardex!$C$4),"")</f>
        <v/>
      </c>
    </row>
    <row r="666" spans="1:13" x14ac:dyDescent="0.25">
      <c r="A666" s="24"/>
      <c r="B666" s="20"/>
      <c r="C666" s="20"/>
      <c r="D666" s="14" t="str">
        <f>IF($C666="","",IFERROR(INDEX(Productos!$B$5:$B$504,MATCH($C666,Productos!$A$5:$A$504,0)),"Clave no existe"))</f>
        <v/>
      </c>
      <c r="E666" s="14" t="str">
        <f>IF($C666="","",IFERROR(INDEX(Productos!$D$5:$D$504,MATCH($C666,Productos!$A$5:$A$504,0)),""))</f>
        <v/>
      </c>
      <c r="F666" s="20"/>
      <c r="G666" s="22" t="str">
        <f>IF($C666="","",IFERROR(INDEX(Productos!$F$5:$F$504,MATCH($C666,Productos!$A$5:$A$504,0)),0))</f>
        <v/>
      </c>
      <c r="H666" s="22" t="str">
        <f t="shared" si="10"/>
        <v/>
      </c>
      <c r="I666" s="14" t="str">
        <f>IF(OR($C666="",$F666=""),"",IFERROR(INDEX(Productos!$I$5:$I$504,MATCH($C666,Productos!$A$5:$A$504,0)),0)+SUMIFS($F$5:$F666,$C$5:$C666,$C666,$B$5:$B666,"Entrada")-SUMIFS($F$5:$F666,$C$5:$C666,$C666,$B$5:$B666,"Salida"))</f>
        <v/>
      </c>
      <c r="J666" s="20"/>
      <c r="K666" s="20"/>
      <c r="L666" s="20"/>
      <c r="M666" s="14" t="str">
        <f>IF(AND($C666&lt;&gt;"",$C666=Kardex!$C$4),COUNTIF($C$5:$C666,Kardex!$C$4),"")</f>
        <v/>
      </c>
    </row>
    <row r="667" spans="1:13" x14ac:dyDescent="0.25">
      <c r="A667" s="24"/>
      <c r="B667" s="20"/>
      <c r="C667" s="20"/>
      <c r="D667" s="14" t="str">
        <f>IF($C667="","",IFERROR(INDEX(Productos!$B$5:$B$504,MATCH($C667,Productos!$A$5:$A$504,0)),"Clave no existe"))</f>
        <v/>
      </c>
      <c r="E667" s="14" t="str">
        <f>IF($C667="","",IFERROR(INDEX(Productos!$D$5:$D$504,MATCH($C667,Productos!$A$5:$A$504,0)),""))</f>
        <v/>
      </c>
      <c r="F667" s="20"/>
      <c r="G667" s="22" t="str">
        <f>IF($C667="","",IFERROR(INDEX(Productos!$F$5:$F$504,MATCH($C667,Productos!$A$5:$A$504,0)),0))</f>
        <v/>
      </c>
      <c r="H667" s="22" t="str">
        <f t="shared" si="10"/>
        <v/>
      </c>
      <c r="I667" s="14" t="str">
        <f>IF(OR($C667="",$F667=""),"",IFERROR(INDEX(Productos!$I$5:$I$504,MATCH($C667,Productos!$A$5:$A$504,0)),0)+SUMIFS($F$5:$F667,$C$5:$C667,$C667,$B$5:$B667,"Entrada")-SUMIFS($F$5:$F667,$C$5:$C667,$C667,$B$5:$B667,"Salida"))</f>
        <v/>
      </c>
      <c r="J667" s="20"/>
      <c r="K667" s="20"/>
      <c r="L667" s="20"/>
      <c r="M667" s="14" t="str">
        <f>IF(AND($C667&lt;&gt;"",$C667=Kardex!$C$4),COUNTIF($C$5:$C667,Kardex!$C$4),"")</f>
        <v/>
      </c>
    </row>
    <row r="668" spans="1:13" x14ac:dyDescent="0.25">
      <c r="A668" s="24"/>
      <c r="B668" s="20"/>
      <c r="C668" s="20"/>
      <c r="D668" s="14" t="str">
        <f>IF($C668="","",IFERROR(INDEX(Productos!$B$5:$B$504,MATCH($C668,Productos!$A$5:$A$504,0)),"Clave no existe"))</f>
        <v/>
      </c>
      <c r="E668" s="14" t="str">
        <f>IF($C668="","",IFERROR(INDEX(Productos!$D$5:$D$504,MATCH($C668,Productos!$A$5:$A$504,0)),""))</f>
        <v/>
      </c>
      <c r="F668" s="20"/>
      <c r="G668" s="22" t="str">
        <f>IF($C668="","",IFERROR(INDEX(Productos!$F$5:$F$504,MATCH($C668,Productos!$A$5:$A$504,0)),0))</f>
        <v/>
      </c>
      <c r="H668" s="22" t="str">
        <f t="shared" si="10"/>
        <v/>
      </c>
      <c r="I668" s="14" t="str">
        <f>IF(OR($C668="",$F668=""),"",IFERROR(INDEX(Productos!$I$5:$I$504,MATCH($C668,Productos!$A$5:$A$504,0)),0)+SUMIFS($F$5:$F668,$C$5:$C668,$C668,$B$5:$B668,"Entrada")-SUMIFS($F$5:$F668,$C$5:$C668,$C668,$B$5:$B668,"Salida"))</f>
        <v/>
      </c>
      <c r="J668" s="20"/>
      <c r="K668" s="20"/>
      <c r="L668" s="20"/>
      <c r="M668" s="14" t="str">
        <f>IF(AND($C668&lt;&gt;"",$C668=Kardex!$C$4),COUNTIF($C$5:$C668,Kardex!$C$4),"")</f>
        <v/>
      </c>
    </row>
    <row r="669" spans="1:13" x14ac:dyDescent="0.25">
      <c r="A669" s="24"/>
      <c r="B669" s="20"/>
      <c r="C669" s="20"/>
      <c r="D669" s="14" t="str">
        <f>IF($C669="","",IFERROR(INDEX(Productos!$B$5:$B$504,MATCH($C669,Productos!$A$5:$A$504,0)),"Clave no existe"))</f>
        <v/>
      </c>
      <c r="E669" s="14" t="str">
        <f>IF($C669="","",IFERROR(INDEX(Productos!$D$5:$D$504,MATCH($C669,Productos!$A$5:$A$504,0)),""))</f>
        <v/>
      </c>
      <c r="F669" s="20"/>
      <c r="G669" s="22" t="str">
        <f>IF($C669="","",IFERROR(INDEX(Productos!$F$5:$F$504,MATCH($C669,Productos!$A$5:$A$504,0)),0))</f>
        <v/>
      </c>
      <c r="H669" s="22" t="str">
        <f t="shared" si="10"/>
        <v/>
      </c>
      <c r="I669" s="14" t="str">
        <f>IF(OR($C669="",$F669=""),"",IFERROR(INDEX(Productos!$I$5:$I$504,MATCH($C669,Productos!$A$5:$A$504,0)),0)+SUMIFS($F$5:$F669,$C$5:$C669,$C669,$B$5:$B669,"Entrada")-SUMIFS($F$5:$F669,$C$5:$C669,$C669,$B$5:$B669,"Salida"))</f>
        <v/>
      </c>
      <c r="J669" s="20"/>
      <c r="K669" s="20"/>
      <c r="L669" s="20"/>
      <c r="M669" s="14" t="str">
        <f>IF(AND($C669&lt;&gt;"",$C669=Kardex!$C$4),COUNTIF($C$5:$C669,Kardex!$C$4),"")</f>
        <v/>
      </c>
    </row>
    <row r="670" spans="1:13" x14ac:dyDescent="0.25">
      <c r="A670" s="24"/>
      <c r="B670" s="20"/>
      <c r="C670" s="20"/>
      <c r="D670" s="14" t="str">
        <f>IF($C670="","",IFERROR(INDEX(Productos!$B$5:$B$504,MATCH($C670,Productos!$A$5:$A$504,0)),"Clave no existe"))</f>
        <v/>
      </c>
      <c r="E670" s="14" t="str">
        <f>IF($C670="","",IFERROR(INDEX(Productos!$D$5:$D$504,MATCH($C670,Productos!$A$5:$A$504,0)),""))</f>
        <v/>
      </c>
      <c r="F670" s="20"/>
      <c r="G670" s="22" t="str">
        <f>IF($C670="","",IFERROR(INDEX(Productos!$F$5:$F$504,MATCH($C670,Productos!$A$5:$A$504,0)),0))</f>
        <v/>
      </c>
      <c r="H670" s="22" t="str">
        <f t="shared" si="10"/>
        <v/>
      </c>
      <c r="I670" s="14" t="str">
        <f>IF(OR($C670="",$F670=""),"",IFERROR(INDEX(Productos!$I$5:$I$504,MATCH($C670,Productos!$A$5:$A$504,0)),0)+SUMIFS($F$5:$F670,$C$5:$C670,$C670,$B$5:$B670,"Entrada")-SUMIFS($F$5:$F670,$C$5:$C670,$C670,$B$5:$B670,"Salida"))</f>
        <v/>
      </c>
      <c r="J670" s="20"/>
      <c r="K670" s="20"/>
      <c r="L670" s="20"/>
      <c r="M670" s="14" t="str">
        <f>IF(AND($C670&lt;&gt;"",$C670=Kardex!$C$4),COUNTIF($C$5:$C670,Kardex!$C$4),"")</f>
        <v/>
      </c>
    </row>
    <row r="671" spans="1:13" x14ac:dyDescent="0.25">
      <c r="A671" s="24"/>
      <c r="B671" s="20"/>
      <c r="C671" s="20"/>
      <c r="D671" s="14" t="str">
        <f>IF($C671="","",IFERROR(INDEX(Productos!$B$5:$B$504,MATCH($C671,Productos!$A$5:$A$504,0)),"Clave no existe"))</f>
        <v/>
      </c>
      <c r="E671" s="14" t="str">
        <f>IF($C671="","",IFERROR(INDEX(Productos!$D$5:$D$504,MATCH($C671,Productos!$A$5:$A$504,0)),""))</f>
        <v/>
      </c>
      <c r="F671" s="20"/>
      <c r="G671" s="22" t="str">
        <f>IF($C671="","",IFERROR(INDEX(Productos!$F$5:$F$504,MATCH($C671,Productos!$A$5:$A$504,0)),0))</f>
        <v/>
      </c>
      <c r="H671" s="22" t="str">
        <f t="shared" si="10"/>
        <v/>
      </c>
      <c r="I671" s="14" t="str">
        <f>IF(OR($C671="",$F671=""),"",IFERROR(INDEX(Productos!$I$5:$I$504,MATCH($C671,Productos!$A$5:$A$504,0)),0)+SUMIFS($F$5:$F671,$C$5:$C671,$C671,$B$5:$B671,"Entrada")-SUMIFS($F$5:$F671,$C$5:$C671,$C671,$B$5:$B671,"Salida"))</f>
        <v/>
      </c>
      <c r="J671" s="20"/>
      <c r="K671" s="20"/>
      <c r="L671" s="20"/>
      <c r="M671" s="14" t="str">
        <f>IF(AND($C671&lt;&gt;"",$C671=Kardex!$C$4),COUNTIF($C$5:$C671,Kardex!$C$4),"")</f>
        <v/>
      </c>
    </row>
    <row r="672" spans="1:13" x14ac:dyDescent="0.25">
      <c r="A672" s="24"/>
      <c r="B672" s="20"/>
      <c r="C672" s="20"/>
      <c r="D672" s="14" t="str">
        <f>IF($C672="","",IFERROR(INDEX(Productos!$B$5:$B$504,MATCH($C672,Productos!$A$5:$A$504,0)),"Clave no existe"))</f>
        <v/>
      </c>
      <c r="E672" s="14" t="str">
        <f>IF($C672="","",IFERROR(INDEX(Productos!$D$5:$D$504,MATCH($C672,Productos!$A$5:$A$504,0)),""))</f>
        <v/>
      </c>
      <c r="F672" s="20"/>
      <c r="G672" s="22" t="str">
        <f>IF($C672="","",IFERROR(INDEX(Productos!$F$5:$F$504,MATCH($C672,Productos!$A$5:$A$504,0)),0))</f>
        <v/>
      </c>
      <c r="H672" s="22" t="str">
        <f t="shared" si="10"/>
        <v/>
      </c>
      <c r="I672" s="14" t="str">
        <f>IF(OR($C672="",$F672=""),"",IFERROR(INDEX(Productos!$I$5:$I$504,MATCH($C672,Productos!$A$5:$A$504,0)),0)+SUMIFS($F$5:$F672,$C$5:$C672,$C672,$B$5:$B672,"Entrada")-SUMIFS($F$5:$F672,$C$5:$C672,$C672,$B$5:$B672,"Salida"))</f>
        <v/>
      </c>
      <c r="J672" s="20"/>
      <c r="K672" s="20"/>
      <c r="L672" s="20"/>
      <c r="M672" s="14" t="str">
        <f>IF(AND($C672&lt;&gt;"",$C672=Kardex!$C$4),COUNTIF($C$5:$C672,Kardex!$C$4),"")</f>
        <v/>
      </c>
    </row>
    <row r="673" spans="1:13" x14ac:dyDescent="0.25">
      <c r="A673" s="24"/>
      <c r="B673" s="20"/>
      <c r="C673" s="20"/>
      <c r="D673" s="14" t="str">
        <f>IF($C673="","",IFERROR(INDEX(Productos!$B$5:$B$504,MATCH($C673,Productos!$A$5:$A$504,0)),"Clave no existe"))</f>
        <v/>
      </c>
      <c r="E673" s="14" t="str">
        <f>IF($C673="","",IFERROR(INDEX(Productos!$D$5:$D$504,MATCH($C673,Productos!$A$5:$A$504,0)),""))</f>
        <v/>
      </c>
      <c r="F673" s="20"/>
      <c r="G673" s="22" t="str">
        <f>IF($C673="","",IFERROR(INDEX(Productos!$F$5:$F$504,MATCH($C673,Productos!$A$5:$A$504,0)),0))</f>
        <v/>
      </c>
      <c r="H673" s="22" t="str">
        <f t="shared" si="10"/>
        <v/>
      </c>
      <c r="I673" s="14" t="str">
        <f>IF(OR($C673="",$F673=""),"",IFERROR(INDEX(Productos!$I$5:$I$504,MATCH($C673,Productos!$A$5:$A$504,0)),0)+SUMIFS($F$5:$F673,$C$5:$C673,$C673,$B$5:$B673,"Entrada")-SUMIFS($F$5:$F673,$C$5:$C673,$C673,$B$5:$B673,"Salida"))</f>
        <v/>
      </c>
      <c r="J673" s="20"/>
      <c r="K673" s="20"/>
      <c r="L673" s="20"/>
      <c r="M673" s="14" t="str">
        <f>IF(AND($C673&lt;&gt;"",$C673=Kardex!$C$4),COUNTIF($C$5:$C673,Kardex!$C$4),"")</f>
        <v/>
      </c>
    </row>
    <row r="674" spans="1:13" x14ac:dyDescent="0.25">
      <c r="A674" s="24"/>
      <c r="B674" s="20"/>
      <c r="C674" s="20"/>
      <c r="D674" s="14" t="str">
        <f>IF($C674="","",IFERROR(INDEX(Productos!$B$5:$B$504,MATCH($C674,Productos!$A$5:$A$504,0)),"Clave no existe"))</f>
        <v/>
      </c>
      <c r="E674" s="14" t="str">
        <f>IF($C674="","",IFERROR(INDEX(Productos!$D$5:$D$504,MATCH($C674,Productos!$A$5:$A$504,0)),""))</f>
        <v/>
      </c>
      <c r="F674" s="20"/>
      <c r="G674" s="22" t="str">
        <f>IF($C674="","",IFERROR(INDEX(Productos!$F$5:$F$504,MATCH($C674,Productos!$A$5:$A$504,0)),0))</f>
        <v/>
      </c>
      <c r="H674" s="22" t="str">
        <f t="shared" si="10"/>
        <v/>
      </c>
      <c r="I674" s="14" t="str">
        <f>IF(OR($C674="",$F674=""),"",IFERROR(INDEX(Productos!$I$5:$I$504,MATCH($C674,Productos!$A$5:$A$504,0)),0)+SUMIFS($F$5:$F674,$C$5:$C674,$C674,$B$5:$B674,"Entrada")-SUMIFS($F$5:$F674,$C$5:$C674,$C674,$B$5:$B674,"Salida"))</f>
        <v/>
      </c>
      <c r="J674" s="20"/>
      <c r="K674" s="20"/>
      <c r="L674" s="20"/>
      <c r="M674" s="14" t="str">
        <f>IF(AND($C674&lt;&gt;"",$C674=Kardex!$C$4),COUNTIF($C$5:$C674,Kardex!$C$4),"")</f>
        <v/>
      </c>
    </row>
    <row r="675" spans="1:13" x14ac:dyDescent="0.25">
      <c r="A675" s="24"/>
      <c r="B675" s="20"/>
      <c r="C675" s="20"/>
      <c r="D675" s="14" t="str">
        <f>IF($C675="","",IFERROR(INDEX(Productos!$B$5:$B$504,MATCH($C675,Productos!$A$5:$A$504,0)),"Clave no existe"))</f>
        <v/>
      </c>
      <c r="E675" s="14" t="str">
        <f>IF($C675="","",IFERROR(INDEX(Productos!$D$5:$D$504,MATCH($C675,Productos!$A$5:$A$504,0)),""))</f>
        <v/>
      </c>
      <c r="F675" s="20"/>
      <c r="G675" s="22" t="str">
        <f>IF($C675="","",IFERROR(INDEX(Productos!$F$5:$F$504,MATCH($C675,Productos!$A$5:$A$504,0)),0))</f>
        <v/>
      </c>
      <c r="H675" s="22" t="str">
        <f t="shared" si="10"/>
        <v/>
      </c>
      <c r="I675" s="14" t="str">
        <f>IF(OR($C675="",$F675=""),"",IFERROR(INDEX(Productos!$I$5:$I$504,MATCH($C675,Productos!$A$5:$A$504,0)),0)+SUMIFS($F$5:$F675,$C$5:$C675,$C675,$B$5:$B675,"Entrada")-SUMIFS($F$5:$F675,$C$5:$C675,$C675,$B$5:$B675,"Salida"))</f>
        <v/>
      </c>
      <c r="J675" s="20"/>
      <c r="K675" s="20"/>
      <c r="L675" s="20"/>
      <c r="M675" s="14" t="str">
        <f>IF(AND($C675&lt;&gt;"",$C675=Kardex!$C$4),COUNTIF($C$5:$C675,Kardex!$C$4),"")</f>
        <v/>
      </c>
    </row>
    <row r="676" spans="1:13" x14ac:dyDescent="0.25">
      <c r="A676" s="24"/>
      <c r="B676" s="20"/>
      <c r="C676" s="20"/>
      <c r="D676" s="14" t="str">
        <f>IF($C676="","",IFERROR(INDEX(Productos!$B$5:$B$504,MATCH($C676,Productos!$A$5:$A$504,0)),"Clave no existe"))</f>
        <v/>
      </c>
      <c r="E676" s="14" t="str">
        <f>IF($C676="","",IFERROR(INDEX(Productos!$D$5:$D$504,MATCH($C676,Productos!$A$5:$A$504,0)),""))</f>
        <v/>
      </c>
      <c r="F676" s="20"/>
      <c r="G676" s="22" t="str">
        <f>IF($C676="","",IFERROR(INDEX(Productos!$F$5:$F$504,MATCH($C676,Productos!$A$5:$A$504,0)),0))</f>
        <v/>
      </c>
      <c r="H676" s="22" t="str">
        <f t="shared" si="10"/>
        <v/>
      </c>
      <c r="I676" s="14" t="str">
        <f>IF(OR($C676="",$F676=""),"",IFERROR(INDEX(Productos!$I$5:$I$504,MATCH($C676,Productos!$A$5:$A$504,0)),0)+SUMIFS($F$5:$F676,$C$5:$C676,$C676,$B$5:$B676,"Entrada")-SUMIFS($F$5:$F676,$C$5:$C676,$C676,$B$5:$B676,"Salida"))</f>
        <v/>
      </c>
      <c r="J676" s="20"/>
      <c r="K676" s="20"/>
      <c r="L676" s="20"/>
      <c r="M676" s="14" t="str">
        <f>IF(AND($C676&lt;&gt;"",$C676=Kardex!$C$4),COUNTIF($C$5:$C676,Kardex!$C$4),"")</f>
        <v/>
      </c>
    </row>
    <row r="677" spans="1:13" x14ac:dyDescent="0.25">
      <c r="A677" s="24"/>
      <c r="B677" s="20"/>
      <c r="C677" s="20"/>
      <c r="D677" s="14" t="str">
        <f>IF($C677="","",IFERROR(INDEX(Productos!$B$5:$B$504,MATCH($C677,Productos!$A$5:$A$504,0)),"Clave no existe"))</f>
        <v/>
      </c>
      <c r="E677" s="14" t="str">
        <f>IF($C677="","",IFERROR(INDEX(Productos!$D$5:$D$504,MATCH($C677,Productos!$A$5:$A$504,0)),""))</f>
        <v/>
      </c>
      <c r="F677" s="20"/>
      <c r="G677" s="22" t="str">
        <f>IF($C677="","",IFERROR(INDEX(Productos!$F$5:$F$504,MATCH($C677,Productos!$A$5:$A$504,0)),0))</f>
        <v/>
      </c>
      <c r="H677" s="22" t="str">
        <f t="shared" si="10"/>
        <v/>
      </c>
      <c r="I677" s="14" t="str">
        <f>IF(OR($C677="",$F677=""),"",IFERROR(INDEX(Productos!$I$5:$I$504,MATCH($C677,Productos!$A$5:$A$504,0)),0)+SUMIFS($F$5:$F677,$C$5:$C677,$C677,$B$5:$B677,"Entrada")-SUMIFS($F$5:$F677,$C$5:$C677,$C677,$B$5:$B677,"Salida"))</f>
        <v/>
      </c>
      <c r="J677" s="20"/>
      <c r="K677" s="20"/>
      <c r="L677" s="20"/>
      <c r="M677" s="14" t="str">
        <f>IF(AND($C677&lt;&gt;"",$C677=Kardex!$C$4),COUNTIF($C$5:$C677,Kardex!$C$4),"")</f>
        <v/>
      </c>
    </row>
    <row r="678" spans="1:13" x14ac:dyDescent="0.25">
      <c r="A678" s="24"/>
      <c r="B678" s="20"/>
      <c r="C678" s="20"/>
      <c r="D678" s="14" t="str">
        <f>IF($C678="","",IFERROR(INDEX(Productos!$B$5:$B$504,MATCH($C678,Productos!$A$5:$A$504,0)),"Clave no existe"))</f>
        <v/>
      </c>
      <c r="E678" s="14" t="str">
        <f>IF($C678="","",IFERROR(INDEX(Productos!$D$5:$D$504,MATCH($C678,Productos!$A$5:$A$504,0)),""))</f>
        <v/>
      </c>
      <c r="F678" s="20"/>
      <c r="G678" s="22" t="str">
        <f>IF($C678="","",IFERROR(INDEX(Productos!$F$5:$F$504,MATCH($C678,Productos!$A$5:$A$504,0)),0))</f>
        <v/>
      </c>
      <c r="H678" s="22" t="str">
        <f t="shared" si="10"/>
        <v/>
      </c>
      <c r="I678" s="14" t="str">
        <f>IF(OR($C678="",$F678=""),"",IFERROR(INDEX(Productos!$I$5:$I$504,MATCH($C678,Productos!$A$5:$A$504,0)),0)+SUMIFS($F$5:$F678,$C$5:$C678,$C678,$B$5:$B678,"Entrada")-SUMIFS($F$5:$F678,$C$5:$C678,$C678,$B$5:$B678,"Salida"))</f>
        <v/>
      </c>
      <c r="J678" s="20"/>
      <c r="K678" s="20"/>
      <c r="L678" s="20"/>
      <c r="M678" s="14" t="str">
        <f>IF(AND($C678&lt;&gt;"",$C678=Kardex!$C$4),COUNTIF($C$5:$C678,Kardex!$C$4),"")</f>
        <v/>
      </c>
    </row>
    <row r="679" spans="1:13" x14ac:dyDescent="0.25">
      <c r="A679" s="24"/>
      <c r="B679" s="20"/>
      <c r="C679" s="20"/>
      <c r="D679" s="14" t="str">
        <f>IF($C679="","",IFERROR(INDEX(Productos!$B$5:$B$504,MATCH($C679,Productos!$A$5:$A$504,0)),"Clave no existe"))</f>
        <v/>
      </c>
      <c r="E679" s="14" t="str">
        <f>IF($C679="","",IFERROR(INDEX(Productos!$D$5:$D$504,MATCH($C679,Productos!$A$5:$A$504,0)),""))</f>
        <v/>
      </c>
      <c r="F679" s="20"/>
      <c r="G679" s="22" t="str">
        <f>IF($C679="","",IFERROR(INDEX(Productos!$F$5:$F$504,MATCH($C679,Productos!$A$5:$A$504,0)),0))</f>
        <v/>
      </c>
      <c r="H679" s="22" t="str">
        <f t="shared" si="10"/>
        <v/>
      </c>
      <c r="I679" s="14" t="str">
        <f>IF(OR($C679="",$F679=""),"",IFERROR(INDEX(Productos!$I$5:$I$504,MATCH($C679,Productos!$A$5:$A$504,0)),0)+SUMIFS($F$5:$F679,$C$5:$C679,$C679,$B$5:$B679,"Entrada")-SUMIFS($F$5:$F679,$C$5:$C679,$C679,$B$5:$B679,"Salida"))</f>
        <v/>
      </c>
      <c r="J679" s="20"/>
      <c r="K679" s="20"/>
      <c r="L679" s="20"/>
      <c r="M679" s="14" t="str">
        <f>IF(AND($C679&lt;&gt;"",$C679=Kardex!$C$4),COUNTIF($C$5:$C679,Kardex!$C$4),"")</f>
        <v/>
      </c>
    </row>
    <row r="680" spans="1:13" x14ac:dyDescent="0.25">
      <c r="A680" s="24"/>
      <c r="B680" s="20"/>
      <c r="C680" s="20"/>
      <c r="D680" s="14" t="str">
        <f>IF($C680="","",IFERROR(INDEX(Productos!$B$5:$B$504,MATCH($C680,Productos!$A$5:$A$504,0)),"Clave no existe"))</f>
        <v/>
      </c>
      <c r="E680" s="14" t="str">
        <f>IF($C680="","",IFERROR(INDEX(Productos!$D$5:$D$504,MATCH($C680,Productos!$A$5:$A$504,0)),""))</f>
        <v/>
      </c>
      <c r="F680" s="20"/>
      <c r="G680" s="22" t="str">
        <f>IF($C680="","",IFERROR(INDEX(Productos!$F$5:$F$504,MATCH($C680,Productos!$A$5:$A$504,0)),0))</f>
        <v/>
      </c>
      <c r="H680" s="22" t="str">
        <f t="shared" si="10"/>
        <v/>
      </c>
      <c r="I680" s="14" t="str">
        <f>IF(OR($C680="",$F680=""),"",IFERROR(INDEX(Productos!$I$5:$I$504,MATCH($C680,Productos!$A$5:$A$504,0)),0)+SUMIFS($F$5:$F680,$C$5:$C680,$C680,$B$5:$B680,"Entrada")-SUMIFS($F$5:$F680,$C$5:$C680,$C680,$B$5:$B680,"Salida"))</f>
        <v/>
      </c>
      <c r="J680" s="20"/>
      <c r="K680" s="20"/>
      <c r="L680" s="20"/>
      <c r="M680" s="14" t="str">
        <f>IF(AND($C680&lt;&gt;"",$C680=Kardex!$C$4),COUNTIF($C$5:$C680,Kardex!$C$4),"")</f>
        <v/>
      </c>
    </row>
    <row r="681" spans="1:13" x14ac:dyDescent="0.25">
      <c r="A681" s="24"/>
      <c r="B681" s="20"/>
      <c r="C681" s="20"/>
      <c r="D681" s="14" t="str">
        <f>IF($C681="","",IFERROR(INDEX(Productos!$B$5:$B$504,MATCH($C681,Productos!$A$5:$A$504,0)),"Clave no existe"))</f>
        <v/>
      </c>
      <c r="E681" s="14" t="str">
        <f>IF($C681="","",IFERROR(INDEX(Productos!$D$5:$D$504,MATCH($C681,Productos!$A$5:$A$504,0)),""))</f>
        <v/>
      </c>
      <c r="F681" s="20"/>
      <c r="G681" s="22" t="str">
        <f>IF($C681="","",IFERROR(INDEX(Productos!$F$5:$F$504,MATCH($C681,Productos!$A$5:$A$504,0)),0))</f>
        <v/>
      </c>
      <c r="H681" s="22" t="str">
        <f t="shared" si="10"/>
        <v/>
      </c>
      <c r="I681" s="14" t="str">
        <f>IF(OR($C681="",$F681=""),"",IFERROR(INDEX(Productos!$I$5:$I$504,MATCH($C681,Productos!$A$5:$A$504,0)),0)+SUMIFS($F$5:$F681,$C$5:$C681,$C681,$B$5:$B681,"Entrada")-SUMIFS($F$5:$F681,$C$5:$C681,$C681,$B$5:$B681,"Salida"))</f>
        <v/>
      </c>
      <c r="J681" s="20"/>
      <c r="K681" s="20"/>
      <c r="L681" s="20"/>
      <c r="M681" s="14" t="str">
        <f>IF(AND($C681&lt;&gt;"",$C681=Kardex!$C$4),COUNTIF($C$5:$C681,Kardex!$C$4),"")</f>
        <v/>
      </c>
    </row>
    <row r="682" spans="1:13" x14ac:dyDescent="0.25">
      <c r="A682" s="24"/>
      <c r="B682" s="20"/>
      <c r="C682" s="20"/>
      <c r="D682" s="14" t="str">
        <f>IF($C682="","",IFERROR(INDEX(Productos!$B$5:$B$504,MATCH($C682,Productos!$A$5:$A$504,0)),"Clave no existe"))</f>
        <v/>
      </c>
      <c r="E682" s="14" t="str">
        <f>IF($C682="","",IFERROR(INDEX(Productos!$D$5:$D$504,MATCH($C682,Productos!$A$5:$A$504,0)),""))</f>
        <v/>
      </c>
      <c r="F682" s="20"/>
      <c r="G682" s="22" t="str">
        <f>IF($C682="","",IFERROR(INDEX(Productos!$F$5:$F$504,MATCH($C682,Productos!$A$5:$A$504,0)),0))</f>
        <v/>
      </c>
      <c r="H682" s="22" t="str">
        <f t="shared" si="10"/>
        <v/>
      </c>
      <c r="I682" s="14" t="str">
        <f>IF(OR($C682="",$F682=""),"",IFERROR(INDEX(Productos!$I$5:$I$504,MATCH($C682,Productos!$A$5:$A$504,0)),0)+SUMIFS($F$5:$F682,$C$5:$C682,$C682,$B$5:$B682,"Entrada")-SUMIFS($F$5:$F682,$C$5:$C682,$C682,$B$5:$B682,"Salida"))</f>
        <v/>
      </c>
      <c r="J682" s="20"/>
      <c r="K682" s="20"/>
      <c r="L682" s="20"/>
      <c r="M682" s="14" t="str">
        <f>IF(AND($C682&lt;&gt;"",$C682=Kardex!$C$4),COUNTIF($C$5:$C682,Kardex!$C$4),"")</f>
        <v/>
      </c>
    </row>
    <row r="683" spans="1:13" x14ac:dyDescent="0.25">
      <c r="A683" s="24"/>
      <c r="B683" s="20"/>
      <c r="C683" s="20"/>
      <c r="D683" s="14" t="str">
        <f>IF($C683="","",IFERROR(INDEX(Productos!$B$5:$B$504,MATCH($C683,Productos!$A$5:$A$504,0)),"Clave no existe"))</f>
        <v/>
      </c>
      <c r="E683" s="14" t="str">
        <f>IF($C683="","",IFERROR(INDEX(Productos!$D$5:$D$504,MATCH($C683,Productos!$A$5:$A$504,0)),""))</f>
        <v/>
      </c>
      <c r="F683" s="20"/>
      <c r="G683" s="22" t="str">
        <f>IF($C683="","",IFERROR(INDEX(Productos!$F$5:$F$504,MATCH($C683,Productos!$A$5:$A$504,0)),0))</f>
        <v/>
      </c>
      <c r="H683" s="22" t="str">
        <f t="shared" si="10"/>
        <v/>
      </c>
      <c r="I683" s="14" t="str">
        <f>IF(OR($C683="",$F683=""),"",IFERROR(INDEX(Productos!$I$5:$I$504,MATCH($C683,Productos!$A$5:$A$504,0)),0)+SUMIFS($F$5:$F683,$C$5:$C683,$C683,$B$5:$B683,"Entrada")-SUMIFS($F$5:$F683,$C$5:$C683,$C683,$B$5:$B683,"Salida"))</f>
        <v/>
      </c>
      <c r="J683" s="20"/>
      <c r="K683" s="20"/>
      <c r="L683" s="20"/>
      <c r="M683" s="14" t="str">
        <f>IF(AND($C683&lt;&gt;"",$C683=Kardex!$C$4),COUNTIF($C$5:$C683,Kardex!$C$4),"")</f>
        <v/>
      </c>
    </row>
    <row r="684" spans="1:13" x14ac:dyDescent="0.25">
      <c r="A684" s="24"/>
      <c r="B684" s="20"/>
      <c r="C684" s="20"/>
      <c r="D684" s="14" t="str">
        <f>IF($C684="","",IFERROR(INDEX(Productos!$B$5:$B$504,MATCH($C684,Productos!$A$5:$A$504,0)),"Clave no existe"))</f>
        <v/>
      </c>
      <c r="E684" s="14" t="str">
        <f>IF($C684="","",IFERROR(INDEX(Productos!$D$5:$D$504,MATCH($C684,Productos!$A$5:$A$504,0)),""))</f>
        <v/>
      </c>
      <c r="F684" s="20"/>
      <c r="G684" s="22" t="str">
        <f>IF($C684="","",IFERROR(INDEX(Productos!$F$5:$F$504,MATCH($C684,Productos!$A$5:$A$504,0)),0))</f>
        <v/>
      </c>
      <c r="H684" s="22" t="str">
        <f t="shared" si="10"/>
        <v/>
      </c>
      <c r="I684" s="14" t="str">
        <f>IF(OR($C684="",$F684=""),"",IFERROR(INDEX(Productos!$I$5:$I$504,MATCH($C684,Productos!$A$5:$A$504,0)),0)+SUMIFS($F$5:$F684,$C$5:$C684,$C684,$B$5:$B684,"Entrada")-SUMIFS($F$5:$F684,$C$5:$C684,$C684,$B$5:$B684,"Salida"))</f>
        <v/>
      </c>
      <c r="J684" s="20"/>
      <c r="K684" s="20"/>
      <c r="L684" s="20"/>
      <c r="M684" s="14" t="str">
        <f>IF(AND($C684&lt;&gt;"",$C684=Kardex!$C$4),COUNTIF($C$5:$C684,Kardex!$C$4),"")</f>
        <v/>
      </c>
    </row>
    <row r="685" spans="1:13" x14ac:dyDescent="0.25">
      <c r="A685" s="24"/>
      <c r="B685" s="20"/>
      <c r="C685" s="20"/>
      <c r="D685" s="14" t="str">
        <f>IF($C685="","",IFERROR(INDEX(Productos!$B$5:$B$504,MATCH($C685,Productos!$A$5:$A$504,0)),"Clave no existe"))</f>
        <v/>
      </c>
      <c r="E685" s="14" t="str">
        <f>IF($C685="","",IFERROR(INDEX(Productos!$D$5:$D$504,MATCH($C685,Productos!$A$5:$A$504,0)),""))</f>
        <v/>
      </c>
      <c r="F685" s="20"/>
      <c r="G685" s="22" t="str">
        <f>IF($C685="","",IFERROR(INDEX(Productos!$F$5:$F$504,MATCH($C685,Productos!$A$5:$A$504,0)),0))</f>
        <v/>
      </c>
      <c r="H685" s="22" t="str">
        <f t="shared" si="10"/>
        <v/>
      </c>
      <c r="I685" s="14" t="str">
        <f>IF(OR($C685="",$F685=""),"",IFERROR(INDEX(Productos!$I$5:$I$504,MATCH($C685,Productos!$A$5:$A$504,0)),0)+SUMIFS($F$5:$F685,$C$5:$C685,$C685,$B$5:$B685,"Entrada")-SUMIFS($F$5:$F685,$C$5:$C685,$C685,$B$5:$B685,"Salida"))</f>
        <v/>
      </c>
      <c r="J685" s="20"/>
      <c r="K685" s="20"/>
      <c r="L685" s="20"/>
      <c r="M685" s="14" t="str">
        <f>IF(AND($C685&lt;&gt;"",$C685=Kardex!$C$4),COUNTIF($C$5:$C685,Kardex!$C$4),"")</f>
        <v/>
      </c>
    </row>
    <row r="686" spans="1:13" x14ac:dyDescent="0.25">
      <c r="A686" s="24"/>
      <c r="B686" s="20"/>
      <c r="C686" s="20"/>
      <c r="D686" s="14" t="str">
        <f>IF($C686="","",IFERROR(INDEX(Productos!$B$5:$B$504,MATCH($C686,Productos!$A$5:$A$504,0)),"Clave no existe"))</f>
        <v/>
      </c>
      <c r="E686" s="14" t="str">
        <f>IF($C686="","",IFERROR(INDEX(Productos!$D$5:$D$504,MATCH($C686,Productos!$A$5:$A$504,0)),""))</f>
        <v/>
      </c>
      <c r="F686" s="20"/>
      <c r="G686" s="22" t="str">
        <f>IF($C686="","",IFERROR(INDEX(Productos!$F$5:$F$504,MATCH($C686,Productos!$A$5:$A$504,0)),0))</f>
        <v/>
      </c>
      <c r="H686" s="22" t="str">
        <f t="shared" si="10"/>
        <v/>
      </c>
      <c r="I686" s="14" t="str">
        <f>IF(OR($C686="",$F686=""),"",IFERROR(INDEX(Productos!$I$5:$I$504,MATCH($C686,Productos!$A$5:$A$504,0)),0)+SUMIFS($F$5:$F686,$C$5:$C686,$C686,$B$5:$B686,"Entrada")-SUMIFS($F$5:$F686,$C$5:$C686,$C686,$B$5:$B686,"Salida"))</f>
        <v/>
      </c>
      <c r="J686" s="20"/>
      <c r="K686" s="20"/>
      <c r="L686" s="20"/>
      <c r="M686" s="14" t="str">
        <f>IF(AND($C686&lt;&gt;"",$C686=Kardex!$C$4),COUNTIF($C$5:$C686,Kardex!$C$4),"")</f>
        <v/>
      </c>
    </row>
    <row r="687" spans="1:13" x14ac:dyDescent="0.25">
      <c r="A687" s="24"/>
      <c r="B687" s="20"/>
      <c r="C687" s="20"/>
      <c r="D687" s="14" t="str">
        <f>IF($C687="","",IFERROR(INDEX(Productos!$B$5:$B$504,MATCH($C687,Productos!$A$5:$A$504,0)),"Clave no existe"))</f>
        <v/>
      </c>
      <c r="E687" s="14" t="str">
        <f>IF($C687="","",IFERROR(INDEX(Productos!$D$5:$D$504,MATCH($C687,Productos!$A$5:$A$504,0)),""))</f>
        <v/>
      </c>
      <c r="F687" s="20"/>
      <c r="G687" s="22" t="str">
        <f>IF($C687="","",IFERROR(INDEX(Productos!$F$5:$F$504,MATCH($C687,Productos!$A$5:$A$504,0)),0))</f>
        <v/>
      </c>
      <c r="H687" s="22" t="str">
        <f t="shared" si="10"/>
        <v/>
      </c>
      <c r="I687" s="14" t="str">
        <f>IF(OR($C687="",$F687=""),"",IFERROR(INDEX(Productos!$I$5:$I$504,MATCH($C687,Productos!$A$5:$A$504,0)),0)+SUMIFS($F$5:$F687,$C$5:$C687,$C687,$B$5:$B687,"Entrada")-SUMIFS($F$5:$F687,$C$5:$C687,$C687,$B$5:$B687,"Salida"))</f>
        <v/>
      </c>
      <c r="J687" s="20"/>
      <c r="K687" s="20"/>
      <c r="L687" s="20"/>
      <c r="M687" s="14" t="str">
        <f>IF(AND($C687&lt;&gt;"",$C687=Kardex!$C$4),COUNTIF($C$5:$C687,Kardex!$C$4),"")</f>
        <v/>
      </c>
    </row>
    <row r="688" spans="1:13" x14ac:dyDescent="0.25">
      <c r="A688" s="24"/>
      <c r="B688" s="20"/>
      <c r="C688" s="20"/>
      <c r="D688" s="14" t="str">
        <f>IF($C688="","",IFERROR(INDEX(Productos!$B$5:$B$504,MATCH($C688,Productos!$A$5:$A$504,0)),"Clave no existe"))</f>
        <v/>
      </c>
      <c r="E688" s="14" t="str">
        <f>IF($C688="","",IFERROR(INDEX(Productos!$D$5:$D$504,MATCH($C688,Productos!$A$5:$A$504,0)),""))</f>
        <v/>
      </c>
      <c r="F688" s="20"/>
      <c r="G688" s="22" t="str">
        <f>IF($C688="","",IFERROR(INDEX(Productos!$F$5:$F$504,MATCH($C688,Productos!$A$5:$A$504,0)),0))</f>
        <v/>
      </c>
      <c r="H688" s="22" t="str">
        <f t="shared" si="10"/>
        <v/>
      </c>
      <c r="I688" s="14" t="str">
        <f>IF(OR($C688="",$F688=""),"",IFERROR(INDEX(Productos!$I$5:$I$504,MATCH($C688,Productos!$A$5:$A$504,0)),0)+SUMIFS($F$5:$F688,$C$5:$C688,$C688,$B$5:$B688,"Entrada")-SUMIFS($F$5:$F688,$C$5:$C688,$C688,$B$5:$B688,"Salida"))</f>
        <v/>
      </c>
      <c r="J688" s="20"/>
      <c r="K688" s="20"/>
      <c r="L688" s="20"/>
      <c r="M688" s="14" t="str">
        <f>IF(AND($C688&lt;&gt;"",$C688=Kardex!$C$4),COUNTIF($C$5:$C688,Kardex!$C$4),"")</f>
        <v/>
      </c>
    </row>
    <row r="689" spans="1:13" x14ac:dyDescent="0.25">
      <c r="A689" s="24"/>
      <c r="B689" s="20"/>
      <c r="C689" s="20"/>
      <c r="D689" s="14" t="str">
        <f>IF($C689="","",IFERROR(INDEX(Productos!$B$5:$B$504,MATCH($C689,Productos!$A$5:$A$504,0)),"Clave no existe"))</f>
        <v/>
      </c>
      <c r="E689" s="14" t="str">
        <f>IF($C689="","",IFERROR(INDEX(Productos!$D$5:$D$504,MATCH($C689,Productos!$A$5:$A$504,0)),""))</f>
        <v/>
      </c>
      <c r="F689" s="20"/>
      <c r="G689" s="22" t="str">
        <f>IF($C689="","",IFERROR(INDEX(Productos!$F$5:$F$504,MATCH($C689,Productos!$A$5:$A$504,0)),0))</f>
        <v/>
      </c>
      <c r="H689" s="22" t="str">
        <f t="shared" si="10"/>
        <v/>
      </c>
      <c r="I689" s="14" t="str">
        <f>IF(OR($C689="",$F689=""),"",IFERROR(INDEX(Productos!$I$5:$I$504,MATCH($C689,Productos!$A$5:$A$504,0)),0)+SUMIFS($F$5:$F689,$C$5:$C689,$C689,$B$5:$B689,"Entrada")-SUMIFS($F$5:$F689,$C$5:$C689,$C689,$B$5:$B689,"Salida"))</f>
        <v/>
      </c>
      <c r="J689" s="20"/>
      <c r="K689" s="20"/>
      <c r="L689" s="20"/>
      <c r="M689" s="14" t="str">
        <f>IF(AND($C689&lt;&gt;"",$C689=Kardex!$C$4),COUNTIF($C$5:$C689,Kardex!$C$4),"")</f>
        <v/>
      </c>
    </row>
    <row r="690" spans="1:13" x14ac:dyDescent="0.25">
      <c r="A690" s="24"/>
      <c r="B690" s="20"/>
      <c r="C690" s="20"/>
      <c r="D690" s="14" t="str">
        <f>IF($C690="","",IFERROR(INDEX(Productos!$B$5:$B$504,MATCH($C690,Productos!$A$5:$A$504,0)),"Clave no existe"))</f>
        <v/>
      </c>
      <c r="E690" s="14" t="str">
        <f>IF($C690="","",IFERROR(INDEX(Productos!$D$5:$D$504,MATCH($C690,Productos!$A$5:$A$504,0)),""))</f>
        <v/>
      </c>
      <c r="F690" s="20"/>
      <c r="G690" s="22" t="str">
        <f>IF($C690="","",IFERROR(INDEX(Productos!$F$5:$F$504,MATCH($C690,Productos!$A$5:$A$504,0)),0))</f>
        <v/>
      </c>
      <c r="H690" s="22" t="str">
        <f t="shared" si="10"/>
        <v/>
      </c>
      <c r="I690" s="14" t="str">
        <f>IF(OR($C690="",$F690=""),"",IFERROR(INDEX(Productos!$I$5:$I$504,MATCH($C690,Productos!$A$5:$A$504,0)),0)+SUMIFS($F$5:$F690,$C$5:$C690,$C690,$B$5:$B690,"Entrada")-SUMIFS($F$5:$F690,$C$5:$C690,$C690,$B$5:$B690,"Salida"))</f>
        <v/>
      </c>
      <c r="J690" s="20"/>
      <c r="K690" s="20"/>
      <c r="L690" s="20"/>
      <c r="M690" s="14" t="str">
        <f>IF(AND($C690&lt;&gt;"",$C690=Kardex!$C$4),COUNTIF($C$5:$C690,Kardex!$C$4),"")</f>
        <v/>
      </c>
    </row>
    <row r="691" spans="1:13" x14ac:dyDescent="0.25">
      <c r="A691" s="24"/>
      <c r="B691" s="20"/>
      <c r="C691" s="20"/>
      <c r="D691" s="14" t="str">
        <f>IF($C691="","",IFERROR(INDEX(Productos!$B$5:$B$504,MATCH($C691,Productos!$A$5:$A$504,0)),"Clave no existe"))</f>
        <v/>
      </c>
      <c r="E691" s="14" t="str">
        <f>IF($C691="","",IFERROR(INDEX(Productos!$D$5:$D$504,MATCH($C691,Productos!$A$5:$A$504,0)),""))</f>
        <v/>
      </c>
      <c r="F691" s="20"/>
      <c r="G691" s="22" t="str">
        <f>IF($C691="","",IFERROR(INDEX(Productos!$F$5:$F$504,MATCH($C691,Productos!$A$5:$A$504,0)),0))</f>
        <v/>
      </c>
      <c r="H691" s="22" t="str">
        <f t="shared" si="10"/>
        <v/>
      </c>
      <c r="I691" s="14" t="str">
        <f>IF(OR($C691="",$F691=""),"",IFERROR(INDEX(Productos!$I$5:$I$504,MATCH($C691,Productos!$A$5:$A$504,0)),0)+SUMIFS($F$5:$F691,$C$5:$C691,$C691,$B$5:$B691,"Entrada")-SUMIFS($F$5:$F691,$C$5:$C691,$C691,$B$5:$B691,"Salida"))</f>
        <v/>
      </c>
      <c r="J691" s="20"/>
      <c r="K691" s="20"/>
      <c r="L691" s="20"/>
      <c r="M691" s="14" t="str">
        <f>IF(AND($C691&lt;&gt;"",$C691=Kardex!$C$4),COUNTIF($C$5:$C691,Kardex!$C$4),"")</f>
        <v/>
      </c>
    </row>
    <row r="692" spans="1:13" x14ac:dyDescent="0.25">
      <c r="A692" s="24"/>
      <c r="B692" s="20"/>
      <c r="C692" s="20"/>
      <c r="D692" s="14" t="str">
        <f>IF($C692="","",IFERROR(INDEX(Productos!$B$5:$B$504,MATCH($C692,Productos!$A$5:$A$504,0)),"Clave no existe"))</f>
        <v/>
      </c>
      <c r="E692" s="14" t="str">
        <f>IF($C692="","",IFERROR(INDEX(Productos!$D$5:$D$504,MATCH($C692,Productos!$A$5:$A$504,0)),""))</f>
        <v/>
      </c>
      <c r="F692" s="20"/>
      <c r="G692" s="22" t="str">
        <f>IF($C692="","",IFERROR(INDEX(Productos!$F$5:$F$504,MATCH($C692,Productos!$A$5:$A$504,0)),0))</f>
        <v/>
      </c>
      <c r="H692" s="22" t="str">
        <f t="shared" si="10"/>
        <v/>
      </c>
      <c r="I692" s="14" t="str">
        <f>IF(OR($C692="",$F692=""),"",IFERROR(INDEX(Productos!$I$5:$I$504,MATCH($C692,Productos!$A$5:$A$504,0)),0)+SUMIFS($F$5:$F692,$C$5:$C692,$C692,$B$5:$B692,"Entrada")-SUMIFS($F$5:$F692,$C$5:$C692,$C692,$B$5:$B692,"Salida"))</f>
        <v/>
      </c>
      <c r="J692" s="20"/>
      <c r="K692" s="20"/>
      <c r="L692" s="20"/>
      <c r="M692" s="14" t="str">
        <f>IF(AND($C692&lt;&gt;"",$C692=Kardex!$C$4),COUNTIF($C$5:$C692,Kardex!$C$4),"")</f>
        <v/>
      </c>
    </row>
    <row r="693" spans="1:13" x14ac:dyDescent="0.25">
      <c r="A693" s="24"/>
      <c r="B693" s="20"/>
      <c r="C693" s="20"/>
      <c r="D693" s="14" t="str">
        <f>IF($C693="","",IFERROR(INDEX(Productos!$B$5:$B$504,MATCH($C693,Productos!$A$5:$A$504,0)),"Clave no existe"))</f>
        <v/>
      </c>
      <c r="E693" s="14" t="str">
        <f>IF($C693="","",IFERROR(INDEX(Productos!$D$5:$D$504,MATCH($C693,Productos!$A$5:$A$504,0)),""))</f>
        <v/>
      </c>
      <c r="F693" s="20"/>
      <c r="G693" s="22" t="str">
        <f>IF($C693="","",IFERROR(INDEX(Productos!$F$5:$F$504,MATCH($C693,Productos!$A$5:$A$504,0)),0))</f>
        <v/>
      </c>
      <c r="H693" s="22" t="str">
        <f t="shared" si="10"/>
        <v/>
      </c>
      <c r="I693" s="14" t="str">
        <f>IF(OR($C693="",$F693=""),"",IFERROR(INDEX(Productos!$I$5:$I$504,MATCH($C693,Productos!$A$5:$A$504,0)),0)+SUMIFS($F$5:$F693,$C$5:$C693,$C693,$B$5:$B693,"Entrada")-SUMIFS($F$5:$F693,$C$5:$C693,$C693,$B$5:$B693,"Salida"))</f>
        <v/>
      </c>
      <c r="J693" s="20"/>
      <c r="K693" s="20"/>
      <c r="L693" s="20"/>
      <c r="M693" s="14" t="str">
        <f>IF(AND($C693&lt;&gt;"",$C693=Kardex!$C$4),COUNTIF($C$5:$C693,Kardex!$C$4),"")</f>
        <v/>
      </c>
    </row>
    <row r="694" spans="1:13" x14ac:dyDescent="0.25">
      <c r="A694" s="24"/>
      <c r="B694" s="20"/>
      <c r="C694" s="20"/>
      <c r="D694" s="14" t="str">
        <f>IF($C694="","",IFERROR(INDEX(Productos!$B$5:$B$504,MATCH($C694,Productos!$A$5:$A$504,0)),"Clave no existe"))</f>
        <v/>
      </c>
      <c r="E694" s="14" t="str">
        <f>IF($C694="","",IFERROR(INDEX(Productos!$D$5:$D$504,MATCH($C694,Productos!$A$5:$A$504,0)),""))</f>
        <v/>
      </c>
      <c r="F694" s="20"/>
      <c r="G694" s="22" t="str">
        <f>IF($C694="","",IFERROR(INDEX(Productos!$F$5:$F$504,MATCH($C694,Productos!$A$5:$A$504,0)),0))</f>
        <v/>
      </c>
      <c r="H694" s="22" t="str">
        <f t="shared" si="10"/>
        <v/>
      </c>
      <c r="I694" s="14" t="str">
        <f>IF(OR($C694="",$F694=""),"",IFERROR(INDEX(Productos!$I$5:$I$504,MATCH($C694,Productos!$A$5:$A$504,0)),0)+SUMIFS($F$5:$F694,$C$5:$C694,$C694,$B$5:$B694,"Entrada")-SUMIFS($F$5:$F694,$C$5:$C694,$C694,$B$5:$B694,"Salida"))</f>
        <v/>
      </c>
      <c r="J694" s="20"/>
      <c r="K694" s="20"/>
      <c r="L694" s="20"/>
      <c r="M694" s="14" t="str">
        <f>IF(AND($C694&lt;&gt;"",$C694=Kardex!$C$4),COUNTIF($C$5:$C694,Kardex!$C$4),"")</f>
        <v/>
      </c>
    </row>
    <row r="695" spans="1:13" x14ac:dyDescent="0.25">
      <c r="A695" s="24"/>
      <c r="B695" s="20"/>
      <c r="C695" s="20"/>
      <c r="D695" s="14" t="str">
        <f>IF($C695="","",IFERROR(INDEX(Productos!$B$5:$B$504,MATCH($C695,Productos!$A$5:$A$504,0)),"Clave no existe"))</f>
        <v/>
      </c>
      <c r="E695" s="14" t="str">
        <f>IF($C695="","",IFERROR(INDEX(Productos!$D$5:$D$504,MATCH($C695,Productos!$A$5:$A$504,0)),""))</f>
        <v/>
      </c>
      <c r="F695" s="20"/>
      <c r="G695" s="22" t="str">
        <f>IF($C695="","",IFERROR(INDEX(Productos!$F$5:$F$504,MATCH($C695,Productos!$A$5:$A$504,0)),0))</f>
        <v/>
      </c>
      <c r="H695" s="22" t="str">
        <f t="shared" si="10"/>
        <v/>
      </c>
      <c r="I695" s="14" t="str">
        <f>IF(OR($C695="",$F695=""),"",IFERROR(INDEX(Productos!$I$5:$I$504,MATCH($C695,Productos!$A$5:$A$504,0)),0)+SUMIFS($F$5:$F695,$C$5:$C695,$C695,$B$5:$B695,"Entrada")-SUMIFS($F$5:$F695,$C$5:$C695,$C695,$B$5:$B695,"Salida"))</f>
        <v/>
      </c>
      <c r="J695" s="20"/>
      <c r="K695" s="20"/>
      <c r="L695" s="20"/>
      <c r="M695" s="14" t="str">
        <f>IF(AND($C695&lt;&gt;"",$C695=Kardex!$C$4),COUNTIF($C$5:$C695,Kardex!$C$4),"")</f>
        <v/>
      </c>
    </row>
    <row r="696" spans="1:13" x14ac:dyDescent="0.25">
      <c r="A696" s="24"/>
      <c r="B696" s="20"/>
      <c r="C696" s="20"/>
      <c r="D696" s="14" t="str">
        <f>IF($C696="","",IFERROR(INDEX(Productos!$B$5:$B$504,MATCH($C696,Productos!$A$5:$A$504,0)),"Clave no existe"))</f>
        <v/>
      </c>
      <c r="E696" s="14" t="str">
        <f>IF($C696="","",IFERROR(INDEX(Productos!$D$5:$D$504,MATCH($C696,Productos!$A$5:$A$504,0)),""))</f>
        <v/>
      </c>
      <c r="F696" s="20"/>
      <c r="G696" s="22" t="str">
        <f>IF($C696="","",IFERROR(INDEX(Productos!$F$5:$F$504,MATCH($C696,Productos!$A$5:$A$504,0)),0))</f>
        <v/>
      </c>
      <c r="H696" s="22" t="str">
        <f t="shared" si="10"/>
        <v/>
      </c>
      <c r="I696" s="14" t="str">
        <f>IF(OR($C696="",$F696=""),"",IFERROR(INDEX(Productos!$I$5:$I$504,MATCH($C696,Productos!$A$5:$A$504,0)),0)+SUMIFS($F$5:$F696,$C$5:$C696,$C696,$B$5:$B696,"Entrada")-SUMIFS($F$5:$F696,$C$5:$C696,$C696,$B$5:$B696,"Salida"))</f>
        <v/>
      </c>
      <c r="J696" s="20"/>
      <c r="K696" s="20"/>
      <c r="L696" s="20"/>
      <c r="M696" s="14" t="str">
        <f>IF(AND($C696&lt;&gt;"",$C696=Kardex!$C$4),COUNTIF($C$5:$C696,Kardex!$C$4),"")</f>
        <v/>
      </c>
    </row>
    <row r="697" spans="1:13" x14ac:dyDescent="0.25">
      <c r="A697" s="24"/>
      <c r="B697" s="20"/>
      <c r="C697" s="20"/>
      <c r="D697" s="14" t="str">
        <f>IF($C697="","",IFERROR(INDEX(Productos!$B$5:$B$504,MATCH($C697,Productos!$A$5:$A$504,0)),"Clave no existe"))</f>
        <v/>
      </c>
      <c r="E697" s="14" t="str">
        <f>IF($C697="","",IFERROR(INDEX(Productos!$D$5:$D$504,MATCH($C697,Productos!$A$5:$A$504,0)),""))</f>
        <v/>
      </c>
      <c r="F697" s="20"/>
      <c r="G697" s="22" t="str">
        <f>IF($C697="","",IFERROR(INDEX(Productos!$F$5:$F$504,MATCH($C697,Productos!$A$5:$A$504,0)),0))</f>
        <v/>
      </c>
      <c r="H697" s="22" t="str">
        <f t="shared" si="10"/>
        <v/>
      </c>
      <c r="I697" s="14" t="str">
        <f>IF(OR($C697="",$F697=""),"",IFERROR(INDEX(Productos!$I$5:$I$504,MATCH($C697,Productos!$A$5:$A$504,0)),0)+SUMIFS($F$5:$F697,$C$5:$C697,$C697,$B$5:$B697,"Entrada")-SUMIFS($F$5:$F697,$C$5:$C697,$C697,$B$5:$B697,"Salida"))</f>
        <v/>
      </c>
      <c r="J697" s="20"/>
      <c r="K697" s="20"/>
      <c r="L697" s="20"/>
      <c r="M697" s="14" t="str">
        <f>IF(AND($C697&lt;&gt;"",$C697=Kardex!$C$4),COUNTIF($C$5:$C697,Kardex!$C$4),"")</f>
        <v/>
      </c>
    </row>
    <row r="698" spans="1:13" x14ac:dyDescent="0.25">
      <c r="A698" s="24"/>
      <c r="B698" s="20"/>
      <c r="C698" s="20"/>
      <c r="D698" s="14" t="str">
        <f>IF($C698="","",IFERROR(INDEX(Productos!$B$5:$B$504,MATCH($C698,Productos!$A$5:$A$504,0)),"Clave no existe"))</f>
        <v/>
      </c>
      <c r="E698" s="14" t="str">
        <f>IF($C698="","",IFERROR(INDEX(Productos!$D$5:$D$504,MATCH($C698,Productos!$A$5:$A$504,0)),""))</f>
        <v/>
      </c>
      <c r="F698" s="20"/>
      <c r="G698" s="22" t="str">
        <f>IF($C698="","",IFERROR(INDEX(Productos!$F$5:$F$504,MATCH($C698,Productos!$A$5:$A$504,0)),0))</f>
        <v/>
      </c>
      <c r="H698" s="22" t="str">
        <f t="shared" si="10"/>
        <v/>
      </c>
      <c r="I698" s="14" t="str">
        <f>IF(OR($C698="",$F698=""),"",IFERROR(INDEX(Productos!$I$5:$I$504,MATCH($C698,Productos!$A$5:$A$504,0)),0)+SUMIFS($F$5:$F698,$C$5:$C698,$C698,$B$5:$B698,"Entrada")-SUMIFS($F$5:$F698,$C$5:$C698,$C698,$B$5:$B698,"Salida"))</f>
        <v/>
      </c>
      <c r="J698" s="20"/>
      <c r="K698" s="20"/>
      <c r="L698" s="20"/>
      <c r="M698" s="14" t="str">
        <f>IF(AND($C698&lt;&gt;"",$C698=Kardex!$C$4),COUNTIF($C$5:$C698,Kardex!$C$4),"")</f>
        <v/>
      </c>
    </row>
    <row r="699" spans="1:13" x14ac:dyDescent="0.25">
      <c r="A699" s="24"/>
      <c r="B699" s="20"/>
      <c r="C699" s="20"/>
      <c r="D699" s="14" t="str">
        <f>IF($C699="","",IFERROR(INDEX(Productos!$B$5:$B$504,MATCH($C699,Productos!$A$5:$A$504,0)),"Clave no existe"))</f>
        <v/>
      </c>
      <c r="E699" s="14" t="str">
        <f>IF($C699="","",IFERROR(INDEX(Productos!$D$5:$D$504,MATCH($C699,Productos!$A$5:$A$504,0)),""))</f>
        <v/>
      </c>
      <c r="F699" s="20"/>
      <c r="G699" s="22" t="str">
        <f>IF($C699="","",IFERROR(INDEX(Productos!$F$5:$F$504,MATCH($C699,Productos!$A$5:$A$504,0)),0))</f>
        <v/>
      </c>
      <c r="H699" s="22" t="str">
        <f t="shared" si="10"/>
        <v/>
      </c>
      <c r="I699" s="14" t="str">
        <f>IF(OR($C699="",$F699=""),"",IFERROR(INDEX(Productos!$I$5:$I$504,MATCH($C699,Productos!$A$5:$A$504,0)),0)+SUMIFS($F$5:$F699,$C$5:$C699,$C699,$B$5:$B699,"Entrada")-SUMIFS($F$5:$F699,$C$5:$C699,$C699,$B$5:$B699,"Salida"))</f>
        <v/>
      </c>
      <c r="J699" s="20"/>
      <c r="K699" s="20"/>
      <c r="L699" s="20"/>
      <c r="M699" s="14" t="str">
        <f>IF(AND($C699&lt;&gt;"",$C699=Kardex!$C$4),COUNTIF($C$5:$C699,Kardex!$C$4),"")</f>
        <v/>
      </c>
    </row>
    <row r="700" spans="1:13" x14ac:dyDescent="0.25">
      <c r="A700" s="24"/>
      <c r="B700" s="20"/>
      <c r="C700" s="20"/>
      <c r="D700" s="14" t="str">
        <f>IF($C700="","",IFERROR(INDEX(Productos!$B$5:$B$504,MATCH($C700,Productos!$A$5:$A$504,0)),"Clave no existe"))</f>
        <v/>
      </c>
      <c r="E700" s="14" t="str">
        <f>IF($C700="","",IFERROR(INDEX(Productos!$D$5:$D$504,MATCH($C700,Productos!$A$5:$A$504,0)),""))</f>
        <v/>
      </c>
      <c r="F700" s="20"/>
      <c r="G700" s="22" t="str">
        <f>IF($C700="","",IFERROR(INDEX(Productos!$F$5:$F$504,MATCH($C700,Productos!$A$5:$A$504,0)),0))</f>
        <v/>
      </c>
      <c r="H700" s="22" t="str">
        <f t="shared" si="10"/>
        <v/>
      </c>
      <c r="I700" s="14" t="str">
        <f>IF(OR($C700="",$F700=""),"",IFERROR(INDEX(Productos!$I$5:$I$504,MATCH($C700,Productos!$A$5:$A$504,0)),0)+SUMIFS($F$5:$F700,$C$5:$C700,$C700,$B$5:$B700,"Entrada")-SUMIFS($F$5:$F700,$C$5:$C700,$C700,$B$5:$B700,"Salida"))</f>
        <v/>
      </c>
      <c r="J700" s="20"/>
      <c r="K700" s="20"/>
      <c r="L700" s="20"/>
      <c r="M700" s="14" t="str">
        <f>IF(AND($C700&lt;&gt;"",$C700=Kardex!$C$4),COUNTIF($C$5:$C700,Kardex!$C$4),"")</f>
        <v/>
      </c>
    </row>
    <row r="701" spans="1:13" x14ac:dyDescent="0.25">
      <c r="A701" s="24"/>
      <c r="B701" s="20"/>
      <c r="C701" s="20"/>
      <c r="D701" s="14" t="str">
        <f>IF($C701="","",IFERROR(INDEX(Productos!$B$5:$B$504,MATCH($C701,Productos!$A$5:$A$504,0)),"Clave no existe"))</f>
        <v/>
      </c>
      <c r="E701" s="14" t="str">
        <f>IF($C701="","",IFERROR(INDEX(Productos!$D$5:$D$504,MATCH($C701,Productos!$A$5:$A$504,0)),""))</f>
        <v/>
      </c>
      <c r="F701" s="20"/>
      <c r="G701" s="22" t="str">
        <f>IF($C701="","",IFERROR(INDEX(Productos!$F$5:$F$504,MATCH($C701,Productos!$A$5:$A$504,0)),0))</f>
        <v/>
      </c>
      <c r="H701" s="22" t="str">
        <f t="shared" si="10"/>
        <v/>
      </c>
      <c r="I701" s="14" t="str">
        <f>IF(OR($C701="",$F701=""),"",IFERROR(INDEX(Productos!$I$5:$I$504,MATCH($C701,Productos!$A$5:$A$504,0)),0)+SUMIFS($F$5:$F701,$C$5:$C701,$C701,$B$5:$B701,"Entrada")-SUMIFS($F$5:$F701,$C$5:$C701,$C701,$B$5:$B701,"Salida"))</f>
        <v/>
      </c>
      <c r="J701" s="20"/>
      <c r="K701" s="20"/>
      <c r="L701" s="20"/>
      <c r="M701" s="14" t="str">
        <f>IF(AND($C701&lt;&gt;"",$C701=Kardex!$C$4),COUNTIF($C$5:$C701,Kardex!$C$4),"")</f>
        <v/>
      </c>
    </row>
    <row r="702" spans="1:13" x14ac:dyDescent="0.25">
      <c r="A702" s="24"/>
      <c r="B702" s="20"/>
      <c r="C702" s="20"/>
      <c r="D702" s="14" t="str">
        <f>IF($C702="","",IFERROR(INDEX(Productos!$B$5:$B$504,MATCH($C702,Productos!$A$5:$A$504,0)),"Clave no existe"))</f>
        <v/>
      </c>
      <c r="E702" s="14" t="str">
        <f>IF($C702="","",IFERROR(INDEX(Productos!$D$5:$D$504,MATCH($C702,Productos!$A$5:$A$504,0)),""))</f>
        <v/>
      </c>
      <c r="F702" s="20"/>
      <c r="G702" s="22" t="str">
        <f>IF($C702="","",IFERROR(INDEX(Productos!$F$5:$F$504,MATCH($C702,Productos!$A$5:$A$504,0)),0))</f>
        <v/>
      </c>
      <c r="H702" s="22" t="str">
        <f t="shared" si="10"/>
        <v/>
      </c>
      <c r="I702" s="14" t="str">
        <f>IF(OR($C702="",$F702=""),"",IFERROR(INDEX(Productos!$I$5:$I$504,MATCH($C702,Productos!$A$5:$A$504,0)),0)+SUMIFS($F$5:$F702,$C$5:$C702,$C702,$B$5:$B702,"Entrada")-SUMIFS($F$5:$F702,$C$5:$C702,$C702,$B$5:$B702,"Salida"))</f>
        <v/>
      </c>
      <c r="J702" s="20"/>
      <c r="K702" s="20"/>
      <c r="L702" s="20"/>
      <c r="M702" s="14" t="str">
        <f>IF(AND($C702&lt;&gt;"",$C702=Kardex!$C$4),COUNTIF($C$5:$C702,Kardex!$C$4),"")</f>
        <v/>
      </c>
    </row>
    <row r="703" spans="1:13" x14ac:dyDescent="0.25">
      <c r="A703" s="24"/>
      <c r="B703" s="20"/>
      <c r="C703" s="20"/>
      <c r="D703" s="14" t="str">
        <f>IF($C703="","",IFERROR(INDEX(Productos!$B$5:$B$504,MATCH($C703,Productos!$A$5:$A$504,0)),"Clave no existe"))</f>
        <v/>
      </c>
      <c r="E703" s="14" t="str">
        <f>IF($C703="","",IFERROR(INDEX(Productos!$D$5:$D$504,MATCH($C703,Productos!$A$5:$A$504,0)),""))</f>
        <v/>
      </c>
      <c r="F703" s="20"/>
      <c r="G703" s="22" t="str">
        <f>IF($C703="","",IFERROR(INDEX(Productos!$F$5:$F$504,MATCH($C703,Productos!$A$5:$A$504,0)),0))</f>
        <v/>
      </c>
      <c r="H703" s="22" t="str">
        <f t="shared" si="10"/>
        <v/>
      </c>
      <c r="I703" s="14" t="str">
        <f>IF(OR($C703="",$F703=""),"",IFERROR(INDEX(Productos!$I$5:$I$504,MATCH($C703,Productos!$A$5:$A$504,0)),0)+SUMIFS($F$5:$F703,$C$5:$C703,$C703,$B$5:$B703,"Entrada")-SUMIFS($F$5:$F703,$C$5:$C703,$C703,$B$5:$B703,"Salida"))</f>
        <v/>
      </c>
      <c r="J703" s="20"/>
      <c r="K703" s="20"/>
      <c r="L703" s="20"/>
      <c r="M703" s="14" t="str">
        <f>IF(AND($C703&lt;&gt;"",$C703=Kardex!$C$4),COUNTIF($C$5:$C703,Kardex!$C$4),"")</f>
        <v/>
      </c>
    </row>
    <row r="704" spans="1:13" x14ac:dyDescent="0.25">
      <c r="A704" s="24"/>
      <c r="B704" s="20"/>
      <c r="C704" s="20"/>
      <c r="D704" s="14" t="str">
        <f>IF($C704="","",IFERROR(INDEX(Productos!$B$5:$B$504,MATCH($C704,Productos!$A$5:$A$504,0)),"Clave no existe"))</f>
        <v/>
      </c>
      <c r="E704" s="14" t="str">
        <f>IF($C704="","",IFERROR(INDEX(Productos!$D$5:$D$504,MATCH($C704,Productos!$A$5:$A$504,0)),""))</f>
        <v/>
      </c>
      <c r="F704" s="20"/>
      <c r="G704" s="22" t="str">
        <f>IF($C704="","",IFERROR(INDEX(Productos!$F$5:$F$504,MATCH($C704,Productos!$A$5:$A$504,0)),0))</f>
        <v/>
      </c>
      <c r="H704" s="22" t="str">
        <f t="shared" si="10"/>
        <v/>
      </c>
      <c r="I704" s="14" t="str">
        <f>IF(OR($C704="",$F704=""),"",IFERROR(INDEX(Productos!$I$5:$I$504,MATCH($C704,Productos!$A$5:$A$504,0)),0)+SUMIFS($F$5:$F704,$C$5:$C704,$C704,$B$5:$B704,"Entrada")-SUMIFS($F$5:$F704,$C$5:$C704,$C704,$B$5:$B704,"Salida"))</f>
        <v/>
      </c>
      <c r="J704" s="20"/>
      <c r="K704" s="20"/>
      <c r="L704" s="20"/>
      <c r="M704" s="14" t="str">
        <f>IF(AND($C704&lt;&gt;"",$C704=Kardex!$C$4),COUNTIF($C$5:$C704,Kardex!$C$4),"")</f>
        <v/>
      </c>
    </row>
    <row r="705" spans="1:13" x14ac:dyDescent="0.25">
      <c r="A705" s="24"/>
      <c r="B705" s="20"/>
      <c r="C705" s="20"/>
      <c r="D705" s="14" t="str">
        <f>IF($C705="","",IFERROR(INDEX(Productos!$B$5:$B$504,MATCH($C705,Productos!$A$5:$A$504,0)),"Clave no existe"))</f>
        <v/>
      </c>
      <c r="E705" s="14" t="str">
        <f>IF($C705="","",IFERROR(INDEX(Productos!$D$5:$D$504,MATCH($C705,Productos!$A$5:$A$504,0)),""))</f>
        <v/>
      </c>
      <c r="F705" s="20"/>
      <c r="G705" s="22" t="str">
        <f>IF($C705="","",IFERROR(INDEX(Productos!$F$5:$F$504,MATCH($C705,Productos!$A$5:$A$504,0)),0))</f>
        <v/>
      </c>
      <c r="H705" s="22" t="str">
        <f t="shared" si="10"/>
        <v/>
      </c>
      <c r="I705" s="14" t="str">
        <f>IF(OR($C705="",$F705=""),"",IFERROR(INDEX(Productos!$I$5:$I$504,MATCH($C705,Productos!$A$5:$A$504,0)),0)+SUMIFS($F$5:$F705,$C$5:$C705,$C705,$B$5:$B705,"Entrada")-SUMIFS($F$5:$F705,$C$5:$C705,$C705,$B$5:$B705,"Salida"))</f>
        <v/>
      </c>
      <c r="J705" s="20"/>
      <c r="K705" s="20"/>
      <c r="L705" s="20"/>
      <c r="M705" s="14" t="str">
        <f>IF(AND($C705&lt;&gt;"",$C705=Kardex!$C$4),COUNTIF($C$5:$C705,Kardex!$C$4),"")</f>
        <v/>
      </c>
    </row>
    <row r="706" spans="1:13" x14ac:dyDescent="0.25">
      <c r="A706" s="24"/>
      <c r="B706" s="20"/>
      <c r="C706" s="20"/>
      <c r="D706" s="14" t="str">
        <f>IF($C706="","",IFERROR(INDEX(Productos!$B$5:$B$504,MATCH($C706,Productos!$A$5:$A$504,0)),"Clave no existe"))</f>
        <v/>
      </c>
      <c r="E706" s="14" t="str">
        <f>IF($C706="","",IFERROR(INDEX(Productos!$D$5:$D$504,MATCH($C706,Productos!$A$5:$A$504,0)),""))</f>
        <v/>
      </c>
      <c r="F706" s="20"/>
      <c r="G706" s="22" t="str">
        <f>IF($C706="","",IFERROR(INDEX(Productos!$F$5:$F$504,MATCH($C706,Productos!$A$5:$A$504,0)),0))</f>
        <v/>
      </c>
      <c r="H706" s="22" t="str">
        <f t="shared" si="10"/>
        <v/>
      </c>
      <c r="I706" s="14" t="str">
        <f>IF(OR($C706="",$F706=""),"",IFERROR(INDEX(Productos!$I$5:$I$504,MATCH($C706,Productos!$A$5:$A$504,0)),0)+SUMIFS($F$5:$F706,$C$5:$C706,$C706,$B$5:$B706,"Entrada")-SUMIFS($F$5:$F706,$C$5:$C706,$C706,$B$5:$B706,"Salida"))</f>
        <v/>
      </c>
      <c r="J706" s="20"/>
      <c r="K706" s="20"/>
      <c r="L706" s="20"/>
      <c r="M706" s="14" t="str">
        <f>IF(AND($C706&lt;&gt;"",$C706=Kardex!$C$4),COUNTIF($C$5:$C706,Kardex!$C$4),"")</f>
        <v/>
      </c>
    </row>
    <row r="707" spans="1:13" x14ac:dyDescent="0.25">
      <c r="A707" s="24"/>
      <c r="B707" s="20"/>
      <c r="C707" s="20"/>
      <c r="D707" s="14" t="str">
        <f>IF($C707="","",IFERROR(INDEX(Productos!$B$5:$B$504,MATCH($C707,Productos!$A$5:$A$504,0)),"Clave no existe"))</f>
        <v/>
      </c>
      <c r="E707" s="14" t="str">
        <f>IF($C707="","",IFERROR(INDEX(Productos!$D$5:$D$504,MATCH($C707,Productos!$A$5:$A$504,0)),""))</f>
        <v/>
      </c>
      <c r="F707" s="20"/>
      <c r="G707" s="22" t="str">
        <f>IF($C707="","",IFERROR(INDEX(Productos!$F$5:$F$504,MATCH($C707,Productos!$A$5:$A$504,0)),0))</f>
        <v/>
      </c>
      <c r="H707" s="22" t="str">
        <f t="shared" si="10"/>
        <v/>
      </c>
      <c r="I707" s="14" t="str">
        <f>IF(OR($C707="",$F707=""),"",IFERROR(INDEX(Productos!$I$5:$I$504,MATCH($C707,Productos!$A$5:$A$504,0)),0)+SUMIFS($F$5:$F707,$C$5:$C707,$C707,$B$5:$B707,"Entrada")-SUMIFS($F$5:$F707,$C$5:$C707,$C707,$B$5:$B707,"Salida"))</f>
        <v/>
      </c>
      <c r="J707" s="20"/>
      <c r="K707" s="20"/>
      <c r="L707" s="20"/>
      <c r="M707" s="14" t="str">
        <f>IF(AND($C707&lt;&gt;"",$C707=Kardex!$C$4),COUNTIF($C$5:$C707,Kardex!$C$4),"")</f>
        <v/>
      </c>
    </row>
    <row r="708" spans="1:13" x14ac:dyDescent="0.25">
      <c r="A708" s="24"/>
      <c r="B708" s="20"/>
      <c r="C708" s="20"/>
      <c r="D708" s="14" t="str">
        <f>IF($C708="","",IFERROR(INDEX(Productos!$B$5:$B$504,MATCH($C708,Productos!$A$5:$A$504,0)),"Clave no existe"))</f>
        <v/>
      </c>
      <c r="E708" s="14" t="str">
        <f>IF($C708="","",IFERROR(INDEX(Productos!$D$5:$D$504,MATCH($C708,Productos!$A$5:$A$504,0)),""))</f>
        <v/>
      </c>
      <c r="F708" s="20"/>
      <c r="G708" s="22" t="str">
        <f>IF($C708="","",IFERROR(INDEX(Productos!$F$5:$F$504,MATCH($C708,Productos!$A$5:$A$504,0)),0))</f>
        <v/>
      </c>
      <c r="H708" s="22" t="str">
        <f t="shared" si="10"/>
        <v/>
      </c>
      <c r="I708" s="14" t="str">
        <f>IF(OR($C708="",$F708=""),"",IFERROR(INDEX(Productos!$I$5:$I$504,MATCH($C708,Productos!$A$5:$A$504,0)),0)+SUMIFS($F$5:$F708,$C$5:$C708,$C708,$B$5:$B708,"Entrada")-SUMIFS($F$5:$F708,$C$5:$C708,$C708,$B$5:$B708,"Salida"))</f>
        <v/>
      </c>
      <c r="J708" s="20"/>
      <c r="K708" s="20"/>
      <c r="L708" s="20"/>
      <c r="M708" s="14" t="str">
        <f>IF(AND($C708&lt;&gt;"",$C708=Kardex!$C$4),COUNTIF($C$5:$C708,Kardex!$C$4),"")</f>
        <v/>
      </c>
    </row>
    <row r="709" spans="1:13" x14ac:dyDescent="0.25">
      <c r="A709" s="24"/>
      <c r="B709" s="20"/>
      <c r="C709" s="20"/>
      <c r="D709" s="14" t="str">
        <f>IF($C709="","",IFERROR(INDEX(Productos!$B$5:$B$504,MATCH($C709,Productos!$A$5:$A$504,0)),"Clave no existe"))</f>
        <v/>
      </c>
      <c r="E709" s="14" t="str">
        <f>IF($C709="","",IFERROR(INDEX(Productos!$D$5:$D$504,MATCH($C709,Productos!$A$5:$A$504,0)),""))</f>
        <v/>
      </c>
      <c r="F709" s="20"/>
      <c r="G709" s="22" t="str">
        <f>IF($C709="","",IFERROR(INDEX(Productos!$F$5:$F$504,MATCH($C709,Productos!$A$5:$A$504,0)),0))</f>
        <v/>
      </c>
      <c r="H709" s="22" t="str">
        <f t="shared" ref="H709:H772" si="11">IF(OR($C709="",$F709=""),"",F709*G709)</f>
        <v/>
      </c>
      <c r="I709" s="14" t="str">
        <f>IF(OR($C709="",$F709=""),"",IFERROR(INDEX(Productos!$I$5:$I$504,MATCH($C709,Productos!$A$5:$A$504,0)),0)+SUMIFS($F$5:$F709,$C$5:$C709,$C709,$B$5:$B709,"Entrada")-SUMIFS($F$5:$F709,$C$5:$C709,$C709,$B$5:$B709,"Salida"))</f>
        <v/>
      </c>
      <c r="J709" s="20"/>
      <c r="K709" s="20"/>
      <c r="L709" s="20"/>
      <c r="M709" s="14" t="str">
        <f>IF(AND($C709&lt;&gt;"",$C709=Kardex!$C$4),COUNTIF($C$5:$C709,Kardex!$C$4),"")</f>
        <v/>
      </c>
    </row>
    <row r="710" spans="1:13" x14ac:dyDescent="0.25">
      <c r="A710" s="24"/>
      <c r="B710" s="20"/>
      <c r="C710" s="20"/>
      <c r="D710" s="14" t="str">
        <f>IF($C710="","",IFERROR(INDEX(Productos!$B$5:$B$504,MATCH($C710,Productos!$A$5:$A$504,0)),"Clave no existe"))</f>
        <v/>
      </c>
      <c r="E710" s="14" t="str">
        <f>IF($C710="","",IFERROR(INDEX(Productos!$D$5:$D$504,MATCH($C710,Productos!$A$5:$A$504,0)),""))</f>
        <v/>
      </c>
      <c r="F710" s="20"/>
      <c r="G710" s="22" t="str">
        <f>IF($C710="","",IFERROR(INDEX(Productos!$F$5:$F$504,MATCH($C710,Productos!$A$5:$A$504,0)),0))</f>
        <v/>
      </c>
      <c r="H710" s="22" t="str">
        <f t="shared" si="11"/>
        <v/>
      </c>
      <c r="I710" s="14" t="str">
        <f>IF(OR($C710="",$F710=""),"",IFERROR(INDEX(Productos!$I$5:$I$504,MATCH($C710,Productos!$A$5:$A$504,0)),0)+SUMIFS($F$5:$F710,$C$5:$C710,$C710,$B$5:$B710,"Entrada")-SUMIFS($F$5:$F710,$C$5:$C710,$C710,$B$5:$B710,"Salida"))</f>
        <v/>
      </c>
      <c r="J710" s="20"/>
      <c r="K710" s="20"/>
      <c r="L710" s="20"/>
      <c r="M710" s="14" t="str">
        <f>IF(AND($C710&lt;&gt;"",$C710=Kardex!$C$4),COUNTIF($C$5:$C710,Kardex!$C$4),"")</f>
        <v/>
      </c>
    </row>
    <row r="711" spans="1:13" x14ac:dyDescent="0.25">
      <c r="A711" s="24"/>
      <c r="B711" s="20"/>
      <c r="C711" s="20"/>
      <c r="D711" s="14" t="str">
        <f>IF($C711="","",IFERROR(INDEX(Productos!$B$5:$B$504,MATCH($C711,Productos!$A$5:$A$504,0)),"Clave no existe"))</f>
        <v/>
      </c>
      <c r="E711" s="14" t="str">
        <f>IF($C711="","",IFERROR(INDEX(Productos!$D$5:$D$504,MATCH($C711,Productos!$A$5:$A$504,0)),""))</f>
        <v/>
      </c>
      <c r="F711" s="20"/>
      <c r="G711" s="22" t="str">
        <f>IF($C711="","",IFERROR(INDEX(Productos!$F$5:$F$504,MATCH($C711,Productos!$A$5:$A$504,0)),0))</f>
        <v/>
      </c>
      <c r="H711" s="22" t="str">
        <f t="shared" si="11"/>
        <v/>
      </c>
      <c r="I711" s="14" t="str">
        <f>IF(OR($C711="",$F711=""),"",IFERROR(INDEX(Productos!$I$5:$I$504,MATCH($C711,Productos!$A$5:$A$504,0)),0)+SUMIFS($F$5:$F711,$C$5:$C711,$C711,$B$5:$B711,"Entrada")-SUMIFS($F$5:$F711,$C$5:$C711,$C711,$B$5:$B711,"Salida"))</f>
        <v/>
      </c>
      <c r="J711" s="20"/>
      <c r="K711" s="20"/>
      <c r="L711" s="20"/>
      <c r="M711" s="14" t="str">
        <f>IF(AND($C711&lt;&gt;"",$C711=Kardex!$C$4),COUNTIF($C$5:$C711,Kardex!$C$4),"")</f>
        <v/>
      </c>
    </row>
    <row r="712" spans="1:13" x14ac:dyDescent="0.25">
      <c r="A712" s="24"/>
      <c r="B712" s="20"/>
      <c r="C712" s="20"/>
      <c r="D712" s="14" t="str">
        <f>IF($C712="","",IFERROR(INDEX(Productos!$B$5:$B$504,MATCH($C712,Productos!$A$5:$A$504,0)),"Clave no existe"))</f>
        <v/>
      </c>
      <c r="E712" s="14" t="str">
        <f>IF($C712="","",IFERROR(INDEX(Productos!$D$5:$D$504,MATCH($C712,Productos!$A$5:$A$504,0)),""))</f>
        <v/>
      </c>
      <c r="F712" s="20"/>
      <c r="G712" s="22" t="str">
        <f>IF($C712="","",IFERROR(INDEX(Productos!$F$5:$F$504,MATCH($C712,Productos!$A$5:$A$504,0)),0))</f>
        <v/>
      </c>
      <c r="H712" s="22" t="str">
        <f t="shared" si="11"/>
        <v/>
      </c>
      <c r="I712" s="14" t="str">
        <f>IF(OR($C712="",$F712=""),"",IFERROR(INDEX(Productos!$I$5:$I$504,MATCH($C712,Productos!$A$5:$A$504,0)),0)+SUMIFS($F$5:$F712,$C$5:$C712,$C712,$B$5:$B712,"Entrada")-SUMIFS($F$5:$F712,$C$5:$C712,$C712,$B$5:$B712,"Salida"))</f>
        <v/>
      </c>
      <c r="J712" s="20"/>
      <c r="K712" s="20"/>
      <c r="L712" s="20"/>
      <c r="M712" s="14" t="str">
        <f>IF(AND($C712&lt;&gt;"",$C712=Kardex!$C$4),COUNTIF($C$5:$C712,Kardex!$C$4),"")</f>
        <v/>
      </c>
    </row>
    <row r="713" spans="1:13" x14ac:dyDescent="0.25">
      <c r="A713" s="24"/>
      <c r="B713" s="20"/>
      <c r="C713" s="20"/>
      <c r="D713" s="14" t="str">
        <f>IF($C713="","",IFERROR(INDEX(Productos!$B$5:$B$504,MATCH($C713,Productos!$A$5:$A$504,0)),"Clave no existe"))</f>
        <v/>
      </c>
      <c r="E713" s="14" t="str">
        <f>IF($C713="","",IFERROR(INDEX(Productos!$D$5:$D$504,MATCH($C713,Productos!$A$5:$A$504,0)),""))</f>
        <v/>
      </c>
      <c r="F713" s="20"/>
      <c r="G713" s="22" t="str">
        <f>IF($C713="","",IFERROR(INDEX(Productos!$F$5:$F$504,MATCH($C713,Productos!$A$5:$A$504,0)),0))</f>
        <v/>
      </c>
      <c r="H713" s="22" t="str">
        <f t="shared" si="11"/>
        <v/>
      </c>
      <c r="I713" s="14" t="str">
        <f>IF(OR($C713="",$F713=""),"",IFERROR(INDEX(Productos!$I$5:$I$504,MATCH($C713,Productos!$A$5:$A$504,0)),0)+SUMIFS($F$5:$F713,$C$5:$C713,$C713,$B$5:$B713,"Entrada")-SUMIFS($F$5:$F713,$C$5:$C713,$C713,$B$5:$B713,"Salida"))</f>
        <v/>
      </c>
      <c r="J713" s="20"/>
      <c r="K713" s="20"/>
      <c r="L713" s="20"/>
      <c r="M713" s="14" t="str">
        <f>IF(AND($C713&lt;&gt;"",$C713=Kardex!$C$4),COUNTIF($C$5:$C713,Kardex!$C$4),"")</f>
        <v/>
      </c>
    </row>
    <row r="714" spans="1:13" x14ac:dyDescent="0.25">
      <c r="A714" s="24"/>
      <c r="B714" s="20"/>
      <c r="C714" s="20"/>
      <c r="D714" s="14" t="str">
        <f>IF($C714="","",IFERROR(INDEX(Productos!$B$5:$B$504,MATCH($C714,Productos!$A$5:$A$504,0)),"Clave no existe"))</f>
        <v/>
      </c>
      <c r="E714" s="14" t="str">
        <f>IF($C714="","",IFERROR(INDEX(Productos!$D$5:$D$504,MATCH($C714,Productos!$A$5:$A$504,0)),""))</f>
        <v/>
      </c>
      <c r="F714" s="20"/>
      <c r="G714" s="22" t="str">
        <f>IF($C714="","",IFERROR(INDEX(Productos!$F$5:$F$504,MATCH($C714,Productos!$A$5:$A$504,0)),0))</f>
        <v/>
      </c>
      <c r="H714" s="22" t="str">
        <f t="shared" si="11"/>
        <v/>
      </c>
      <c r="I714" s="14" t="str">
        <f>IF(OR($C714="",$F714=""),"",IFERROR(INDEX(Productos!$I$5:$I$504,MATCH($C714,Productos!$A$5:$A$504,0)),0)+SUMIFS($F$5:$F714,$C$5:$C714,$C714,$B$5:$B714,"Entrada")-SUMIFS($F$5:$F714,$C$5:$C714,$C714,$B$5:$B714,"Salida"))</f>
        <v/>
      </c>
      <c r="J714" s="20"/>
      <c r="K714" s="20"/>
      <c r="L714" s="20"/>
      <c r="M714" s="14" t="str">
        <f>IF(AND($C714&lt;&gt;"",$C714=Kardex!$C$4),COUNTIF($C$5:$C714,Kardex!$C$4),"")</f>
        <v/>
      </c>
    </row>
    <row r="715" spans="1:13" x14ac:dyDescent="0.25">
      <c r="A715" s="24"/>
      <c r="B715" s="20"/>
      <c r="C715" s="20"/>
      <c r="D715" s="14" t="str">
        <f>IF($C715="","",IFERROR(INDEX(Productos!$B$5:$B$504,MATCH($C715,Productos!$A$5:$A$504,0)),"Clave no existe"))</f>
        <v/>
      </c>
      <c r="E715" s="14" t="str">
        <f>IF($C715="","",IFERROR(INDEX(Productos!$D$5:$D$504,MATCH($C715,Productos!$A$5:$A$504,0)),""))</f>
        <v/>
      </c>
      <c r="F715" s="20"/>
      <c r="G715" s="22" t="str">
        <f>IF($C715="","",IFERROR(INDEX(Productos!$F$5:$F$504,MATCH($C715,Productos!$A$5:$A$504,0)),0))</f>
        <v/>
      </c>
      <c r="H715" s="22" t="str">
        <f t="shared" si="11"/>
        <v/>
      </c>
      <c r="I715" s="14" t="str">
        <f>IF(OR($C715="",$F715=""),"",IFERROR(INDEX(Productos!$I$5:$I$504,MATCH($C715,Productos!$A$5:$A$504,0)),0)+SUMIFS($F$5:$F715,$C$5:$C715,$C715,$B$5:$B715,"Entrada")-SUMIFS($F$5:$F715,$C$5:$C715,$C715,$B$5:$B715,"Salida"))</f>
        <v/>
      </c>
      <c r="J715" s="20"/>
      <c r="K715" s="20"/>
      <c r="L715" s="20"/>
      <c r="M715" s="14" t="str">
        <f>IF(AND($C715&lt;&gt;"",$C715=Kardex!$C$4),COUNTIF($C$5:$C715,Kardex!$C$4),"")</f>
        <v/>
      </c>
    </row>
    <row r="716" spans="1:13" x14ac:dyDescent="0.25">
      <c r="A716" s="24"/>
      <c r="B716" s="20"/>
      <c r="C716" s="20"/>
      <c r="D716" s="14" t="str">
        <f>IF($C716="","",IFERROR(INDEX(Productos!$B$5:$B$504,MATCH($C716,Productos!$A$5:$A$504,0)),"Clave no existe"))</f>
        <v/>
      </c>
      <c r="E716" s="14" t="str">
        <f>IF($C716="","",IFERROR(INDEX(Productos!$D$5:$D$504,MATCH($C716,Productos!$A$5:$A$504,0)),""))</f>
        <v/>
      </c>
      <c r="F716" s="20"/>
      <c r="G716" s="22" t="str">
        <f>IF($C716="","",IFERROR(INDEX(Productos!$F$5:$F$504,MATCH($C716,Productos!$A$5:$A$504,0)),0))</f>
        <v/>
      </c>
      <c r="H716" s="22" t="str">
        <f t="shared" si="11"/>
        <v/>
      </c>
      <c r="I716" s="14" t="str">
        <f>IF(OR($C716="",$F716=""),"",IFERROR(INDEX(Productos!$I$5:$I$504,MATCH($C716,Productos!$A$5:$A$504,0)),0)+SUMIFS($F$5:$F716,$C$5:$C716,$C716,$B$5:$B716,"Entrada")-SUMIFS($F$5:$F716,$C$5:$C716,$C716,$B$5:$B716,"Salida"))</f>
        <v/>
      </c>
      <c r="J716" s="20"/>
      <c r="K716" s="20"/>
      <c r="L716" s="20"/>
      <c r="M716" s="14" t="str">
        <f>IF(AND($C716&lt;&gt;"",$C716=Kardex!$C$4),COUNTIF($C$5:$C716,Kardex!$C$4),"")</f>
        <v/>
      </c>
    </row>
    <row r="717" spans="1:13" x14ac:dyDescent="0.25">
      <c r="A717" s="24"/>
      <c r="B717" s="20"/>
      <c r="C717" s="20"/>
      <c r="D717" s="14" t="str">
        <f>IF($C717="","",IFERROR(INDEX(Productos!$B$5:$B$504,MATCH($C717,Productos!$A$5:$A$504,0)),"Clave no existe"))</f>
        <v/>
      </c>
      <c r="E717" s="14" t="str">
        <f>IF($C717="","",IFERROR(INDEX(Productos!$D$5:$D$504,MATCH($C717,Productos!$A$5:$A$504,0)),""))</f>
        <v/>
      </c>
      <c r="F717" s="20"/>
      <c r="G717" s="22" t="str">
        <f>IF($C717="","",IFERROR(INDEX(Productos!$F$5:$F$504,MATCH($C717,Productos!$A$5:$A$504,0)),0))</f>
        <v/>
      </c>
      <c r="H717" s="22" t="str">
        <f t="shared" si="11"/>
        <v/>
      </c>
      <c r="I717" s="14" t="str">
        <f>IF(OR($C717="",$F717=""),"",IFERROR(INDEX(Productos!$I$5:$I$504,MATCH($C717,Productos!$A$5:$A$504,0)),0)+SUMIFS($F$5:$F717,$C$5:$C717,$C717,$B$5:$B717,"Entrada")-SUMIFS($F$5:$F717,$C$5:$C717,$C717,$B$5:$B717,"Salida"))</f>
        <v/>
      </c>
      <c r="J717" s="20"/>
      <c r="K717" s="20"/>
      <c r="L717" s="20"/>
      <c r="M717" s="14" t="str">
        <f>IF(AND($C717&lt;&gt;"",$C717=Kardex!$C$4),COUNTIF($C$5:$C717,Kardex!$C$4),"")</f>
        <v/>
      </c>
    </row>
    <row r="718" spans="1:13" x14ac:dyDescent="0.25">
      <c r="A718" s="24"/>
      <c r="B718" s="20"/>
      <c r="C718" s="20"/>
      <c r="D718" s="14" t="str">
        <f>IF($C718="","",IFERROR(INDEX(Productos!$B$5:$B$504,MATCH($C718,Productos!$A$5:$A$504,0)),"Clave no existe"))</f>
        <v/>
      </c>
      <c r="E718" s="14" t="str">
        <f>IF($C718="","",IFERROR(INDEX(Productos!$D$5:$D$504,MATCH($C718,Productos!$A$5:$A$504,0)),""))</f>
        <v/>
      </c>
      <c r="F718" s="20"/>
      <c r="G718" s="22" t="str">
        <f>IF($C718="","",IFERROR(INDEX(Productos!$F$5:$F$504,MATCH($C718,Productos!$A$5:$A$504,0)),0))</f>
        <v/>
      </c>
      <c r="H718" s="22" t="str">
        <f t="shared" si="11"/>
        <v/>
      </c>
      <c r="I718" s="14" t="str">
        <f>IF(OR($C718="",$F718=""),"",IFERROR(INDEX(Productos!$I$5:$I$504,MATCH($C718,Productos!$A$5:$A$504,0)),0)+SUMIFS($F$5:$F718,$C$5:$C718,$C718,$B$5:$B718,"Entrada")-SUMIFS($F$5:$F718,$C$5:$C718,$C718,$B$5:$B718,"Salida"))</f>
        <v/>
      </c>
      <c r="J718" s="20"/>
      <c r="K718" s="20"/>
      <c r="L718" s="20"/>
      <c r="M718" s="14" t="str">
        <f>IF(AND($C718&lt;&gt;"",$C718=Kardex!$C$4),COUNTIF($C$5:$C718,Kardex!$C$4),"")</f>
        <v/>
      </c>
    </row>
    <row r="719" spans="1:13" x14ac:dyDescent="0.25">
      <c r="A719" s="24"/>
      <c r="B719" s="20"/>
      <c r="C719" s="20"/>
      <c r="D719" s="14" t="str">
        <f>IF($C719="","",IFERROR(INDEX(Productos!$B$5:$B$504,MATCH($C719,Productos!$A$5:$A$504,0)),"Clave no existe"))</f>
        <v/>
      </c>
      <c r="E719" s="14" t="str">
        <f>IF($C719="","",IFERROR(INDEX(Productos!$D$5:$D$504,MATCH($C719,Productos!$A$5:$A$504,0)),""))</f>
        <v/>
      </c>
      <c r="F719" s="20"/>
      <c r="G719" s="22" t="str">
        <f>IF($C719="","",IFERROR(INDEX(Productos!$F$5:$F$504,MATCH($C719,Productos!$A$5:$A$504,0)),0))</f>
        <v/>
      </c>
      <c r="H719" s="22" t="str">
        <f t="shared" si="11"/>
        <v/>
      </c>
      <c r="I719" s="14" t="str">
        <f>IF(OR($C719="",$F719=""),"",IFERROR(INDEX(Productos!$I$5:$I$504,MATCH($C719,Productos!$A$5:$A$504,0)),0)+SUMIFS($F$5:$F719,$C$5:$C719,$C719,$B$5:$B719,"Entrada")-SUMIFS($F$5:$F719,$C$5:$C719,$C719,$B$5:$B719,"Salida"))</f>
        <v/>
      </c>
      <c r="J719" s="20"/>
      <c r="K719" s="20"/>
      <c r="L719" s="20"/>
      <c r="M719" s="14" t="str">
        <f>IF(AND($C719&lt;&gt;"",$C719=Kardex!$C$4),COUNTIF($C$5:$C719,Kardex!$C$4),"")</f>
        <v/>
      </c>
    </row>
    <row r="720" spans="1:13" x14ac:dyDescent="0.25">
      <c r="A720" s="24"/>
      <c r="B720" s="20"/>
      <c r="C720" s="20"/>
      <c r="D720" s="14" t="str">
        <f>IF($C720="","",IFERROR(INDEX(Productos!$B$5:$B$504,MATCH($C720,Productos!$A$5:$A$504,0)),"Clave no existe"))</f>
        <v/>
      </c>
      <c r="E720" s="14" t="str">
        <f>IF($C720="","",IFERROR(INDEX(Productos!$D$5:$D$504,MATCH($C720,Productos!$A$5:$A$504,0)),""))</f>
        <v/>
      </c>
      <c r="F720" s="20"/>
      <c r="G720" s="22" t="str">
        <f>IF($C720="","",IFERROR(INDEX(Productos!$F$5:$F$504,MATCH($C720,Productos!$A$5:$A$504,0)),0))</f>
        <v/>
      </c>
      <c r="H720" s="22" t="str">
        <f t="shared" si="11"/>
        <v/>
      </c>
      <c r="I720" s="14" t="str">
        <f>IF(OR($C720="",$F720=""),"",IFERROR(INDEX(Productos!$I$5:$I$504,MATCH($C720,Productos!$A$5:$A$504,0)),0)+SUMIFS($F$5:$F720,$C$5:$C720,$C720,$B$5:$B720,"Entrada")-SUMIFS($F$5:$F720,$C$5:$C720,$C720,$B$5:$B720,"Salida"))</f>
        <v/>
      </c>
      <c r="J720" s="20"/>
      <c r="K720" s="20"/>
      <c r="L720" s="20"/>
      <c r="M720" s="14" t="str">
        <f>IF(AND($C720&lt;&gt;"",$C720=Kardex!$C$4),COUNTIF($C$5:$C720,Kardex!$C$4),"")</f>
        <v/>
      </c>
    </row>
    <row r="721" spans="1:13" x14ac:dyDescent="0.25">
      <c r="A721" s="24"/>
      <c r="B721" s="20"/>
      <c r="C721" s="20"/>
      <c r="D721" s="14" t="str">
        <f>IF($C721="","",IFERROR(INDEX(Productos!$B$5:$B$504,MATCH($C721,Productos!$A$5:$A$504,0)),"Clave no existe"))</f>
        <v/>
      </c>
      <c r="E721" s="14" t="str">
        <f>IF($C721="","",IFERROR(INDEX(Productos!$D$5:$D$504,MATCH($C721,Productos!$A$5:$A$504,0)),""))</f>
        <v/>
      </c>
      <c r="F721" s="20"/>
      <c r="G721" s="22" t="str">
        <f>IF($C721="","",IFERROR(INDEX(Productos!$F$5:$F$504,MATCH($C721,Productos!$A$5:$A$504,0)),0))</f>
        <v/>
      </c>
      <c r="H721" s="22" t="str">
        <f t="shared" si="11"/>
        <v/>
      </c>
      <c r="I721" s="14" t="str">
        <f>IF(OR($C721="",$F721=""),"",IFERROR(INDEX(Productos!$I$5:$I$504,MATCH($C721,Productos!$A$5:$A$504,0)),0)+SUMIFS($F$5:$F721,$C$5:$C721,$C721,$B$5:$B721,"Entrada")-SUMIFS($F$5:$F721,$C$5:$C721,$C721,$B$5:$B721,"Salida"))</f>
        <v/>
      </c>
      <c r="J721" s="20"/>
      <c r="K721" s="20"/>
      <c r="L721" s="20"/>
      <c r="M721" s="14" t="str">
        <f>IF(AND($C721&lt;&gt;"",$C721=Kardex!$C$4),COUNTIF($C$5:$C721,Kardex!$C$4),"")</f>
        <v/>
      </c>
    </row>
    <row r="722" spans="1:13" x14ac:dyDescent="0.25">
      <c r="A722" s="24"/>
      <c r="B722" s="20"/>
      <c r="C722" s="20"/>
      <c r="D722" s="14" t="str">
        <f>IF($C722="","",IFERROR(INDEX(Productos!$B$5:$B$504,MATCH($C722,Productos!$A$5:$A$504,0)),"Clave no existe"))</f>
        <v/>
      </c>
      <c r="E722" s="14" t="str">
        <f>IF($C722="","",IFERROR(INDEX(Productos!$D$5:$D$504,MATCH($C722,Productos!$A$5:$A$504,0)),""))</f>
        <v/>
      </c>
      <c r="F722" s="20"/>
      <c r="G722" s="22" t="str">
        <f>IF($C722="","",IFERROR(INDEX(Productos!$F$5:$F$504,MATCH($C722,Productos!$A$5:$A$504,0)),0))</f>
        <v/>
      </c>
      <c r="H722" s="22" t="str">
        <f t="shared" si="11"/>
        <v/>
      </c>
      <c r="I722" s="14" t="str">
        <f>IF(OR($C722="",$F722=""),"",IFERROR(INDEX(Productos!$I$5:$I$504,MATCH($C722,Productos!$A$5:$A$504,0)),0)+SUMIFS($F$5:$F722,$C$5:$C722,$C722,$B$5:$B722,"Entrada")-SUMIFS($F$5:$F722,$C$5:$C722,$C722,$B$5:$B722,"Salida"))</f>
        <v/>
      </c>
      <c r="J722" s="20"/>
      <c r="K722" s="20"/>
      <c r="L722" s="20"/>
      <c r="M722" s="14" t="str">
        <f>IF(AND($C722&lt;&gt;"",$C722=Kardex!$C$4),COUNTIF($C$5:$C722,Kardex!$C$4),"")</f>
        <v/>
      </c>
    </row>
    <row r="723" spans="1:13" x14ac:dyDescent="0.25">
      <c r="A723" s="24"/>
      <c r="B723" s="20"/>
      <c r="C723" s="20"/>
      <c r="D723" s="14" t="str">
        <f>IF($C723="","",IFERROR(INDEX(Productos!$B$5:$B$504,MATCH($C723,Productos!$A$5:$A$504,0)),"Clave no existe"))</f>
        <v/>
      </c>
      <c r="E723" s="14" t="str">
        <f>IF($C723="","",IFERROR(INDEX(Productos!$D$5:$D$504,MATCH($C723,Productos!$A$5:$A$504,0)),""))</f>
        <v/>
      </c>
      <c r="F723" s="20"/>
      <c r="G723" s="22" t="str">
        <f>IF($C723="","",IFERROR(INDEX(Productos!$F$5:$F$504,MATCH($C723,Productos!$A$5:$A$504,0)),0))</f>
        <v/>
      </c>
      <c r="H723" s="22" t="str">
        <f t="shared" si="11"/>
        <v/>
      </c>
      <c r="I723" s="14" t="str">
        <f>IF(OR($C723="",$F723=""),"",IFERROR(INDEX(Productos!$I$5:$I$504,MATCH($C723,Productos!$A$5:$A$504,0)),0)+SUMIFS($F$5:$F723,$C$5:$C723,$C723,$B$5:$B723,"Entrada")-SUMIFS($F$5:$F723,$C$5:$C723,$C723,$B$5:$B723,"Salida"))</f>
        <v/>
      </c>
      <c r="J723" s="20"/>
      <c r="K723" s="20"/>
      <c r="L723" s="20"/>
      <c r="M723" s="14" t="str">
        <f>IF(AND($C723&lt;&gt;"",$C723=Kardex!$C$4),COUNTIF($C$5:$C723,Kardex!$C$4),"")</f>
        <v/>
      </c>
    </row>
    <row r="724" spans="1:13" x14ac:dyDescent="0.25">
      <c r="A724" s="24"/>
      <c r="B724" s="20"/>
      <c r="C724" s="20"/>
      <c r="D724" s="14" t="str">
        <f>IF($C724="","",IFERROR(INDEX(Productos!$B$5:$B$504,MATCH($C724,Productos!$A$5:$A$504,0)),"Clave no existe"))</f>
        <v/>
      </c>
      <c r="E724" s="14" t="str">
        <f>IF($C724="","",IFERROR(INDEX(Productos!$D$5:$D$504,MATCH($C724,Productos!$A$5:$A$504,0)),""))</f>
        <v/>
      </c>
      <c r="F724" s="20"/>
      <c r="G724" s="22" t="str">
        <f>IF($C724="","",IFERROR(INDEX(Productos!$F$5:$F$504,MATCH($C724,Productos!$A$5:$A$504,0)),0))</f>
        <v/>
      </c>
      <c r="H724" s="22" t="str">
        <f t="shared" si="11"/>
        <v/>
      </c>
      <c r="I724" s="14" t="str">
        <f>IF(OR($C724="",$F724=""),"",IFERROR(INDEX(Productos!$I$5:$I$504,MATCH($C724,Productos!$A$5:$A$504,0)),0)+SUMIFS($F$5:$F724,$C$5:$C724,$C724,$B$5:$B724,"Entrada")-SUMIFS($F$5:$F724,$C$5:$C724,$C724,$B$5:$B724,"Salida"))</f>
        <v/>
      </c>
      <c r="J724" s="20"/>
      <c r="K724" s="20"/>
      <c r="L724" s="20"/>
      <c r="M724" s="14" t="str">
        <f>IF(AND($C724&lt;&gt;"",$C724=Kardex!$C$4),COUNTIF($C$5:$C724,Kardex!$C$4),"")</f>
        <v/>
      </c>
    </row>
    <row r="725" spans="1:13" x14ac:dyDescent="0.25">
      <c r="A725" s="24"/>
      <c r="B725" s="20"/>
      <c r="C725" s="20"/>
      <c r="D725" s="14" t="str">
        <f>IF($C725="","",IFERROR(INDEX(Productos!$B$5:$B$504,MATCH($C725,Productos!$A$5:$A$504,0)),"Clave no existe"))</f>
        <v/>
      </c>
      <c r="E725" s="14" t="str">
        <f>IF($C725="","",IFERROR(INDEX(Productos!$D$5:$D$504,MATCH($C725,Productos!$A$5:$A$504,0)),""))</f>
        <v/>
      </c>
      <c r="F725" s="20"/>
      <c r="G725" s="22" t="str">
        <f>IF($C725="","",IFERROR(INDEX(Productos!$F$5:$F$504,MATCH($C725,Productos!$A$5:$A$504,0)),0))</f>
        <v/>
      </c>
      <c r="H725" s="22" t="str">
        <f t="shared" si="11"/>
        <v/>
      </c>
      <c r="I725" s="14" t="str">
        <f>IF(OR($C725="",$F725=""),"",IFERROR(INDEX(Productos!$I$5:$I$504,MATCH($C725,Productos!$A$5:$A$504,0)),0)+SUMIFS($F$5:$F725,$C$5:$C725,$C725,$B$5:$B725,"Entrada")-SUMIFS($F$5:$F725,$C$5:$C725,$C725,$B$5:$B725,"Salida"))</f>
        <v/>
      </c>
      <c r="J725" s="20"/>
      <c r="K725" s="20"/>
      <c r="L725" s="20"/>
      <c r="M725" s="14" t="str">
        <f>IF(AND($C725&lt;&gt;"",$C725=Kardex!$C$4),COUNTIF($C$5:$C725,Kardex!$C$4),"")</f>
        <v/>
      </c>
    </row>
    <row r="726" spans="1:13" x14ac:dyDescent="0.25">
      <c r="A726" s="24"/>
      <c r="B726" s="20"/>
      <c r="C726" s="20"/>
      <c r="D726" s="14" t="str">
        <f>IF($C726="","",IFERROR(INDEX(Productos!$B$5:$B$504,MATCH($C726,Productos!$A$5:$A$504,0)),"Clave no existe"))</f>
        <v/>
      </c>
      <c r="E726" s="14" t="str">
        <f>IF($C726="","",IFERROR(INDEX(Productos!$D$5:$D$504,MATCH($C726,Productos!$A$5:$A$504,0)),""))</f>
        <v/>
      </c>
      <c r="F726" s="20"/>
      <c r="G726" s="22" t="str">
        <f>IF($C726="","",IFERROR(INDEX(Productos!$F$5:$F$504,MATCH($C726,Productos!$A$5:$A$504,0)),0))</f>
        <v/>
      </c>
      <c r="H726" s="22" t="str">
        <f t="shared" si="11"/>
        <v/>
      </c>
      <c r="I726" s="14" t="str">
        <f>IF(OR($C726="",$F726=""),"",IFERROR(INDEX(Productos!$I$5:$I$504,MATCH($C726,Productos!$A$5:$A$504,0)),0)+SUMIFS($F$5:$F726,$C$5:$C726,$C726,$B$5:$B726,"Entrada")-SUMIFS($F$5:$F726,$C$5:$C726,$C726,$B$5:$B726,"Salida"))</f>
        <v/>
      </c>
      <c r="J726" s="20"/>
      <c r="K726" s="20"/>
      <c r="L726" s="20"/>
      <c r="M726" s="14" t="str">
        <f>IF(AND($C726&lt;&gt;"",$C726=Kardex!$C$4),COUNTIF($C$5:$C726,Kardex!$C$4),"")</f>
        <v/>
      </c>
    </row>
    <row r="727" spans="1:13" x14ac:dyDescent="0.25">
      <c r="A727" s="24"/>
      <c r="B727" s="20"/>
      <c r="C727" s="20"/>
      <c r="D727" s="14" t="str">
        <f>IF($C727="","",IFERROR(INDEX(Productos!$B$5:$B$504,MATCH($C727,Productos!$A$5:$A$504,0)),"Clave no existe"))</f>
        <v/>
      </c>
      <c r="E727" s="14" t="str">
        <f>IF($C727="","",IFERROR(INDEX(Productos!$D$5:$D$504,MATCH($C727,Productos!$A$5:$A$504,0)),""))</f>
        <v/>
      </c>
      <c r="F727" s="20"/>
      <c r="G727" s="22" t="str">
        <f>IF($C727="","",IFERROR(INDEX(Productos!$F$5:$F$504,MATCH($C727,Productos!$A$5:$A$504,0)),0))</f>
        <v/>
      </c>
      <c r="H727" s="22" t="str">
        <f t="shared" si="11"/>
        <v/>
      </c>
      <c r="I727" s="14" t="str">
        <f>IF(OR($C727="",$F727=""),"",IFERROR(INDEX(Productos!$I$5:$I$504,MATCH($C727,Productos!$A$5:$A$504,0)),0)+SUMIFS($F$5:$F727,$C$5:$C727,$C727,$B$5:$B727,"Entrada")-SUMIFS($F$5:$F727,$C$5:$C727,$C727,$B$5:$B727,"Salida"))</f>
        <v/>
      </c>
      <c r="J727" s="20"/>
      <c r="K727" s="20"/>
      <c r="L727" s="20"/>
      <c r="M727" s="14" t="str">
        <f>IF(AND($C727&lt;&gt;"",$C727=Kardex!$C$4),COUNTIF($C$5:$C727,Kardex!$C$4),"")</f>
        <v/>
      </c>
    </row>
    <row r="728" spans="1:13" x14ac:dyDescent="0.25">
      <c r="A728" s="24"/>
      <c r="B728" s="20"/>
      <c r="C728" s="20"/>
      <c r="D728" s="14" t="str">
        <f>IF($C728="","",IFERROR(INDEX(Productos!$B$5:$B$504,MATCH($C728,Productos!$A$5:$A$504,0)),"Clave no existe"))</f>
        <v/>
      </c>
      <c r="E728" s="14" t="str">
        <f>IF($C728="","",IFERROR(INDEX(Productos!$D$5:$D$504,MATCH($C728,Productos!$A$5:$A$504,0)),""))</f>
        <v/>
      </c>
      <c r="F728" s="20"/>
      <c r="G728" s="22" t="str">
        <f>IF($C728="","",IFERROR(INDEX(Productos!$F$5:$F$504,MATCH($C728,Productos!$A$5:$A$504,0)),0))</f>
        <v/>
      </c>
      <c r="H728" s="22" t="str">
        <f t="shared" si="11"/>
        <v/>
      </c>
      <c r="I728" s="14" t="str">
        <f>IF(OR($C728="",$F728=""),"",IFERROR(INDEX(Productos!$I$5:$I$504,MATCH($C728,Productos!$A$5:$A$504,0)),0)+SUMIFS($F$5:$F728,$C$5:$C728,$C728,$B$5:$B728,"Entrada")-SUMIFS($F$5:$F728,$C$5:$C728,$C728,$B$5:$B728,"Salida"))</f>
        <v/>
      </c>
      <c r="J728" s="20"/>
      <c r="K728" s="20"/>
      <c r="L728" s="20"/>
      <c r="M728" s="14" t="str">
        <f>IF(AND($C728&lt;&gt;"",$C728=Kardex!$C$4),COUNTIF($C$5:$C728,Kardex!$C$4),"")</f>
        <v/>
      </c>
    </row>
    <row r="729" spans="1:13" x14ac:dyDescent="0.25">
      <c r="A729" s="24"/>
      <c r="B729" s="20"/>
      <c r="C729" s="20"/>
      <c r="D729" s="14" t="str">
        <f>IF($C729="","",IFERROR(INDEX(Productos!$B$5:$B$504,MATCH($C729,Productos!$A$5:$A$504,0)),"Clave no existe"))</f>
        <v/>
      </c>
      <c r="E729" s="14" t="str">
        <f>IF($C729="","",IFERROR(INDEX(Productos!$D$5:$D$504,MATCH($C729,Productos!$A$5:$A$504,0)),""))</f>
        <v/>
      </c>
      <c r="F729" s="20"/>
      <c r="G729" s="22" t="str">
        <f>IF($C729="","",IFERROR(INDEX(Productos!$F$5:$F$504,MATCH($C729,Productos!$A$5:$A$504,0)),0))</f>
        <v/>
      </c>
      <c r="H729" s="22" t="str">
        <f t="shared" si="11"/>
        <v/>
      </c>
      <c r="I729" s="14" t="str">
        <f>IF(OR($C729="",$F729=""),"",IFERROR(INDEX(Productos!$I$5:$I$504,MATCH($C729,Productos!$A$5:$A$504,0)),0)+SUMIFS($F$5:$F729,$C$5:$C729,$C729,$B$5:$B729,"Entrada")-SUMIFS($F$5:$F729,$C$5:$C729,$C729,$B$5:$B729,"Salida"))</f>
        <v/>
      </c>
      <c r="J729" s="20"/>
      <c r="K729" s="20"/>
      <c r="L729" s="20"/>
      <c r="M729" s="14" t="str">
        <f>IF(AND($C729&lt;&gt;"",$C729=Kardex!$C$4),COUNTIF($C$5:$C729,Kardex!$C$4),"")</f>
        <v/>
      </c>
    </row>
    <row r="730" spans="1:13" x14ac:dyDescent="0.25">
      <c r="A730" s="24"/>
      <c r="B730" s="20"/>
      <c r="C730" s="20"/>
      <c r="D730" s="14" t="str">
        <f>IF($C730="","",IFERROR(INDEX(Productos!$B$5:$B$504,MATCH($C730,Productos!$A$5:$A$504,0)),"Clave no existe"))</f>
        <v/>
      </c>
      <c r="E730" s="14" t="str">
        <f>IF($C730="","",IFERROR(INDEX(Productos!$D$5:$D$504,MATCH($C730,Productos!$A$5:$A$504,0)),""))</f>
        <v/>
      </c>
      <c r="F730" s="20"/>
      <c r="G730" s="22" t="str">
        <f>IF($C730="","",IFERROR(INDEX(Productos!$F$5:$F$504,MATCH($C730,Productos!$A$5:$A$504,0)),0))</f>
        <v/>
      </c>
      <c r="H730" s="22" t="str">
        <f t="shared" si="11"/>
        <v/>
      </c>
      <c r="I730" s="14" t="str">
        <f>IF(OR($C730="",$F730=""),"",IFERROR(INDEX(Productos!$I$5:$I$504,MATCH($C730,Productos!$A$5:$A$504,0)),0)+SUMIFS($F$5:$F730,$C$5:$C730,$C730,$B$5:$B730,"Entrada")-SUMIFS($F$5:$F730,$C$5:$C730,$C730,$B$5:$B730,"Salida"))</f>
        <v/>
      </c>
      <c r="J730" s="20"/>
      <c r="K730" s="20"/>
      <c r="L730" s="20"/>
      <c r="M730" s="14" t="str">
        <f>IF(AND($C730&lt;&gt;"",$C730=Kardex!$C$4),COUNTIF($C$5:$C730,Kardex!$C$4),"")</f>
        <v/>
      </c>
    </row>
    <row r="731" spans="1:13" x14ac:dyDescent="0.25">
      <c r="A731" s="24"/>
      <c r="B731" s="20"/>
      <c r="C731" s="20"/>
      <c r="D731" s="14" t="str">
        <f>IF($C731="","",IFERROR(INDEX(Productos!$B$5:$B$504,MATCH($C731,Productos!$A$5:$A$504,0)),"Clave no existe"))</f>
        <v/>
      </c>
      <c r="E731" s="14" t="str">
        <f>IF($C731="","",IFERROR(INDEX(Productos!$D$5:$D$504,MATCH($C731,Productos!$A$5:$A$504,0)),""))</f>
        <v/>
      </c>
      <c r="F731" s="20"/>
      <c r="G731" s="22" t="str">
        <f>IF($C731="","",IFERROR(INDEX(Productos!$F$5:$F$504,MATCH($C731,Productos!$A$5:$A$504,0)),0))</f>
        <v/>
      </c>
      <c r="H731" s="22" t="str">
        <f t="shared" si="11"/>
        <v/>
      </c>
      <c r="I731" s="14" t="str">
        <f>IF(OR($C731="",$F731=""),"",IFERROR(INDEX(Productos!$I$5:$I$504,MATCH($C731,Productos!$A$5:$A$504,0)),0)+SUMIFS($F$5:$F731,$C$5:$C731,$C731,$B$5:$B731,"Entrada")-SUMIFS($F$5:$F731,$C$5:$C731,$C731,$B$5:$B731,"Salida"))</f>
        <v/>
      </c>
      <c r="J731" s="20"/>
      <c r="K731" s="20"/>
      <c r="L731" s="20"/>
      <c r="M731" s="14" t="str">
        <f>IF(AND($C731&lt;&gt;"",$C731=Kardex!$C$4),COUNTIF($C$5:$C731,Kardex!$C$4),"")</f>
        <v/>
      </c>
    </row>
    <row r="732" spans="1:13" x14ac:dyDescent="0.25">
      <c r="A732" s="24"/>
      <c r="B732" s="20"/>
      <c r="C732" s="20"/>
      <c r="D732" s="14" t="str">
        <f>IF($C732="","",IFERROR(INDEX(Productos!$B$5:$B$504,MATCH($C732,Productos!$A$5:$A$504,0)),"Clave no existe"))</f>
        <v/>
      </c>
      <c r="E732" s="14" t="str">
        <f>IF($C732="","",IFERROR(INDEX(Productos!$D$5:$D$504,MATCH($C732,Productos!$A$5:$A$504,0)),""))</f>
        <v/>
      </c>
      <c r="F732" s="20"/>
      <c r="G732" s="22" t="str">
        <f>IF($C732="","",IFERROR(INDEX(Productos!$F$5:$F$504,MATCH($C732,Productos!$A$5:$A$504,0)),0))</f>
        <v/>
      </c>
      <c r="H732" s="22" t="str">
        <f t="shared" si="11"/>
        <v/>
      </c>
      <c r="I732" s="14" t="str">
        <f>IF(OR($C732="",$F732=""),"",IFERROR(INDEX(Productos!$I$5:$I$504,MATCH($C732,Productos!$A$5:$A$504,0)),0)+SUMIFS($F$5:$F732,$C$5:$C732,$C732,$B$5:$B732,"Entrada")-SUMIFS($F$5:$F732,$C$5:$C732,$C732,$B$5:$B732,"Salida"))</f>
        <v/>
      </c>
      <c r="J732" s="20"/>
      <c r="K732" s="20"/>
      <c r="L732" s="20"/>
      <c r="M732" s="14" t="str">
        <f>IF(AND($C732&lt;&gt;"",$C732=Kardex!$C$4),COUNTIF($C$5:$C732,Kardex!$C$4),"")</f>
        <v/>
      </c>
    </row>
    <row r="733" spans="1:13" x14ac:dyDescent="0.25">
      <c r="A733" s="24"/>
      <c r="B733" s="20"/>
      <c r="C733" s="20"/>
      <c r="D733" s="14" t="str">
        <f>IF($C733="","",IFERROR(INDEX(Productos!$B$5:$B$504,MATCH($C733,Productos!$A$5:$A$504,0)),"Clave no existe"))</f>
        <v/>
      </c>
      <c r="E733" s="14" t="str">
        <f>IF($C733="","",IFERROR(INDEX(Productos!$D$5:$D$504,MATCH($C733,Productos!$A$5:$A$504,0)),""))</f>
        <v/>
      </c>
      <c r="F733" s="20"/>
      <c r="G733" s="22" t="str">
        <f>IF($C733="","",IFERROR(INDEX(Productos!$F$5:$F$504,MATCH($C733,Productos!$A$5:$A$504,0)),0))</f>
        <v/>
      </c>
      <c r="H733" s="22" t="str">
        <f t="shared" si="11"/>
        <v/>
      </c>
      <c r="I733" s="14" t="str">
        <f>IF(OR($C733="",$F733=""),"",IFERROR(INDEX(Productos!$I$5:$I$504,MATCH($C733,Productos!$A$5:$A$504,0)),0)+SUMIFS($F$5:$F733,$C$5:$C733,$C733,$B$5:$B733,"Entrada")-SUMIFS($F$5:$F733,$C$5:$C733,$C733,$B$5:$B733,"Salida"))</f>
        <v/>
      </c>
      <c r="J733" s="20"/>
      <c r="K733" s="20"/>
      <c r="L733" s="20"/>
      <c r="M733" s="14" t="str">
        <f>IF(AND($C733&lt;&gt;"",$C733=Kardex!$C$4),COUNTIF($C$5:$C733,Kardex!$C$4),"")</f>
        <v/>
      </c>
    </row>
    <row r="734" spans="1:13" x14ac:dyDescent="0.25">
      <c r="A734" s="24"/>
      <c r="B734" s="20"/>
      <c r="C734" s="20"/>
      <c r="D734" s="14" t="str">
        <f>IF($C734="","",IFERROR(INDEX(Productos!$B$5:$B$504,MATCH($C734,Productos!$A$5:$A$504,0)),"Clave no existe"))</f>
        <v/>
      </c>
      <c r="E734" s="14" t="str">
        <f>IF($C734="","",IFERROR(INDEX(Productos!$D$5:$D$504,MATCH($C734,Productos!$A$5:$A$504,0)),""))</f>
        <v/>
      </c>
      <c r="F734" s="20"/>
      <c r="G734" s="22" t="str">
        <f>IF($C734="","",IFERROR(INDEX(Productos!$F$5:$F$504,MATCH($C734,Productos!$A$5:$A$504,0)),0))</f>
        <v/>
      </c>
      <c r="H734" s="22" t="str">
        <f t="shared" si="11"/>
        <v/>
      </c>
      <c r="I734" s="14" t="str">
        <f>IF(OR($C734="",$F734=""),"",IFERROR(INDEX(Productos!$I$5:$I$504,MATCH($C734,Productos!$A$5:$A$504,0)),0)+SUMIFS($F$5:$F734,$C$5:$C734,$C734,$B$5:$B734,"Entrada")-SUMIFS($F$5:$F734,$C$5:$C734,$C734,$B$5:$B734,"Salida"))</f>
        <v/>
      </c>
      <c r="J734" s="20"/>
      <c r="K734" s="20"/>
      <c r="L734" s="20"/>
      <c r="M734" s="14" t="str">
        <f>IF(AND($C734&lt;&gt;"",$C734=Kardex!$C$4),COUNTIF($C$5:$C734,Kardex!$C$4),"")</f>
        <v/>
      </c>
    </row>
    <row r="735" spans="1:13" x14ac:dyDescent="0.25">
      <c r="A735" s="24"/>
      <c r="B735" s="20"/>
      <c r="C735" s="20"/>
      <c r="D735" s="14" t="str">
        <f>IF($C735="","",IFERROR(INDEX(Productos!$B$5:$B$504,MATCH($C735,Productos!$A$5:$A$504,0)),"Clave no existe"))</f>
        <v/>
      </c>
      <c r="E735" s="14" t="str">
        <f>IF($C735="","",IFERROR(INDEX(Productos!$D$5:$D$504,MATCH($C735,Productos!$A$5:$A$504,0)),""))</f>
        <v/>
      </c>
      <c r="F735" s="20"/>
      <c r="G735" s="22" t="str">
        <f>IF($C735="","",IFERROR(INDEX(Productos!$F$5:$F$504,MATCH($C735,Productos!$A$5:$A$504,0)),0))</f>
        <v/>
      </c>
      <c r="H735" s="22" t="str">
        <f t="shared" si="11"/>
        <v/>
      </c>
      <c r="I735" s="14" t="str">
        <f>IF(OR($C735="",$F735=""),"",IFERROR(INDEX(Productos!$I$5:$I$504,MATCH($C735,Productos!$A$5:$A$504,0)),0)+SUMIFS($F$5:$F735,$C$5:$C735,$C735,$B$5:$B735,"Entrada")-SUMIFS($F$5:$F735,$C$5:$C735,$C735,$B$5:$B735,"Salida"))</f>
        <v/>
      </c>
      <c r="J735" s="20"/>
      <c r="K735" s="20"/>
      <c r="L735" s="20"/>
      <c r="M735" s="14" t="str">
        <f>IF(AND($C735&lt;&gt;"",$C735=Kardex!$C$4),COUNTIF($C$5:$C735,Kardex!$C$4),"")</f>
        <v/>
      </c>
    </row>
    <row r="736" spans="1:13" x14ac:dyDescent="0.25">
      <c r="A736" s="24"/>
      <c r="B736" s="20"/>
      <c r="C736" s="20"/>
      <c r="D736" s="14" t="str">
        <f>IF($C736="","",IFERROR(INDEX(Productos!$B$5:$B$504,MATCH($C736,Productos!$A$5:$A$504,0)),"Clave no existe"))</f>
        <v/>
      </c>
      <c r="E736" s="14" t="str">
        <f>IF($C736="","",IFERROR(INDEX(Productos!$D$5:$D$504,MATCH($C736,Productos!$A$5:$A$504,0)),""))</f>
        <v/>
      </c>
      <c r="F736" s="20"/>
      <c r="G736" s="22" t="str">
        <f>IF($C736="","",IFERROR(INDEX(Productos!$F$5:$F$504,MATCH($C736,Productos!$A$5:$A$504,0)),0))</f>
        <v/>
      </c>
      <c r="H736" s="22" t="str">
        <f t="shared" si="11"/>
        <v/>
      </c>
      <c r="I736" s="14" t="str">
        <f>IF(OR($C736="",$F736=""),"",IFERROR(INDEX(Productos!$I$5:$I$504,MATCH($C736,Productos!$A$5:$A$504,0)),0)+SUMIFS($F$5:$F736,$C$5:$C736,$C736,$B$5:$B736,"Entrada")-SUMIFS($F$5:$F736,$C$5:$C736,$C736,$B$5:$B736,"Salida"))</f>
        <v/>
      </c>
      <c r="J736" s="20"/>
      <c r="K736" s="20"/>
      <c r="L736" s="20"/>
      <c r="M736" s="14" t="str">
        <f>IF(AND($C736&lt;&gt;"",$C736=Kardex!$C$4),COUNTIF($C$5:$C736,Kardex!$C$4),"")</f>
        <v/>
      </c>
    </row>
    <row r="737" spans="1:13" x14ac:dyDescent="0.25">
      <c r="A737" s="24"/>
      <c r="B737" s="20"/>
      <c r="C737" s="20"/>
      <c r="D737" s="14" t="str">
        <f>IF($C737="","",IFERROR(INDEX(Productos!$B$5:$B$504,MATCH($C737,Productos!$A$5:$A$504,0)),"Clave no existe"))</f>
        <v/>
      </c>
      <c r="E737" s="14" t="str">
        <f>IF($C737="","",IFERROR(INDEX(Productos!$D$5:$D$504,MATCH($C737,Productos!$A$5:$A$504,0)),""))</f>
        <v/>
      </c>
      <c r="F737" s="20"/>
      <c r="G737" s="22" t="str">
        <f>IF($C737="","",IFERROR(INDEX(Productos!$F$5:$F$504,MATCH($C737,Productos!$A$5:$A$504,0)),0))</f>
        <v/>
      </c>
      <c r="H737" s="22" t="str">
        <f t="shared" si="11"/>
        <v/>
      </c>
      <c r="I737" s="14" t="str">
        <f>IF(OR($C737="",$F737=""),"",IFERROR(INDEX(Productos!$I$5:$I$504,MATCH($C737,Productos!$A$5:$A$504,0)),0)+SUMIFS($F$5:$F737,$C$5:$C737,$C737,$B$5:$B737,"Entrada")-SUMIFS($F$5:$F737,$C$5:$C737,$C737,$B$5:$B737,"Salida"))</f>
        <v/>
      </c>
      <c r="J737" s="20"/>
      <c r="K737" s="20"/>
      <c r="L737" s="20"/>
      <c r="M737" s="14" t="str">
        <f>IF(AND($C737&lt;&gt;"",$C737=Kardex!$C$4),COUNTIF($C$5:$C737,Kardex!$C$4),"")</f>
        <v/>
      </c>
    </row>
    <row r="738" spans="1:13" x14ac:dyDescent="0.25">
      <c r="A738" s="24"/>
      <c r="B738" s="20"/>
      <c r="C738" s="20"/>
      <c r="D738" s="14" t="str">
        <f>IF($C738="","",IFERROR(INDEX(Productos!$B$5:$B$504,MATCH($C738,Productos!$A$5:$A$504,0)),"Clave no existe"))</f>
        <v/>
      </c>
      <c r="E738" s="14" t="str">
        <f>IF($C738="","",IFERROR(INDEX(Productos!$D$5:$D$504,MATCH($C738,Productos!$A$5:$A$504,0)),""))</f>
        <v/>
      </c>
      <c r="F738" s="20"/>
      <c r="G738" s="22" t="str">
        <f>IF($C738="","",IFERROR(INDEX(Productos!$F$5:$F$504,MATCH($C738,Productos!$A$5:$A$504,0)),0))</f>
        <v/>
      </c>
      <c r="H738" s="22" t="str">
        <f t="shared" si="11"/>
        <v/>
      </c>
      <c r="I738" s="14" t="str">
        <f>IF(OR($C738="",$F738=""),"",IFERROR(INDEX(Productos!$I$5:$I$504,MATCH($C738,Productos!$A$5:$A$504,0)),0)+SUMIFS($F$5:$F738,$C$5:$C738,$C738,$B$5:$B738,"Entrada")-SUMIFS($F$5:$F738,$C$5:$C738,$C738,$B$5:$B738,"Salida"))</f>
        <v/>
      </c>
      <c r="J738" s="20"/>
      <c r="K738" s="20"/>
      <c r="L738" s="20"/>
      <c r="M738" s="14" t="str">
        <f>IF(AND($C738&lt;&gt;"",$C738=Kardex!$C$4),COUNTIF($C$5:$C738,Kardex!$C$4),"")</f>
        <v/>
      </c>
    </row>
    <row r="739" spans="1:13" x14ac:dyDescent="0.25">
      <c r="A739" s="24"/>
      <c r="B739" s="20"/>
      <c r="C739" s="20"/>
      <c r="D739" s="14" t="str">
        <f>IF($C739="","",IFERROR(INDEX(Productos!$B$5:$B$504,MATCH($C739,Productos!$A$5:$A$504,0)),"Clave no existe"))</f>
        <v/>
      </c>
      <c r="E739" s="14" t="str">
        <f>IF($C739="","",IFERROR(INDEX(Productos!$D$5:$D$504,MATCH($C739,Productos!$A$5:$A$504,0)),""))</f>
        <v/>
      </c>
      <c r="F739" s="20"/>
      <c r="G739" s="22" t="str">
        <f>IF($C739="","",IFERROR(INDEX(Productos!$F$5:$F$504,MATCH($C739,Productos!$A$5:$A$504,0)),0))</f>
        <v/>
      </c>
      <c r="H739" s="22" t="str">
        <f t="shared" si="11"/>
        <v/>
      </c>
      <c r="I739" s="14" t="str">
        <f>IF(OR($C739="",$F739=""),"",IFERROR(INDEX(Productos!$I$5:$I$504,MATCH($C739,Productos!$A$5:$A$504,0)),0)+SUMIFS($F$5:$F739,$C$5:$C739,$C739,$B$5:$B739,"Entrada")-SUMIFS($F$5:$F739,$C$5:$C739,$C739,$B$5:$B739,"Salida"))</f>
        <v/>
      </c>
      <c r="J739" s="20"/>
      <c r="K739" s="20"/>
      <c r="L739" s="20"/>
      <c r="M739" s="14" t="str">
        <f>IF(AND($C739&lt;&gt;"",$C739=Kardex!$C$4),COUNTIF($C$5:$C739,Kardex!$C$4),"")</f>
        <v/>
      </c>
    </row>
    <row r="740" spans="1:13" x14ac:dyDescent="0.25">
      <c r="A740" s="24"/>
      <c r="B740" s="20"/>
      <c r="C740" s="20"/>
      <c r="D740" s="14" t="str">
        <f>IF($C740="","",IFERROR(INDEX(Productos!$B$5:$B$504,MATCH($C740,Productos!$A$5:$A$504,0)),"Clave no existe"))</f>
        <v/>
      </c>
      <c r="E740" s="14" t="str">
        <f>IF($C740="","",IFERROR(INDEX(Productos!$D$5:$D$504,MATCH($C740,Productos!$A$5:$A$504,0)),""))</f>
        <v/>
      </c>
      <c r="F740" s="20"/>
      <c r="G740" s="22" t="str">
        <f>IF($C740="","",IFERROR(INDEX(Productos!$F$5:$F$504,MATCH($C740,Productos!$A$5:$A$504,0)),0))</f>
        <v/>
      </c>
      <c r="H740" s="22" t="str">
        <f t="shared" si="11"/>
        <v/>
      </c>
      <c r="I740" s="14" t="str">
        <f>IF(OR($C740="",$F740=""),"",IFERROR(INDEX(Productos!$I$5:$I$504,MATCH($C740,Productos!$A$5:$A$504,0)),0)+SUMIFS($F$5:$F740,$C$5:$C740,$C740,$B$5:$B740,"Entrada")-SUMIFS($F$5:$F740,$C$5:$C740,$C740,$B$5:$B740,"Salida"))</f>
        <v/>
      </c>
      <c r="J740" s="20"/>
      <c r="K740" s="20"/>
      <c r="L740" s="20"/>
      <c r="M740" s="14" t="str">
        <f>IF(AND($C740&lt;&gt;"",$C740=Kardex!$C$4),COUNTIF($C$5:$C740,Kardex!$C$4),"")</f>
        <v/>
      </c>
    </row>
    <row r="741" spans="1:13" x14ac:dyDescent="0.25">
      <c r="A741" s="24"/>
      <c r="B741" s="20"/>
      <c r="C741" s="20"/>
      <c r="D741" s="14" t="str">
        <f>IF($C741="","",IFERROR(INDEX(Productos!$B$5:$B$504,MATCH($C741,Productos!$A$5:$A$504,0)),"Clave no existe"))</f>
        <v/>
      </c>
      <c r="E741" s="14" t="str">
        <f>IF($C741="","",IFERROR(INDEX(Productos!$D$5:$D$504,MATCH($C741,Productos!$A$5:$A$504,0)),""))</f>
        <v/>
      </c>
      <c r="F741" s="20"/>
      <c r="G741" s="22" t="str">
        <f>IF($C741="","",IFERROR(INDEX(Productos!$F$5:$F$504,MATCH($C741,Productos!$A$5:$A$504,0)),0))</f>
        <v/>
      </c>
      <c r="H741" s="22" t="str">
        <f t="shared" si="11"/>
        <v/>
      </c>
      <c r="I741" s="14" t="str">
        <f>IF(OR($C741="",$F741=""),"",IFERROR(INDEX(Productos!$I$5:$I$504,MATCH($C741,Productos!$A$5:$A$504,0)),0)+SUMIFS($F$5:$F741,$C$5:$C741,$C741,$B$5:$B741,"Entrada")-SUMIFS($F$5:$F741,$C$5:$C741,$C741,$B$5:$B741,"Salida"))</f>
        <v/>
      </c>
      <c r="J741" s="20"/>
      <c r="K741" s="20"/>
      <c r="L741" s="20"/>
      <c r="M741" s="14" t="str">
        <f>IF(AND($C741&lt;&gt;"",$C741=Kardex!$C$4),COUNTIF($C$5:$C741,Kardex!$C$4),"")</f>
        <v/>
      </c>
    </row>
    <row r="742" spans="1:13" x14ac:dyDescent="0.25">
      <c r="A742" s="24"/>
      <c r="B742" s="20"/>
      <c r="C742" s="20"/>
      <c r="D742" s="14" t="str">
        <f>IF($C742="","",IFERROR(INDEX(Productos!$B$5:$B$504,MATCH($C742,Productos!$A$5:$A$504,0)),"Clave no existe"))</f>
        <v/>
      </c>
      <c r="E742" s="14" t="str">
        <f>IF($C742="","",IFERROR(INDEX(Productos!$D$5:$D$504,MATCH($C742,Productos!$A$5:$A$504,0)),""))</f>
        <v/>
      </c>
      <c r="F742" s="20"/>
      <c r="G742" s="22" t="str">
        <f>IF($C742="","",IFERROR(INDEX(Productos!$F$5:$F$504,MATCH($C742,Productos!$A$5:$A$504,0)),0))</f>
        <v/>
      </c>
      <c r="H742" s="22" t="str">
        <f t="shared" si="11"/>
        <v/>
      </c>
      <c r="I742" s="14" t="str">
        <f>IF(OR($C742="",$F742=""),"",IFERROR(INDEX(Productos!$I$5:$I$504,MATCH($C742,Productos!$A$5:$A$504,0)),0)+SUMIFS($F$5:$F742,$C$5:$C742,$C742,$B$5:$B742,"Entrada")-SUMIFS($F$5:$F742,$C$5:$C742,$C742,$B$5:$B742,"Salida"))</f>
        <v/>
      </c>
      <c r="J742" s="20"/>
      <c r="K742" s="20"/>
      <c r="L742" s="20"/>
      <c r="M742" s="14" t="str">
        <f>IF(AND($C742&lt;&gt;"",$C742=Kardex!$C$4),COUNTIF($C$5:$C742,Kardex!$C$4),"")</f>
        <v/>
      </c>
    </row>
    <row r="743" spans="1:13" x14ac:dyDescent="0.25">
      <c r="A743" s="24"/>
      <c r="B743" s="20"/>
      <c r="C743" s="20"/>
      <c r="D743" s="14" t="str">
        <f>IF($C743="","",IFERROR(INDEX(Productos!$B$5:$B$504,MATCH($C743,Productos!$A$5:$A$504,0)),"Clave no existe"))</f>
        <v/>
      </c>
      <c r="E743" s="14" t="str">
        <f>IF($C743="","",IFERROR(INDEX(Productos!$D$5:$D$504,MATCH($C743,Productos!$A$5:$A$504,0)),""))</f>
        <v/>
      </c>
      <c r="F743" s="20"/>
      <c r="G743" s="22" t="str">
        <f>IF($C743="","",IFERROR(INDEX(Productos!$F$5:$F$504,MATCH($C743,Productos!$A$5:$A$504,0)),0))</f>
        <v/>
      </c>
      <c r="H743" s="22" t="str">
        <f t="shared" si="11"/>
        <v/>
      </c>
      <c r="I743" s="14" t="str">
        <f>IF(OR($C743="",$F743=""),"",IFERROR(INDEX(Productos!$I$5:$I$504,MATCH($C743,Productos!$A$5:$A$504,0)),0)+SUMIFS($F$5:$F743,$C$5:$C743,$C743,$B$5:$B743,"Entrada")-SUMIFS($F$5:$F743,$C$5:$C743,$C743,$B$5:$B743,"Salida"))</f>
        <v/>
      </c>
      <c r="J743" s="20"/>
      <c r="K743" s="20"/>
      <c r="L743" s="20"/>
      <c r="M743" s="14" t="str">
        <f>IF(AND($C743&lt;&gt;"",$C743=Kardex!$C$4),COUNTIF($C$5:$C743,Kardex!$C$4),"")</f>
        <v/>
      </c>
    </row>
    <row r="744" spans="1:13" x14ac:dyDescent="0.25">
      <c r="A744" s="24"/>
      <c r="B744" s="20"/>
      <c r="C744" s="20"/>
      <c r="D744" s="14" t="str">
        <f>IF($C744="","",IFERROR(INDEX(Productos!$B$5:$B$504,MATCH($C744,Productos!$A$5:$A$504,0)),"Clave no existe"))</f>
        <v/>
      </c>
      <c r="E744" s="14" t="str">
        <f>IF($C744="","",IFERROR(INDEX(Productos!$D$5:$D$504,MATCH($C744,Productos!$A$5:$A$504,0)),""))</f>
        <v/>
      </c>
      <c r="F744" s="20"/>
      <c r="G744" s="22" t="str">
        <f>IF($C744="","",IFERROR(INDEX(Productos!$F$5:$F$504,MATCH($C744,Productos!$A$5:$A$504,0)),0))</f>
        <v/>
      </c>
      <c r="H744" s="22" t="str">
        <f t="shared" si="11"/>
        <v/>
      </c>
      <c r="I744" s="14" t="str">
        <f>IF(OR($C744="",$F744=""),"",IFERROR(INDEX(Productos!$I$5:$I$504,MATCH($C744,Productos!$A$5:$A$504,0)),0)+SUMIFS($F$5:$F744,$C$5:$C744,$C744,$B$5:$B744,"Entrada")-SUMIFS($F$5:$F744,$C$5:$C744,$C744,$B$5:$B744,"Salida"))</f>
        <v/>
      </c>
      <c r="J744" s="20"/>
      <c r="K744" s="20"/>
      <c r="L744" s="20"/>
      <c r="M744" s="14" t="str">
        <f>IF(AND($C744&lt;&gt;"",$C744=Kardex!$C$4),COUNTIF($C$5:$C744,Kardex!$C$4),"")</f>
        <v/>
      </c>
    </row>
    <row r="745" spans="1:13" x14ac:dyDescent="0.25">
      <c r="A745" s="24"/>
      <c r="B745" s="20"/>
      <c r="C745" s="20"/>
      <c r="D745" s="14" t="str">
        <f>IF($C745="","",IFERROR(INDEX(Productos!$B$5:$B$504,MATCH($C745,Productos!$A$5:$A$504,0)),"Clave no existe"))</f>
        <v/>
      </c>
      <c r="E745" s="14" t="str">
        <f>IF($C745="","",IFERROR(INDEX(Productos!$D$5:$D$504,MATCH($C745,Productos!$A$5:$A$504,0)),""))</f>
        <v/>
      </c>
      <c r="F745" s="20"/>
      <c r="G745" s="22" t="str">
        <f>IF($C745="","",IFERROR(INDEX(Productos!$F$5:$F$504,MATCH($C745,Productos!$A$5:$A$504,0)),0))</f>
        <v/>
      </c>
      <c r="H745" s="22" t="str">
        <f t="shared" si="11"/>
        <v/>
      </c>
      <c r="I745" s="14" t="str">
        <f>IF(OR($C745="",$F745=""),"",IFERROR(INDEX(Productos!$I$5:$I$504,MATCH($C745,Productos!$A$5:$A$504,0)),0)+SUMIFS($F$5:$F745,$C$5:$C745,$C745,$B$5:$B745,"Entrada")-SUMIFS($F$5:$F745,$C$5:$C745,$C745,$B$5:$B745,"Salida"))</f>
        <v/>
      </c>
      <c r="J745" s="20"/>
      <c r="K745" s="20"/>
      <c r="L745" s="20"/>
      <c r="M745" s="14" t="str">
        <f>IF(AND($C745&lt;&gt;"",$C745=Kardex!$C$4),COUNTIF($C$5:$C745,Kardex!$C$4),"")</f>
        <v/>
      </c>
    </row>
    <row r="746" spans="1:13" x14ac:dyDescent="0.25">
      <c r="A746" s="24"/>
      <c r="B746" s="20"/>
      <c r="C746" s="20"/>
      <c r="D746" s="14" t="str">
        <f>IF($C746="","",IFERROR(INDEX(Productos!$B$5:$B$504,MATCH($C746,Productos!$A$5:$A$504,0)),"Clave no existe"))</f>
        <v/>
      </c>
      <c r="E746" s="14" t="str">
        <f>IF($C746="","",IFERROR(INDEX(Productos!$D$5:$D$504,MATCH($C746,Productos!$A$5:$A$504,0)),""))</f>
        <v/>
      </c>
      <c r="F746" s="20"/>
      <c r="G746" s="22" t="str">
        <f>IF($C746="","",IFERROR(INDEX(Productos!$F$5:$F$504,MATCH($C746,Productos!$A$5:$A$504,0)),0))</f>
        <v/>
      </c>
      <c r="H746" s="22" t="str">
        <f t="shared" si="11"/>
        <v/>
      </c>
      <c r="I746" s="14" t="str">
        <f>IF(OR($C746="",$F746=""),"",IFERROR(INDEX(Productos!$I$5:$I$504,MATCH($C746,Productos!$A$5:$A$504,0)),0)+SUMIFS($F$5:$F746,$C$5:$C746,$C746,$B$5:$B746,"Entrada")-SUMIFS($F$5:$F746,$C$5:$C746,$C746,$B$5:$B746,"Salida"))</f>
        <v/>
      </c>
      <c r="J746" s="20"/>
      <c r="K746" s="20"/>
      <c r="L746" s="20"/>
      <c r="M746" s="14" t="str">
        <f>IF(AND($C746&lt;&gt;"",$C746=Kardex!$C$4),COUNTIF($C$5:$C746,Kardex!$C$4),"")</f>
        <v/>
      </c>
    </row>
    <row r="747" spans="1:13" x14ac:dyDescent="0.25">
      <c r="A747" s="24"/>
      <c r="B747" s="20"/>
      <c r="C747" s="20"/>
      <c r="D747" s="14" t="str">
        <f>IF($C747="","",IFERROR(INDEX(Productos!$B$5:$B$504,MATCH($C747,Productos!$A$5:$A$504,0)),"Clave no existe"))</f>
        <v/>
      </c>
      <c r="E747" s="14" t="str">
        <f>IF($C747="","",IFERROR(INDEX(Productos!$D$5:$D$504,MATCH($C747,Productos!$A$5:$A$504,0)),""))</f>
        <v/>
      </c>
      <c r="F747" s="20"/>
      <c r="G747" s="22" t="str">
        <f>IF($C747="","",IFERROR(INDEX(Productos!$F$5:$F$504,MATCH($C747,Productos!$A$5:$A$504,0)),0))</f>
        <v/>
      </c>
      <c r="H747" s="22" t="str">
        <f t="shared" si="11"/>
        <v/>
      </c>
      <c r="I747" s="14" t="str">
        <f>IF(OR($C747="",$F747=""),"",IFERROR(INDEX(Productos!$I$5:$I$504,MATCH($C747,Productos!$A$5:$A$504,0)),0)+SUMIFS($F$5:$F747,$C$5:$C747,$C747,$B$5:$B747,"Entrada")-SUMIFS($F$5:$F747,$C$5:$C747,$C747,$B$5:$B747,"Salida"))</f>
        <v/>
      </c>
      <c r="J747" s="20"/>
      <c r="K747" s="20"/>
      <c r="L747" s="20"/>
      <c r="M747" s="14" t="str">
        <f>IF(AND($C747&lt;&gt;"",$C747=Kardex!$C$4),COUNTIF($C$5:$C747,Kardex!$C$4),"")</f>
        <v/>
      </c>
    </row>
    <row r="748" spans="1:13" x14ac:dyDescent="0.25">
      <c r="A748" s="24"/>
      <c r="B748" s="20"/>
      <c r="C748" s="20"/>
      <c r="D748" s="14" t="str">
        <f>IF($C748="","",IFERROR(INDEX(Productos!$B$5:$B$504,MATCH($C748,Productos!$A$5:$A$504,0)),"Clave no existe"))</f>
        <v/>
      </c>
      <c r="E748" s="14" t="str">
        <f>IF($C748="","",IFERROR(INDEX(Productos!$D$5:$D$504,MATCH($C748,Productos!$A$5:$A$504,0)),""))</f>
        <v/>
      </c>
      <c r="F748" s="20"/>
      <c r="G748" s="22" t="str">
        <f>IF($C748="","",IFERROR(INDEX(Productos!$F$5:$F$504,MATCH($C748,Productos!$A$5:$A$504,0)),0))</f>
        <v/>
      </c>
      <c r="H748" s="22" t="str">
        <f t="shared" si="11"/>
        <v/>
      </c>
      <c r="I748" s="14" t="str">
        <f>IF(OR($C748="",$F748=""),"",IFERROR(INDEX(Productos!$I$5:$I$504,MATCH($C748,Productos!$A$5:$A$504,0)),0)+SUMIFS($F$5:$F748,$C$5:$C748,$C748,$B$5:$B748,"Entrada")-SUMIFS($F$5:$F748,$C$5:$C748,$C748,$B$5:$B748,"Salida"))</f>
        <v/>
      </c>
      <c r="J748" s="20"/>
      <c r="K748" s="20"/>
      <c r="L748" s="20"/>
      <c r="M748" s="14" t="str">
        <f>IF(AND($C748&lt;&gt;"",$C748=Kardex!$C$4),COUNTIF($C$5:$C748,Kardex!$C$4),"")</f>
        <v/>
      </c>
    </row>
    <row r="749" spans="1:13" x14ac:dyDescent="0.25">
      <c r="A749" s="24"/>
      <c r="B749" s="20"/>
      <c r="C749" s="20"/>
      <c r="D749" s="14" t="str">
        <f>IF($C749="","",IFERROR(INDEX(Productos!$B$5:$B$504,MATCH($C749,Productos!$A$5:$A$504,0)),"Clave no existe"))</f>
        <v/>
      </c>
      <c r="E749" s="14" t="str">
        <f>IF($C749="","",IFERROR(INDEX(Productos!$D$5:$D$504,MATCH($C749,Productos!$A$5:$A$504,0)),""))</f>
        <v/>
      </c>
      <c r="F749" s="20"/>
      <c r="G749" s="22" t="str">
        <f>IF($C749="","",IFERROR(INDEX(Productos!$F$5:$F$504,MATCH($C749,Productos!$A$5:$A$504,0)),0))</f>
        <v/>
      </c>
      <c r="H749" s="22" t="str">
        <f t="shared" si="11"/>
        <v/>
      </c>
      <c r="I749" s="14" t="str">
        <f>IF(OR($C749="",$F749=""),"",IFERROR(INDEX(Productos!$I$5:$I$504,MATCH($C749,Productos!$A$5:$A$504,0)),0)+SUMIFS($F$5:$F749,$C$5:$C749,$C749,$B$5:$B749,"Entrada")-SUMIFS($F$5:$F749,$C$5:$C749,$C749,$B$5:$B749,"Salida"))</f>
        <v/>
      </c>
      <c r="J749" s="20"/>
      <c r="K749" s="20"/>
      <c r="L749" s="20"/>
      <c r="M749" s="14" t="str">
        <f>IF(AND($C749&lt;&gt;"",$C749=Kardex!$C$4),COUNTIF($C$5:$C749,Kardex!$C$4),"")</f>
        <v/>
      </c>
    </row>
    <row r="750" spans="1:13" x14ac:dyDescent="0.25">
      <c r="A750" s="24"/>
      <c r="B750" s="20"/>
      <c r="C750" s="20"/>
      <c r="D750" s="14" t="str">
        <f>IF($C750="","",IFERROR(INDEX(Productos!$B$5:$B$504,MATCH($C750,Productos!$A$5:$A$504,0)),"Clave no existe"))</f>
        <v/>
      </c>
      <c r="E750" s="14" t="str">
        <f>IF($C750="","",IFERROR(INDEX(Productos!$D$5:$D$504,MATCH($C750,Productos!$A$5:$A$504,0)),""))</f>
        <v/>
      </c>
      <c r="F750" s="20"/>
      <c r="G750" s="22" t="str">
        <f>IF($C750="","",IFERROR(INDEX(Productos!$F$5:$F$504,MATCH($C750,Productos!$A$5:$A$504,0)),0))</f>
        <v/>
      </c>
      <c r="H750" s="22" t="str">
        <f t="shared" si="11"/>
        <v/>
      </c>
      <c r="I750" s="14" t="str">
        <f>IF(OR($C750="",$F750=""),"",IFERROR(INDEX(Productos!$I$5:$I$504,MATCH($C750,Productos!$A$5:$A$504,0)),0)+SUMIFS($F$5:$F750,$C$5:$C750,$C750,$B$5:$B750,"Entrada")-SUMIFS($F$5:$F750,$C$5:$C750,$C750,$B$5:$B750,"Salida"))</f>
        <v/>
      </c>
      <c r="J750" s="20"/>
      <c r="K750" s="20"/>
      <c r="L750" s="20"/>
      <c r="M750" s="14" t="str">
        <f>IF(AND($C750&lt;&gt;"",$C750=Kardex!$C$4),COUNTIF($C$5:$C750,Kardex!$C$4),"")</f>
        <v/>
      </c>
    </row>
    <row r="751" spans="1:13" x14ac:dyDescent="0.25">
      <c r="A751" s="24"/>
      <c r="B751" s="20"/>
      <c r="C751" s="20"/>
      <c r="D751" s="14" t="str">
        <f>IF($C751="","",IFERROR(INDEX(Productos!$B$5:$B$504,MATCH($C751,Productos!$A$5:$A$504,0)),"Clave no existe"))</f>
        <v/>
      </c>
      <c r="E751" s="14" t="str">
        <f>IF($C751="","",IFERROR(INDEX(Productos!$D$5:$D$504,MATCH($C751,Productos!$A$5:$A$504,0)),""))</f>
        <v/>
      </c>
      <c r="F751" s="20"/>
      <c r="G751" s="22" t="str">
        <f>IF($C751="","",IFERROR(INDEX(Productos!$F$5:$F$504,MATCH($C751,Productos!$A$5:$A$504,0)),0))</f>
        <v/>
      </c>
      <c r="H751" s="22" t="str">
        <f t="shared" si="11"/>
        <v/>
      </c>
      <c r="I751" s="14" t="str">
        <f>IF(OR($C751="",$F751=""),"",IFERROR(INDEX(Productos!$I$5:$I$504,MATCH($C751,Productos!$A$5:$A$504,0)),0)+SUMIFS($F$5:$F751,$C$5:$C751,$C751,$B$5:$B751,"Entrada")-SUMIFS($F$5:$F751,$C$5:$C751,$C751,$B$5:$B751,"Salida"))</f>
        <v/>
      </c>
      <c r="J751" s="20"/>
      <c r="K751" s="20"/>
      <c r="L751" s="20"/>
      <c r="M751" s="14" t="str">
        <f>IF(AND($C751&lt;&gt;"",$C751=Kardex!$C$4),COUNTIF($C$5:$C751,Kardex!$C$4),"")</f>
        <v/>
      </c>
    </row>
    <row r="752" spans="1:13" x14ac:dyDescent="0.25">
      <c r="A752" s="24"/>
      <c r="B752" s="20"/>
      <c r="C752" s="20"/>
      <c r="D752" s="14" t="str">
        <f>IF($C752="","",IFERROR(INDEX(Productos!$B$5:$B$504,MATCH($C752,Productos!$A$5:$A$504,0)),"Clave no existe"))</f>
        <v/>
      </c>
      <c r="E752" s="14" t="str">
        <f>IF($C752="","",IFERROR(INDEX(Productos!$D$5:$D$504,MATCH($C752,Productos!$A$5:$A$504,0)),""))</f>
        <v/>
      </c>
      <c r="F752" s="20"/>
      <c r="G752" s="22" t="str">
        <f>IF($C752="","",IFERROR(INDEX(Productos!$F$5:$F$504,MATCH($C752,Productos!$A$5:$A$504,0)),0))</f>
        <v/>
      </c>
      <c r="H752" s="22" t="str">
        <f t="shared" si="11"/>
        <v/>
      </c>
      <c r="I752" s="14" t="str">
        <f>IF(OR($C752="",$F752=""),"",IFERROR(INDEX(Productos!$I$5:$I$504,MATCH($C752,Productos!$A$5:$A$504,0)),0)+SUMIFS($F$5:$F752,$C$5:$C752,$C752,$B$5:$B752,"Entrada")-SUMIFS($F$5:$F752,$C$5:$C752,$C752,$B$5:$B752,"Salida"))</f>
        <v/>
      </c>
      <c r="J752" s="20"/>
      <c r="K752" s="20"/>
      <c r="L752" s="20"/>
      <c r="M752" s="14" t="str">
        <f>IF(AND($C752&lt;&gt;"",$C752=Kardex!$C$4),COUNTIF($C$5:$C752,Kardex!$C$4),"")</f>
        <v/>
      </c>
    </row>
    <row r="753" spans="1:13" x14ac:dyDescent="0.25">
      <c r="A753" s="24"/>
      <c r="B753" s="20"/>
      <c r="C753" s="20"/>
      <c r="D753" s="14" t="str">
        <f>IF($C753="","",IFERROR(INDEX(Productos!$B$5:$B$504,MATCH($C753,Productos!$A$5:$A$504,0)),"Clave no existe"))</f>
        <v/>
      </c>
      <c r="E753" s="14" t="str">
        <f>IF($C753="","",IFERROR(INDEX(Productos!$D$5:$D$504,MATCH($C753,Productos!$A$5:$A$504,0)),""))</f>
        <v/>
      </c>
      <c r="F753" s="20"/>
      <c r="G753" s="22" t="str">
        <f>IF($C753="","",IFERROR(INDEX(Productos!$F$5:$F$504,MATCH($C753,Productos!$A$5:$A$504,0)),0))</f>
        <v/>
      </c>
      <c r="H753" s="22" t="str">
        <f t="shared" si="11"/>
        <v/>
      </c>
      <c r="I753" s="14" t="str">
        <f>IF(OR($C753="",$F753=""),"",IFERROR(INDEX(Productos!$I$5:$I$504,MATCH($C753,Productos!$A$5:$A$504,0)),0)+SUMIFS($F$5:$F753,$C$5:$C753,$C753,$B$5:$B753,"Entrada")-SUMIFS($F$5:$F753,$C$5:$C753,$C753,$B$5:$B753,"Salida"))</f>
        <v/>
      </c>
      <c r="J753" s="20"/>
      <c r="K753" s="20"/>
      <c r="L753" s="20"/>
      <c r="M753" s="14" t="str">
        <f>IF(AND($C753&lt;&gt;"",$C753=Kardex!$C$4),COUNTIF($C$5:$C753,Kardex!$C$4),"")</f>
        <v/>
      </c>
    </row>
    <row r="754" spans="1:13" x14ac:dyDescent="0.25">
      <c r="A754" s="24"/>
      <c r="B754" s="20"/>
      <c r="C754" s="20"/>
      <c r="D754" s="14" t="str">
        <f>IF($C754="","",IFERROR(INDEX(Productos!$B$5:$B$504,MATCH($C754,Productos!$A$5:$A$504,0)),"Clave no existe"))</f>
        <v/>
      </c>
      <c r="E754" s="14" t="str">
        <f>IF($C754="","",IFERROR(INDEX(Productos!$D$5:$D$504,MATCH($C754,Productos!$A$5:$A$504,0)),""))</f>
        <v/>
      </c>
      <c r="F754" s="20"/>
      <c r="G754" s="22" t="str">
        <f>IF($C754="","",IFERROR(INDEX(Productos!$F$5:$F$504,MATCH($C754,Productos!$A$5:$A$504,0)),0))</f>
        <v/>
      </c>
      <c r="H754" s="22" t="str">
        <f t="shared" si="11"/>
        <v/>
      </c>
      <c r="I754" s="14" t="str">
        <f>IF(OR($C754="",$F754=""),"",IFERROR(INDEX(Productos!$I$5:$I$504,MATCH($C754,Productos!$A$5:$A$504,0)),0)+SUMIFS($F$5:$F754,$C$5:$C754,$C754,$B$5:$B754,"Entrada")-SUMIFS($F$5:$F754,$C$5:$C754,$C754,$B$5:$B754,"Salida"))</f>
        <v/>
      </c>
      <c r="J754" s="20"/>
      <c r="K754" s="20"/>
      <c r="L754" s="20"/>
      <c r="M754" s="14" t="str">
        <f>IF(AND($C754&lt;&gt;"",$C754=Kardex!$C$4),COUNTIF($C$5:$C754,Kardex!$C$4),"")</f>
        <v/>
      </c>
    </row>
    <row r="755" spans="1:13" x14ac:dyDescent="0.25">
      <c r="A755" s="24"/>
      <c r="B755" s="20"/>
      <c r="C755" s="20"/>
      <c r="D755" s="14" t="str">
        <f>IF($C755="","",IFERROR(INDEX(Productos!$B$5:$B$504,MATCH($C755,Productos!$A$5:$A$504,0)),"Clave no existe"))</f>
        <v/>
      </c>
      <c r="E755" s="14" t="str">
        <f>IF($C755="","",IFERROR(INDEX(Productos!$D$5:$D$504,MATCH($C755,Productos!$A$5:$A$504,0)),""))</f>
        <v/>
      </c>
      <c r="F755" s="20"/>
      <c r="G755" s="22" t="str">
        <f>IF($C755="","",IFERROR(INDEX(Productos!$F$5:$F$504,MATCH($C755,Productos!$A$5:$A$504,0)),0))</f>
        <v/>
      </c>
      <c r="H755" s="22" t="str">
        <f t="shared" si="11"/>
        <v/>
      </c>
      <c r="I755" s="14" t="str">
        <f>IF(OR($C755="",$F755=""),"",IFERROR(INDEX(Productos!$I$5:$I$504,MATCH($C755,Productos!$A$5:$A$504,0)),0)+SUMIFS($F$5:$F755,$C$5:$C755,$C755,$B$5:$B755,"Entrada")-SUMIFS($F$5:$F755,$C$5:$C755,$C755,$B$5:$B755,"Salida"))</f>
        <v/>
      </c>
      <c r="J755" s="20"/>
      <c r="K755" s="20"/>
      <c r="L755" s="20"/>
      <c r="M755" s="14" t="str">
        <f>IF(AND($C755&lt;&gt;"",$C755=Kardex!$C$4),COUNTIF($C$5:$C755,Kardex!$C$4),"")</f>
        <v/>
      </c>
    </row>
    <row r="756" spans="1:13" x14ac:dyDescent="0.25">
      <c r="A756" s="24"/>
      <c r="B756" s="20"/>
      <c r="C756" s="20"/>
      <c r="D756" s="14" t="str">
        <f>IF($C756="","",IFERROR(INDEX(Productos!$B$5:$B$504,MATCH($C756,Productos!$A$5:$A$504,0)),"Clave no existe"))</f>
        <v/>
      </c>
      <c r="E756" s="14" t="str">
        <f>IF($C756="","",IFERROR(INDEX(Productos!$D$5:$D$504,MATCH($C756,Productos!$A$5:$A$504,0)),""))</f>
        <v/>
      </c>
      <c r="F756" s="20"/>
      <c r="G756" s="22" t="str">
        <f>IF($C756="","",IFERROR(INDEX(Productos!$F$5:$F$504,MATCH($C756,Productos!$A$5:$A$504,0)),0))</f>
        <v/>
      </c>
      <c r="H756" s="22" t="str">
        <f t="shared" si="11"/>
        <v/>
      </c>
      <c r="I756" s="14" t="str">
        <f>IF(OR($C756="",$F756=""),"",IFERROR(INDEX(Productos!$I$5:$I$504,MATCH($C756,Productos!$A$5:$A$504,0)),0)+SUMIFS($F$5:$F756,$C$5:$C756,$C756,$B$5:$B756,"Entrada")-SUMIFS($F$5:$F756,$C$5:$C756,$C756,$B$5:$B756,"Salida"))</f>
        <v/>
      </c>
      <c r="J756" s="20"/>
      <c r="K756" s="20"/>
      <c r="L756" s="20"/>
      <c r="M756" s="14" t="str">
        <f>IF(AND($C756&lt;&gt;"",$C756=Kardex!$C$4),COUNTIF($C$5:$C756,Kardex!$C$4),"")</f>
        <v/>
      </c>
    </row>
    <row r="757" spans="1:13" x14ac:dyDescent="0.25">
      <c r="A757" s="24"/>
      <c r="B757" s="20"/>
      <c r="C757" s="20"/>
      <c r="D757" s="14" t="str">
        <f>IF($C757="","",IFERROR(INDEX(Productos!$B$5:$B$504,MATCH($C757,Productos!$A$5:$A$504,0)),"Clave no existe"))</f>
        <v/>
      </c>
      <c r="E757" s="14" t="str">
        <f>IF($C757="","",IFERROR(INDEX(Productos!$D$5:$D$504,MATCH($C757,Productos!$A$5:$A$504,0)),""))</f>
        <v/>
      </c>
      <c r="F757" s="20"/>
      <c r="G757" s="22" t="str">
        <f>IF($C757="","",IFERROR(INDEX(Productos!$F$5:$F$504,MATCH($C757,Productos!$A$5:$A$504,0)),0))</f>
        <v/>
      </c>
      <c r="H757" s="22" t="str">
        <f t="shared" si="11"/>
        <v/>
      </c>
      <c r="I757" s="14" t="str">
        <f>IF(OR($C757="",$F757=""),"",IFERROR(INDEX(Productos!$I$5:$I$504,MATCH($C757,Productos!$A$5:$A$504,0)),0)+SUMIFS($F$5:$F757,$C$5:$C757,$C757,$B$5:$B757,"Entrada")-SUMIFS($F$5:$F757,$C$5:$C757,$C757,$B$5:$B757,"Salida"))</f>
        <v/>
      </c>
      <c r="J757" s="20"/>
      <c r="K757" s="20"/>
      <c r="L757" s="20"/>
      <c r="M757" s="14" t="str">
        <f>IF(AND($C757&lt;&gt;"",$C757=Kardex!$C$4),COUNTIF($C$5:$C757,Kardex!$C$4),"")</f>
        <v/>
      </c>
    </row>
    <row r="758" spans="1:13" x14ac:dyDescent="0.25">
      <c r="A758" s="24"/>
      <c r="B758" s="20"/>
      <c r="C758" s="20"/>
      <c r="D758" s="14" t="str">
        <f>IF($C758="","",IFERROR(INDEX(Productos!$B$5:$B$504,MATCH($C758,Productos!$A$5:$A$504,0)),"Clave no existe"))</f>
        <v/>
      </c>
      <c r="E758" s="14" t="str">
        <f>IF($C758="","",IFERROR(INDEX(Productos!$D$5:$D$504,MATCH($C758,Productos!$A$5:$A$504,0)),""))</f>
        <v/>
      </c>
      <c r="F758" s="20"/>
      <c r="G758" s="22" t="str">
        <f>IF($C758="","",IFERROR(INDEX(Productos!$F$5:$F$504,MATCH($C758,Productos!$A$5:$A$504,0)),0))</f>
        <v/>
      </c>
      <c r="H758" s="22" t="str">
        <f t="shared" si="11"/>
        <v/>
      </c>
      <c r="I758" s="14" t="str">
        <f>IF(OR($C758="",$F758=""),"",IFERROR(INDEX(Productos!$I$5:$I$504,MATCH($C758,Productos!$A$5:$A$504,0)),0)+SUMIFS($F$5:$F758,$C$5:$C758,$C758,$B$5:$B758,"Entrada")-SUMIFS($F$5:$F758,$C$5:$C758,$C758,$B$5:$B758,"Salida"))</f>
        <v/>
      </c>
      <c r="J758" s="20"/>
      <c r="K758" s="20"/>
      <c r="L758" s="20"/>
      <c r="M758" s="14" t="str">
        <f>IF(AND($C758&lt;&gt;"",$C758=Kardex!$C$4),COUNTIF($C$5:$C758,Kardex!$C$4),"")</f>
        <v/>
      </c>
    </row>
    <row r="759" spans="1:13" x14ac:dyDescent="0.25">
      <c r="A759" s="24"/>
      <c r="B759" s="20"/>
      <c r="C759" s="20"/>
      <c r="D759" s="14" t="str">
        <f>IF($C759="","",IFERROR(INDEX(Productos!$B$5:$B$504,MATCH($C759,Productos!$A$5:$A$504,0)),"Clave no existe"))</f>
        <v/>
      </c>
      <c r="E759" s="14" t="str">
        <f>IF($C759="","",IFERROR(INDEX(Productos!$D$5:$D$504,MATCH($C759,Productos!$A$5:$A$504,0)),""))</f>
        <v/>
      </c>
      <c r="F759" s="20"/>
      <c r="G759" s="22" t="str">
        <f>IF($C759="","",IFERROR(INDEX(Productos!$F$5:$F$504,MATCH($C759,Productos!$A$5:$A$504,0)),0))</f>
        <v/>
      </c>
      <c r="H759" s="22" t="str">
        <f t="shared" si="11"/>
        <v/>
      </c>
      <c r="I759" s="14" t="str">
        <f>IF(OR($C759="",$F759=""),"",IFERROR(INDEX(Productos!$I$5:$I$504,MATCH($C759,Productos!$A$5:$A$504,0)),0)+SUMIFS($F$5:$F759,$C$5:$C759,$C759,$B$5:$B759,"Entrada")-SUMIFS($F$5:$F759,$C$5:$C759,$C759,$B$5:$B759,"Salida"))</f>
        <v/>
      </c>
      <c r="J759" s="20"/>
      <c r="K759" s="20"/>
      <c r="L759" s="20"/>
      <c r="M759" s="14" t="str">
        <f>IF(AND($C759&lt;&gt;"",$C759=Kardex!$C$4),COUNTIF($C$5:$C759,Kardex!$C$4),"")</f>
        <v/>
      </c>
    </row>
    <row r="760" spans="1:13" x14ac:dyDescent="0.25">
      <c r="A760" s="24"/>
      <c r="B760" s="20"/>
      <c r="C760" s="20"/>
      <c r="D760" s="14" t="str">
        <f>IF($C760="","",IFERROR(INDEX(Productos!$B$5:$B$504,MATCH($C760,Productos!$A$5:$A$504,0)),"Clave no existe"))</f>
        <v/>
      </c>
      <c r="E760" s="14" t="str">
        <f>IF($C760="","",IFERROR(INDEX(Productos!$D$5:$D$504,MATCH($C760,Productos!$A$5:$A$504,0)),""))</f>
        <v/>
      </c>
      <c r="F760" s="20"/>
      <c r="G760" s="22" t="str">
        <f>IF($C760="","",IFERROR(INDEX(Productos!$F$5:$F$504,MATCH($C760,Productos!$A$5:$A$504,0)),0))</f>
        <v/>
      </c>
      <c r="H760" s="22" t="str">
        <f t="shared" si="11"/>
        <v/>
      </c>
      <c r="I760" s="14" t="str">
        <f>IF(OR($C760="",$F760=""),"",IFERROR(INDEX(Productos!$I$5:$I$504,MATCH($C760,Productos!$A$5:$A$504,0)),0)+SUMIFS($F$5:$F760,$C$5:$C760,$C760,$B$5:$B760,"Entrada")-SUMIFS($F$5:$F760,$C$5:$C760,$C760,$B$5:$B760,"Salida"))</f>
        <v/>
      </c>
      <c r="J760" s="20"/>
      <c r="K760" s="20"/>
      <c r="L760" s="20"/>
      <c r="M760" s="14" t="str">
        <f>IF(AND($C760&lt;&gt;"",$C760=Kardex!$C$4),COUNTIF($C$5:$C760,Kardex!$C$4),"")</f>
        <v/>
      </c>
    </row>
    <row r="761" spans="1:13" x14ac:dyDescent="0.25">
      <c r="A761" s="24"/>
      <c r="B761" s="20"/>
      <c r="C761" s="20"/>
      <c r="D761" s="14" t="str">
        <f>IF($C761="","",IFERROR(INDEX(Productos!$B$5:$B$504,MATCH($C761,Productos!$A$5:$A$504,0)),"Clave no existe"))</f>
        <v/>
      </c>
      <c r="E761" s="14" t="str">
        <f>IF($C761="","",IFERROR(INDEX(Productos!$D$5:$D$504,MATCH($C761,Productos!$A$5:$A$504,0)),""))</f>
        <v/>
      </c>
      <c r="F761" s="20"/>
      <c r="G761" s="22" t="str">
        <f>IF($C761="","",IFERROR(INDEX(Productos!$F$5:$F$504,MATCH($C761,Productos!$A$5:$A$504,0)),0))</f>
        <v/>
      </c>
      <c r="H761" s="22" t="str">
        <f t="shared" si="11"/>
        <v/>
      </c>
      <c r="I761" s="14" t="str">
        <f>IF(OR($C761="",$F761=""),"",IFERROR(INDEX(Productos!$I$5:$I$504,MATCH($C761,Productos!$A$5:$A$504,0)),0)+SUMIFS($F$5:$F761,$C$5:$C761,$C761,$B$5:$B761,"Entrada")-SUMIFS($F$5:$F761,$C$5:$C761,$C761,$B$5:$B761,"Salida"))</f>
        <v/>
      </c>
      <c r="J761" s="20"/>
      <c r="K761" s="20"/>
      <c r="L761" s="20"/>
      <c r="M761" s="14" t="str">
        <f>IF(AND($C761&lt;&gt;"",$C761=Kardex!$C$4),COUNTIF($C$5:$C761,Kardex!$C$4),"")</f>
        <v/>
      </c>
    </row>
    <row r="762" spans="1:13" x14ac:dyDescent="0.25">
      <c r="A762" s="24"/>
      <c r="B762" s="20"/>
      <c r="C762" s="20"/>
      <c r="D762" s="14" t="str">
        <f>IF($C762="","",IFERROR(INDEX(Productos!$B$5:$B$504,MATCH($C762,Productos!$A$5:$A$504,0)),"Clave no existe"))</f>
        <v/>
      </c>
      <c r="E762" s="14" t="str">
        <f>IF($C762="","",IFERROR(INDEX(Productos!$D$5:$D$504,MATCH($C762,Productos!$A$5:$A$504,0)),""))</f>
        <v/>
      </c>
      <c r="F762" s="20"/>
      <c r="G762" s="22" t="str">
        <f>IF($C762="","",IFERROR(INDEX(Productos!$F$5:$F$504,MATCH($C762,Productos!$A$5:$A$504,0)),0))</f>
        <v/>
      </c>
      <c r="H762" s="22" t="str">
        <f t="shared" si="11"/>
        <v/>
      </c>
      <c r="I762" s="14" t="str">
        <f>IF(OR($C762="",$F762=""),"",IFERROR(INDEX(Productos!$I$5:$I$504,MATCH($C762,Productos!$A$5:$A$504,0)),0)+SUMIFS($F$5:$F762,$C$5:$C762,$C762,$B$5:$B762,"Entrada")-SUMIFS($F$5:$F762,$C$5:$C762,$C762,$B$5:$B762,"Salida"))</f>
        <v/>
      </c>
      <c r="J762" s="20"/>
      <c r="K762" s="20"/>
      <c r="L762" s="20"/>
      <c r="M762" s="14" t="str">
        <f>IF(AND($C762&lt;&gt;"",$C762=Kardex!$C$4),COUNTIF($C$5:$C762,Kardex!$C$4),"")</f>
        <v/>
      </c>
    </row>
    <row r="763" spans="1:13" x14ac:dyDescent="0.25">
      <c r="A763" s="24"/>
      <c r="B763" s="20"/>
      <c r="C763" s="20"/>
      <c r="D763" s="14" t="str">
        <f>IF($C763="","",IFERROR(INDEX(Productos!$B$5:$B$504,MATCH($C763,Productos!$A$5:$A$504,0)),"Clave no existe"))</f>
        <v/>
      </c>
      <c r="E763" s="14" t="str">
        <f>IF($C763="","",IFERROR(INDEX(Productos!$D$5:$D$504,MATCH($C763,Productos!$A$5:$A$504,0)),""))</f>
        <v/>
      </c>
      <c r="F763" s="20"/>
      <c r="G763" s="22" t="str">
        <f>IF($C763="","",IFERROR(INDEX(Productos!$F$5:$F$504,MATCH($C763,Productos!$A$5:$A$504,0)),0))</f>
        <v/>
      </c>
      <c r="H763" s="22" t="str">
        <f t="shared" si="11"/>
        <v/>
      </c>
      <c r="I763" s="14" t="str">
        <f>IF(OR($C763="",$F763=""),"",IFERROR(INDEX(Productos!$I$5:$I$504,MATCH($C763,Productos!$A$5:$A$504,0)),0)+SUMIFS($F$5:$F763,$C$5:$C763,$C763,$B$5:$B763,"Entrada")-SUMIFS($F$5:$F763,$C$5:$C763,$C763,$B$5:$B763,"Salida"))</f>
        <v/>
      </c>
      <c r="J763" s="20"/>
      <c r="K763" s="20"/>
      <c r="L763" s="20"/>
      <c r="M763" s="14" t="str">
        <f>IF(AND($C763&lt;&gt;"",$C763=Kardex!$C$4),COUNTIF($C$5:$C763,Kardex!$C$4),"")</f>
        <v/>
      </c>
    </row>
    <row r="764" spans="1:13" x14ac:dyDescent="0.25">
      <c r="A764" s="24"/>
      <c r="B764" s="20"/>
      <c r="C764" s="20"/>
      <c r="D764" s="14" t="str">
        <f>IF($C764="","",IFERROR(INDEX(Productos!$B$5:$B$504,MATCH($C764,Productos!$A$5:$A$504,0)),"Clave no existe"))</f>
        <v/>
      </c>
      <c r="E764" s="14" t="str">
        <f>IF($C764="","",IFERROR(INDEX(Productos!$D$5:$D$504,MATCH($C764,Productos!$A$5:$A$504,0)),""))</f>
        <v/>
      </c>
      <c r="F764" s="20"/>
      <c r="G764" s="22" t="str">
        <f>IF($C764="","",IFERROR(INDEX(Productos!$F$5:$F$504,MATCH($C764,Productos!$A$5:$A$504,0)),0))</f>
        <v/>
      </c>
      <c r="H764" s="22" t="str">
        <f t="shared" si="11"/>
        <v/>
      </c>
      <c r="I764" s="14" t="str">
        <f>IF(OR($C764="",$F764=""),"",IFERROR(INDEX(Productos!$I$5:$I$504,MATCH($C764,Productos!$A$5:$A$504,0)),0)+SUMIFS($F$5:$F764,$C$5:$C764,$C764,$B$5:$B764,"Entrada")-SUMIFS($F$5:$F764,$C$5:$C764,$C764,$B$5:$B764,"Salida"))</f>
        <v/>
      </c>
      <c r="J764" s="20"/>
      <c r="K764" s="20"/>
      <c r="L764" s="20"/>
      <c r="M764" s="14" t="str">
        <f>IF(AND($C764&lt;&gt;"",$C764=Kardex!$C$4),COUNTIF($C$5:$C764,Kardex!$C$4),"")</f>
        <v/>
      </c>
    </row>
    <row r="765" spans="1:13" x14ac:dyDescent="0.25">
      <c r="A765" s="24"/>
      <c r="B765" s="20"/>
      <c r="C765" s="20"/>
      <c r="D765" s="14" t="str">
        <f>IF($C765="","",IFERROR(INDEX(Productos!$B$5:$B$504,MATCH($C765,Productos!$A$5:$A$504,0)),"Clave no existe"))</f>
        <v/>
      </c>
      <c r="E765" s="14" t="str">
        <f>IF($C765="","",IFERROR(INDEX(Productos!$D$5:$D$504,MATCH($C765,Productos!$A$5:$A$504,0)),""))</f>
        <v/>
      </c>
      <c r="F765" s="20"/>
      <c r="G765" s="22" t="str">
        <f>IF($C765="","",IFERROR(INDEX(Productos!$F$5:$F$504,MATCH($C765,Productos!$A$5:$A$504,0)),0))</f>
        <v/>
      </c>
      <c r="H765" s="22" t="str">
        <f t="shared" si="11"/>
        <v/>
      </c>
      <c r="I765" s="14" t="str">
        <f>IF(OR($C765="",$F765=""),"",IFERROR(INDEX(Productos!$I$5:$I$504,MATCH($C765,Productos!$A$5:$A$504,0)),0)+SUMIFS($F$5:$F765,$C$5:$C765,$C765,$B$5:$B765,"Entrada")-SUMIFS($F$5:$F765,$C$5:$C765,$C765,$B$5:$B765,"Salida"))</f>
        <v/>
      </c>
      <c r="J765" s="20"/>
      <c r="K765" s="20"/>
      <c r="L765" s="20"/>
      <c r="M765" s="14" t="str">
        <f>IF(AND($C765&lt;&gt;"",$C765=Kardex!$C$4),COUNTIF($C$5:$C765,Kardex!$C$4),"")</f>
        <v/>
      </c>
    </row>
    <row r="766" spans="1:13" x14ac:dyDescent="0.25">
      <c r="A766" s="24"/>
      <c r="B766" s="20"/>
      <c r="C766" s="20"/>
      <c r="D766" s="14" t="str">
        <f>IF($C766="","",IFERROR(INDEX(Productos!$B$5:$B$504,MATCH($C766,Productos!$A$5:$A$504,0)),"Clave no existe"))</f>
        <v/>
      </c>
      <c r="E766" s="14" t="str">
        <f>IF($C766="","",IFERROR(INDEX(Productos!$D$5:$D$504,MATCH($C766,Productos!$A$5:$A$504,0)),""))</f>
        <v/>
      </c>
      <c r="F766" s="20"/>
      <c r="G766" s="22" t="str">
        <f>IF($C766="","",IFERROR(INDEX(Productos!$F$5:$F$504,MATCH($C766,Productos!$A$5:$A$504,0)),0))</f>
        <v/>
      </c>
      <c r="H766" s="22" t="str">
        <f t="shared" si="11"/>
        <v/>
      </c>
      <c r="I766" s="14" t="str">
        <f>IF(OR($C766="",$F766=""),"",IFERROR(INDEX(Productos!$I$5:$I$504,MATCH($C766,Productos!$A$5:$A$504,0)),0)+SUMIFS($F$5:$F766,$C$5:$C766,$C766,$B$5:$B766,"Entrada")-SUMIFS($F$5:$F766,$C$5:$C766,$C766,$B$5:$B766,"Salida"))</f>
        <v/>
      </c>
      <c r="J766" s="20"/>
      <c r="K766" s="20"/>
      <c r="L766" s="20"/>
      <c r="M766" s="14" t="str">
        <f>IF(AND($C766&lt;&gt;"",$C766=Kardex!$C$4),COUNTIF($C$5:$C766,Kardex!$C$4),"")</f>
        <v/>
      </c>
    </row>
    <row r="767" spans="1:13" x14ac:dyDescent="0.25">
      <c r="A767" s="24"/>
      <c r="B767" s="20"/>
      <c r="C767" s="20"/>
      <c r="D767" s="14" t="str">
        <f>IF($C767="","",IFERROR(INDEX(Productos!$B$5:$B$504,MATCH($C767,Productos!$A$5:$A$504,0)),"Clave no existe"))</f>
        <v/>
      </c>
      <c r="E767" s="14" t="str">
        <f>IF($C767="","",IFERROR(INDEX(Productos!$D$5:$D$504,MATCH($C767,Productos!$A$5:$A$504,0)),""))</f>
        <v/>
      </c>
      <c r="F767" s="20"/>
      <c r="G767" s="22" t="str">
        <f>IF($C767="","",IFERROR(INDEX(Productos!$F$5:$F$504,MATCH($C767,Productos!$A$5:$A$504,0)),0))</f>
        <v/>
      </c>
      <c r="H767" s="22" t="str">
        <f t="shared" si="11"/>
        <v/>
      </c>
      <c r="I767" s="14" t="str">
        <f>IF(OR($C767="",$F767=""),"",IFERROR(INDEX(Productos!$I$5:$I$504,MATCH($C767,Productos!$A$5:$A$504,0)),0)+SUMIFS($F$5:$F767,$C$5:$C767,$C767,$B$5:$B767,"Entrada")-SUMIFS($F$5:$F767,$C$5:$C767,$C767,$B$5:$B767,"Salida"))</f>
        <v/>
      </c>
      <c r="J767" s="20"/>
      <c r="K767" s="20"/>
      <c r="L767" s="20"/>
      <c r="M767" s="14" t="str">
        <f>IF(AND($C767&lt;&gt;"",$C767=Kardex!$C$4),COUNTIF($C$5:$C767,Kardex!$C$4),"")</f>
        <v/>
      </c>
    </row>
    <row r="768" spans="1:13" x14ac:dyDescent="0.25">
      <c r="A768" s="24"/>
      <c r="B768" s="20"/>
      <c r="C768" s="20"/>
      <c r="D768" s="14" t="str">
        <f>IF($C768="","",IFERROR(INDEX(Productos!$B$5:$B$504,MATCH($C768,Productos!$A$5:$A$504,0)),"Clave no existe"))</f>
        <v/>
      </c>
      <c r="E768" s="14" t="str">
        <f>IF($C768="","",IFERROR(INDEX(Productos!$D$5:$D$504,MATCH($C768,Productos!$A$5:$A$504,0)),""))</f>
        <v/>
      </c>
      <c r="F768" s="20"/>
      <c r="G768" s="22" t="str">
        <f>IF($C768="","",IFERROR(INDEX(Productos!$F$5:$F$504,MATCH($C768,Productos!$A$5:$A$504,0)),0))</f>
        <v/>
      </c>
      <c r="H768" s="22" t="str">
        <f t="shared" si="11"/>
        <v/>
      </c>
      <c r="I768" s="14" t="str">
        <f>IF(OR($C768="",$F768=""),"",IFERROR(INDEX(Productos!$I$5:$I$504,MATCH($C768,Productos!$A$5:$A$504,0)),0)+SUMIFS($F$5:$F768,$C$5:$C768,$C768,$B$5:$B768,"Entrada")-SUMIFS($F$5:$F768,$C$5:$C768,$C768,$B$5:$B768,"Salida"))</f>
        <v/>
      </c>
      <c r="J768" s="20"/>
      <c r="K768" s="20"/>
      <c r="L768" s="20"/>
      <c r="M768" s="14" t="str">
        <f>IF(AND($C768&lt;&gt;"",$C768=Kardex!$C$4),COUNTIF($C$5:$C768,Kardex!$C$4),"")</f>
        <v/>
      </c>
    </row>
    <row r="769" spans="1:13" x14ac:dyDescent="0.25">
      <c r="A769" s="24"/>
      <c r="B769" s="20"/>
      <c r="C769" s="20"/>
      <c r="D769" s="14" t="str">
        <f>IF($C769="","",IFERROR(INDEX(Productos!$B$5:$B$504,MATCH($C769,Productos!$A$5:$A$504,0)),"Clave no existe"))</f>
        <v/>
      </c>
      <c r="E769" s="14" t="str">
        <f>IF($C769="","",IFERROR(INDEX(Productos!$D$5:$D$504,MATCH($C769,Productos!$A$5:$A$504,0)),""))</f>
        <v/>
      </c>
      <c r="F769" s="20"/>
      <c r="G769" s="22" t="str">
        <f>IF($C769="","",IFERROR(INDEX(Productos!$F$5:$F$504,MATCH($C769,Productos!$A$5:$A$504,0)),0))</f>
        <v/>
      </c>
      <c r="H769" s="22" t="str">
        <f t="shared" si="11"/>
        <v/>
      </c>
      <c r="I769" s="14" t="str">
        <f>IF(OR($C769="",$F769=""),"",IFERROR(INDEX(Productos!$I$5:$I$504,MATCH($C769,Productos!$A$5:$A$504,0)),0)+SUMIFS($F$5:$F769,$C$5:$C769,$C769,$B$5:$B769,"Entrada")-SUMIFS($F$5:$F769,$C$5:$C769,$C769,$B$5:$B769,"Salida"))</f>
        <v/>
      </c>
      <c r="J769" s="20"/>
      <c r="K769" s="20"/>
      <c r="L769" s="20"/>
      <c r="M769" s="14" t="str">
        <f>IF(AND($C769&lt;&gt;"",$C769=Kardex!$C$4),COUNTIF($C$5:$C769,Kardex!$C$4),"")</f>
        <v/>
      </c>
    </row>
    <row r="770" spans="1:13" x14ac:dyDescent="0.25">
      <c r="A770" s="24"/>
      <c r="B770" s="20"/>
      <c r="C770" s="20"/>
      <c r="D770" s="14" t="str">
        <f>IF($C770="","",IFERROR(INDEX(Productos!$B$5:$B$504,MATCH($C770,Productos!$A$5:$A$504,0)),"Clave no existe"))</f>
        <v/>
      </c>
      <c r="E770" s="14" t="str">
        <f>IF($C770="","",IFERROR(INDEX(Productos!$D$5:$D$504,MATCH($C770,Productos!$A$5:$A$504,0)),""))</f>
        <v/>
      </c>
      <c r="F770" s="20"/>
      <c r="G770" s="22" t="str">
        <f>IF($C770="","",IFERROR(INDEX(Productos!$F$5:$F$504,MATCH($C770,Productos!$A$5:$A$504,0)),0))</f>
        <v/>
      </c>
      <c r="H770" s="22" t="str">
        <f t="shared" si="11"/>
        <v/>
      </c>
      <c r="I770" s="14" t="str">
        <f>IF(OR($C770="",$F770=""),"",IFERROR(INDEX(Productos!$I$5:$I$504,MATCH($C770,Productos!$A$5:$A$504,0)),0)+SUMIFS($F$5:$F770,$C$5:$C770,$C770,$B$5:$B770,"Entrada")-SUMIFS($F$5:$F770,$C$5:$C770,$C770,$B$5:$B770,"Salida"))</f>
        <v/>
      </c>
      <c r="J770" s="20"/>
      <c r="K770" s="20"/>
      <c r="L770" s="20"/>
      <c r="M770" s="14" t="str">
        <f>IF(AND($C770&lt;&gt;"",$C770=Kardex!$C$4),COUNTIF($C$5:$C770,Kardex!$C$4),"")</f>
        <v/>
      </c>
    </row>
    <row r="771" spans="1:13" x14ac:dyDescent="0.25">
      <c r="A771" s="24"/>
      <c r="B771" s="20"/>
      <c r="C771" s="20"/>
      <c r="D771" s="14" t="str">
        <f>IF($C771="","",IFERROR(INDEX(Productos!$B$5:$B$504,MATCH($C771,Productos!$A$5:$A$504,0)),"Clave no existe"))</f>
        <v/>
      </c>
      <c r="E771" s="14" t="str">
        <f>IF($C771="","",IFERROR(INDEX(Productos!$D$5:$D$504,MATCH($C771,Productos!$A$5:$A$504,0)),""))</f>
        <v/>
      </c>
      <c r="F771" s="20"/>
      <c r="G771" s="22" t="str">
        <f>IF($C771="","",IFERROR(INDEX(Productos!$F$5:$F$504,MATCH($C771,Productos!$A$5:$A$504,0)),0))</f>
        <v/>
      </c>
      <c r="H771" s="22" t="str">
        <f t="shared" si="11"/>
        <v/>
      </c>
      <c r="I771" s="14" t="str">
        <f>IF(OR($C771="",$F771=""),"",IFERROR(INDEX(Productos!$I$5:$I$504,MATCH($C771,Productos!$A$5:$A$504,0)),0)+SUMIFS($F$5:$F771,$C$5:$C771,$C771,$B$5:$B771,"Entrada")-SUMIFS($F$5:$F771,$C$5:$C771,$C771,$B$5:$B771,"Salida"))</f>
        <v/>
      </c>
      <c r="J771" s="20"/>
      <c r="K771" s="20"/>
      <c r="L771" s="20"/>
      <c r="M771" s="14" t="str">
        <f>IF(AND($C771&lt;&gt;"",$C771=Kardex!$C$4),COUNTIF($C$5:$C771,Kardex!$C$4),"")</f>
        <v/>
      </c>
    </row>
    <row r="772" spans="1:13" x14ac:dyDescent="0.25">
      <c r="A772" s="24"/>
      <c r="B772" s="20"/>
      <c r="C772" s="20"/>
      <c r="D772" s="14" t="str">
        <f>IF($C772="","",IFERROR(INDEX(Productos!$B$5:$B$504,MATCH($C772,Productos!$A$5:$A$504,0)),"Clave no existe"))</f>
        <v/>
      </c>
      <c r="E772" s="14" t="str">
        <f>IF($C772="","",IFERROR(INDEX(Productos!$D$5:$D$504,MATCH($C772,Productos!$A$5:$A$504,0)),""))</f>
        <v/>
      </c>
      <c r="F772" s="20"/>
      <c r="G772" s="22" t="str">
        <f>IF($C772="","",IFERROR(INDEX(Productos!$F$5:$F$504,MATCH($C772,Productos!$A$5:$A$504,0)),0))</f>
        <v/>
      </c>
      <c r="H772" s="22" t="str">
        <f t="shared" si="11"/>
        <v/>
      </c>
      <c r="I772" s="14" t="str">
        <f>IF(OR($C772="",$F772=""),"",IFERROR(INDEX(Productos!$I$5:$I$504,MATCH($C772,Productos!$A$5:$A$504,0)),0)+SUMIFS($F$5:$F772,$C$5:$C772,$C772,$B$5:$B772,"Entrada")-SUMIFS($F$5:$F772,$C$5:$C772,$C772,$B$5:$B772,"Salida"))</f>
        <v/>
      </c>
      <c r="J772" s="20"/>
      <c r="K772" s="20"/>
      <c r="L772" s="20"/>
      <c r="M772" s="14" t="str">
        <f>IF(AND($C772&lt;&gt;"",$C772=Kardex!$C$4),COUNTIF($C$5:$C772,Kardex!$C$4),"")</f>
        <v/>
      </c>
    </row>
    <row r="773" spans="1:13" x14ac:dyDescent="0.25">
      <c r="A773" s="24"/>
      <c r="B773" s="20"/>
      <c r="C773" s="20"/>
      <c r="D773" s="14" t="str">
        <f>IF($C773="","",IFERROR(INDEX(Productos!$B$5:$B$504,MATCH($C773,Productos!$A$5:$A$504,0)),"Clave no existe"))</f>
        <v/>
      </c>
      <c r="E773" s="14" t="str">
        <f>IF($C773="","",IFERROR(INDEX(Productos!$D$5:$D$504,MATCH($C773,Productos!$A$5:$A$504,0)),""))</f>
        <v/>
      </c>
      <c r="F773" s="20"/>
      <c r="G773" s="22" t="str">
        <f>IF($C773="","",IFERROR(INDEX(Productos!$F$5:$F$504,MATCH($C773,Productos!$A$5:$A$504,0)),0))</f>
        <v/>
      </c>
      <c r="H773" s="22" t="str">
        <f t="shared" ref="H773:H836" si="12">IF(OR($C773="",$F773=""),"",F773*G773)</f>
        <v/>
      </c>
      <c r="I773" s="14" t="str">
        <f>IF(OR($C773="",$F773=""),"",IFERROR(INDEX(Productos!$I$5:$I$504,MATCH($C773,Productos!$A$5:$A$504,0)),0)+SUMIFS($F$5:$F773,$C$5:$C773,$C773,$B$5:$B773,"Entrada")-SUMIFS($F$5:$F773,$C$5:$C773,$C773,$B$5:$B773,"Salida"))</f>
        <v/>
      </c>
      <c r="J773" s="20"/>
      <c r="K773" s="20"/>
      <c r="L773" s="20"/>
      <c r="M773" s="14" t="str">
        <f>IF(AND($C773&lt;&gt;"",$C773=Kardex!$C$4),COUNTIF($C$5:$C773,Kardex!$C$4),"")</f>
        <v/>
      </c>
    </row>
    <row r="774" spans="1:13" x14ac:dyDescent="0.25">
      <c r="A774" s="24"/>
      <c r="B774" s="20"/>
      <c r="C774" s="20"/>
      <c r="D774" s="14" t="str">
        <f>IF($C774="","",IFERROR(INDEX(Productos!$B$5:$B$504,MATCH($C774,Productos!$A$5:$A$504,0)),"Clave no existe"))</f>
        <v/>
      </c>
      <c r="E774" s="14" t="str">
        <f>IF($C774="","",IFERROR(INDEX(Productos!$D$5:$D$504,MATCH($C774,Productos!$A$5:$A$504,0)),""))</f>
        <v/>
      </c>
      <c r="F774" s="20"/>
      <c r="G774" s="22" t="str">
        <f>IF($C774="","",IFERROR(INDEX(Productos!$F$5:$F$504,MATCH($C774,Productos!$A$5:$A$504,0)),0))</f>
        <v/>
      </c>
      <c r="H774" s="22" t="str">
        <f t="shared" si="12"/>
        <v/>
      </c>
      <c r="I774" s="14" t="str">
        <f>IF(OR($C774="",$F774=""),"",IFERROR(INDEX(Productos!$I$5:$I$504,MATCH($C774,Productos!$A$5:$A$504,0)),0)+SUMIFS($F$5:$F774,$C$5:$C774,$C774,$B$5:$B774,"Entrada")-SUMIFS($F$5:$F774,$C$5:$C774,$C774,$B$5:$B774,"Salida"))</f>
        <v/>
      </c>
      <c r="J774" s="20"/>
      <c r="K774" s="20"/>
      <c r="L774" s="20"/>
      <c r="M774" s="14" t="str">
        <f>IF(AND($C774&lt;&gt;"",$C774=Kardex!$C$4),COUNTIF($C$5:$C774,Kardex!$C$4),"")</f>
        <v/>
      </c>
    </row>
    <row r="775" spans="1:13" x14ac:dyDescent="0.25">
      <c r="A775" s="24"/>
      <c r="B775" s="20"/>
      <c r="C775" s="20"/>
      <c r="D775" s="14" t="str">
        <f>IF($C775="","",IFERROR(INDEX(Productos!$B$5:$B$504,MATCH($C775,Productos!$A$5:$A$504,0)),"Clave no existe"))</f>
        <v/>
      </c>
      <c r="E775" s="14" t="str">
        <f>IF($C775="","",IFERROR(INDEX(Productos!$D$5:$D$504,MATCH($C775,Productos!$A$5:$A$504,0)),""))</f>
        <v/>
      </c>
      <c r="F775" s="20"/>
      <c r="G775" s="22" t="str">
        <f>IF($C775="","",IFERROR(INDEX(Productos!$F$5:$F$504,MATCH($C775,Productos!$A$5:$A$504,0)),0))</f>
        <v/>
      </c>
      <c r="H775" s="22" t="str">
        <f t="shared" si="12"/>
        <v/>
      </c>
      <c r="I775" s="14" t="str">
        <f>IF(OR($C775="",$F775=""),"",IFERROR(INDEX(Productos!$I$5:$I$504,MATCH($C775,Productos!$A$5:$A$504,0)),0)+SUMIFS($F$5:$F775,$C$5:$C775,$C775,$B$5:$B775,"Entrada")-SUMIFS($F$5:$F775,$C$5:$C775,$C775,$B$5:$B775,"Salida"))</f>
        <v/>
      </c>
      <c r="J775" s="20"/>
      <c r="K775" s="20"/>
      <c r="L775" s="20"/>
      <c r="M775" s="14" t="str">
        <f>IF(AND($C775&lt;&gt;"",$C775=Kardex!$C$4),COUNTIF($C$5:$C775,Kardex!$C$4),"")</f>
        <v/>
      </c>
    </row>
    <row r="776" spans="1:13" x14ac:dyDescent="0.25">
      <c r="A776" s="24"/>
      <c r="B776" s="20"/>
      <c r="C776" s="20"/>
      <c r="D776" s="14" t="str">
        <f>IF($C776="","",IFERROR(INDEX(Productos!$B$5:$B$504,MATCH($C776,Productos!$A$5:$A$504,0)),"Clave no existe"))</f>
        <v/>
      </c>
      <c r="E776" s="14" t="str">
        <f>IF($C776="","",IFERROR(INDEX(Productos!$D$5:$D$504,MATCH($C776,Productos!$A$5:$A$504,0)),""))</f>
        <v/>
      </c>
      <c r="F776" s="20"/>
      <c r="G776" s="22" t="str">
        <f>IF($C776="","",IFERROR(INDEX(Productos!$F$5:$F$504,MATCH($C776,Productos!$A$5:$A$504,0)),0))</f>
        <v/>
      </c>
      <c r="H776" s="22" t="str">
        <f t="shared" si="12"/>
        <v/>
      </c>
      <c r="I776" s="14" t="str">
        <f>IF(OR($C776="",$F776=""),"",IFERROR(INDEX(Productos!$I$5:$I$504,MATCH($C776,Productos!$A$5:$A$504,0)),0)+SUMIFS($F$5:$F776,$C$5:$C776,$C776,$B$5:$B776,"Entrada")-SUMIFS($F$5:$F776,$C$5:$C776,$C776,$B$5:$B776,"Salida"))</f>
        <v/>
      </c>
      <c r="J776" s="20"/>
      <c r="K776" s="20"/>
      <c r="L776" s="20"/>
      <c r="M776" s="14" t="str">
        <f>IF(AND($C776&lt;&gt;"",$C776=Kardex!$C$4),COUNTIF($C$5:$C776,Kardex!$C$4),"")</f>
        <v/>
      </c>
    </row>
    <row r="777" spans="1:13" x14ac:dyDescent="0.25">
      <c r="A777" s="24"/>
      <c r="B777" s="20"/>
      <c r="C777" s="20"/>
      <c r="D777" s="14" t="str">
        <f>IF($C777="","",IFERROR(INDEX(Productos!$B$5:$B$504,MATCH($C777,Productos!$A$5:$A$504,0)),"Clave no existe"))</f>
        <v/>
      </c>
      <c r="E777" s="14" t="str">
        <f>IF($C777="","",IFERROR(INDEX(Productos!$D$5:$D$504,MATCH($C777,Productos!$A$5:$A$504,0)),""))</f>
        <v/>
      </c>
      <c r="F777" s="20"/>
      <c r="G777" s="22" t="str">
        <f>IF($C777="","",IFERROR(INDEX(Productos!$F$5:$F$504,MATCH($C777,Productos!$A$5:$A$504,0)),0))</f>
        <v/>
      </c>
      <c r="H777" s="22" t="str">
        <f t="shared" si="12"/>
        <v/>
      </c>
      <c r="I777" s="14" t="str">
        <f>IF(OR($C777="",$F777=""),"",IFERROR(INDEX(Productos!$I$5:$I$504,MATCH($C777,Productos!$A$5:$A$504,0)),0)+SUMIFS($F$5:$F777,$C$5:$C777,$C777,$B$5:$B777,"Entrada")-SUMIFS($F$5:$F777,$C$5:$C777,$C777,$B$5:$B777,"Salida"))</f>
        <v/>
      </c>
      <c r="J777" s="20"/>
      <c r="K777" s="20"/>
      <c r="L777" s="20"/>
      <c r="M777" s="14" t="str">
        <f>IF(AND($C777&lt;&gt;"",$C777=Kardex!$C$4),COUNTIF($C$5:$C777,Kardex!$C$4),"")</f>
        <v/>
      </c>
    </row>
    <row r="778" spans="1:13" x14ac:dyDescent="0.25">
      <c r="A778" s="24"/>
      <c r="B778" s="20"/>
      <c r="C778" s="20"/>
      <c r="D778" s="14" t="str">
        <f>IF($C778="","",IFERROR(INDEX(Productos!$B$5:$B$504,MATCH($C778,Productos!$A$5:$A$504,0)),"Clave no existe"))</f>
        <v/>
      </c>
      <c r="E778" s="14" t="str">
        <f>IF($C778="","",IFERROR(INDEX(Productos!$D$5:$D$504,MATCH($C778,Productos!$A$5:$A$504,0)),""))</f>
        <v/>
      </c>
      <c r="F778" s="20"/>
      <c r="G778" s="22" t="str">
        <f>IF($C778="","",IFERROR(INDEX(Productos!$F$5:$F$504,MATCH($C778,Productos!$A$5:$A$504,0)),0))</f>
        <v/>
      </c>
      <c r="H778" s="22" t="str">
        <f t="shared" si="12"/>
        <v/>
      </c>
      <c r="I778" s="14" t="str">
        <f>IF(OR($C778="",$F778=""),"",IFERROR(INDEX(Productos!$I$5:$I$504,MATCH($C778,Productos!$A$5:$A$504,0)),0)+SUMIFS($F$5:$F778,$C$5:$C778,$C778,$B$5:$B778,"Entrada")-SUMIFS($F$5:$F778,$C$5:$C778,$C778,$B$5:$B778,"Salida"))</f>
        <v/>
      </c>
      <c r="J778" s="20"/>
      <c r="K778" s="20"/>
      <c r="L778" s="20"/>
      <c r="M778" s="14" t="str">
        <f>IF(AND($C778&lt;&gt;"",$C778=Kardex!$C$4),COUNTIF($C$5:$C778,Kardex!$C$4),"")</f>
        <v/>
      </c>
    </row>
    <row r="779" spans="1:13" x14ac:dyDescent="0.25">
      <c r="A779" s="24"/>
      <c r="B779" s="20"/>
      <c r="C779" s="20"/>
      <c r="D779" s="14" t="str">
        <f>IF($C779="","",IFERROR(INDEX(Productos!$B$5:$B$504,MATCH($C779,Productos!$A$5:$A$504,0)),"Clave no existe"))</f>
        <v/>
      </c>
      <c r="E779" s="14" t="str">
        <f>IF($C779="","",IFERROR(INDEX(Productos!$D$5:$D$504,MATCH($C779,Productos!$A$5:$A$504,0)),""))</f>
        <v/>
      </c>
      <c r="F779" s="20"/>
      <c r="G779" s="22" t="str">
        <f>IF($C779="","",IFERROR(INDEX(Productos!$F$5:$F$504,MATCH($C779,Productos!$A$5:$A$504,0)),0))</f>
        <v/>
      </c>
      <c r="H779" s="22" t="str">
        <f t="shared" si="12"/>
        <v/>
      </c>
      <c r="I779" s="14" t="str">
        <f>IF(OR($C779="",$F779=""),"",IFERROR(INDEX(Productos!$I$5:$I$504,MATCH($C779,Productos!$A$5:$A$504,0)),0)+SUMIFS($F$5:$F779,$C$5:$C779,$C779,$B$5:$B779,"Entrada")-SUMIFS($F$5:$F779,$C$5:$C779,$C779,$B$5:$B779,"Salida"))</f>
        <v/>
      </c>
      <c r="J779" s="20"/>
      <c r="K779" s="20"/>
      <c r="L779" s="20"/>
      <c r="M779" s="14" t="str">
        <f>IF(AND($C779&lt;&gt;"",$C779=Kardex!$C$4),COUNTIF($C$5:$C779,Kardex!$C$4),"")</f>
        <v/>
      </c>
    </row>
    <row r="780" spans="1:13" x14ac:dyDescent="0.25">
      <c r="A780" s="24"/>
      <c r="B780" s="20"/>
      <c r="C780" s="20"/>
      <c r="D780" s="14" t="str">
        <f>IF($C780="","",IFERROR(INDEX(Productos!$B$5:$B$504,MATCH($C780,Productos!$A$5:$A$504,0)),"Clave no existe"))</f>
        <v/>
      </c>
      <c r="E780" s="14" t="str">
        <f>IF($C780="","",IFERROR(INDEX(Productos!$D$5:$D$504,MATCH($C780,Productos!$A$5:$A$504,0)),""))</f>
        <v/>
      </c>
      <c r="F780" s="20"/>
      <c r="G780" s="22" t="str">
        <f>IF($C780="","",IFERROR(INDEX(Productos!$F$5:$F$504,MATCH($C780,Productos!$A$5:$A$504,0)),0))</f>
        <v/>
      </c>
      <c r="H780" s="22" t="str">
        <f t="shared" si="12"/>
        <v/>
      </c>
      <c r="I780" s="14" t="str">
        <f>IF(OR($C780="",$F780=""),"",IFERROR(INDEX(Productos!$I$5:$I$504,MATCH($C780,Productos!$A$5:$A$504,0)),0)+SUMIFS($F$5:$F780,$C$5:$C780,$C780,$B$5:$B780,"Entrada")-SUMIFS($F$5:$F780,$C$5:$C780,$C780,$B$5:$B780,"Salida"))</f>
        <v/>
      </c>
      <c r="J780" s="20"/>
      <c r="K780" s="20"/>
      <c r="L780" s="20"/>
      <c r="M780" s="14" t="str">
        <f>IF(AND($C780&lt;&gt;"",$C780=Kardex!$C$4),COUNTIF($C$5:$C780,Kardex!$C$4),"")</f>
        <v/>
      </c>
    </row>
    <row r="781" spans="1:13" x14ac:dyDescent="0.25">
      <c r="A781" s="24"/>
      <c r="B781" s="20"/>
      <c r="C781" s="20"/>
      <c r="D781" s="14" t="str">
        <f>IF($C781="","",IFERROR(INDEX(Productos!$B$5:$B$504,MATCH($C781,Productos!$A$5:$A$504,0)),"Clave no existe"))</f>
        <v/>
      </c>
      <c r="E781" s="14" t="str">
        <f>IF($C781="","",IFERROR(INDEX(Productos!$D$5:$D$504,MATCH($C781,Productos!$A$5:$A$504,0)),""))</f>
        <v/>
      </c>
      <c r="F781" s="20"/>
      <c r="G781" s="22" t="str">
        <f>IF($C781="","",IFERROR(INDEX(Productos!$F$5:$F$504,MATCH($C781,Productos!$A$5:$A$504,0)),0))</f>
        <v/>
      </c>
      <c r="H781" s="22" t="str">
        <f t="shared" si="12"/>
        <v/>
      </c>
      <c r="I781" s="14" t="str">
        <f>IF(OR($C781="",$F781=""),"",IFERROR(INDEX(Productos!$I$5:$I$504,MATCH($C781,Productos!$A$5:$A$504,0)),0)+SUMIFS($F$5:$F781,$C$5:$C781,$C781,$B$5:$B781,"Entrada")-SUMIFS($F$5:$F781,$C$5:$C781,$C781,$B$5:$B781,"Salida"))</f>
        <v/>
      </c>
      <c r="J781" s="20"/>
      <c r="K781" s="20"/>
      <c r="L781" s="20"/>
      <c r="M781" s="14" t="str">
        <f>IF(AND($C781&lt;&gt;"",$C781=Kardex!$C$4),COUNTIF($C$5:$C781,Kardex!$C$4),"")</f>
        <v/>
      </c>
    </row>
    <row r="782" spans="1:13" x14ac:dyDescent="0.25">
      <c r="A782" s="24"/>
      <c r="B782" s="20"/>
      <c r="C782" s="20"/>
      <c r="D782" s="14" t="str">
        <f>IF($C782="","",IFERROR(INDEX(Productos!$B$5:$B$504,MATCH($C782,Productos!$A$5:$A$504,0)),"Clave no existe"))</f>
        <v/>
      </c>
      <c r="E782" s="14" t="str">
        <f>IF($C782="","",IFERROR(INDEX(Productos!$D$5:$D$504,MATCH($C782,Productos!$A$5:$A$504,0)),""))</f>
        <v/>
      </c>
      <c r="F782" s="20"/>
      <c r="G782" s="22" t="str">
        <f>IF($C782="","",IFERROR(INDEX(Productos!$F$5:$F$504,MATCH($C782,Productos!$A$5:$A$504,0)),0))</f>
        <v/>
      </c>
      <c r="H782" s="22" t="str">
        <f t="shared" si="12"/>
        <v/>
      </c>
      <c r="I782" s="14" t="str">
        <f>IF(OR($C782="",$F782=""),"",IFERROR(INDEX(Productos!$I$5:$I$504,MATCH($C782,Productos!$A$5:$A$504,0)),0)+SUMIFS($F$5:$F782,$C$5:$C782,$C782,$B$5:$B782,"Entrada")-SUMIFS($F$5:$F782,$C$5:$C782,$C782,$B$5:$B782,"Salida"))</f>
        <v/>
      </c>
      <c r="J782" s="20"/>
      <c r="K782" s="20"/>
      <c r="L782" s="20"/>
      <c r="M782" s="14" t="str">
        <f>IF(AND($C782&lt;&gt;"",$C782=Kardex!$C$4),COUNTIF($C$5:$C782,Kardex!$C$4),"")</f>
        <v/>
      </c>
    </row>
    <row r="783" spans="1:13" x14ac:dyDescent="0.25">
      <c r="A783" s="24"/>
      <c r="B783" s="20"/>
      <c r="C783" s="20"/>
      <c r="D783" s="14" t="str">
        <f>IF($C783="","",IFERROR(INDEX(Productos!$B$5:$B$504,MATCH($C783,Productos!$A$5:$A$504,0)),"Clave no existe"))</f>
        <v/>
      </c>
      <c r="E783" s="14" t="str">
        <f>IF($C783="","",IFERROR(INDEX(Productos!$D$5:$D$504,MATCH($C783,Productos!$A$5:$A$504,0)),""))</f>
        <v/>
      </c>
      <c r="F783" s="20"/>
      <c r="G783" s="22" t="str">
        <f>IF($C783="","",IFERROR(INDEX(Productos!$F$5:$F$504,MATCH($C783,Productos!$A$5:$A$504,0)),0))</f>
        <v/>
      </c>
      <c r="H783" s="22" t="str">
        <f t="shared" si="12"/>
        <v/>
      </c>
      <c r="I783" s="14" t="str">
        <f>IF(OR($C783="",$F783=""),"",IFERROR(INDEX(Productos!$I$5:$I$504,MATCH($C783,Productos!$A$5:$A$504,0)),0)+SUMIFS($F$5:$F783,$C$5:$C783,$C783,$B$5:$B783,"Entrada")-SUMIFS($F$5:$F783,$C$5:$C783,$C783,$B$5:$B783,"Salida"))</f>
        <v/>
      </c>
      <c r="J783" s="20"/>
      <c r="K783" s="20"/>
      <c r="L783" s="20"/>
      <c r="M783" s="14" t="str">
        <f>IF(AND($C783&lt;&gt;"",$C783=Kardex!$C$4),COUNTIF($C$5:$C783,Kardex!$C$4),"")</f>
        <v/>
      </c>
    </row>
    <row r="784" spans="1:13" x14ac:dyDescent="0.25">
      <c r="A784" s="24"/>
      <c r="B784" s="20"/>
      <c r="C784" s="20"/>
      <c r="D784" s="14" t="str">
        <f>IF($C784="","",IFERROR(INDEX(Productos!$B$5:$B$504,MATCH($C784,Productos!$A$5:$A$504,0)),"Clave no existe"))</f>
        <v/>
      </c>
      <c r="E784" s="14" t="str">
        <f>IF($C784="","",IFERROR(INDEX(Productos!$D$5:$D$504,MATCH($C784,Productos!$A$5:$A$504,0)),""))</f>
        <v/>
      </c>
      <c r="F784" s="20"/>
      <c r="G784" s="22" t="str">
        <f>IF($C784="","",IFERROR(INDEX(Productos!$F$5:$F$504,MATCH($C784,Productos!$A$5:$A$504,0)),0))</f>
        <v/>
      </c>
      <c r="H784" s="22" t="str">
        <f t="shared" si="12"/>
        <v/>
      </c>
      <c r="I784" s="14" t="str">
        <f>IF(OR($C784="",$F784=""),"",IFERROR(INDEX(Productos!$I$5:$I$504,MATCH($C784,Productos!$A$5:$A$504,0)),0)+SUMIFS($F$5:$F784,$C$5:$C784,$C784,$B$5:$B784,"Entrada")-SUMIFS($F$5:$F784,$C$5:$C784,$C784,$B$5:$B784,"Salida"))</f>
        <v/>
      </c>
      <c r="J784" s="20"/>
      <c r="K784" s="20"/>
      <c r="L784" s="20"/>
      <c r="M784" s="14" t="str">
        <f>IF(AND($C784&lt;&gt;"",$C784=Kardex!$C$4),COUNTIF($C$5:$C784,Kardex!$C$4),"")</f>
        <v/>
      </c>
    </row>
    <row r="785" spans="1:13" x14ac:dyDescent="0.25">
      <c r="A785" s="24"/>
      <c r="B785" s="20"/>
      <c r="C785" s="20"/>
      <c r="D785" s="14" t="str">
        <f>IF($C785="","",IFERROR(INDEX(Productos!$B$5:$B$504,MATCH($C785,Productos!$A$5:$A$504,0)),"Clave no existe"))</f>
        <v/>
      </c>
      <c r="E785" s="14" t="str">
        <f>IF($C785="","",IFERROR(INDEX(Productos!$D$5:$D$504,MATCH($C785,Productos!$A$5:$A$504,0)),""))</f>
        <v/>
      </c>
      <c r="F785" s="20"/>
      <c r="G785" s="22" t="str">
        <f>IF($C785="","",IFERROR(INDEX(Productos!$F$5:$F$504,MATCH($C785,Productos!$A$5:$A$504,0)),0))</f>
        <v/>
      </c>
      <c r="H785" s="22" t="str">
        <f t="shared" si="12"/>
        <v/>
      </c>
      <c r="I785" s="14" t="str">
        <f>IF(OR($C785="",$F785=""),"",IFERROR(INDEX(Productos!$I$5:$I$504,MATCH($C785,Productos!$A$5:$A$504,0)),0)+SUMIFS($F$5:$F785,$C$5:$C785,$C785,$B$5:$B785,"Entrada")-SUMIFS($F$5:$F785,$C$5:$C785,$C785,$B$5:$B785,"Salida"))</f>
        <v/>
      </c>
      <c r="J785" s="20"/>
      <c r="K785" s="20"/>
      <c r="L785" s="20"/>
      <c r="M785" s="14" t="str">
        <f>IF(AND($C785&lt;&gt;"",$C785=Kardex!$C$4),COUNTIF($C$5:$C785,Kardex!$C$4),"")</f>
        <v/>
      </c>
    </row>
    <row r="786" spans="1:13" x14ac:dyDescent="0.25">
      <c r="A786" s="24"/>
      <c r="B786" s="20"/>
      <c r="C786" s="20"/>
      <c r="D786" s="14" t="str">
        <f>IF($C786="","",IFERROR(INDEX(Productos!$B$5:$B$504,MATCH($C786,Productos!$A$5:$A$504,0)),"Clave no existe"))</f>
        <v/>
      </c>
      <c r="E786" s="14" t="str">
        <f>IF($C786="","",IFERROR(INDEX(Productos!$D$5:$D$504,MATCH($C786,Productos!$A$5:$A$504,0)),""))</f>
        <v/>
      </c>
      <c r="F786" s="20"/>
      <c r="G786" s="22" t="str">
        <f>IF($C786="","",IFERROR(INDEX(Productos!$F$5:$F$504,MATCH($C786,Productos!$A$5:$A$504,0)),0))</f>
        <v/>
      </c>
      <c r="H786" s="22" t="str">
        <f t="shared" si="12"/>
        <v/>
      </c>
      <c r="I786" s="14" t="str">
        <f>IF(OR($C786="",$F786=""),"",IFERROR(INDEX(Productos!$I$5:$I$504,MATCH($C786,Productos!$A$5:$A$504,0)),0)+SUMIFS($F$5:$F786,$C$5:$C786,$C786,$B$5:$B786,"Entrada")-SUMIFS($F$5:$F786,$C$5:$C786,$C786,$B$5:$B786,"Salida"))</f>
        <v/>
      </c>
      <c r="J786" s="20"/>
      <c r="K786" s="20"/>
      <c r="L786" s="20"/>
      <c r="M786" s="14" t="str">
        <f>IF(AND($C786&lt;&gt;"",$C786=Kardex!$C$4),COUNTIF($C$5:$C786,Kardex!$C$4),"")</f>
        <v/>
      </c>
    </row>
    <row r="787" spans="1:13" x14ac:dyDescent="0.25">
      <c r="A787" s="24"/>
      <c r="B787" s="20"/>
      <c r="C787" s="20"/>
      <c r="D787" s="14" t="str">
        <f>IF($C787="","",IFERROR(INDEX(Productos!$B$5:$B$504,MATCH($C787,Productos!$A$5:$A$504,0)),"Clave no existe"))</f>
        <v/>
      </c>
      <c r="E787" s="14" t="str">
        <f>IF($C787="","",IFERROR(INDEX(Productos!$D$5:$D$504,MATCH($C787,Productos!$A$5:$A$504,0)),""))</f>
        <v/>
      </c>
      <c r="F787" s="20"/>
      <c r="G787" s="22" t="str">
        <f>IF($C787="","",IFERROR(INDEX(Productos!$F$5:$F$504,MATCH($C787,Productos!$A$5:$A$504,0)),0))</f>
        <v/>
      </c>
      <c r="H787" s="22" t="str">
        <f t="shared" si="12"/>
        <v/>
      </c>
      <c r="I787" s="14" t="str">
        <f>IF(OR($C787="",$F787=""),"",IFERROR(INDEX(Productos!$I$5:$I$504,MATCH($C787,Productos!$A$5:$A$504,0)),0)+SUMIFS($F$5:$F787,$C$5:$C787,$C787,$B$5:$B787,"Entrada")-SUMIFS($F$5:$F787,$C$5:$C787,$C787,$B$5:$B787,"Salida"))</f>
        <v/>
      </c>
      <c r="J787" s="20"/>
      <c r="K787" s="20"/>
      <c r="L787" s="20"/>
      <c r="M787" s="14" t="str">
        <f>IF(AND($C787&lt;&gt;"",$C787=Kardex!$C$4),COUNTIF($C$5:$C787,Kardex!$C$4),"")</f>
        <v/>
      </c>
    </row>
    <row r="788" spans="1:13" x14ac:dyDescent="0.25">
      <c r="A788" s="24"/>
      <c r="B788" s="20"/>
      <c r="C788" s="20"/>
      <c r="D788" s="14" t="str">
        <f>IF($C788="","",IFERROR(INDEX(Productos!$B$5:$B$504,MATCH($C788,Productos!$A$5:$A$504,0)),"Clave no existe"))</f>
        <v/>
      </c>
      <c r="E788" s="14" t="str">
        <f>IF($C788="","",IFERROR(INDEX(Productos!$D$5:$D$504,MATCH($C788,Productos!$A$5:$A$504,0)),""))</f>
        <v/>
      </c>
      <c r="F788" s="20"/>
      <c r="G788" s="22" t="str">
        <f>IF($C788="","",IFERROR(INDEX(Productos!$F$5:$F$504,MATCH($C788,Productos!$A$5:$A$504,0)),0))</f>
        <v/>
      </c>
      <c r="H788" s="22" t="str">
        <f t="shared" si="12"/>
        <v/>
      </c>
      <c r="I788" s="14" t="str">
        <f>IF(OR($C788="",$F788=""),"",IFERROR(INDEX(Productos!$I$5:$I$504,MATCH($C788,Productos!$A$5:$A$504,0)),0)+SUMIFS($F$5:$F788,$C$5:$C788,$C788,$B$5:$B788,"Entrada")-SUMIFS($F$5:$F788,$C$5:$C788,$C788,$B$5:$B788,"Salida"))</f>
        <v/>
      </c>
      <c r="J788" s="20"/>
      <c r="K788" s="20"/>
      <c r="L788" s="20"/>
      <c r="M788" s="14" t="str">
        <f>IF(AND($C788&lt;&gt;"",$C788=Kardex!$C$4),COUNTIF($C$5:$C788,Kardex!$C$4),"")</f>
        <v/>
      </c>
    </row>
    <row r="789" spans="1:13" x14ac:dyDescent="0.25">
      <c r="A789" s="24"/>
      <c r="B789" s="20"/>
      <c r="C789" s="20"/>
      <c r="D789" s="14" t="str">
        <f>IF($C789="","",IFERROR(INDEX(Productos!$B$5:$B$504,MATCH($C789,Productos!$A$5:$A$504,0)),"Clave no existe"))</f>
        <v/>
      </c>
      <c r="E789" s="14" t="str">
        <f>IF($C789="","",IFERROR(INDEX(Productos!$D$5:$D$504,MATCH($C789,Productos!$A$5:$A$504,0)),""))</f>
        <v/>
      </c>
      <c r="F789" s="20"/>
      <c r="G789" s="22" t="str">
        <f>IF($C789="","",IFERROR(INDEX(Productos!$F$5:$F$504,MATCH($C789,Productos!$A$5:$A$504,0)),0))</f>
        <v/>
      </c>
      <c r="H789" s="22" t="str">
        <f t="shared" si="12"/>
        <v/>
      </c>
      <c r="I789" s="14" t="str">
        <f>IF(OR($C789="",$F789=""),"",IFERROR(INDEX(Productos!$I$5:$I$504,MATCH($C789,Productos!$A$5:$A$504,0)),0)+SUMIFS($F$5:$F789,$C$5:$C789,$C789,$B$5:$B789,"Entrada")-SUMIFS($F$5:$F789,$C$5:$C789,$C789,$B$5:$B789,"Salida"))</f>
        <v/>
      </c>
      <c r="J789" s="20"/>
      <c r="K789" s="20"/>
      <c r="L789" s="20"/>
      <c r="M789" s="14" t="str">
        <f>IF(AND($C789&lt;&gt;"",$C789=Kardex!$C$4),COUNTIF($C$5:$C789,Kardex!$C$4),"")</f>
        <v/>
      </c>
    </row>
    <row r="790" spans="1:13" x14ac:dyDescent="0.25">
      <c r="A790" s="24"/>
      <c r="B790" s="20"/>
      <c r="C790" s="20"/>
      <c r="D790" s="14" t="str">
        <f>IF($C790="","",IFERROR(INDEX(Productos!$B$5:$B$504,MATCH($C790,Productos!$A$5:$A$504,0)),"Clave no existe"))</f>
        <v/>
      </c>
      <c r="E790" s="14" t="str">
        <f>IF($C790="","",IFERROR(INDEX(Productos!$D$5:$D$504,MATCH($C790,Productos!$A$5:$A$504,0)),""))</f>
        <v/>
      </c>
      <c r="F790" s="20"/>
      <c r="G790" s="22" t="str">
        <f>IF($C790="","",IFERROR(INDEX(Productos!$F$5:$F$504,MATCH($C790,Productos!$A$5:$A$504,0)),0))</f>
        <v/>
      </c>
      <c r="H790" s="22" t="str">
        <f t="shared" si="12"/>
        <v/>
      </c>
      <c r="I790" s="14" t="str">
        <f>IF(OR($C790="",$F790=""),"",IFERROR(INDEX(Productos!$I$5:$I$504,MATCH($C790,Productos!$A$5:$A$504,0)),0)+SUMIFS($F$5:$F790,$C$5:$C790,$C790,$B$5:$B790,"Entrada")-SUMIFS($F$5:$F790,$C$5:$C790,$C790,$B$5:$B790,"Salida"))</f>
        <v/>
      </c>
      <c r="J790" s="20"/>
      <c r="K790" s="20"/>
      <c r="L790" s="20"/>
      <c r="M790" s="14" t="str">
        <f>IF(AND($C790&lt;&gt;"",$C790=Kardex!$C$4),COUNTIF($C$5:$C790,Kardex!$C$4),"")</f>
        <v/>
      </c>
    </row>
    <row r="791" spans="1:13" x14ac:dyDescent="0.25">
      <c r="A791" s="24"/>
      <c r="B791" s="20"/>
      <c r="C791" s="20"/>
      <c r="D791" s="14" t="str">
        <f>IF($C791="","",IFERROR(INDEX(Productos!$B$5:$B$504,MATCH($C791,Productos!$A$5:$A$504,0)),"Clave no existe"))</f>
        <v/>
      </c>
      <c r="E791" s="14" t="str">
        <f>IF($C791="","",IFERROR(INDEX(Productos!$D$5:$D$504,MATCH($C791,Productos!$A$5:$A$504,0)),""))</f>
        <v/>
      </c>
      <c r="F791" s="20"/>
      <c r="G791" s="22" t="str">
        <f>IF($C791="","",IFERROR(INDEX(Productos!$F$5:$F$504,MATCH($C791,Productos!$A$5:$A$504,0)),0))</f>
        <v/>
      </c>
      <c r="H791" s="22" t="str">
        <f t="shared" si="12"/>
        <v/>
      </c>
      <c r="I791" s="14" t="str">
        <f>IF(OR($C791="",$F791=""),"",IFERROR(INDEX(Productos!$I$5:$I$504,MATCH($C791,Productos!$A$5:$A$504,0)),0)+SUMIFS($F$5:$F791,$C$5:$C791,$C791,$B$5:$B791,"Entrada")-SUMIFS($F$5:$F791,$C$5:$C791,$C791,$B$5:$B791,"Salida"))</f>
        <v/>
      </c>
      <c r="J791" s="20"/>
      <c r="K791" s="20"/>
      <c r="L791" s="20"/>
      <c r="M791" s="14" t="str">
        <f>IF(AND($C791&lt;&gt;"",$C791=Kardex!$C$4),COUNTIF($C$5:$C791,Kardex!$C$4),"")</f>
        <v/>
      </c>
    </row>
    <row r="792" spans="1:13" x14ac:dyDescent="0.25">
      <c r="A792" s="24"/>
      <c r="B792" s="20"/>
      <c r="C792" s="20"/>
      <c r="D792" s="14" t="str">
        <f>IF($C792="","",IFERROR(INDEX(Productos!$B$5:$B$504,MATCH($C792,Productos!$A$5:$A$504,0)),"Clave no existe"))</f>
        <v/>
      </c>
      <c r="E792" s="14" t="str">
        <f>IF($C792="","",IFERROR(INDEX(Productos!$D$5:$D$504,MATCH($C792,Productos!$A$5:$A$504,0)),""))</f>
        <v/>
      </c>
      <c r="F792" s="20"/>
      <c r="G792" s="22" t="str">
        <f>IF($C792="","",IFERROR(INDEX(Productos!$F$5:$F$504,MATCH($C792,Productos!$A$5:$A$504,0)),0))</f>
        <v/>
      </c>
      <c r="H792" s="22" t="str">
        <f t="shared" si="12"/>
        <v/>
      </c>
      <c r="I792" s="14" t="str">
        <f>IF(OR($C792="",$F792=""),"",IFERROR(INDEX(Productos!$I$5:$I$504,MATCH($C792,Productos!$A$5:$A$504,0)),0)+SUMIFS($F$5:$F792,$C$5:$C792,$C792,$B$5:$B792,"Entrada")-SUMIFS($F$5:$F792,$C$5:$C792,$C792,$B$5:$B792,"Salida"))</f>
        <v/>
      </c>
      <c r="J792" s="20"/>
      <c r="K792" s="20"/>
      <c r="L792" s="20"/>
      <c r="M792" s="14" t="str">
        <f>IF(AND($C792&lt;&gt;"",$C792=Kardex!$C$4),COUNTIF($C$5:$C792,Kardex!$C$4),"")</f>
        <v/>
      </c>
    </row>
    <row r="793" spans="1:13" x14ac:dyDescent="0.25">
      <c r="A793" s="24"/>
      <c r="B793" s="20"/>
      <c r="C793" s="20"/>
      <c r="D793" s="14" t="str">
        <f>IF($C793="","",IFERROR(INDEX(Productos!$B$5:$B$504,MATCH($C793,Productos!$A$5:$A$504,0)),"Clave no existe"))</f>
        <v/>
      </c>
      <c r="E793" s="14" t="str">
        <f>IF($C793="","",IFERROR(INDEX(Productos!$D$5:$D$504,MATCH($C793,Productos!$A$5:$A$504,0)),""))</f>
        <v/>
      </c>
      <c r="F793" s="20"/>
      <c r="G793" s="22" t="str">
        <f>IF($C793="","",IFERROR(INDEX(Productos!$F$5:$F$504,MATCH($C793,Productos!$A$5:$A$504,0)),0))</f>
        <v/>
      </c>
      <c r="H793" s="22" t="str">
        <f t="shared" si="12"/>
        <v/>
      </c>
      <c r="I793" s="14" t="str">
        <f>IF(OR($C793="",$F793=""),"",IFERROR(INDEX(Productos!$I$5:$I$504,MATCH($C793,Productos!$A$5:$A$504,0)),0)+SUMIFS($F$5:$F793,$C$5:$C793,$C793,$B$5:$B793,"Entrada")-SUMIFS($F$5:$F793,$C$5:$C793,$C793,$B$5:$B793,"Salida"))</f>
        <v/>
      </c>
      <c r="J793" s="20"/>
      <c r="K793" s="20"/>
      <c r="L793" s="20"/>
      <c r="M793" s="14" t="str">
        <f>IF(AND($C793&lt;&gt;"",$C793=Kardex!$C$4),COUNTIF($C$5:$C793,Kardex!$C$4),"")</f>
        <v/>
      </c>
    </row>
    <row r="794" spans="1:13" x14ac:dyDescent="0.25">
      <c r="A794" s="24"/>
      <c r="B794" s="20"/>
      <c r="C794" s="20"/>
      <c r="D794" s="14" t="str">
        <f>IF($C794="","",IFERROR(INDEX(Productos!$B$5:$B$504,MATCH($C794,Productos!$A$5:$A$504,0)),"Clave no existe"))</f>
        <v/>
      </c>
      <c r="E794" s="14" t="str">
        <f>IF($C794="","",IFERROR(INDEX(Productos!$D$5:$D$504,MATCH($C794,Productos!$A$5:$A$504,0)),""))</f>
        <v/>
      </c>
      <c r="F794" s="20"/>
      <c r="G794" s="22" t="str">
        <f>IF($C794="","",IFERROR(INDEX(Productos!$F$5:$F$504,MATCH($C794,Productos!$A$5:$A$504,0)),0))</f>
        <v/>
      </c>
      <c r="H794" s="22" t="str">
        <f t="shared" si="12"/>
        <v/>
      </c>
      <c r="I794" s="14" t="str">
        <f>IF(OR($C794="",$F794=""),"",IFERROR(INDEX(Productos!$I$5:$I$504,MATCH($C794,Productos!$A$5:$A$504,0)),0)+SUMIFS($F$5:$F794,$C$5:$C794,$C794,$B$5:$B794,"Entrada")-SUMIFS($F$5:$F794,$C$5:$C794,$C794,$B$5:$B794,"Salida"))</f>
        <v/>
      </c>
      <c r="J794" s="20"/>
      <c r="K794" s="20"/>
      <c r="L794" s="20"/>
      <c r="M794" s="14" t="str">
        <f>IF(AND($C794&lt;&gt;"",$C794=Kardex!$C$4),COUNTIF($C$5:$C794,Kardex!$C$4),"")</f>
        <v/>
      </c>
    </row>
    <row r="795" spans="1:13" x14ac:dyDescent="0.25">
      <c r="A795" s="24"/>
      <c r="B795" s="20"/>
      <c r="C795" s="20"/>
      <c r="D795" s="14" t="str">
        <f>IF($C795="","",IFERROR(INDEX(Productos!$B$5:$B$504,MATCH($C795,Productos!$A$5:$A$504,0)),"Clave no existe"))</f>
        <v/>
      </c>
      <c r="E795" s="14" t="str">
        <f>IF($C795="","",IFERROR(INDEX(Productos!$D$5:$D$504,MATCH($C795,Productos!$A$5:$A$504,0)),""))</f>
        <v/>
      </c>
      <c r="F795" s="20"/>
      <c r="G795" s="22" t="str">
        <f>IF($C795="","",IFERROR(INDEX(Productos!$F$5:$F$504,MATCH($C795,Productos!$A$5:$A$504,0)),0))</f>
        <v/>
      </c>
      <c r="H795" s="22" t="str">
        <f t="shared" si="12"/>
        <v/>
      </c>
      <c r="I795" s="14" t="str">
        <f>IF(OR($C795="",$F795=""),"",IFERROR(INDEX(Productos!$I$5:$I$504,MATCH($C795,Productos!$A$5:$A$504,0)),0)+SUMIFS($F$5:$F795,$C$5:$C795,$C795,$B$5:$B795,"Entrada")-SUMIFS($F$5:$F795,$C$5:$C795,$C795,$B$5:$B795,"Salida"))</f>
        <v/>
      </c>
      <c r="J795" s="20"/>
      <c r="K795" s="20"/>
      <c r="L795" s="20"/>
      <c r="M795" s="14" t="str">
        <f>IF(AND($C795&lt;&gt;"",$C795=Kardex!$C$4),COUNTIF($C$5:$C795,Kardex!$C$4),"")</f>
        <v/>
      </c>
    </row>
    <row r="796" spans="1:13" x14ac:dyDescent="0.25">
      <c r="A796" s="24"/>
      <c r="B796" s="20"/>
      <c r="C796" s="20"/>
      <c r="D796" s="14" t="str">
        <f>IF($C796="","",IFERROR(INDEX(Productos!$B$5:$B$504,MATCH($C796,Productos!$A$5:$A$504,0)),"Clave no existe"))</f>
        <v/>
      </c>
      <c r="E796" s="14" t="str">
        <f>IF($C796="","",IFERROR(INDEX(Productos!$D$5:$D$504,MATCH($C796,Productos!$A$5:$A$504,0)),""))</f>
        <v/>
      </c>
      <c r="F796" s="20"/>
      <c r="G796" s="22" t="str">
        <f>IF($C796="","",IFERROR(INDEX(Productos!$F$5:$F$504,MATCH($C796,Productos!$A$5:$A$504,0)),0))</f>
        <v/>
      </c>
      <c r="H796" s="22" t="str">
        <f t="shared" si="12"/>
        <v/>
      </c>
      <c r="I796" s="14" t="str">
        <f>IF(OR($C796="",$F796=""),"",IFERROR(INDEX(Productos!$I$5:$I$504,MATCH($C796,Productos!$A$5:$A$504,0)),0)+SUMIFS($F$5:$F796,$C$5:$C796,$C796,$B$5:$B796,"Entrada")-SUMIFS($F$5:$F796,$C$5:$C796,$C796,$B$5:$B796,"Salida"))</f>
        <v/>
      </c>
      <c r="J796" s="20"/>
      <c r="K796" s="20"/>
      <c r="L796" s="20"/>
      <c r="M796" s="14" t="str">
        <f>IF(AND($C796&lt;&gt;"",$C796=Kardex!$C$4),COUNTIF($C$5:$C796,Kardex!$C$4),"")</f>
        <v/>
      </c>
    </row>
    <row r="797" spans="1:13" x14ac:dyDescent="0.25">
      <c r="A797" s="24"/>
      <c r="B797" s="20"/>
      <c r="C797" s="20"/>
      <c r="D797" s="14" t="str">
        <f>IF($C797="","",IFERROR(INDEX(Productos!$B$5:$B$504,MATCH($C797,Productos!$A$5:$A$504,0)),"Clave no existe"))</f>
        <v/>
      </c>
      <c r="E797" s="14" t="str">
        <f>IF($C797="","",IFERROR(INDEX(Productos!$D$5:$D$504,MATCH($C797,Productos!$A$5:$A$504,0)),""))</f>
        <v/>
      </c>
      <c r="F797" s="20"/>
      <c r="G797" s="22" t="str">
        <f>IF($C797="","",IFERROR(INDEX(Productos!$F$5:$F$504,MATCH($C797,Productos!$A$5:$A$504,0)),0))</f>
        <v/>
      </c>
      <c r="H797" s="22" t="str">
        <f t="shared" si="12"/>
        <v/>
      </c>
      <c r="I797" s="14" t="str">
        <f>IF(OR($C797="",$F797=""),"",IFERROR(INDEX(Productos!$I$5:$I$504,MATCH($C797,Productos!$A$5:$A$504,0)),0)+SUMIFS($F$5:$F797,$C$5:$C797,$C797,$B$5:$B797,"Entrada")-SUMIFS($F$5:$F797,$C$5:$C797,$C797,$B$5:$B797,"Salida"))</f>
        <v/>
      </c>
      <c r="J797" s="20"/>
      <c r="K797" s="20"/>
      <c r="L797" s="20"/>
      <c r="M797" s="14" t="str">
        <f>IF(AND($C797&lt;&gt;"",$C797=Kardex!$C$4),COUNTIF($C$5:$C797,Kardex!$C$4),"")</f>
        <v/>
      </c>
    </row>
    <row r="798" spans="1:13" x14ac:dyDescent="0.25">
      <c r="A798" s="24"/>
      <c r="B798" s="20"/>
      <c r="C798" s="20"/>
      <c r="D798" s="14" t="str">
        <f>IF($C798="","",IFERROR(INDEX(Productos!$B$5:$B$504,MATCH($C798,Productos!$A$5:$A$504,0)),"Clave no existe"))</f>
        <v/>
      </c>
      <c r="E798" s="14" t="str">
        <f>IF($C798="","",IFERROR(INDEX(Productos!$D$5:$D$504,MATCH($C798,Productos!$A$5:$A$504,0)),""))</f>
        <v/>
      </c>
      <c r="F798" s="20"/>
      <c r="G798" s="22" t="str">
        <f>IF($C798="","",IFERROR(INDEX(Productos!$F$5:$F$504,MATCH($C798,Productos!$A$5:$A$504,0)),0))</f>
        <v/>
      </c>
      <c r="H798" s="22" t="str">
        <f t="shared" si="12"/>
        <v/>
      </c>
      <c r="I798" s="14" t="str">
        <f>IF(OR($C798="",$F798=""),"",IFERROR(INDEX(Productos!$I$5:$I$504,MATCH($C798,Productos!$A$5:$A$504,0)),0)+SUMIFS($F$5:$F798,$C$5:$C798,$C798,$B$5:$B798,"Entrada")-SUMIFS($F$5:$F798,$C$5:$C798,$C798,$B$5:$B798,"Salida"))</f>
        <v/>
      </c>
      <c r="J798" s="20"/>
      <c r="K798" s="20"/>
      <c r="L798" s="20"/>
      <c r="M798" s="14" t="str">
        <f>IF(AND($C798&lt;&gt;"",$C798=Kardex!$C$4),COUNTIF($C$5:$C798,Kardex!$C$4),"")</f>
        <v/>
      </c>
    </row>
    <row r="799" spans="1:13" x14ac:dyDescent="0.25">
      <c r="A799" s="24"/>
      <c r="B799" s="20"/>
      <c r="C799" s="20"/>
      <c r="D799" s="14" t="str">
        <f>IF($C799="","",IFERROR(INDEX(Productos!$B$5:$B$504,MATCH($C799,Productos!$A$5:$A$504,0)),"Clave no existe"))</f>
        <v/>
      </c>
      <c r="E799" s="14" t="str">
        <f>IF($C799="","",IFERROR(INDEX(Productos!$D$5:$D$504,MATCH($C799,Productos!$A$5:$A$504,0)),""))</f>
        <v/>
      </c>
      <c r="F799" s="20"/>
      <c r="G799" s="22" t="str">
        <f>IF($C799="","",IFERROR(INDEX(Productos!$F$5:$F$504,MATCH($C799,Productos!$A$5:$A$504,0)),0))</f>
        <v/>
      </c>
      <c r="H799" s="22" t="str">
        <f t="shared" si="12"/>
        <v/>
      </c>
      <c r="I799" s="14" t="str">
        <f>IF(OR($C799="",$F799=""),"",IFERROR(INDEX(Productos!$I$5:$I$504,MATCH($C799,Productos!$A$5:$A$504,0)),0)+SUMIFS($F$5:$F799,$C$5:$C799,$C799,$B$5:$B799,"Entrada")-SUMIFS($F$5:$F799,$C$5:$C799,$C799,$B$5:$B799,"Salida"))</f>
        <v/>
      </c>
      <c r="J799" s="20"/>
      <c r="K799" s="20"/>
      <c r="L799" s="20"/>
      <c r="M799" s="14" t="str">
        <f>IF(AND($C799&lt;&gt;"",$C799=Kardex!$C$4),COUNTIF($C$5:$C799,Kardex!$C$4),"")</f>
        <v/>
      </c>
    </row>
    <row r="800" spans="1:13" x14ac:dyDescent="0.25">
      <c r="A800" s="24"/>
      <c r="B800" s="20"/>
      <c r="C800" s="20"/>
      <c r="D800" s="14" t="str">
        <f>IF($C800="","",IFERROR(INDEX(Productos!$B$5:$B$504,MATCH($C800,Productos!$A$5:$A$504,0)),"Clave no existe"))</f>
        <v/>
      </c>
      <c r="E800" s="14" t="str">
        <f>IF($C800="","",IFERROR(INDEX(Productos!$D$5:$D$504,MATCH($C800,Productos!$A$5:$A$504,0)),""))</f>
        <v/>
      </c>
      <c r="F800" s="20"/>
      <c r="G800" s="22" t="str">
        <f>IF($C800="","",IFERROR(INDEX(Productos!$F$5:$F$504,MATCH($C800,Productos!$A$5:$A$504,0)),0))</f>
        <v/>
      </c>
      <c r="H800" s="22" t="str">
        <f t="shared" si="12"/>
        <v/>
      </c>
      <c r="I800" s="14" t="str">
        <f>IF(OR($C800="",$F800=""),"",IFERROR(INDEX(Productos!$I$5:$I$504,MATCH($C800,Productos!$A$5:$A$504,0)),0)+SUMIFS($F$5:$F800,$C$5:$C800,$C800,$B$5:$B800,"Entrada")-SUMIFS($F$5:$F800,$C$5:$C800,$C800,$B$5:$B800,"Salida"))</f>
        <v/>
      </c>
      <c r="J800" s="20"/>
      <c r="K800" s="20"/>
      <c r="L800" s="20"/>
      <c r="M800" s="14" t="str">
        <f>IF(AND($C800&lt;&gt;"",$C800=Kardex!$C$4),COUNTIF($C$5:$C800,Kardex!$C$4),"")</f>
        <v/>
      </c>
    </row>
    <row r="801" spans="1:13" x14ac:dyDescent="0.25">
      <c r="A801" s="24"/>
      <c r="B801" s="20"/>
      <c r="C801" s="20"/>
      <c r="D801" s="14" t="str">
        <f>IF($C801="","",IFERROR(INDEX(Productos!$B$5:$B$504,MATCH($C801,Productos!$A$5:$A$504,0)),"Clave no existe"))</f>
        <v/>
      </c>
      <c r="E801" s="14" t="str">
        <f>IF($C801="","",IFERROR(INDEX(Productos!$D$5:$D$504,MATCH($C801,Productos!$A$5:$A$504,0)),""))</f>
        <v/>
      </c>
      <c r="F801" s="20"/>
      <c r="G801" s="22" t="str">
        <f>IF($C801="","",IFERROR(INDEX(Productos!$F$5:$F$504,MATCH($C801,Productos!$A$5:$A$504,0)),0))</f>
        <v/>
      </c>
      <c r="H801" s="22" t="str">
        <f t="shared" si="12"/>
        <v/>
      </c>
      <c r="I801" s="14" t="str">
        <f>IF(OR($C801="",$F801=""),"",IFERROR(INDEX(Productos!$I$5:$I$504,MATCH($C801,Productos!$A$5:$A$504,0)),0)+SUMIFS($F$5:$F801,$C$5:$C801,$C801,$B$5:$B801,"Entrada")-SUMIFS($F$5:$F801,$C$5:$C801,$C801,$B$5:$B801,"Salida"))</f>
        <v/>
      </c>
      <c r="J801" s="20"/>
      <c r="K801" s="20"/>
      <c r="L801" s="20"/>
      <c r="M801" s="14" t="str">
        <f>IF(AND($C801&lt;&gt;"",$C801=Kardex!$C$4),COUNTIF($C$5:$C801,Kardex!$C$4),"")</f>
        <v/>
      </c>
    </row>
    <row r="802" spans="1:13" x14ac:dyDescent="0.25">
      <c r="A802" s="24"/>
      <c r="B802" s="20"/>
      <c r="C802" s="20"/>
      <c r="D802" s="14" t="str">
        <f>IF($C802="","",IFERROR(INDEX(Productos!$B$5:$B$504,MATCH($C802,Productos!$A$5:$A$504,0)),"Clave no existe"))</f>
        <v/>
      </c>
      <c r="E802" s="14" t="str">
        <f>IF($C802="","",IFERROR(INDEX(Productos!$D$5:$D$504,MATCH($C802,Productos!$A$5:$A$504,0)),""))</f>
        <v/>
      </c>
      <c r="F802" s="20"/>
      <c r="G802" s="22" t="str">
        <f>IF($C802="","",IFERROR(INDEX(Productos!$F$5:$F$504,MATCH($C802,Productos!$A$5:$A$504,0)),0))</f>
        <v/>
      </c>
      <c r="H802" s="22" t="str">
        <f t="shared" si="12"/>
        <v/>
      </c>
      <c r="I802" s="14" t="str">
        <f>IF(OR($C802="",$F802=""),"",IFERROR(INDEX(Productos!$I$5:$I$504,MATCH($C802,Productos!$A$5:$A$504,0)),0)+SUMIFS($F$5:$F802,$C$5:$C802,$C802,$B$5:$B802,"Entrada")-SUMIFS($F$5:$F802,$C$5:$C802,$C802,$B$5:$B802,"Salida"))</f>
        <v/>
      </c>
      <c r="J802" s="20"/>
      <c r="K802" s="20"/>
      <c r="L802" s="20"/>
      <c r="M802" s="14" t="str">
        <f>IF(AND($C802&lt;&gt;"",$C802=Kardex!$C$4),COUNTIF($C$5:$C802,Kardex!$C$4),"")</f>
        <v/>
      </c>
    </row>
    <row r="803" spans="1:13" x14ac:dyDescent="0.25">
      <c r="A803" s="24"/>
      <c r="B803" s="20"/>
      <c r="C803" s="20"/>
      <c r="D803" s="14" t="str">
        <f>IF($C803="","",IFERROR(INDEX(Productos!$B$5:$B$504,MATCH($C803,Productos!$A$5:$A$504,0)),"Clave no existe"))</f>
        <v/>
      </c>
      <c r="E803" s="14" t="str">
        <f>IF($C803="","",IFERROR(INDEX(Productos!$D$5:$D$504,MATCH($C803,Productos!$A$5:$A$504,0)),""))</f>
        <v/>
      </c>
      <c r="F803" s="20"/>
      <c r="G803" s="22" t="str">
        <f>IF($C803="","",IFERROR(INDEX(Productos!$F$5:$F$504,MATCH($C803,Productos!$A$5:$A$504,0)),0))</f>
        <v/>
      </c>
      <c r="H803" s="22" t="str">
        <f t="shared" si="12"/>
        <v/>
      </c>
      <c r="I803" s="14" t="str">
        <f>IF(OR($C803="",$F803=""),"",IFERROR(INDEX(Productos!$I$5:$I$504,MATCH($C803,Productos!$A$5:$A$504,0)),0)+SUMIFS($F$5:$F803,$C$5:$C803,$C803,$B$5:$B803,"Entrada")-SUMIFS($F$5:$F803,$C$5:$C803,$C803,$B$5:$B803,"Salida"))</f>
        <v/>
      </c>
      <c r="J803" s="20"/>
      <c r="K803" s="20"/>
      <c r="L803" s="20"/>
      <c r="M803" s="14" t="str">
        <f>IF(AND($C803&lt;&gt;"",$C803=Kardex!$C$4),COUNTIF($C$5:$C803,Kardex!$C$4),"")</f>
        <v/>
      </c>
    </row>
    <row r="804" spans="1:13" x14ac:dyDescent="0.25">
      <c r="A804" s="24"/>
      <c r="B804" s="20"/>
      <c r="C804" s="20"/>
      <c r="D804" s="14" t="str">
        <f>IF($C804="","",IFERROR(INDEX(Productos!$B$5:$B$504,MATCH($C804,Productos!$A$5:$A$504,0)),"Clave no existe"))</f>
        <v/>
      </c>
      <c r="E804" s="14" t="str">
        <f>IF($C804="","",IFERROR(INDEX(Productos!$D$5:$D$504,MATCH($C804,Productos!$A$5:$A$504,0)),""))</f>
        <v/>
      </c>
      <c r="F804" s="20"/>
      <c r="G804" s="22" t="str">
        <f>IF($C804="","",IFERROR(INDEX(Productos!$F$5:$F$504,MATCH($C804,Productos!$A$5:$A$504,0)),0))</f>
        <v/>
      </c>
      <c r="H804" s="22" t="str">
        <f t="shared" si="12"/>
        <v/>
      </c>
      <c r="I804" s="14" t="str">
        <f>IF(OR($C804="",$F804=""),"",IFERROR(INDEX(Productos!$I$5:$I$504,MATCH($C804,Productos!$A$5:$A$504,0)),0)+SUMIFS($F$5:$F804,$C$5:$C804,$C804,$B$5:$B804,"Entrada")-SUMIFS($F$5:$F804,$C$5:$C804,$C804,$B$5:$B804,"Salida"))</f>
        <v/>
      </c>
      <c r="J804" s="20"/>
      <c r="K804" s="20"/>
      <c r="L804" s="20"/>
      <c r="M804" s="14" t="str">
        <f>IF(AND($C804&lt;&gt;"",$C804=Kardex!$C$4),COUNTIF($C$5:$C804,Kardex!$C$4),"")</f>
        <v/>
      </c>
    </row>
    <row r="805" spans="1:13" x14ac:dyDescent="0.25">
      <c r="A805" s="24"/>
      <c r="B805" s="20"/>
      <c r="C805" s="20"/>
      <c r="D805" s="14" t="str">
        <f>IF($C805="","",IFERROR(INDEX(Productos!$B$5:$B$504,MATCH($C805,Productos!$A$5:$A$504,0)),"Clave no existe"))</f>
        <v/>
      </c>
      <c r="E805" s="14" t="str">
        <f>IF($C805="","",IFERROR(INDEX(Productos!$D$5:$D$504,MATCH($C805,Productos!$A$5:$A$504,0)),""))</f>
        <v/>
      </c>
      <c r="F805" s="20"/>
      <c r="G805" s="22" t="str">
        <f>IF($C805="","",IFERROR(INDEX(Productos!$F$5:$F$504,MATCH($C805,Productos!$A$5:$A$504,0)),0))</f>
        <v/>
      </c>
      <c r="H805" s="22" t="str">
        <f t="shared" si="12"/>
        <v/>
      </c>
      <c r="I805" s="14" t="str">
        <f>IF(OR($C805="",$F805=""),"",IFERROR(INDEX(Productos!$I$5:$I$504,MATCH($C805,Productos!$A$5:$A$504,0)),0)+SUMIFS($F$5:$F805,$C$5:$C805,$C805,$B$5:$B805,"Entrada")-SUMIFS($F$5:$F805,$C$5:$C805,$C805,$B$5:$B805,"Salida"))</f>
        <v/>
      </c>
      <c r="J805" s="20"/>
      <c r="K805" s="20"/>
      <c r="L805" s="20"/>
      <c r="M805" s="14" t="str">
        <f>IF(AND($C805&lt;&gt;"",$C805=Kardex!$C$4),COUNTIF($C$5:$C805,Kardex!$C$4),"")</f>
        <v/>
      </c>
    </row>
    <row r="806" spans="1:13" x14ac:dyDescent="0.25">
      <c r="A806" s="24"/>
      <c r="B806" s="20"/>
      <c r="C806" s="20"/>
      <c r="D806" s="14" t="str">
        <f>IF($C806="","",IFERROR(INDEX(Productos!$B$5:$B$504,MATCH($C806,Productos!$A$5:$A$504,0)),"Clave no existe"))</f>
        <v/>
      </c>
      <c r="E806" s="14" t="str">
        <f>IF($C806="","",IFERROR(INDEX(Productos!$D$5:$D$504,MATCH($C806,Productos!$A$5:$A$504,0)),""))</f>
        <v/>
      </c>
      <c r="F806" s="20"/>
      <c r="G806" s="22" t="str">
        <f>IF($C806="","",IFERROR(INDEX(Productos!$F$5:$F$504,MATCH($C806,Productos!$A$5:$A$504,0)),0))</f>
        <v/>
      </c>
      <c r="H806" s="22" t="str">
        <f t="shared" si="12"/>
        <v/>
      </c>
      <c r="I806" s="14" t="str">
        <f>IF(OR($C806="",$F806=""),"",IFERROR(INDEX(Productos!$I$5:$I$504,MATCH($C806,Productos!$A$5:$A$504,0)),0)+SUMIFS($F$5:$F806,$C$5:$C806,$C806,$B$5:$B806,"Entrada")-SUMIFS($F$5:$F806,$C$5:$C806,$C806,$B$5:$B806,"Salida"))</f>
        <v/>
      </c>
      <c r="J806" s="20"/>
      <c r="K806" s="20"/>
      <c r="L806" s="20"/>
      <c r="M806" s="14" t="str">
        <f>IF(AND($C806&lt;&gt;"",$C806=Kardex!$C$4),COUNTIF($C$5:$C806,Kardex!$C$4),"")</f>
        <v/>
      </c>
    </row>
    <row r="807" spans="1:13" x14ac:dyDescent="0.25">
      <c r="A807" s="24"/>
      <c r="B807" s="20"/>
      <c r="C807" s="20"/>
      <c r="D807" s="14" t="str">
        <f>IF($C807="","",IFERROR(INDEX(Productos!$B$5:$B$504,MATCH($C807,Productos!$A$5:$A$504,0)),"Clave no existe"))</f>
        <v/>
      </c>
      <c r="E807" s="14" t="str">
        <f>IF($C807="","",IFERROR(INDEX(Productos!$D$5:$D$504,MATCH($C807,Productos!$A$5:$A$504,0)),""))</f>
        <v/>
      </c>
      <c r="F807" s="20"/>
      <c r="G807" s="22" t="str">
        <f>IF($C807="","",IFERROR(INDEX(Productos!$F$5:$F$504,MATCH($C807,Productos!$A$5:$A$504,0)),0))</f>
        <v/>
      </c>
      <c r="H807" s="22" t="str">
        <f t="shared" si="12"/>
        <v/>
      </c>
      <c r="I807" s="14" t="str">
        <f>IF(OR($C807="",$F807=""),"",IFERROR(INDEX(Productos!$I$5:$I$504,MATCH($C807,Productos!$A$5:$A$504,0)),0)+SUMIFS($F$5:$F807,$C$5:$C807,$C807,$B$5:$B807,"Entrada")-SUMIFS($F$5:$F807,$C$5:$C807,$C807,$B$5:$B807,"Salida"))</f>
        <v/>
      </c>
      <c r="J807" s="20"/>
      <c r="K807" s="20"/>
      <c r="L807" s="20"/>
      <c r="M807" s="14" t="str">
        <f>IF(AND($C807&lt;&gt;"",$C807=Kardex!$C$4),COUNTIF($C$5:$C807,Kardex!$C$4),"")</f>
        <v/>
      </c>
    </row>
    <row r="808" spans="1:13" x14ac:dyDescent="0.25">
      <c r="A808" s="24"/>
      <c r="B808" s="20"/>
      <c r="C808" s="20"/>
      <c r="D808" s="14" t="str">
        <f>IF($C808="","",IFERROR(INDEX(Productos!$B$5:$B$504,MATCH($C808,Productos!$A$5:$A$504,0)),"Clave no existe"))</f>
        <v/>
      </c>
      <c r="E808" s="14" t="str">
        <f>IF($C808="","",IFERROR(INDEX(Productos!$D$5:$D$504,MATCH($C808,Productos!$A$5:$A$504,0)),""))</f>
        <v/>
      </c>
      <c r="F808" s="20"/>
      <c r="G808" s="22" t="str">
        <f>IF($C808="","",IFERROR(INDEX(Productos!$F$5:$F$504,MATCH($C808,Productos!$A$5:$A$504,0)),0))</f>
        <v/>
      </c>
      <c r="H808" s="22" t="str">
        <f t="shared" si="12"/>
        <v/>
      </c>
      <c r="I808" s="14" t="str">
        <f>IF(OR($C808="",$F808=""),"",IFERROR(INDEX(Productos!$I$5:$I$504,MATCH($C808,Productos!$A$5:$A$504,0)),0)+SUMIFS($F$5:$F808,$C$5:$C808,$C808,$B$5:$B808,"Entrada")-SUMIFS($F$5:$F808,$C$5:$C808,$C808,$B$5:$B808,"Salida"))</f>
        <v/>
      </c>
      <c r="J808" s="20"/>
      <c r="K808" s="20"/>
      <c r="L808" s="20"/>
      <c r="M808" s="14" t="str">
        <f>IF(AND($C808&lt;&gt;"",$C808=Kardex!$C$4),COUNTIF($C$5:$C808,Kardex!$C$4),"")</f>
        <v/>
      </c>
    </row>
    <row r="809" spans="1:13" x14ac:dyDescent="0.25">
      <c r="A809" s="24"/>
      <c r="B809" s="20"/>
      <c r="C809" s="20"/>
      <c r="D809" s="14" t="str">
        <f>IF($C809="","",IFERROR(INDEX(Productos!$B$5:$B$504,MATCH($C809,Productos!$A$5:$A$504,0)),"Clave no existe"))</f>
        <v/>
      </c>
      <c r="E809" s="14" t="str">
        <f>IF($C809="","",IFERROR(INDEX(Productos!$D$5:$D$504,MATCH($C809,Productos!$A$5:$A$504,0)),""))</f>
        <v/>
      </c>
      <c r="F809" s="20"/>
      <c r="G809" s="22" t="str">
        <f>IF($C809="","",IFERROR(INDEX(Productos!$F$5:$F$504,MATCH($C809,Productos!$A$5:$A$504,0)),0))</f>
        <v/>
      </c>
      <c r="H809" s="22" t="str">
        <f t="shared" si="12"/>
        <v/>
      </c>
      <c r="I809" s="14" t="str">
        <f>IF(OR($C809="",$F809=""),"",IFERROR(INDEX(Productos!$I$5:$I$504,MATCH($C809,Productos!$A$5:$A$504,0)),0)+SUMIFS($F$5:$F809,$C$5:$C809,$C809,$B$5:$B809,"Entrada")-SUMIFS($F$5:$F809,$C$5:$C809,$C809,$B$5:$B809,"Salida"))</f>
        <v/>
      </c>
      <c r="J809" s="20"/>
      <c r="K809" s="20"/>
      <c r="L809" s="20"/>
      <c r="M809" s="14" t="str">
        <f>IF(AND($C809&lt;&gt;"",$C809=Kardex!$C$4),COUNTIF($C$5:$C809,Kardex!$C$4),"")</f>
        <v/>
      </c>
    </row>
    <row r="810" spans="1:13" x14ac:dyDescent="0.25">
      <c r="A810" s="24"/>
      <c r="B810" s="20"/>
      <c r="C810" s="20"/>
      <c r="D810" s="14" t="str">
        <f>IF($C810="","",IFERROR(INDEX(Productos!$B$5:$B$504,MATCH($C810,Productos!$A$5:$A$504,0)),"Clave no existe"))</f>
        <v/>
      </c>
      <c r="E810" s="14" t="str">
        <f>IF($C810="","",IFERROR(INDEX(Productos!$D$5:$D$504,MATCH($C810,Productos!$A$5:$A$504,0)),""))</f>
        <v/>
      </c>
      <c r="F810" s="20"/>
      <c r="G810" s="22" t="str">
        <f>IF($C810="","",IFERROR(INDEX(Productos!$F$5:$F$504,MATCH($C810,Productos!$A$5:$A$504,0)),0))</f>
        <v/>
      </c>
      <c r="H810" s="22" t="str">
        <f t="shared" si="12"/>
        <v/>
      </c>
      <c r="I810" s="14" t="str">
        <f>IF(OR($C810="",$F810=""),"",IFERROR(INDEX(Productos!$I$5:$I$504,MATCH($C810,Productos!$A$5:$A$504,0)),0)+SUMIFS($F$5:$F810,$C$5:$C810,$C810,$B$5:$B810,"Entrada")-SUMIFS($F$5:$F810,$C$5:$C810,$C810,$B$5:$B810,"Salida"))</f>
        <v/>
      </c>
      <c r="J810" s="20"/>
      <c r="K810" s="20"/>
      <c r="L810" s="20"/>
      <c r="M810" s="14" t="str">
        <f>IF(AND($C810&lt;&gt;"",$C810=Kardex!$C$4),COUNTIF($C$5:$C810,Kardex!$C$4),"")</f>
        <v/>
      </c>
    </row>
    <row r="811" spans="1:13" x14ac:dyDescent="0.25">
      <c r="A811" s="24"/>
      <c r="B811" s="20"/>
      <c r="C811" s="20"/>
      <c r="D811" s="14" t="str">
        <f>IF($C811="","",IFERROR(INDEX(Productos!$B$5:$B$504,MATCH($C811,Productos!$A$5:$A$504,0)),"Clave no existe"))</f>
        <v/>
      </c>
      <c r="E811" s="14" t="str">
        <f>IF($C811="","",IFERROR(INDEX(Productos!$D$5:$D$504,MATCH($C811,Productos!$A$5:$A$504,0)),""))</f>
        <v/>
      </c>
      <c r="F811" s="20"/>
      <c r="G811" s="22" t="str">
        <f>IF($C811="","",IFERROR(INDEX(Productos!$F$5:$F$504,MATCH($C811,Productos!$A$5:$A$504,0)),0))</f>
        <v/>
      </c>
      <c r="H811" s="22" t="str">
        <f t="shared" si="12"/>
        <v/>
      </c>
      <c r="I811" s="14" t="str">
        <f>IF(OR($C811="",$F811=""),"",IFERROR(INDEX(Productos!$I$5:$I$504,MATCH($C811,Productos!$A$5:$A$504,0)),0)+SUMIFS($F$5:$F811,$C$5:$C811,$C811,$B$5:$B811,"Entrada")-SUMIFS($F$5:$F811,$C$5:$C811,$C811,$B$5:$B811,"Salida"))</f>
        <v/>
      </c>
      <c r="J811" s="20"/>
      <c r="K811" s="20"/>
      <c r="L811" s="20"/>
      <c r="M811" s="14" t="str">
        <f>IF(AND($C811&lt;&gt;"",$C811=Kardex!$C$4),COUNTIF($C$5:$C811,Kardex!$C$4),"")</f>
        <v/>
      </c>
    </row>
    <row r="812" spans="1:13" x14ac:dyDescent="0.25">
      <c r="A812" s="24"/>
      <c r="B812" s="20"/>
      <c r="C812" s="20"/>
      <c r="D812" s="14" t="str">
        <f>IF($C812="","",IFERROR(INDEX(Productos!$B$5:$B$504,MATCH($C812,Productos!$A$5:$A$504,0)),"Clave no existe"))</f>
        <v/>
      </c>
      <c r="E812" s="14" t="str">
        <f>IF($C812="","",IFERROR(INDEX(Productos!$D$5:$D$504,MATCH($C812,Productos!$A$5:$A$504,0)),""))</f>
        <v/>
      </c>
      <c r="F812" s="20"/>
      <c r="G812" s="22" t="str">
        <f>IF($C812="","",IFERROR(INDEX(Productos!$F$5:$F$504,MATCH($C812,Productos!$A$5:$A$504,0)),0))</f>
        <v/>
      </c>
      <c r="H812" s="22" t="str">
        <f t="shared" si="12"/>
        <v/>
      </c>
      <c r="I812" s="14" t="str">
        <f>IF(OR($C812="",$F812=""),"",IFERROR(INDEX(Productos!$I$5:$I$504,MATCH($C812,Productos!$A$5:$A$504,0)),0)+SUMIFS($F$5:$F812,$C$5:$C812,$C812,$B$5:$B812,"Entrada")-SUMIFS($F$5:$F812,$C$5:$C812,$C812,$B$5:$B812,"Salida"))</f>
        <v/>
      </c>
      <c r="J812" s="20"/>
      <c r="K812" s="20"/>
      <c r="L812" s="20"/>
      <c r="M812" s="14" t="str">
        <f>IF(AND($C812&lt;&gt;"",$C812=Kardex!$C$4),COUNTIF($C$5:$C812,Kardex!$C$4),"")</f>
        <v/>
      </c>
    </row>
    <row r="813" spans="1:13" x14ac:dyDescent="0.25">
      <c r="A813" s="24"/>
      <c r="B813" s="20"/>
      <c r="C813" s="20"/>
      <c r="D813" s="14" t="str">
        <f>IF($C813="","",IFERROR(INDEX(Productos!$B$5:$B$504,MATCH($C813,Productos!$A$5:$A$504,0)),"Clave no existe"))</f>
        <v/>
      </c>
      <c r="E813" s="14" t="str">
        <f>IF($C813="","",IFERROR(INDEX(Productos!$D$5:$D$504,MATCH($C813,Productos!$A$5:$A$504,0)),""))</f>
        <v/>
      </c>
      <c r="F813" s="20"/>
      <c r="G813" s="22" t="str">
        <f>IF($C813="","",IFERROR(INDEX(Productos!$F$5:$F$504,MATCH($C813,Productos!$A$5:$A$504,0)),0))</f>
        <v/>
      </c>
      <c r="H813" s="22" t="str">
        <f t="shared" si="12"/>
        <v/>
      </c>
      <c r="I813" s="14" t="str">
        <f>IF(OR($C813="",$F813=""),"",IFERROR(INDEX(Productos!$I$5:$I$504,MATCH($C813,Productos!$A$5:$A$504,0)),0)+SUMIFS($F$5:$F813,$C$5:$C813,$C813,$B$5:$B813,"Entrada")-SUMIFS($F$5:$F813,$C$5:$C813,$C813,$B$5:$B813,"Salida"))</f>
        <v/>
      </c>
      <c r="J813" s="20"/>
      <c r="K813" s="20"/>
      <c r="L813" s="20"/>
      <c r="M813" s="14" t="str">
        <f>IF(AND($C813&lt;&gt;"",$C813=Kardex!$C$4),COUNTIF($C$5:$C813,Kardex!$C$4),"")</f>
        <v/>
      </c>
    </row>
    <row r="814" spans="1:13" x14ac:dyDescent="0.25">
      <c r="A814" s="24"/>
      <c r="B814" s="20"/>
      <c r="C814" s="20"/>
      <c r="D814" s="14" t="str">
        <f>IF($C814="","",IFERROR(INDEX(Productos!$B$5:$B$504,MATCH($C814,Productos!$A$5:$A$504,0)),"Clave no existe"))</f>
        <v/>
      </c>
      <c r="E814" s="14" t="str">
        <f>IF($C814="","",IFERROR(INDEX(Productos!$D$5:$D$504,MATCH($C814,Productos!$A$5:$A$504,0)),""))</f>
        <v/>
      </c>
      <c r="F814" s="20"/>
      <c r="G814" s="22" t="str">
        <f>IF($C814="","",IFERROR(INDEX(Productos!$F$5:$F$504,MATCH($C814,Productos!$A$5:$A$504,0)),0))</f>
        <v/>
      </c>
      <c r="H814" s="22" t="str">
        <f t="shared" si="12"/>
        <v/>
      </c>
      <c r="I814" s="14" t="str">
        <f>IF(OR($C814="",$F814=""),"",IFERROR(INDEX(Productos!$I$5:$I$504,MATCH($C814,Productos!$A$5:$A$504,0)),0)+SUMIFS($F$5:$F814,$C$5:$C814,$C814,$B$5:$B814,"Entrada")-SUMIFS($F$5:$F814,$C$5:$C814,$C814,$B$5:$B814,"Salida"))</f>
        <v/>
      </c>
      <c r="J814" s="20"/>
      <c r="K814" s="20"/>
      <c r="L814" s="20"/>
      <c r="M814" s="14" t="str">
        <f>IF(AND($C814&lt;&gt;"",$C814=Kardex!$C$4),COUNTIF($C$5:$C814,Kardex!$C$4),"")</f>
        <v/>
      </c>
    </row>
    <row r="815" spans="1:13" x14ac:dyDescent="0.25">
      <c r="A815" s="24"/>
      <c r="B815" s="20"/>
      <c r="C815" s="20"/>
      <c r="D815" s="14" t="str">
        <f>IF($C815="","",IFERROR(INDEX(Productos!$B$5:$B$504,MATCH($C815,Productos!$A$5:$A$504,0)),"Clave no existe"))</f>
        <v/>
      </c>
      <c r="E815" s="14" t="str">
        <f>IF($C815="","",IFERROR(INDEX(Productos!$D$5:$D$504,MATCH($C815,Productos!$A$5:$A$504,0)),""))</f>
        <v/>
      </c>
      <c r="F815" s="20"/>
      <c r="G815" s="22" t="str">
        <f>IF($C815="","",IFERROR(INDEX(Productos!$F$5:$F$504,MATCH($C815,Productos!$A$5:$A$504,0)),0))</f>
        <v/>
      </c>
      <c r="H815" s="22" t="str">
        <f t="shared" si="12"/>
        <v/>
      </c>
      <c r="I815" s="14" t="str">
        <f>IF(OR($C815="",$F815=""),"",IFERROR(INDEX(Productos!$I$5:$I$504,MATCH($C815,Productos!$A$5:$A$504,0)),0)+SUMIFS($F$5:$F815,$C$5:$C815,$C815,$B$5:$B815,"Entrada")-SUMIFS($F$5:$F815,$C$5:$C815,$C815,$B$5:$B815,"Salida"))</f>
        <v/>
      </c>
      <c r="J815" s="20"/>
      <c r="K815" s="20"/>
      <c r="L815" s="20"/>
      <c r="M815" s="14" t="str">
        <f>IF(AND($C815&lt;&gt;"",$C815=Kardex!$C$4),COUNTIF($C$5:$C815,Kardex!$C$4),"")</f>
        <v/>
      </c>
    </row>
    <row r="816" spans="1:13" x14ac:dyDescent="0.25">
      <c r="A816" s="24"/>
      <c r="B816" s="20"/>
      <c r="C816" s="20"/>
      <c r="D816" s="14" t="str">
        <f>IF($C816="","",IFERROR(INDEX(Productos!$B$5:$B$504,MATCH($C816,Productos!$A$5:$A$504,0)),"Clave no existe"))</f>
        <v/>
      </c>
      <c r="E816" s="14" t="str">
        <f>IF($C816="","",IFERROR(INDEX(Productos!$D$5:$D$504,MATCH($C816,Productos!$A$5:$A$504,0)),""))</f>
        <v/>
      </c>
      <c r="F816" s="20"/>
      <c r="G816" s="22" t="str">
        <f>IF($C816="","",IFERROR(INDEX(Productos!$F$5:$F$504,MATCH($C816,Productos!$A$5:$A$504,0)),0))</f>
        <v/>
      </c>
      <c r="H816" s="22" t="str">
        <f t="shared" si="12"/>
        <v/>
      </c>
      <c r="I816" s="14" t="str">
        <f>IF(OR($C816="",$F816=""),"",IFERROR(INDEX(Productos!$I$5:$I$504,MATCH($C816,Productos!$A$5:$A$504,0)),0)+SUMIFS($F$5:$F816,$C$5:$C816,$C816,$B$5:$B816,"Entrada")-SUMIFS($F$5:$F816,$C$5:$C816,$C816,$B$5:$B816,"Salida"))</f>
        <v/>
      </c>
      <c r="J816" s="20"/>
      <c r="K816" s="20"/>
      <c r="L816" s="20"/>
      <c r="M816" s="14" t="str">
        <f>IF(AND($C816&lt;&gt;"",$C816=Kardex!$C$4),COUNTIF($C$5:$C816,Kardex!$C$4),"")</f>
        <v/>
      </c>
    </row>
    <row r="817" spans="1:13" x14ac:dyDescent="0.25">
      <c r="A817" s="24"/>
      <c r="B817" s="20"/>
      <c r="C817" s="20"/>
      <c r="D817" s="14" t="str">
        <f>IF($C817="","",IFERROR(INDEX(Productos!$B$5:$B$504,MATCH($C817,Productos!$A$5:$A$504,0)),"Clave no existe"))</f>
        <v/>
      </c>
      <c r="E817" s="14" t="str">
        <f>IF($C817="","",IFERROR(INDEX(Productos!$D$5:$D$504,MATCH($C817,Productos!$A$5:$A$504,0)),""))</f>
        <v/>
      </c>
      <c r="F817" s="20"/>
      <c r="G817" s="22" t="str">
        <f>IF($C817="","",IFERROR(INDEX(Productos!$F$5:$F$504,MATCH($C817,Productos!$A$5:$A$504,0)),0))</f>
        <v/>
      </c>
      <c r="H817" s="22" t="str">
        <f t="shared" si="12"/>
        <v/>
      </c>
      <c r="I817" s="14" t="str">
        <f>IF(OR($C817="",$F817=""),"",IFERROR(INDEX(Productos!$I$5:$I$504,MATCH($C817,Productos!$A$5:$A$504,0)),0)+SUMIFS($F$5:$F817,$C$5:$C817,$C817,$B$5:$B817,"Entrada")-SUMIFS($F$5:$F817,$C$5:$C817,$C817,$B$5:$B817,"Salida"))</f>
        <v/>
      </c>
      <c r="J817" s="20"/>
      <c r="K817" s="20"/>
      <c r="L817" s="20"/>
      <c r="M817" s="14" t="str">
        <f>IF(AND($C817&lt;&gt;"",$C817=Kardex!$C$4),COUNTIF($C$5:$C817,Kardex!$C$4),"")</f>
        <v/>
      </c>
    </row>
    <row r="818" spans="1:13" x14ac:dyDescent="0.25">
      <c r="A818" s="24"/>
      <c r="B818" s="20"/>
      <c r="C818" s="20"/>
      <c r="D818" s="14" t="str">
        <f>IF($C818="","",IFERROR(INDEX(Productos!$B$5:$B$504,MATCH($C818,Productos!$A$5:$A$504,0)),"Clave no existe"))</f>
        <v/>
      </c>
      <c r="E818" s="14" t="str">
        <f>IF($C818="","",IFERROR(INDEX(Productos!$D$5:$D$504,MATCH($C818,Productos!$A$5:$A$504,0)),""))</f>
        <v/>
      </c>
      <c r="F818" s="20"/>
      <c r="G818" s="22" t="str">
        <f>IF($C818="","",IFERROR(INDEX(Productos!$F$5:$F$504,MATCH($C818,Productos!$A$5:$A$504,0)),0))</f>
        <v/>
      </c>
      <c r="H818" s="22" t="str">
        <f t="shared" si="12"/>
        <v/>
      </c>
      <c r="I818" s="14" t="str">
        <f>IF(OR($C818="",$F818=""),"",IFERROR(INDEX(Productos!$I$5:$I$504,MATCH($C818,Productos!$A$5:$A$504,0)),0)+SUMIFS($F$5:$F818,$C$5:$C818,$C818,$B$5:$B818,"Entrada")-SUMIFS($F$5:$F818,$C$5:$C818,$C818,$B$5:$B818,"Salida"))</f>
        <v/>
      </c>
      <c r="J818" s="20"/>
      <c r="K818" s="20"/>
      <c r="L818" s="20"/>
      <c r="M818" s="14" t="str">
        <f>IF(AND($C818&lt;&gt;"",$C818=Kardex!$C$4),COUNTIF($C$5:$C818,Kardex!$C$4),"")</f>
        <v/>
      </c>
    </row>
    <row r="819" spans="1:13" x14ac:dyDescent="0.25">
      <c r="A819" s="24"/>
      <c r="B819" s="20"/>
      <c r="C819" s="20"/>
      <c r="D819" s="14" t="str">
        <f>IF($C819="","",IFERROR(INDEX(Productos!$B$5:$B$504,MATCH($C819,Productos!$A$5:$A$504,0)),"Clave no existe"))</f>
        <v/>
      </c>
      <c r="E819" s="14" t="str">
        <f>IF($C819="","",IFERROR(INDEX(Productos!$D$5:$D$504,MATCH($C819,Productos!$A$5:$A$504,0)),""))</f>
        <v/>
      </c>
      <c r="F819" s="20"/>
      <c r="G819" s="22" t="str">
        <f>IF($C819="","",IFERROR(INDEX(Productos!$F$5:$F$504,MATCH($C819,Productos!$A$5:$A$504,0)),0))</f>
        <v/>
      </c>
      <c r="H819" s="22" t="str">
        <f t="shared" si="12"/>
        <v/>
      </c>
      <c r="I819" s="14" t="str">
        <f>IF(OR($C819="",$F819=""),"",IFERROR(INDEX(Productos!$I$5:$I$504,MATCH($C819,Productos!$A$5:$A$504,0)),0)+SUMIFS($F$5:$F819,$C$5:$C819,$C819,$B$5:$B819,"Entrada")-SUMIFS($F$5:$F819,$C$5:$C819,$C819,$B$5:$B819,"Salida"))</f>
        <v/>
      </c>
      <c r="J819" s="20"/>
      <c r="K819" s="20"/>
      <c r="L819" s="20"/>
      <c r="M819" s="14" t="str">
        <f>IF(AND($C819&lt;&gt;"",$C819=Kardex!$C$4),COUNTIF($C$5:$C819,Kardex!$C$4),"")</f>
        <v/>
      </c>
    </row>
    <row r="820" spans="1:13" x14ac:dyDescent="0.25">
      <c r="A820" s="24"/>
      <c r="B820" s="20"/>
      <c r="C820" s="20"/>
      <c r="D820" s="14" t="str">
        <f>IF($C820="","",IFERROR(INDEX(Productos!$B$5:$B$504,MATCH($C820,Productos!$A$5:$A$504,0)),"Clave no existe"))</f>
        <v/>
      </c>
      <c r="E820" s="14" t="str">
        <f>IF($C820="","",IFERROR(INDEX(Productos!$D$5:$D$504,MATCH($C820,Productos!$A$5:$A$504,0)),""))</f>
        <v/>
      </c>
      <c r="F820" s="20"/>
      <c r="G820" s="22" t="str">
        <f>IF($C820="","",IFERROR(INDEX(Productos!$F$5:$F$504,MATCH($C820,Productos!$A$5:$A$504,0)),0))</f>
        <v/>
      </c>
      <c r="H820" s="22" t="str">
        <f t="shared" si="12"/>
        <v/>
      </c>
      <c r="I820" s="14" t="str">
        <f>IF(OR($C820="",$F820=""),"",IFERROR(INDEX(Productos!$I$5:$I$504,MATCH($C820,Productos!$A$5:$A$504,0)),0)+SUMIFS($F$5:$F820,$C$5:$C820,$C820,$B$5:$B820,"Entrada")-SUMIFS($F$5:$F820,$C$5:$C820,$C820,$B$5:$B820,"Salida"))</f>
        <v/>
      </c>
      <c r="J820" s="20"/>
      <c r="K820" s="20"/>
      <c r="L820" s="20"/>
      <c r="M820" s="14" t="str">
        <f>IF(AND($C820&lt;&gt;"",$C820=Kardex!$C$4),COUNTIF($C$5:$C820,Kardex!$C$4),"")</f>
        <v/>
      </c>
    </row>
    <row r="821" spans="1:13" x14ac:dyDescent="0.25">
      <c r="A821" s="24"/>
      <c r="B821" s="20"/>
      <c r="C821" s="20"/>
      <c r="D821" s="14" t="str">
        <f>IF($C821="","",IFERROR(INDEX(Productos!$B$5:$B$504,MATCH($C821,Productos!$A$5:$A$504,0)),"Clave no existe"))</f>
        <v/>
      </c>
      <c r="E821" s="14" t="str">
        <f>IF($C821="","",IFERROR(INDEX(Productos!$D$5:$D$504,MATCH($C821,Productos!$A$5:$A$504,0)),""))</f>
        <v/>
      </c>
      <c r="F821" s="20"/>
      <c r="G821" s="22" t="str">
        <f>IF($C821="","",IFERROR(INDEX(Productos!$F$5:$F$504,MATCH($C821,Productos!$A$5:$A$504,0)),0))</f>
        <v/>
      </c>
      <c r="H821" s="22" t="str">
        <f t="shared" si="12"/>
        <v/>
      </c>
      <c r="I821" s="14" t="str">
        <f>IF(OR($C821="",$F821=""),"",IFERROR(INDEX(Productos!$I$5:$I$504,MATCH($C821,Productos!$A$5:$A$504,0)),0)+SUMIFS($F$5:$F821,$C$5:$C821,$C821,$B$5:$B821,"Entrada")-SUMIFS($F$5:$F821,$C$5:$C821,$C821,$B$5:$B821,"Salida"))</f>
        <v/>
      </c>
      <c r="J821" s="20"/>
      <c r="K821" s="20"/>
      <c r="L821" s="20"/>
      <c r="M821" s="14" t="str">
        <f>IF(AND($C821&lt;&gt;"",$C821=Kardex!$C$4),COUNTIF($C$5:$C821,Kardex!$C$4),"")</f>
        <v/>
      </c>
    </row>
    <row r="822" spans="1:13" x14ac:dyDescent="0.25">
      <c r="A822" s="24"/>
      <c r="B822" s="20"/>
      <c r="C822" s="20"/>
      <c r="D822" s="14" t="str">
        <f>IF($C822="","",IFERROR(INDEX(Productos!$B$5:$B$504,MATCH($C822,Productos!$A$5:$A$504,0)),"Clave no existe"))</f>
        <v/>
      </c>
      <c r="E822" s="14" t="str">
        <f>IF($C822="","",IFERROR(INDEX(Productos!$D$5:$D$504,MATCH($C822,Productos!$A$5:$A$504,0)),""))</f>
        <v/>
      </c>
      <c r="F822" s="20"/>
      <c r="G822" s="22" t="str">
        <f>IF($C822="","",IFERROR(INDEX(Productos!$F$5:$F$504,MATCH($C822,Productos!$A$5:$A$504,0)),0))</f>
        <v/>
      </c>
      <c r="H822" s="22" t="str">
        <f t="shared" si="12"/>
        <v/>
      </c>
      <c r="I822" s="14" t="str">
        <f>IF(OR($C822="",$F822=""),"",IFERROR(INDEX(Productos!$I$5:$I$504,MATCH($C822,Productos!$A$5:$A$504,0)),0)+SUMIFS($F$5:$F822,$C$5:$C822,$C822,$B$5:$B822,"Entrada")-SUMIFS($F$5:$F822,$C$5:$C822,$C822,$B$5:$B822,"Salida"))</f>
        <v/>
      </c>
      <c r="J822" s="20"/>
      <c r="K822" s="20"/>
      <c r="L822" s="20"/>
      <c r="M822" s="14" t="str">
        <f>IF(AND($C822&lt;&gt;"",$C822=Kardex!$C$4),COUNTIF($C$5:$C822,Kardex!$C$4),"")</f>
        <v/>
      </c>
    </row>
    <row r="823" spans="1:13" x14ac:dyDescent="0.25">
      <c r="A823" s="24"/>
      <c r="B823" s="20"/>
      <c r="C823" s="20"/>
      <c r="D823" s="14" t="str">
        <f>IF($C823="","",IFERROR(INDEX(Productos!$B$5:$B$504,MATCH($C823,Productos!$A$5:$A$504,0)),"Clave no existe"))</f>
        <v/>
      </c>
      <c r="E823" s="14" t="str">
        <f>IF($C823="","",IFERROR(INDEX(Productos!$D$5:$D$504,MATCH($C823,Productos!$A$5:$A$504,0)),""))</f>
        <v/>
      </c>
      <c r="F823" s="20"/>
      <c r="G823" s="22" t="str">
        <f>IF($C823="","",IFERROR(INDEX(Productos!$F$5:$F$504,MATCH($C823,Productos!$A$5:$A$504,0)),0))</f>
        <v/>
      </c>
      <c r="H823" s="22" t="str">
        <f t="shared" si="12"/>
        <v/>
      </c>
      <c r="I823" s="14" t="str">
        <f>IF(OR($C823="",$F823=""),"",IFERROR(INDEX(Productos!$I$5:$I$504,MATCH($C823,Productos!$A$5:$A$504,0)),0)+SUMIFS($F$5:$F823,$C$5:$C823,$C823,$B$5:$B823,"Entrada")-SUMIFS($F$5:$F823,$C$5:$C823,$C823,$B$5:$B823,"Salida"))</f>
        <v/>
      </c>
      <c r="J823" s="20"/>
      <c r="K823" s="20"/>
      <c r="L823" s="20"/>
      <c r="M823" s="14" t="str">
        <f>IF(AND($C823&lt;&gt;"",$C823=Kardex!$C$4),COUNTIF($C$5:$C823,Kardex!$C$4),"")</f>
        <v/>
      </c>
    </row>
    <row r="824" spans="1:13" x14ac:dyDescent="0.25">
      <c r="A824" s="24"/>
      <c r="B824" s="20"/>
      <c r="C824" s="20"/>
      <c r="D824" s="14" t="str">
        <f>IF($C824="","",IFERROR(INDEX(Productos!$B$5:$B$504,MATCH($C824,Productos!$A$5:$A$504,0)),"Clave no existe"))</f>
        <v/>
      </c>
      <c r="E824" s="14" t="str">
        <f>IF($C824="","",IFERROR(INDEX(Productos!$D$5:$D$504,MATCH($C824,Productos!$A$5:$A$504,0)),""))</f>
        <v/>
      </c>
      <c r="F824" s="20"/>
      <c r="G824" s="22" t="str">
        <f>IF($C824="","",IFERROR(INDEX(Productos!$F$5:$F$504,MATCH($C824,Productos!$A$5:$A$504,0)),0))</f>
        <v/>
      </c>
      <c r="H824" s="22" t="str">
        <f t="shared" si="12"/>
        <v/>
      </c>
      <c r="I824" s="14" t="str">
        <f>IF(OR($C824="",$F824=""),"",IFERROR(INDEX(Productos!$I$5:$I$504,MATCH($C824,Productos!$A$5:$A$504,0)),0)+SUMIFS($F$5:$F824,$C$5:$C824,$C824,$B$5:$B824,"Entrada")-SUMIFS($F$5:$F824,$C$5:$C824,$C824,$B$5:$B824,"Salida"))</f>
        <v/>
      </c>
      <c r="J824" s="20"/>
      <c r="K824" s="20"/>
      <c r="L824" s="20"/>
      <c r="M824" s="14" t="str">
        <f>IF(AND($C824&lt;&gt;"",$C824=Kardex!$C$4),COUNTIF($C$5:$C824,Kardex!$C$4),"")</f>
        <v/>
      </c>
    </row>
    <row r="825" spans="1:13" x14ac:dyDescent="0.25">
      <c r="A825" s="24"/>
      <c r="B825" s="20"/>
      <c r="C825" s="20"/>
      <c r="D825" s="14" t="str">
        <f>IF($C825="","",IFERROR(INDEX(Productos!$B$5:$B$504,MATCH($C825,Productos!$A$5:$A$504,0)),"Clave no existe"))</f>
        <v/>
      </c>
      <c r="E825" s="14" t="str">
        <f>IF($C825="","",IFERROR(INDEX(Productos!$D$5:$D$504,MATCH($C825,Productos!$A$5:$A$504,0)),""))</f>
        <v/>
      </c>
      <c r="F825" s="20"/>
      <c r="G825" s="22" t="str">
        <f>IF($C825="","",IFERROR(INDEX(Productos!$F$5:$F$504,MATCH($C825,Productos!$A$5:$A$504,0)),0))</f>
        <v/>
      </c>
      <c r="H825" s="22" t="str">
        <f t="shared" si="12"/>
        <v/>
      </c>
      <c r="I825" s="14" t="str">
        <f>IF(OR($C825="",$F825=""),"",IFERROR(INDEX(Productos!$I$5:$I$504,MATCH($C825,Productos!$A$5:$A$504,0)),0)+SUMIFS($F$5:$F825,$C$5:$C825,$C825,$B$5:$B825,"Entrada")-SUMIFS($F$5:$F825,$C$5:$C825,$C825,$B$5:$B825,"Salida"))</f>
        <v/>
      </c>
      <c r="J825" s="20"/>
      <c r="K825" s="20"/>
      <c r="L825" s="20"/>
      <c r="M825" s="14" t="str">
        <f>IF(AND($C825&lt;&gt;"",$C825=Kardex!$C$4),COUNTIF($C$5:$C825,Kardex!$C$4),"")</f>
        <v/>
      </c>
    </row>
    <row r="826" spans="1:13" x14ac:dyDescent="0.25">
      <c r="A826" s="24"/>
      <c r="B826" s="20"/>
      <c r="C826" s="20"/>
      <c r="D826" s="14" t="str">
        <f>IF($C826="","",IFERROR(INDEX(Productos!$B$5:$B$504,MATCH($C826,Productos!$A$5:$A$504,0)),"Clave no existe"))</f>
        <v/>
      </c>
      <c r="E826" s="14" t="str">
        <f>IF($C826="","",IFERROR(INDEX(Productos!$D$5:$D$504,MATCH($C826,Productos!$A$5:$A$504,0)),""))</f>
        <v/>
      </c>
      <c r="F826" s="20"/>
      <c r="G826" s="22" t="str">
        <f>IF($C826="","",IFERROR(INDEX(Productos!$F$5:$F$504,MATCH($C826,Productos!$A$5:$A$504,0)),0))</f>
        <v/>
      </c>
      <c r="H826" s="22" t="str">
        <f t="shared" si="12"/>
        <v/>
      </c>
      <c r="I826" s="14" t="str">
        <f>IF(OR($C826="",$F826=""),"",IFERROR(INDEX(Productos!$I$5:$I$504,MATCH($C826,Productos!$A$5:$A$504,0)),0)+SUMIFS($F$5:$F826,$C$5:$C826,$C826,$B$5:$B826,"Entrada")-SUMIFS($F$5:$F826,$C$5:$C826,$C826,$B$5:$B826,"Salida"))</f>
        <v/>
      </c>
      <c r="J826" s="20"/>
      <c r="K826" s="20"/>
      <c r="L826" s="20"/>
      <c r="M826" s="14" t="str">
        <f>IF(AND($C826&lt;&gt;"",$C826=Kardex!$C$4),COUNTIF($C$5:$C826,Kardex!$C$4),"")</f>
        <v/>
      </c>
    </row>
    <row r="827" spans="1:13" x14ac:dyDescent="0.25">
      <c r="A827" s="24"/>
      <c r="B827" s="20"/>
      <c r="C827" s="20"/>
      <c r="D827" s="14" t="str">
        <f>IF($C827="","",IFERROR(INDEX(Productos!$B$5:$B$504,MATCH($C827,Productos!$A$5:$A$504,0)),"Clave no existe"))</f>
        <v/>
      </c>
      <c r="E827" s="14" t="str">
        <f>IF($C827="","",IFERROR(INDEX(Productos!$D$5:$D$504,MATCH($C827,Productos!$A$5:$A$504,0)),""))</f>
        <v/>
      </c>
      <c r="F827" s="20"/>
      <c r="G827" s="22" t="str">
        <f>IF($C827="","",IFERROR(INDEX(Productos!$F$5:$F$504,MATCH($C827,Productos!$A$5:$A$504,0)),0))</f>
        <v/>
      </c>
      <c r="H827" s="22" t="str">
        <f t="shared" si="12"/>
        <v/>
      </c>
      <c r="I827" s="14" t="str">
        <f>IF(OR($C827="",$F827=""),"",IFERROR(INDEX(Productos!$I$5:$I$504,MATCH($C827,Productos!$A$5:$A$504,0)),0)+SUMIFS($F$5:$F827,$C$5:$C827,$C827,$B$5:$B827,"Entrada")-SUMIFS($F$5:$F827,$C$5:$C827,$C827,$B$5:$B827,"Salida"))</f>
        <v/>
      </c>
      <c r="J827" s="20"/>
      <c r="K827" s="20"/>
      <c r="L827" s="20"/>
      <c r="M827" s="14" t="str">
        <f>IF(AND($C827&lt;&gt;"",$C827=Kardex!$C$4),COUNTIF($C$5:$C827,Kardex!$C$4),"")</f>
        <v/>
      </c>
    </row>
    <row r="828" spans="1:13" x14ac:dyDescent="0.25">
      <c r="A828" s="24"/>
      <c r="B828" s="20"/>
      <c r="C828" s="20"/>
      <c r="D828" s="14" t="str">
        <f>IF($C828="","",IFERROR(INDEX(Productos!$B$5:$B$504,MATCH($C828,Productos!$A$5:$A$504,0)),"Clave no existe"))</f>
        <v/>
      </c>
      <c r="E828" s="14" t="str">
        <f>IF($C828="","",IFERROR(INDEX(Productos!$D$5:$D$504,MATCH($C828,Productos!$A$5:$A$504,0)),""))</f>
        <v/>
      </c>
      <c r="F828" s="20"/>
      <c r="G828" s="22" t="str">
        <f>IF($C828="","",IFERROR(INDEX(Productos!$F$5:$F$504,MATCH($C828,Productos!$A$5:$A$504,0)),0))</f>
        <v/>
      </c>
      <c r="H828" s="22" t="str">
        <f t="shared" si="12"/>
        <v/>
      </c>
      <c r="I828" s="14" t="str">
        <f>IF(OR($C828="",$F828=""),"",IFERROR(INDEX(Productos!$I$5:$I$504,MATCH($C828,Productos!$A$5:$A$504,0)),0)+SUMIFS($F$5:$F828,$C$5:$C828,$C828,$B$5:$B828,"Entrada")-SUMIFS($F$5:$F828,$C$5:$C828,$C828,$B$5:$B828,"Salida"))</f>
        <v/>
      </c>
      <c r="J828" s="20"/>
      <c r="K828" s="20"/>
      <c r="L828" s="20"/>
      <c r="M828" s="14" t="str">
        <f>IF(AND($C828&lt;&gt;"",$C828=Kardex!$C$4),COUNTIF($C$5:$C828,Kardex!$C$4),"")</f>
        <v/>
      </c>
    </row>
    <row r="829" spans="1:13" x14ac:dyDescent="0.25">
      <c r="A829" s="24"/>
      <c r="B829" s="20"/>
      <c r="C829" s="20"/>
      <c r="D829" s="14" t="str">
        <f>IF($C829="","",IFERROR(INDEX(Productos!$B$5:$B$504,MATCH($C829,Productos!$A$5:$A$504,0)),"Clave no existe"))</f>
        <v/>
      </c>
      <c r="E829" s="14" t="str">
        <f>IF($C829="","",IFERROR(INDEX(Productos!$D$5:$D$504,MATCH($C829,Productos!$A$5:$A$504,0)),""))</f>
        <v/>
      </c>
      <c r="F829" s="20"/>
      <c r="G829" s="22" t="str">
        <f>IF($C829="","",IFERROR(INDEX(Productos!$F$5:$F$504,MATCH($C829,Productos!$A$5:$A$504,0)),0))</f>
        <v/>
      </c>
      <c r="H829" s="22" t="str">
        <f t="shared" si="12"/>
        <v/>
      </c>
      <c r="I829" s="14" t="str">
        <f>IF(OR($C829="",$F829=""),"",IFERROR(INDEX(Productos!$I$5:$I$504,MATCH($C829,Productos!$A$5:$A$504,0)),0)+SUMIFS($F$5:$F829,$C$5:$C829,$C829,$B$5:$B829,"Entrada")-SUMIFS($F$5:$F829,$C$5:$C829,$C829,$B$5:$B829,"Salida"))</f>
        <v/>
      </c>
      <c r="J829" s="20"/>
      <c r="K829" s="20"/>
      <c r="L829" s="20"/>
      <c r="M829" s="14" t="str">
        <f>IF(AND($C829&lt;&gt;"",$C829=Kardex!$C$4),COUNTIF($C$5:$C829,Kardex!$C$4),"")</f>
        <v/>
      </c>
    </row>
    <row r="830" spans="1:13" x14ac:dyDescent="0.25">
      <c r="A830" s="24"/>
      <c r="B830" s="20"/>
      <c r="C830" s="20"/>
      <c r="D830" s="14" t="str">
        <f>IF($C830="","",IFERROR(INDEX(Productos!$B$5:$B$504,MATCH($C830,Productos!$A$5:$A$504,0)),"Clave no existe"))</f>
        <v/>
      </c>
      <c r="E830" s="14" t="str">
        <f>IF($C830="","",IFERROR(INDEX(Productos!$D$5:$D$504,MATCH($C830,Productos!$A$5:$A$504,0)),""))</f>
        <v/>
      </c>
      <c r="F830" s="20"/>
      <c r="G830" s="22" t="str">
        <f>IF($C830="","",IFERROR(INDEX(Productos!$F$5:$F$504,MATCH($C830,Productos!$A$5:$A$504,0)),0))</f>
        <v/>
      </c>
      <c r="H830" s="22" t="str">
        <f t="shared" si="12"/>
        <v/>
      </c>
      <c r="I830" s="14" t="str">
        <f>IF(OR($C830="",$F830=""),"",IFERROR(INDEX(Productos!$I$5:$I$504,MATCH($C830,Productos!$A$5:$A$504,0)),0)+SUMIFS($F$5:$F830,$C$5:$C830,$C830,$B$5:$B830,"Entrada")-SUMIFS($F$5:$F830,$C$5:$C830,$C830,$B$5:$B830,"Salida"))</f>
        <v/>
      </c>
      <c r="J830" s="20"/>
      <c r="K830" s="20"/>
      <c r="L830" s="20"/>
      <c r="M830" s="14" t="str">
        <f>IF(AND($C830&lt;&gt;"",$C830=Kardex!$C$4),COUNTIF($C$5:$C830,Kardex!$C$4),"")</f>
        <v/>
      </c>
    </row>
    <row r="831" spans="1:13" x14ac:dyDescent="0.25">
      <c r="A831" s="24"/>
      <c r="B831" s="20"/>
      <c r="C831" s="20"/>
      <c r="D831" s="14" t="str">
        <f>IF($C831="","",IFERROR(INDEX(Productos!$B$5:$B$504,MATCH($C831,Productos!$A$5:$A$504,0)),"Clave no existe"))</f>
        <v/>
      </c>
      <c r="E831" s="14" t="str">
        <f>IF($C831="","",IFERROR(INDEX(Productos!$D$5:$D$504,MATCH($C831,Productos!$A$5:$A$504,0)),""))</f>
        <v/>
      </c>
      <c r="F831" s="20"/>
      <c r="G831" s="22" t="str">
        <f>IF($C831="","",IFERROR(INDEX(Productos!$F$5:$F$504,MATCH($C831,Productos!$A$5:$A$504,0)),0))</f>
        <v/>
      </c>
      <c r="H831" s="22" t="str">
        <f t="shared" si="12"/>
        <v/>
      </c>
      <c r="I831" s="14" t="str">
        <f>IF(OR($C831="",$F831=""),"",IFERROR(INDEX(Productos!$I$5:$I$504,MATCH($C831,Productos!$A$5:$A$504,0)),0)+SUMIFS($F$5:$F831,$C$5:$C831,$C831,$B$5:$B831,"Entrada")-SUMIFS($F$5:$F831,$C$5:$C831,$C831,$B$5:$B831,"Salida"))</f>
        <v/>
      </c>
      <c r="J831" s="20"/>
      <c r="K831" s="20"/>
      <c r="L831" s="20"/>
      <c r="M831" s="14" t="str">
        <f>IF(AND($C831&lt;&gt;"",$C831=Kardex!$C$4),COUNTIF($C$5:$C831,Kardex!$C$4),"")</f>
        <v/>
      </c>
    </row>
    <row r="832" spans="1:13" x14ac:dyDescent="0.25">
      <c r="A832" s="24"/>
      <c r="B832" s="20"/>
      <c r="C832" s="20"/>
      <c r="D832" s="14" t="str">
        <f>IF($C832="","",IFERROR(INDEX(Productos!$B$5:$B$504,MATCH($C832,Productos!$A$5:$A$504,0)),"Clave no existe"))</f>
        <v/>
      </c>
      <c r="E832" s="14" t="str">
        <f>IF($C832="","",IFERROR(INDEX(Productos!$D$5:$D$504,MATCH($C832,Productos!$A$5:$A$504,0)),""))</f>
        <v/>
      </c>
      <c r="F832" s="20"/>
      <c r="G832" s="22" t="str">
        <f>IF($C832="","",IFERROR(INDEX(Productos!$F$5:$F$504,MATCH($C832,Productos!$A$5:$A$504,0)),0))</f>
        <v/>
      </c>
      <c r="H832" s="22" t="str">
        <f t="shared" si="12"/>
        <v/>
      </c>
      <c r="I832" s="14" t="str">
        <f>IF(OR($C832="",$F832=""),"",IFERROR(INDEX(Productos!$I$5:$I$504,MATCH($C832,Productos!$A$5:$A$504,0)),0)+SUMIFS($F$5:$F832,$C$5:$C832,$C832,$B$5:$B832,"Entrada")-SUMIFS($F$5:$F832,$C$5:$C832,$C832,$B$5:$B832,"Salida"))</f>
        <v/>
      </c>
      <c r="J832" s="20"/>
      <c r="K832" s="20"/>
      <c r="L832" s="20"/>
      <c r="M832" s="14" t="str">
        <f>IF(AND($C832&lt;&gt;"",$C832=Kardex!$C$4),COUNTIF($C$5:$C832,Kardex!$C$4),"")</f>
        <v/>
      </c>
    </row>
    <row r="833" spans="1:13" x14ac:dyDescent="0.25">
      <c r="A833" s="24"/>
      <c r="B833" s="20"/>
      <c r="C833" s="20"/>
      <c r="D833" s="14" t="str">
        <f>IF($C833="","",IFERROR(INDEX(Productos!$B$5:$B$504,MATCH($C833,Productos!$A$5:$A$504,0)),"Clave no existe"))</f>
        <v/>
      </c>
      <c r="E833" s="14" t="str">
        <f>IF($C833="","",IFERROR(INDEX(Productos!$D$5:$D$504,MATCH($C833,Productos!$A$5:$A$504,0)),""))</f>
        <v/>
      </c>
      <c r="F833" s="20"/>
      <c r="G833" s="22" t="str">
        <f>IF($C833="","",IFERROR(INDEX(Productos!$F$5:$F$504,MATCH($C833,Productos!$A$5:$A$504,0)),0))</f>
        <v/>
      </c>
      <c r="H833" s="22" t="str">
        <f t="shared" si="12"/>
        <v/>
      </c>
      <c r="I833" s="14" t="str">
        <f>IF(OR($C833="",$F833=""),"",IFERROR(INDEX(Productos!$I$5:$I$504,MATCH($C833,Productos!$A$5:$A$504,0)),0)+SUMIFS($F$5:$F833,$C$5:$C833,$C833,$B$5:$B833,"Entrada")-SUMIFS($F$5:$F833,$C$5:$C833,$C833,$B$5:$B833,"Salida"))</f>
        <v/>
      </c>
      <c r="J833" s="20"/>
      <c r="K833" s="20"/>
      <c r="L833" s="20"/>
      <c r="M833" s="14" t="str">
        <f>IF(AND($C833&lt;&gt;"",$C833=Kardex!$C$4),COUNTIF($C$5:$C833,Kardex!$C$4),"")</f>
        <v/>
      </c>
    </row>
    <row r="834" spans="1:13" x14ac:dyDescent="0.25">
      <c r="A834" s="24"/>
      <c r="B834" s="20"/>
      <c r="C834" s="20"/>
      <c r="D834" s="14" t="str">
        <f>IF($C834="","",IFERROR(INDEX(Productos!$B$5:$B$504,MATCH($C834,Productos!$A$5:$A$504,0)),"Clave no existe"))</f>
        <v/>
      </c>
      <c r="E834" s="14" t="str">
        <f>IF($C834="","",IFERROR(INDEX(Productos!$D$5:$D$504,MATCH($C834,Productos!$A$5:$A$504,0)),""))</f>
        <v/>
      </c>
      <c r="F834" s="20"/>
      <c r="G834" s="22" t="str">
        <f>IF($C834="","",IFERROR(INDEX(Productos!$F$5:$F$504,MATCH($C834,Productos!$A$5:$A$504,0)),0))</f>
        <v/>
      </c>
      <c r="H834" s="22" t="str">
        <f t="shared" si="12"/>
        <v/>
      </c>
      <c r="I834" s="14" t="str">
        <f>IF(OR($C834="",$F834=""),"",IFERROR(INDEX(Productos!$I$5:$I$504,MATCH($C834,Productos!$A$5:$A$504,0)),0)+SUMIFS($F$5:$F834,$C$5:$C834,$C834,$B$5:$B834,"Entrada")-SUMIFS($F$5:$F834,$C$5:$C834,$C834,$B$5:$B834,"Salida"))</f>
        <v/>
      </c>
      <c r="J834" s="20"/>
      <c r="K834" s="20"/>
      <c r="L834" s="20"/>
      <c r="M834" s="14" t="str">
        <f>IF(AND($C834&lt;&gt;"",$C834=Kardex!$C$4),COUNTIF($C$5:$C834,Kardex!$C$4),"")</f>
        <v/>
      </c>
    </row>
    <row r="835" spans="1:13" x14ac:dyDescent="0.25">
      <c r="A835" s="24"/>
      <c r="B835" s="20"/>
      <c r="C835" s="20"/>
      <c r="D835" s="14" t="str">
        <f>IF($C835="","",IFERROR(INDEX(Productos!$B$5:$B$504,MATCH($C835,Productos!$A$5:$A$504,0)),"Clave no existe"))</f>
        <v/>
      </c>
      <c r="E835" s="14" t="str">
        <f>IF($C835="","",IFERROR(INDEX(Productos!$D$5:$D$504,MATCH($C835,Productos!$A$5:$A$504,0)),""))</f>
        <v/>
      </c>
      <c r="F835" s="20"/>
      <c r="G835" s="22" t="str">
        <f>IF($C835="","",IFERROR(INDEX(Productos!$F$5:$F$504,MATCH($C835,Productos!$A$5:$A$504,0)),0))</f>
        <v/>
      </c>
      <c r="H835" s="22" t="str">
        <f t="shared" si="12"/>
        <v/>
      </c>
      <c r="I835" s="14" t="str">
        <f>IF(OR($C835="",$F835=""),"",IFERROR(INDEX(Productos!$I$5:$I$504,MATCH($C835,Productos!$A$5:$A$504,0)),0)+SUMIFS($F$5:$F835,$C$5:$C835,$C835,$B$5:$B835,"Entrada")-SUMIFS($F$5:$F835,$C$5:$C835,$C835,$B$5:$B835,"Salida"))</f>
        <v/>
      </c>
      <c r="J835" s="20"/>
      <c r="K835" s="20"/>
      <c r="L835" s="20"/>
      <c r="M835" s="14" t="str">
        <f>IF(AND($C835&lt;&gt;"",$C835=Kardex!$C$4),COUNTIF($C$5:$C835,Kardex!$C$4),"")</f>
        <v/>
      </c>
    </row>
    <row r="836" spans="1:13" x14ac:dyDescent="0.25">
      <c r="A836" s="24"/>
      <c r="B836" s="20"/>
      <c r="C836" s="20"/>
      <c r="D836" s="14" t="str">
        <f>IF($C836="","",IFERROR(INDEX(Productos!$B$5:$B$504,MATCH($C836,Productos!$A$5:$A$504,0)),"Clave no existe"))</f>
        <v/>
      </c>
      <c r="E836" s="14" t="str">
        <f>IF($C836="","",IFERROR(INDEX(Productos!$D$5:$D$504,MATCH($C836,Productos!$A$5:$A$504,0)),""))</f>
        <v/>
      </c>
      <c r="F836" s="20"/>
      <c r="G836" s="22" t="str">
        <f>IF($C836="","",IFERROR(INDEX(Productos!$F$5:$F$504,MATCH($C836,Productos!$A$5:$A$504,0)),0))</f>
        <v/>
      </c>
      <c r="H836" s="22" t="str">
        <f t="shared" si="12"/>
        <v/>
      </c>
      <c r="I836" s="14" t="str">
        <f>IF(OR($C836="",$F836=""),"",IFERROR(INDEX(Productos!$I$5:$I$504,MATCH($C836,Productos!$A$5:$A$504,0)),0)+SUMIFS($F$5:$F836,$C$5:$C836,$C836,$B$5:$B836,"Entrada")-SUMIFS($F$5:$F836,$C$5:$C836,$C836,$B$5:$B836,"Salida"))</f>
        <v/>
      </c>
      <c r="J836" s="20"/>
      <c r="K836" s="20"/>
      <c r="L836" s="20"/>
      <c r="M836" s="14" t="str">
        <f>IF(AND($C836&lt;&gt;"",$C836=Kardex!$C$4),COUNTIF($C$5:$C836,Kardex!$C$4),"")</f>
        <v/>
      </c>
    </row>
    <row r="837" spans="1:13" x14ac:dyDescent="0.25">
      <c r="A837" s="24"/>
      <c r="B837" s="20"/>
      <c r="C837" s="20"/>
      <c r="D837" s="14" t="str">
        <f>IF($C837="","",IFERROR(INDEX(Productos!$B$5:$B$504,MATCH($C837,Productos!$A$5:$A$504,0)),"Clave no existe"))</f>
        <v/>
      </c>
      <c r="E837" s="14" t="str">
        <f>IF($C837="","",IFERROR(INDEX(Productos!$D$5:$D$504,MATCH($C837,Productos!$A$5:$A$504,0)),""))</f>
        <v/>
      </c>
      <c r="F837" s="20"/>
      <c r="G837" s="22" t="str">
        <f>IF($C837="","",IFERROR(INDEX(Productos!$F$5:$F$504,MATCH($C837,Productos!$A$5:$A$504,0)),0))</f>
        <v/>
      </c>
      <c r="H837" s="22" t="str">
        <f t="shared" ref="H837:H900" si="13">IF(OR($C837="",$F837=""),"",F837*G837)</f>
        <v/>
      </c>
      <c r="I837" s="14" t="str">
        <f>IF(OR($C837="",$F837=""),"",IFERROR(INDEX(Productos!$I$5:$I$504,MATCH($C837,Productos!$A$5:$A$504,0)),0)+SUMIFS($F$5:$F837,$C$5:$C837,$C837,$B$5:$B837,"Entrada")-SUMIFS($F$5:$F837,$C$5:$C837,$C837,$B$5:$B837,"Salida"))</f>
        <v/>
      </c>
      <c r="J837" s="20"/>
      <c r="K837" s="20"/>
      <c r="L837" s="20"/>
      <c r="M837" s="14" t="str">
        <f>IF(AND($C837&lt;&gt;"",$C837=Kardex!$C$4),COUNTIF($C$5:$C837,Kardex!$C$4),"")</f>
        <v/>
      </c>
    </row>
    <row r="838" spans="1:13" x14ac:dyDescent="0.25">
      <c r="A838" s="24"/>
      <c r="B838" s="20"/>
      <c r="C838" s="20"/>
      <c r="D838" s="14" t="str">
        <f>IF($C838="","",IFERROR(INDEX(Productos!$B$5:$B$504,MATCH($C838,Productos!$A$5:$A$504,0)),"Clave no existe"))</f>
        <v/>
      </c>
      <c r="E838" s="14" t="str">
        <f>IF($C838="","",IFERROR(INDEX(Productos!$D$5:$D$504,MATCH($C838,Productos!$A$5:$A$504,0)),""))</f>
        <v/>
      </c>
      <c r="F838" s="20"/>
      <c r="G838" s="22" t="str">
        <f>IF($C838="","",IFERROR(INDEX(Productos!$F$5:$F$504,MATCH($C838,Productos!$A$5:$A$504,0)),0))</f>
        <v/>
      </c>
      <c r="H838" s="22" t="str">
        <f t="shared" si="13"/>
        <v/>
      </c>
      <c r="I838" s="14" t="str">
        <f>IF(OR($C838="",$F838=""),"",IFERROR(INDEX(Productos!$I$5:$I$504,MATCH($C838,Productos!$A$5:$A$504,0)),0)+SUMIFS($F$5:$F838,$C$5:$C838,$C838,$B$5:$B838,"Entrada")-SUMIFS($F$5:$F838,$C$5:$C838,$C838,$B$5:$B838,"Salida"))</f>
        <v/>
      </c>
      <c r="J838" s="20"/>
      <c r="K838" s="20"/>
      <c r="L838" s="20"/>
      <c r="M838" s="14" t="str">
        <f>IF(AND($C838&lt;&gt;"",$C838=Kardex!$C$4),COUNTIF($C$5:$C838,Kardex!$C$4),"")</f>
        <v/>
      </c>
    </row>
    <row r="839" spans="1:13" x14ac:dyDescent="0.25">
      <c r="A839" s="24"/>
      <c r="B839" s="20"/>
      <c r="C839" s="20"/>
      <c r="D839" s="14" t="str">
        <f>IF($C839="","",IFERROR(INDEX(Productos!$B$5:$B$504,MATCH($C839,Productos!$A$5:$A$504,0)),"Clave no existe"))</f>
        <v/>
      </c>
      <c r="E839" s="14" t="str">
        <f>IF($C839="","",IFERROR(INDEX(Productos!$D$5:$D$504,MATCH($C839,Productos!$A$5:$A$504,0)),""))</f>
        <v/>
      </c>
      <c r="F839" s="20"/>
      <c r="G839" s="22" t="str">
        <f>IF($C839="","",IFERROR(INDEX(Productos!$F$5:$F$504,MATCH($C839,Productos!$A$5:$A$504,0)),0))</f>
        <v/>
      </c>
      <c r="H839" s="22" t="str">
        <f t="shared" si="13"/>
        <v/>
      </c>
      <c r="I839" s="14" t="str">
        <f>IF(OR($C839="",$F839=""),"",IFERROR(INDEX(Productos!$I$5:$I$504,MATCH($C839,Productos!$A$5:$A$504,0)),0)+SUMIFS($F$5:$F839,$C$5:$C839,$C839,$B$5:$B839,"Entrada")-SUMIFS($F$5:$F839,$C$5:$C839,$C839,$B$5:$B839,"Salida"))</f>
        <v/>
      </c>
      <c r="J839" s="20"/>
      <c r="K839" s="20"/>
      <c r="L839" s="20"/>
      <c r="M839" s="14" t="str">
        <f>IF(AND($C839&lt;&gt;"",$C839=Kardex!$C$4),COUNTIF($C$5:$C839,Kardex!$C$4),"")</f>
        <v/>
      </c>
    </row>
    <row r="840" spans="1:13" x14ac:dyDescent="0.25">
      <c r="A840" s="24"/>
      <c r="B840" s="20"/>
      <c r="C840" s="20"/>
      <c r="D840" s="14" t="str">
        <f>IF($C840="","",IFERROR(INDEX(Productos!$B$5:$B$504,MATCH($C840,Productos!$A$5:$A$504,0)),"Clave no existe"))</f>
        <v/>
      </c>
      <c r="E840" s="14" t="str">
        <f>IF($C840="","",IFERROR(INDEX(Productos!$D$5:$D$504,MATCH($C840,Productos!$A$5:$A$504,0)),""))</f>
        <v/>
      </c>
      <c r="F840" s="20"/>
      <c r="G840" s="22" t="str">
        <f>IF($C840="","",IFERROR(INDEX(Productos!$F$5:$F$504,MATCH($C840,Productos!$A$5:$A$504,0)),0))</f>
        <v/>
      </c>
      <c r="H840" s="22" t="str">
        <f t="shared" si="13"/>
        <v/>
      </c>
      <c r="I840" s="14" t="str">
        <f>IF(OR($C840="",$F840=""),"",IFERROR(INDEX(Productos!$I$5:$I$504,MATCH($C840,Productos!$A$5:$A$504,0)),0)+SUMIFS($F$5:$F840,$C$5:$C840,$C840,$B$5:$B840,"Entrada")-SUMIFS($F$5:$F840,$C$5:$C840,$C840,$B$5:$B840,"Salida"))</f>
        <v/>
      </c>
      <c r="J840" s="20"/>
      <c r="K840" s="20"/>
      <c r="L840" s="20"/>
      <c r="M840" s="14" t="str">
        <f>IF(AND($C840&lt;&gt;"",$C840=Kardex!$C$4),COUNTIF($C$5:$C840,Kardex!$C$4),"")</f>
        <v/>
      </c>
    </row>
    <row r="841" spans="1:13" x14ac:dyDescent="0.25">
      <c r="A841" s="24"/>
      <c r="B841" s="20"/>
      <c r="C841" s="20"/>
      <c r="D841" s="14" t="str">
        <f>IF($C841="","",IFERROR(INDEX(Productos!$B$5:$B$504,MATCH($C841,Productos!$A$5:$A$504,0)),"Clave no existe"))</f>
        <v/>
      </c>
      <c r="E841" s="14" t="str">
        <f>IF($C841="","",IFERROR(INDEX(Productos!$D$5:$D$504,MATCH($C841,Productos!$A$5:$A$504,0)),""))</f>
        <v/>
      </c>
      <c r="F841" s="20"/>
      <c r="G841" s="22" t="str">
        <f>IF($C841="","",IFERROR(INDEX(Productos!$F$5:$F$504,MATCH($C841,Productos!$A$5:$A$504,0)),0))</f>
        <v/>
      </c>
      <c r="H841" s="22" t="str">
        <f t="shared" si="13"/>
        <v/>
      </c>
      <c r="I841" s="14" t="str">
        <f>IF(OR($C841="",$F841=""),"",IFERROR(INDEX(Productos!$I$5:$I$504,MATCH($C841,Productos!$A$5:$A$504,0)),0)+SUMIFS($F$5:$F841,$C$5:$C841,$C841,$B$5:$B841,"Entrada")-SUMIFS($F$5:$F841,$C$5:$C841,$C841,$B$5:$B841,"Salida"))</f>
        <v/>
      </c>
      <c r="J841" s="20"/>
      <c r="K841" s="20"/>
      <c r="L841" s="20"/>
      <c r="M841" s="14" t="str">
        <f>IF(AND($C841&lt;&gt;"",$C841=Kardex!$C$4),COUNTIF($C$5:$C841,Kardex!$C$4),"")</f>
        <v/>
      </c>
    </row>
    <row r="842" spans="1:13" x14ac:dyDescent="0.25">
      <c r="A842" s="24"/>
      <c r="B842" s="20"/>
      <c r="C842" s="20"/>
      <c r="D842" s="14" t="str">
        <f>IF($C842="","",IFERROR(INDEX(Productos!$B$5:$B$504,MATCH($C842,Productos!$A$5:$A$504,0)),"Clave no existe"))</f>
        <v/>
      </c>
      <c r="E842" s="14" t="str">
        <f>IF($C842="","",IFERROR(INDEX(Productos!$D$5:$D$504,MATCH($C842,Productos!$A$5:$A$504,0)),""))</f>
        <v/>
      </c>
      <c r="F842" s="20"/>
      <c r="G842" s="22" t="str">
        <f>IF($C842="","",IFERROR(INDEX(Productos!$F$5:$F$504,MATCH($C842,Productos!$A$5:$A$504,0)),0))</f>
        <v/>
      </c>
      <c r="H842" s="22" t="str">
        <f t="shared" si="13"/>
        <v/>
      </c>
      <c r="I842" s="14" t="str">
        <f>IF(OR($C842="",$F842=""),"",IFERROR(INDEX(Productos!$I$5:$I$504,MATCH($C842,Productos!$A$5:$A$504,0)),0)+SUMIFS($F$5:$F842,$C$5:$C842,$C842,$B$5:$B842,"Entrada")-SUMIFS($F$5:$F842,$C$5:$C842,$C842,$B$5:$B842,"Salida"))</f>
        <v/>
      </c>
      <c r="J842" s="20"/>
      <c r="K842" s="20"/>
      <c r="L842" s="20"/>
      <c r="M842" s="14" t="str">
        <f>IF(AND($C842&lt;&gt;"",$C842=Kardex!$C$4),COUNTIF($C$5:$C842,Kardex!$C$4),"")</f>
        <v/>
      </c>
    </row>
    <row r="843" spans="1:13" x14ac:dyDescent="0.25">
      <c r="A843" s="24"/>
      <c r="B843" s="20"/>
      <c r="C843" s="20"/>
      <c r="D843" s="14" t="str">
        <f>IF($C843="","",IFERROR(INDEX(Productos!$B$5:$B$504,MATCH($C843,Productos!$A$5:$A$504,0)),"Clave no existe"))</f>
        <v/>
      </c>
      <c r="E843" s="14" t="str">
        <f>IF($C843="","",IFERROR(INDEX(Productos!$D$5:$D$504,MATCH($C843,Productos!$A$5:$A$504,0)),""))</f>
        <v/>
      </c>
      <c r="F843" s="20"/>
      <c r="G843" s="22" t="str">
        <f>IF($C843="","",IFERROR(INDEX(Productos!$F$5:$F$504,MATCH($C843,Productos!$A$5:$A$504,0)),0))</f>
        <v/>
      </c>
      <c r="H843" s="22" t="str">
        <f t="shared" si="13"/>
        <v/>
      </c>
      <c r="I843" s="14" t="str">
        <f>IF(OR($C843="",$F843=""),"",IFERROR(INDEX(Productos!$I$5:$I$504,MATCH($C843,Productos!$A$5:$A$504,0)),0)+SUMIFS($F$5:$F843,$C$5:$C843,$C843,$B$5:$B843,"Entrada")-SUMIFS($F$5:$F843,$C$5:$C843,$C843,$B$5:$B843,"Salida"))</f>
        <v/>
      </c>
      <c r="J843" s="20"/>
      <c r="K843" s="20"/>
      <c r="L843" s="20"/>
      <c r="M843" s="14" t="str">
        <f>IF(AND($C843&lt;&gt;"",$C843=Kardex!$C$4),COUNTIF($C$5:$C843,Kardex!$C$4),"")</f>
        <v/>
      </c>
    </row>
    <row r="844" spans="1:13" x14ac:dyDescent="0.25">
      <c r="A844" s="24"/>
      <c r="B844" s="20"/>
      <c r="C844" s="20"/>
      <c r="D844" s="14" t="str">
        <f>IF($C844="","",IFERROR(INDEX(Productos!$B$5:$B$504,MATCH($C844,Productos!$A$5:$A$504,0)),"Clave no existe"))</f>
        <v/>
      </c>
      <c r="E844" s="14" t="str">
        <f>IF($C844="","",IFERROR(INDEX(Productos!$D$5:$D$504,MATCH($C844,Productos!$A$5:$A$504,0)),""))</f>
        <v/>
      </c>
      <c r="F844" s="20"/>
      <c r="G844" s="22" t="str">
        <f>IF($C844="","",IFERROR(INDEX(Productos!$F$5:$F$504,MATCH($C844,Productos!$A$5:$A$504,0)),0))</f>
        <v/>
      </c>
      <c r="H844" s="22" t="str">
        <f t="shared" si="13"/>
        <v/>
      </c>
      <c r="I844" s="14" t="str">
        <f>IF(OR($C844="",$F844=""),"",IFERROR(INDEX(Productos!$I$5:$I$504,MATCH($C844,Productos!$A$5:$A$504,0)),0)+SUMIFS($F$5:$F844,$C$5:$C844,$C844,$B$5:$B844,"Entrada")-SUMIFS($F$5:$F844,$C$5:$C844,$C844,$B$5:$B844,"Salida"))</f>
        <v/>
      </c>
      <c r="J844" s="20"/>
      <c r="K844" s="20"/>
      <c r="L844" s="20"/>
      <c r="M844" s="14" t="str">
        <f>IF(AND($C844&lt;&gt;"",$C844=Kardex!$C$4),COUNTIF($C$5:$C844,Kardex!$C$4),"")</f>
        <v/>
      </c>
    </row>
    <row r="845" spans="1:13" x14ac:dyDescent="0.25">
      <c r="A845" s="24"/>
      <c r="B845" s="20"/>
      <c r="C845" s="20"/>
      <c r="D845" s="14" t="str">
        <f>IF($C845="","",IFERROR(INDEX(Productos!$B$5:$B$504,MATCH($C845,Productos!$A$5:$A$504,0)),"Clave no existe"))</f>
        <v/>
      </c>
      <c r="E845" s="14" t="str">
        <f>IF($C845="","",IFERROR(INDEX(Productos!$D$5:$D$504,MATCH($C845,Productos!$A$5:$A$504,0)),""))</f>
        <v/>
      </c>
      <c r="F845" s="20"/>
      <c r="G845" s="22" t="str">
        <f>IF($C845="","",IFERROR(INDEX(Productos!$F$5:$F$504,MATCH($C845,Productos!$A$5:$A$504,0)),0))</f>
        <v/>
      </c>
      <c r="H845" s="22" t="str">
        <f t="shared" si="13"/>
        <v/>
      </c>
      <c r="I845" s="14" t="str">
        <f>IF(OR($C845="",$F845=""),"",IFERROR(INDEX(Productos!$I$5:$I$504,MATCH($C845,Productos!$A$5:$A$504,0)),0)+SUMIFS($F$5:$F845,$C$5:$C845,$C845,$B$5:$B845,"Entrada")-SUMIFS($F$5:$F845,$C$5:$C845,$C845,$B$5:$B845,"Salida"))</f>
        <v/>
      </c>
      <c r="J845" s="20"/>
      <c r="K845" s="20"/>
      <c r="L845" s="20"/>
      <c r="M845" s="14" t="str">
        <f>IF(AND($C845&lt;&gt;"",$C845=Kardex!$C$4),COUNTIF($C$5:$C845,Kardex!$C$4),"")</f>
        <v/>
      </c>
    </row>
    <row r="846" spans="1:13" x14ac:dyDescent="0.25">
      <c r="A846" s="24"/>
      <c r="B846" s="20"/>
      <c r="C846" s="20"/>
      <c r="D846" s="14" t="str">
        <f>IF($C846="","",IFERROR(INDEX(Productos!$B$5:$B$504,MATCH($C846,Productos!$A$5:$A$504,0)),"Clave no existe"))</f>
        <v/>
      </c>
      <c r="E846" s="14" t="str">
        <f>IF($C846="","",IFERROR(INDEX(Productos!$D$5:$D$504,MATCH($C846,Productos!$A$5:$A$504,0)),""))</f>
        <v/>
      </c>
      <c r="F846" s="20"/>
      <c r="G846" s="22" t="str">
        <f>IF($C846="","",IFERROR(INDEX(Productos!$F$5:$F$504,MATCH($C846,Productos!$A$5:$A$504,0)),0))</f>
        <v/>
      </c>
      <c r="H846" s="22" t="str">
        <f t="shared" si="13"/>
        <v/>
      </c>
      <c r="I846" s="14" t="str">
        <f>IF(OR($C846="",$F846=""),"",IFERROR(INDEX(Productos!$I$5:$I$504,MATCH($C846,Productos!$A$5:$A$504,0)),0)+SUMIFS($F$5:$F846,$C$5:$C846,$C846,$B$5:$B846,"Entrada")-SUMIFS($F$5:$F846,$C$5:$C846,$C846,$B$5:$B846,"Salida"))</f>
        <v/>
      </c>
      <c r="J846" s="20"/>
      <c r="K846" s="20"/>
      <c r="L846" s="20"/>
      <c r="M846" s="14" t="str">
        <f>IF(AND($C846&lt;&gt;"",$C846=Kardex!$C$4),COUNTIF($C$5:$C846,Kardex!$C$4),"")</f>
        <v/>
      </c>
    </row>
    <row r="847" spans="1:13" x14ac:dyDescent="0.25">
      <c r="A847" s="24"/>
      <c r="B847" s="20"/>
      <c r="C847" s="20"/>
      <c r="D847" s="14" t="str">
        <f>IF($C847="","",IFERROR(INDEX(Productos!$B$5:$B$504,MATCH($C847,Productos!$A$5:$A$504,0)),"Clave no existe"))</f>
        <v/>
      </c>
      <c r="E847" s="14" t="str">
        <f>IF($C847="","",IFERROR(INDEX(Productos!$D$5:$D$504,MATCH($C847,Productos!$A$5:$A$504,0)),""))</f>
        <v/>
      </c>
      <c r="F847" s="20"/>
      <c r="G847" s="22" t="str">
        <f>IF($C847="","",IFERROR(INDEX(Productos!$F$5:$F$504,MATCH($C847,Productos!$A$5:$A$504,0)),0))</f>
        <v/>
      </c>
      <c r="H847" s="22" t="str">
        <f t="shared" si="13"/>
        <v/>
      </c>
      <c r="I847" s="14" t="str">
        <f>IF(OR($C847="",$F847=""),"",IFERROR(INDEX(Productos!$I$5:$I$504,MATCH($C847,Productos!$A$5:$A$504,0)),0)+SUMIFS($F$5:$F847,$C$5:$C847,$C847,$B$5:$B847,"Entrada")-SUMIFS($F$5:$F847,$C$5:$C847,$C847,$B$5:$B847,"Salida"))</f>
        <v/>
      </c>
      <c r="J847" s="20"/>
      <c r="K847" s="20"/>
      <c r="L847" s="20"/>
      <c r="M847" s="14" t="str">
        <f>IF(AND($C847&lt;&gt;"",$C847=Kardex!$C$4),COUNTIF($C$5:$C847,Kardex!$C$4),"")</f>
        <v/>
      </c>
    </row>
    <row r="848" spans="1:13" x14ac:dyDescent="0.25">
      <c r="A848" s="24"/>
      <c r="B848" s="20"/>
      <c r="C848" s="20"/>
      <c r="D848" s="14" t="str">
        <f>IF($C848="","",IFERROR(INDEX(Productos!$B$5:$B$504,MATCH($C848,Productos!$A$5:$A$504,0)),"Clave no existe"))</f>
        <v/>
      </c>
      <c r="E848" s="14" t="str">
        <f>IF($C848="","",IFERROR(INDEX(Productos!$D$5:$D$504,MATCH($C848,Productos!$A$5:$A$504,0)),""))</f>
        <v/>
      </c>
      <c r="F848" s="20"/>
      <c r="G848" s="22" t="str">
        <f>IF($C848="","",IFERROR(INDEX(Productos!$F$5:$F$504,MATCH($C848,Productos!$A$5:$A$504,0)),0))</f>
        <v/>
      </c>
      <c r="H848" s="22" t="str">
        <f t="shared" si="13"/>
        <v/>
      </c>
      <c r="I848" s="14" t="str">
        <f>IF(OR($C848="",$F848=""),"",IFERROR(INDEX(Productos!$I$5:$I$504,MATCH($C848,Productos!$A$5:$A$504,0)),0)+SUMIFS($F$5:$F848,$C$5:$C848,$C848,$B$5:$B848,"Entrada")-SUMIFS($F$5:$F848,$C$5:$C848,$C848,$B$5:$B848,"Salida"))</f>
        <v/>
      </c>
      <c r="J848" s="20"/>
      <c r="K848" s="20"/>
      <c r="L848" s="20"/>
      <c r="M848" s="14" t="str">
        <f>IF(AND($C848&lt;&gt;"",$C848=Kardex!$C$4),COUNTIF($C$5:$C848,Kardex!$C$4),"")</f>
        <v/>
      </c>
    </row>
    <row r="849" spans="1:13" x14ac:dyDescent="0.25">
      <c r="A849" s="24"/>
      <c r="B849" s="20"/>
      <c r="C849" s="20"/>
      <c r="D849" s="14" t="str">
        <f>IF($C849="","",IFERROR(INDEX(Productos!$B$5:$B$504,MATCH($C849,Productos!$A$5:$A$504,0)),"Clave no existe"))</f>
        <v/>
      </c>
      <c r="E849" s="14" t="str">
        <f>IF($C849="","",IFERROR(INDEX(Productos!$D$5:$D$504,MATCH($C849,Productos!$A$5:$A$504,0)),""))</f>
        <v/>
      </c>
      <c r="F849" s="20"/>
      <c r="G849" s="22" t="str">
        <f>IF($C849="","",IFERROR(INDEX(Productos!$F$5:$F$504,MATCH($C849,Productos!$A$5:$A$504,0)),0))</f>
        <v/>
      </c>
      <c r="H849" s="22" t="str">
        <f t="shared" si="13"/>
        <v/>
      </c>
      <c r="I849" s="14" t="str">
        <f>IF(OR($C849="",$F849=""),"",IFERROR(INDEX(Productos!$I$5:$I$504,MATCH($C849,Productos!$A$5:$A$504,0)),0)+SUMIFS($F$5:$F849,$C$5:$C849,$C849,$B$5:$B849,"Entrada")-SUMIFS($F$5:$F849,$C$5:$C849,$C849,$B$5:$B849,"Salida"))</f>
        <v/>
      </c>
      <c r="J849" s="20"/>
      <c r="K849" s="20"/>
      <c r="L849" s="20"/>
      <c r="M849" s="14" t="str">
        <f>IF(AND($C849&lt;&gt;"",$C849=Kardex!$C$4),COUNTIF($C$5:$C849,Kardex!$C$4),"")</f>
        <v/>
      </c>
    </row>
    <row r="850" spans="1:13" x14ac:dyDescent="0.25">
      <c r="A850" s="24"/>
      <c r="B850" s="20"/>
      <c r="C850" s="20"/>
      <c r="D850" s="14" t="str">
        <f>IF($C850="","",IFERROR(INDEX(Productos!$B$5:$B$504,MATCH($C850,Productos!$A$5:$A$504,0)),"Clave no existe"))</f>
        <v/>
      </c>
      <c r="E850" s="14" t="str">
        <f>IF($C850="","",IFERROR(INDEX(Productos!$D$5:$D$504,MATCH($C850,Productos!$A$5:$A$504,0)),""))</f>
        <v/>
      </c>
      <c r="F850" s="20"/>
      <c r="G850" s="22" t="str">
        <f>IF($C850="","",IFERROR(INDEX(Productos!$F$5:$F$504,MATCH($C850,Productos!$A$5:$A$504,0)),0))</f>
        <v/>
      </c>
      <c r="H850" s="22" t="str">
        <f t="shared" si="13"/>
        <v/>
      </c>
      <c r="I850" s="14" t="str">
        <f>IF(OR($C850="",$F850=""),"",IFERROR(INDEX(Productos!$I$5:$I$504,MATCH($C850,Productos!$A$5:$A$504,0)),0)+SUMIFS($F$5:$F850,$C$5:$C850,$C850,$B$5:$B850,"Entrada")-SUMIFS($F$5:$F850,$C$5:$C850,$C850,$B$5:$B850,"Salida"))</f>
        <v/>
      </c>
      <c r="J850" s="20"/>
      <c r="K850" s="20"/>
      <c r="L850" s="20"/>
      <c r="M850" s="14" t="str">
        <f>IF(AND($C850&lt;&gt;"",$C850=Kardex!$C$4),COUNTIF($C$5:$C850,Kardex!$C$4),"")</f>
        <v/>
      </c>
    </row>
    <row r="851" spans="1:13" x14ac:dyDescent="0.25">
      <c r="A851" s="24"/>
      <c r="B851" s="20"/>
      <c r="C851" s="20"/>
      <c r="D851" s="14" t="str">
        <f>IF($C851="","",IFERROR(INDEX(Productos!$B$5:$B$504,MATCH($C851,Productos!$A$5:$A$504,0)),"Clave no existe"))</f>
        <v/>
      </c>
      <c r="E851" s="14" t="str">
        <f>IF($C851="","",IFERROR(INDEX(Productos!$D$5:$D$504,MATCH($C851,Productos!$A$5:$A$504,0)),""))</f>
        <v/>
      </c>
      <c r="F851" s="20"/>
      <c r="G851" s="22" t="str">
        <f>IF($C851="","",IFERROR(INDEX(Productos!$F$5:$F$504,MATCH($C851,Productos!$A$5:$A$504,0)),0))</f>
        <v/>
      </c>
      <c r="H851" s="22" t="str">
        <f t="shared" si="13"/>
        <v/>
      </c>
      <c r="I851" s="14" t="str">
        <f>IF(OR($C851="",$F851=""),"",IFERROR(INDEX(Productos!$I$5:$I$504,MATCH($C851,Productos!$A$5:$A$504,0)),0)+SUMIFS($F$5:$F851,$C$5:$C851,$C851,$B$5:$B851,"Entrada")-SUMIFS($F$5:$F851,$C$5:$C851,$C851,$B$5:$B851,"Salida"))</f>
        <v/>
      </c>
      <c r="J851" s="20"/>
      <c r="K851" s="20"/>
      <c r="L851" s="20"/>
      <c r="M851" s="14" t="str">
        <f>IF(AND($C851&lt;&gt;"",$C851=Kardex!$C$4),COUNTIF($C$5:$C851,Kardex!$C$4),"")</f>
        <v/>
      </c>
    </row>
    <row r="852" spans="1:13" x14ac:dyDescent="0.25">
      <c r="A852" s="24"/>
      <c r="B852" s="20"/>
      <c r="C852" s="20"/>
      <c r="D852" s="14" t="str">
        <f>IF($C852="","",IFERROR(INDEX(Productos!$B$5:$B$504,MATCH($C852,Productos!$A$5:$A$504,0)),"Clave no existe"))</f>
        <v/>
      </c>
      <c r="E852" s="14" t="str">
        <f>IF($C852="","",IFERROR(INDEX(Productos!$D$5:$D$504,MATCH($C852,Productos!$A$5:$A$504,0)),""))</f>
        <v/>
      </c>
      <c r="F852" s="20"/>
      <c r="G852" s="22" t="str">
        <f>IF($C852="","",IFERROR(INDEX(Productos!$F$5:$F$504,MATCH($C852,Productos!$A$5:$A$504,0)),0))</f>
        <v/>
      </c>
      <c r="H852" s="22" t="str">
        <f t="shared" si="13"/>
        <v/>
      </c>
      <c r="I852" s="14" t="str">
        <f>IF(OR($C852="",$F852=""),"",IFERROR(INDEX(Productos!$I$5:$I$504,MATCH($C852,Productos!$A$5:$A$504,0)),0)+SUMIFS($F$5:$F852,$C$5:$C852,$C852,$B$5:$B852,"Entrada")-SUMIFS($F$5:$F852,$C$5:$C852,$C852,$B$5:$B852,"Salida"))</f>
        <v/>
      </c>
      <c r="J852" s="20"/>
      <c r="K852" s="20"/>
      <c r="L852" s="20"/>
      <c r="M852" s="14" t="str">
        <f>IF(AND($C852&lt;&gt;"",$C852=Kardex!$C$4),COUNTIF($C$5:$C852,Kardex!$C$4),"")</f>
        <v/>
      </c>
    </row>
    <row r="853" spans="1:13" x14ac:dyDescent="0.25">
      <c r="A853" s="24"/>
      <c r="B853" s="20"/>
      <c r="C853" s="20"/>
      <c r="D853" s="14" t="str">
        <f>IF($C853="","",IFERROR(INDEX(Productos!$B$5:$B$504,MATCH($C853,Productos!$A$5:$A$504,0)),"Clave no existe"))</f>
        <v/>
      </c>
      <c r="E853" s="14" t="str">
        <f>IF($C853="","",IFERROR(INDEX(Productos!$D$5:$D$504,MATCH($C853,Productos!$A$5:$A$504,0)),""))</f>
        <v/>
      </c>
      <c r="F853" s="20"/>
      <c r="G853" s="22" t="str">
        <f>IF($C853="","",IFERROR(INDEX(Productos!$F$5:$F$504,MATCH($C853,Productos!$A$5:$A$504,0)),0))</f>
        <v/>
      </c>
      <c r="H853" s="22" t="str">
        <f t="shared" si="13"/>
        <v/>
      </c>
      <c r="I853" s="14" t="str">
        <f>IF(OR($C853="",$F853=""),"",IFERROR(INDEX(Productos!$I$5:$I$504,MATCH($C853,Productos!$A$5:$A$504,0)),0)+SUMIFS($F$5:$F853,$C$5:$C853,$C853,$B$5:$B853,"Entrada")-SUMIFS($F$5:$F853,$C$5:$C853,$C853,$B$5:$B853,"Salida"))</f>
        <v/>
      </c>
      <c r="J853" s="20"/>
      <c r="K853" s="20"/>
      <c r="L853" s="20"/>
      <c r="M853" s="14" t="str">
        <f>IF(AND($C853&lt;&gt;"",$C853=Kardex!$C$4),COUNTIF($C$5:$C853,Kardex!$C$4),"")</f>
        <v/>
      </c>
    </row>
    <row r="854" spans="1:13" x14ac:dyDescent="0.25">
      <c r="A854" s="24"/>
      <c r="B854" s="20"/>
      <c r="C854" s="20"/>
      <c r="D854" s="14" t="str">
        <f>IF($C854="","",IFERROR(INDEX(Productos!$B$5:$B$504,MATCH($C854,Productos!$A$5:$A$504,0)),"Clave no existe"))</f>
        <v/>
      </c>
      <c r="E854" s="14" t="str">
        <f>IF($C854="","",IFERROR(INDEX(Productos!$D$5:$D$504,MATCH($C854,Productos!$A$5:$A$504,0)),""))</f>
        <v/>
      </c>
      <c r="F854" s="20"/>
      <c r="G854" s="22" t="str">
        <f>IF($C854="","",IFERROR(INDEX(Productos!$F$5:$F$504,MATCH($C854,Productos!$A$5:$A$504,0)),0))</f>
        <v/>
      </c>
      <c r="H854" s="22" t="str">
        <f t="shared" si="13"/>
        <v/>
      </c>
      <c r="I854" s="14" t="str">
        <f>IF(OR($C854="",$F854=""),"",IFERROR(INDEX(Productos!$I$5:$I$504,MATCH($C854,Productos!$A$5:$A$504,0)),0)+SUMIFS($F$5:$F854,$C$5:$C854,$C854,$B$5:$B854,"Entrada")-SUMIFS($F$5:$F854,$C$5:$C854,$C854,$B$5:$B854,"Salida"))</f>
        <v/>
      </c>
      <c r="J854" s="20"/>
      <c r="K854" s="20"/>
      <c r="L854" s="20"/>
      <c r="M854" s="14" t="str">
        <f>IF(AND($C854&lt;&gt;"",$C854=Kardex!$C$4),COUNTIF($C$5:$C854,Kardex!$C$4),"")</f>
        <v/>
      </c>
    </row>
    <row r="855" spans="1:13" x14ac:dyDescent="0.25">
      <c r="A855" s="24"/>
      <c r="B855" s="20"/>
      <c r="C855" s="20"/>
      <c r="D855" s="14" t="str">
        <f>IF($C855="","",IFERROR(INDEX(Productos!$B$5:$B$504,MATCH($C855,Productos!$A$5:$A$504,0)),"Clave no existe"))</f>
        <v/>
      </c>
      <c r="E855" s="14" t="str">
        <f>IF($C855="","",IFERROR(INDEX(Productos!$D$5:$D$504,MATCH($C855,Productos!$A$5:$A$504,0)),""))</f>
        <v/>
      </c>
      <c r="F855" s="20"/>
      <c r="G855" s="22" t="str">
        <f>IF($C855="","",IFERROR(INDEX(Productos!$F$5:$F$504,MATCH($C855,Productos!$A$5:$A$504,0)),0))</f>
        <v/>
      </c>
      <c r="H855" s="22" t="str">
        <f t="shared" si="13"/>
        <v/>
      </c>
      <c r="I855" s="14" t="str">
        <f>IF(OR($C855="",$F855=""),"",IFERROR(INDEX(Productos!$I$5:$I$504,MATCH($C855,Productos!$A$5:$A$504,0)),0)+SUMIFS($F$5:$F855,$C$5:$C855,$C855,$B$5:$B855,"Entrada")-SUMIFS($F$5:$F855,$C$5:$C855,$C855,$B$5:$B855,"Salida"))</f>
        <v/>
      </c>
      <c r="J855" s="20"/>
      <c r="K855" s="20"/>
      <c r="L855" s="20"/>
      <c r="M855" s="14" t="str">
        <f>IF(AND($C855&lt;&gt;"",$C855=Kardex!$C$4),COUNTIF($C$5:$C855,Kardex!$C$4),"")</f>
        <v/>
      </c>
    </row>
    <row r="856" spans="1:13" x14ac:dyDescent="0.25">
      <c r="A856" s="24"/>
      <c r="B856" s="20"/>
      <c r="C856" s="20"/>
      <c r="D856" s="14" t="str">
        <f>IF($C856="","",IFERROR(INDEX(Productos!$B$5:$B$504,MATCH($C856,Productos!$A$5:$A$504,0)),"Clave no existe"))</f>
        <v/>
      </c>
      <c r="E856" s="14" t="str">
        <f>IF($C856="","",IFERROR(INDEX(Productos!$D$5:$D$504,MATCH($C856,Productos!$A$5:$A$504,0)),""))</f>
        <v/>
      </c>
      <c r="F856" s="20"/>
      <c r="G856" s="22" t="str">
        <f>IF($C856="","",IFERROR(INDEX(Productos!$F$5:$F$504,MATCH($C856,Productos!$A$5:$A$504,0)),0))</f>
        <v/>
      </c>
      <c r="H856" s="22" t="str">
        <f t="shared" si="13"/>
        <v/>
      </c>
      <c r="I856" s="14" t="str">
        <f>IF(OR($C856="",$F856=""),"",IFERROR(INDEX(Productos!$I$5:$I$504,MATCH($C856,Productos!$A$5:$A$504,0)),0)+SUMIFS($F$5:$F856,$C$5:$C856,$C856,$B$5:$B856,"Entrada")-SUMIFS($F$5:$F856,$C$5:$C856,$C856,$B$5:$B856,"Salida"))</f>
        <v/>
      </c>
      <c r="J856" s="20"/>
      <c r="K856" s="20"/>
      <c r="L856" s="20"/>
      <c r="M856" s="14" t="str">
        <f>IF(AND($C856&lt;&gt;"",$C856=Kardex!$C$4),COUNTIF($C$5:$C856,Kardex!$C$4),"")</f>
        <v/>
      </c>
    </row>
    <row r="857" spans="1:13" x14ac:dyDescent="0.25">
      <c r="A857" s="24"/>
      <c r="B857" s="20"/>
      <c r="C857" s="20"/>
      <c r="D857" s="14" t="str">
        <f>IF($C857="","",IFERROR(INDEX(Productos!$B$5:$B$504,MATCH($C857,Productos!$A$5:$A$504,0)),"Clave no existe"))</f>
        <v/>
      </c>
      <c r="E857" s="14" t="str">
        <f>IF($C857="","",IFERROR(INDEX(Productos!$D$5:$D$504,MATCH($C857,Productos!$A$5:$A$504,0)),""))</f>
        <v/>
      </c>
      <c r="F857" s="20"/>
      <c r="G857" s="22" t="str">
        <f>IF($C857="","",IFERROR(INDEX(Productos!$F$5:$F$504,MATCH($C857,Productos!$A$5:$A$504,0)),0))</f>
        <v/>
      </c>
      <c r="H857" s="22" t="str">
        <f t="shared" si="13"/>
        <v/>
      </c>
      <c r="I857" s="14" t="str">
        <f>IF(OR($C857="",$F857=""),"",IFERROR(INDEX(Productos!$I$5:$I$504,MATCH($C857,Productos!$A$5:$A$504,0)),0)+SUMIFS($F$5:$F857,$C$5:$C857,$C857,$B$5:$B857,"Entrada")-SUMIFS($F$5:$F857,$C$5:$C857,$C857,$B$5:$B857,"Salida"))</f>
        <v/>
      </c>
      <c r="J857" s="20"/>
      <c r="K857" s="20"/>
      <c r="L857" s="20"/>
      <c r="M857" s="14" t="str">
        <f>IF(AND($C857&lt;&gt;"",$C857=Kardex!$C$4),COUNTIF($C$5:$C857,Kardex!$C$4),"")</f>
        <v/>
      </c>
    </row>
    <row r="858" spans="1:13" x14ac:dyDescent="0.25">
      <c r="A858" s="24"/>
      <c r="B858" s="20"/>
      <c r="C858" s="20"/>
      <c r="D858" s="14" t="str">
        <f>IF($C858="","",IFERROR(INDEX(Productos!$B$5:$B$504,MATCH($C858,Productos!$A$5:$A$504,0)),"Clave no existe"))</f>
        <v/>
      </c>
      <c r="E858" s="14" t="str">
        <f>IF($C858="","",IFERROR(INDEX(Productos!$D$5:$D$504,MATCH($C858,Productos!$A$5:$A$504,0)),""))</f>
        <v/>
      </c>
      <c r="F858" s="20"/>
      <c r="G858" s="22" t="str">
        <f>IF($C858="","",IFERROR(INDEX(Productos!$F$5:$F$504,MATCH($C858,Productos!$A$5:$A$504,0)),0))</f>
        <v/>
      </c>
      <c r="H858" s="22" t="str">
        <f t="shared" si="13"/>
        <v/>
      </c>
      <c r="I858" s="14" t="str">
        <f>IF(OR($C858="",$F858=""),"",IFERROR(INDEX(Productos!$I$5:$I$504,MATCH($C858,Productos!$A$5:$A$504,0)),0)+SUMIFS($F$5:$F858,$C$5:$C858,$C858,$B$5:$B858,"Entrada")-SUMIFS($F$5:$F858,$C$5:$C858,$C858,$B$5:$B858,"Salida"))</f>
        <v/>
      </c>
      <c r="J858" s="20"/>
      <c r="K858" s="20"/>
      <c r="L858" s="20"/>
      <c r="M858" s="14" t="str">
        <f>IF(AND($C858&lt;&gt;"",$C858=Kardex!$C$4),COUNTIF($C$5:$C858,Kardex!$C$4),"")</f>
        <v/>
      </c>
    </row>
    <row r="859" spans="1:13" x14ac:dyDescent="0.25">
      <c r="A859" s="24"/>
      <c r="B859" s="20"/>
      <c r="C859" s="20"/>
      <c r="D859" s="14" t="str">
        <f>IF($C859="","",IFERROR(INDEX(Productos!$B$5:$B$504,MATCH($C859,Productos!$A$5:$A$504,0)),"Clave no existe"))</f>
        <v/>
      </c>
      <c r="E859" s="14" t="str">
        <f>IF($C859="","",IFERROR(INDEX(Productos!$D$5:$D$504,MATCH($C859,Productos!$A$5:$A$504,0)),""))</f>
        <v/>
      </c>
      <c r="F859" s="20"/>
      <c r="G859" s="22" t="str">
        <f>IF($C859="","",IFERROR(INDEX(Productos!$F$5:$F$504,MATCH($C859,Productos!$A$5:$A$504,0)),0))</f>
        <v/>
      </c>
      <c r="H859" s="22" t="str">
        <f t="shared" si="13"/>
        <v/>
      </c>
      <c r="I859" s="14" t="str">
        <f>IF(OR($C859="",$F859=""),"",IFERROR(INDEX(Productos!$I$5:$I$504,MATCH($C859,Productos!$A$5:$A$504,0)),0)+SUMIFS($F$5:$F859,$C$5:$C859,$C859,$B$5:$B859,"Entrada")-SUMIFS($F$5:$F859,$C$5:$C859,$C859,$B$5:$B859,"Salida"))</f>
        <v/>
      </c>
      <c r="J859" s="20"/>
      <c r="K859" s="20"/>
      <c r="L859" s="20"/>
      <c r="M859" s="14" t="str">
        <f>IF(AND($C859&lt;&gt;"",$C859=Kardex!$C$4),COUNTIF($C$5:$C859,Kardex!$C$4),"")</f>
        <v/>
      </c>
    </row>
    <row r="860" spans="1:13" x14ac:dyDescent="0.25">
      <c r="A860" s="24"/>
      <c r="B860" s="20"/>
      <c r="C860" s="20"/>
      <c r="D860" s="14" t="str">
        <f>IF($C860="","",IFERROR(INDEX(Productos!$B$5:$B$504,MATCH($C860,Productos!$A$5:$A$504,0)),"Clave no existe"))</f>
        <v/>
      </c>
      <c r="E860" s="14" t="str">
        <f>IF($C860="","",IFERROR(INDEX(Productos!$D$5:$D$504,MATCH($C860,Productos!$A$5:$A$504,0)),""))</f>
        <v/>
      </c>
      <c r="F860" s="20"/>
      <c r="G860" s="22" t="str">
        <f>IF($C860="","",IFERROR(INDEX(Productos!$F$5:$F$504,MATCH($C860,Productos!$A$5:$A$504,0)),0))</f>
        <v/>
      </c>
      <c r="H860" s="22" t="str">
        <f t="shared" si="13"/>
        <v/>
      </c>
      <c r="I860" s="14" t="str">
        <f>IF(OR($C860="",$F860=""),"",IFERROR(INDEX(Productos!$I$5:$I$504,MATCH($C860,Productos!$A$5:$A$504,0)),0)+SUMIFS($F$5:$F860,$C$5:$C860,$C860,$B$5:$B860,"Entrada")-SUMIFS($F$5:$F860,$C$5:$C860,$C860,$B$5:$B860,"Salida"))</f>
        <v/>
      </c>
      <c r="J860" s="20"/>
      <c r="K860" s="20"/>
      <c r="L860" s="20"/>
      <c r="M860" s="14" t="str">
        <f>IF(AND($C860&lt;&gt;"",$C860=Kardex!$C$4),COUNTIF($C$5:$C860,Kardex!$C$4),"")</f>
        <v/>
      </c>
    </row>
    <row r="861" spans="1:13" x14ac:dyDescent="0.25">
      <c r="A861" s="24"/>
      <c r="B861" s="20"/>
      <c r="C861" s="20"/>
      <c r="D861" s="14" t="str">
        <f>IF($C861="","",IFERROR(INDEX(Productos!$B$5:$B$504,MATCH($C861,Productos!$A$5:$A$504,0)),"Clave no existe"))</f>
        <v/>
      </c>
      <c r="E861" s="14" t="str">
        <f>IF($C861="","",IFERROR(INDEX(Productos!$D$5:$D$504,MATCH($C861,Productos!$A$5:$A$504,0)),""))</f>
        <v/>
      </c>
      <c r="F861" s="20"/>
      <c r="G861" s="22" t="str">
        <f>IF($C861="","",IFERROR(INDEX(Productos!$F$5:$F$504,MATCH($C861,Productos!$A$5:$A$504,0)),0))</f>
        <v/>
      </c>
      <c r="H861" s="22" t="str">
        <f t="shared" si="13"/>
        <v/>
      </c>
      <c r="I861" s="14" t="str">
        <f>IF(OR($C861="",$F861=""),"",IFERROR(INDEX(Productos!$I$5:$I$504,MATCH($C861,Productos!$A$5:$A$504,0)),0)+SUMIFS($F$5:$F861,$C$5:$C861,$C861,$B$5:$B861,"Entrada")-SUMIFS($F$5:$F861,$C$5:$C861,$C861,$B$5:$B861,"Salida"))</f>
        <v/>
      </c>
      <c r="J861" s="20"/>
      <c r="K861" s="20"/>
      <c r="L861" s="20"/>
      <c r="M861" s="14" t="str">
        <f>IF(AND($C861&lt;&gt;"",$C861=Kardex!$C$4),COUNTIF($C$5:$C861,Kardex!$C$4),"")</f>
        <v/>
      </c>
    </row>
    <row r="862" spans="1:13" x14ac:dyDescent="0.25">
      <c r="A862" s="24"/>
      <c r="B862" s="20"/>
      <c r="C862" s="20"/>
      <c r="D862" s="14" t="str">
        <f>IF($C862="","",IFERROR(INDEX(Productos!$B$5:$B$504,MATCH($C862,Productos!$A$5:$A$504,0)),"Clave no existe"))</f>
        <v/>
      </c>
      <c r="E862" s="14" t="str">
        <f>IF($C862="","",IFERROR(INDEX(Productos!$D$5:$D$504,MATCH($C862,Productos!$A$5:$A$504,0)),""))</f>
        <v/>
      </c>
      <c r="F862" s="20"/>
      <c r="G862" s="22" t="str">
        <f>IF($C862="","",IFERROR(INDEX(Productos!$F$5:$F$504,MATCH($C862,Productos!$A$5:$A$504,0)),0))</f>
        <v/>
      </c>
      <c r="H862" s="22" t="str">
        <f t="shared" si="13"/>
        <v/>
      </c>
      <c r="I862" s="14" t="str">
        <f>IF(OR($C862="",$F862=""),"",IFERROR(INDEX(Productos!$I$5:$I$504,MATCH($C862,Productos!$A$5:$A$504,0)),0)+SUMIFS($F$5:$F862,$C$5:$C862,$C862,$B$5:$B862,"Entrada")-SUMIFS($F$5:$F862,$C$5:$C862,$C862,$B$5:$B862,"Salida"))</f>
        <v/>
      </c>
      <c r="J862" s="20"/>
      <c r="K862" s="20"/>
      <c r="L862" s="20"/>
      <c r="M862" s="14" t="str">
        <f>IF(AND($C862&lt;&gt;"",$C862=Kardex!$C$4),COUNTIF($C$5:$C862,Kardex!$C$4),"")</f>
        <v/>
      </c>
    </row>
    <row r="863" spans="1:13" x14ac:dyDescent="0.25">
      <c r="A863" s="24"/>
      <c r="B863" s="20"/>
      <c r="C863" s="20"/>
      <c r="D863" s="14" t="str">
        <f>IF($C863="","",IFERROR(INDEX(Productos!$B$5:$B$504,MATCH($C863,Productos!$A$5:$A$504,0)),"Clave no existe"))</f>
        <v/>
      </c>
      <c r="E863" s="14" t="str">
        <f>IF($C863="","",IFERROR(INDEX(Productos!$D$5:$D$504,MATCH($C863,Productos!$A$5:$A$504,0)),""))</f>
        <v/>
      </c>
      <c r="F863" s="20"/>
      <c r="G863" s="22" t="str">
        <f>IF($C863="","",IFERROR(INDEX(Productos!$F$5:$F$504,MATCH($C863,Productos!$A$5:$A$504,0)),0))</f>
        <v/>
      </c>
      <c r="H863" s="22" t="str">
        <f t="shared" si="13"/>
        <v/>
      </c>
      <c r="I863" s="14" t="str">
        <f>IF(OR($C863="",$F863=""),"",IFERROR(INDEX(Productos!$I$5:$I$504,MATCH($C863,Productos!$A$5:$A$504,0)),0)+SUMIFS($F$5:$F863,$C$5:$C863,$C863,$B$5:$B863,"Entrada")-SUMIFS($F$5:$F863,$C$5:$C863,$C863,$B$5:$B863,"Salida"))</f>
        <v/>
      </c>
      <c r="J863" s="20"/>
      <c r="K863" s="20"/>
      <c r="L863" s="20"/>
      <c r="M863" s="14" t="str">
        <f>IF(AND($C863&lt;&gt;"",$C863=Kardex!$C$4),COUNTIF($C$5:$C863,Kardex!$C$4),"")</f>
        <v/>
      </c>
    </row>
    <row r="864" spans="1:13" x14ac:dyDescent="0.25">
      <c r="A864" s="24"/>
      <c r="B864" s="20"/>
      <c r="C864" s="20"/>
      <c r="D864" s="14" t="str">
        <f>IF($C864="","",IFERROR(INDEX(Productos!$B$5:$B$504,MATCH($C864,Productos!$A$5:$A$504,0)),"Clave no existe"))</f>
        <v/>
      </c>
      <c r="E864" s="14" t="str">
        <f>IF($C864="","",IFERROR(INDEX(Productos!$D$5:$D$504,MATCH($C864,Productos!$A$5:$A$504,0)),""))</f>
        <v/>
      </c>
      <c r="F864" s="20"/>
      <c r="G864" s="22" t="str">
        <f>IF($C864="","",IFERROR(INDEX(Productos!$F$5:$F$504,MATCH($C864,Productos!$A$5:$A$504,0)),0))</f>
        <v/>
      </c>
      <c r="H864" s="22" t="str">
        <f t="shared" si="13"/>
        <v/>
      </c>
      <c r="I864" s="14" t="str">
        <f>IF(OR($C864="",$F864=""),"",IFERROR(INDEX(Productos!$I$5:$I$504,MATCH($C864,Productos!$A$5:$A$504,0)),0)+SUMIFS($F$5:$F864,$C$5:$C864,$C864,$B$5:$B864,"Entrada")-SUMIFS($F$5:$F864,$C$5:$C864,$C864,$B$5:$B864,"Salida"))</f>
        <v/>
      </c>
      <c r="J864" s="20"/>
      <c r="K864" s="20"/>
      <c r="L864" s="20"/>
      <c r="M864" s="14" t="str">
        <f>IF(AND($C864&lt;&gt;"",$C864=Kardex!$C$4),COUNTIF($C$5:$C864,Kardex!$C$4),"")</f>
        <v/>
      </c>
    </row>
    <row r="865" spans="1:13" x14ac:dyDescent="0.25">
      <c r="A865" s="24"/>
      <c r="B865" s="20"/>
      <c r="C865" s="20"/>
      <c r="D865" s="14" t="str">
        <f>IF($C865="","",IFERROR(INDEX(Productos!$B$5:$B$504,MATCH($C865,Productos!$A$5:$A$504,0)),"Clave no existe"))</f>
        <v/>
      </c>
      <c r="E865" s="14" t="str">
        <f>IF($C865="","",IFERROR(INDEX(Productos!$D$5:$D$504,MATCH($C865,Productos!$A$5:$A$504,0)),""))</f>
        <v/>
      </c>
      <c r="F865" s="20"/>
      <c r="G865" s="22" t="str">
        <f>IF($C865="","",IFERROR(INDEX(Productos!$F$5:$F$504,MATCH($C865,Productos!$A$5:$A$504,0)),0))</f>
        <v/>
      </c>
      <c r="H865" s="22" t="str">
        <f t="shared" si="13"/>
        <v/>
      </c>
      <c r="I865" s="14" t="str">
        <f>IF(OR($C865="",$F865=""),"",IFERROR(INDEX(Productos!$I$5:$I$504,MATCH($C865,Productos!$A$5:$A$504,0)),0)+SUMIFS($F$5:$F865,$C$5:$C865,$C865,$B$5:$B865,"Entrada")-SUMIFS($F$5:$F865,$C$5:$C865,$C865,$B$5:$B865,"Salida"))</f>
        <v/>
      </c>
      <c r="J865" s="20"/>
      <c r="K865" s="20"/>
      <c r="L865" s="20"/>
      <c r="M865" s="14" t="str">
        <f>IF(AND($C865&lt;&gt;"",$C865=Kardex!$C$4),COUNTIF($C$5:$C865,Kardex!$C$4),"")</f>
        <v/>
      </c>
    </row>
    <row r="866" spans="1:13" x14ac:dyDescent="0.25">
      <c r="A866" s="24"/>
      <c r="B866" s="20"/>
      <c r="C866" s="20"/>
      <c r="D866" s="14" t="str">
        <f>IF($C866="","",IFERROR(INDEX(Productos!$B$5:$B$504,MATCH($C866,Productos!$A$5:$A$504,0)),"Clave no existe"))</f>
        <v/>
      </c>
      <c r="E866" s="14" t="str">
        <f>IF($C866="","",IFERROR(INDEX(Productos!$D$5:$D$504,MATCH($C866,Productos!$A$5:$A$504,0)),""))</f>
        <v/>
      </c>
      <c r="F866" s="20"/>
      <c r="G866" s="22" t="str">
        <f>IF($C866="","",IFERROR(INDEX(Productos!$F$5:$F$504,MATCH($C866,Productos!$A$5:$A$504,0)),0))</f>
        <v/>
      </c>
      <c r="H866" s="22" t="str">
        <f t="shared" si="13"/>
        <v/>
      </c>
      <c r="I866" s="14" t="str">
        <f>IF(OR($C866="",$F866=""),"",IFERROR(INDEX(Productos!$I$5:$I$504,MATCH($C866,Productos!$A$5:$A$504,0)),0)+SUMIFS($F$5:$F866,$C$5:$C866,$C866,$B$5:$B866,"Entrada")-SUMIFS($F$5:$F866,$C$5:$C866,$C866,$B$5:$B866,"Salida"))</f>
        <v/>
      </c>
      <c r="J866" s="20"/>
      <c r="K866" s="20"/>
      <c r="L866" s="20"/>
      <c r="M866" s="14" t="str">
        <f>IF(AND($C866&lt;&gt;"",$C866=Kardex!$C$4),COUNTIF($C$5:$C866,Kardex!$C$4),"")</f>
        <v/>
      </c>
    </row>
    <row r="867" spans="1:13" x14ac:dyDescent="0.25">
      <c r="A867" s="24"/>
      <c r="B867" s="20"/>
      <c r="C867" s="20"/>
      <c r="D867" s="14" t="str">
        <f>IF($C867="","",IFERROR(INDEX(Productos!$B$5:$B$504,MATCH($C867,Productos!$A$5:$A$504,0)),"Clave no existe"))</f>
        <v/>
      </c>
      <c r="E867" s="14" t="str">
        <f>IF($C867="","",IFERROR(INDEX(Productos!$D$5:$D$504,MATCH($C867,Productos!$A$5:$A$504,0)),""))</f>
        <v/>
      </c>
      <c r="F867" s="20"/>
      <c r="G867" s="22" t="str">
        <f>IF($C867="","",IFERROR(INDEX(Productos!$F$5:$F$504,MATCH($C867,Productos!$A$5:$A$504,0)),0))</f>
        <v/>
      </c>
      <c r="H867" s="22" t="str">
        <f t="shared" si="13"/>
        <v/>
      </c>
      <c r="I867" s="14" t="str">
        <f>IF(OR($C867="",$F867=""),"",IFERROR(INDEX(Productos!$I$5:$I$504,MATCH($C867,Productos!$A$5:$A$504,0)),0)+SUMIFS($F$5:$F867,$C$5:$C867,$C867,$B$5:$B867,"Entrada")-SUMIFS($F$5:$F867,$C$5:$C867,$C867,$B$5:$B867,"Salida"))</f>
        <v/>
      </c>
      <c r="J867" s="20"/>
      <c r="K867" s="20"/>
      <c r="L867" s="20"/>
      <c r="M867" s="14" t="str">
        <f>IF(AND($C867&lt;&gt;"",$C867=Kardex!$C$4),COUNTIF($C$5:$C867,Kardex!$C$4),"")</f>
        <v/>
      </c>
    </row>
    <row r="868" spans="1:13" x14ac:dyDescent="0.25">
      <c r="A868" s="24"/>
      <c r="B868" s="20"/>
      <c r="C868" s="20"/>
      <c r="D868" s="14" t="str">
        <f>IF($C868="","",IFERROR(INDEX(Productos!$B$5:$B$504,MATCH($C868,Productos!$A$5:$A$504,0)),"Clave no existe"))</f>
        <v/>
      </c>
      <c r="E868" s="14" t="str">
        <f>IF($C868="","",IFERROR(INDEX(Productos!$D$5:$D$504,MATCH($C868,Productos!$A$5:$A$504,0)),""))</f>
        <v/>
      </c>
      <c r="F868" s="20"/>
      <c r="G868" s="22" t="str">
        <f>IF($C868="","",IFERROR(INDEX(Productos!$F$5:$F$504,MATCH($C868,Productos!$A$5:$A$504,0)),0))</f>
        <v/>
      </c>
      <c r="H868" s="22" t="str">
        <f t="shared" si="13"/>
        <v/>
      </c>
      <c r="I868" s="14" t="str">
        <f>IF(OR($C868="",$F868=""),"",IFERROR(INDEX(Productos!$I$5:$I$504,MATCH($C868,Productos!$A$5:$A$504,0)),0)+SUMIFS($F$5:$F868,$C$5:$C868,$C868,$B$5:$B868,"Entrada")-SUMIFS($F$5:$F868,$C$5:$C868,$C868,$B$5:$B868,"Salida"))</f>
        <v/>
      </c>
      <c r="J868" s="20"/>
      <c r="K868" s="20"/>
      <c r="L868" s="20"/>
      <c r="M868" s="14" t="str">
        <f>IF(AND($C868&lt;&gt;"",$C868=Kardex!$C$4),COUNTIF($C$5:$C868,Kardex!$C$4),"")</f>
        <v/>
      </c>
    </row>
    <row r="869" spans="1:13" x14ac:dyDescent="0.25">
      <c r="A869" s="24"/>
      <c r="B869" s="20"/>
      <c r="C869" s="20"/>
      <c r="D869" s="14" t="str">
        <f>IF($C869="","",IFERROR(INDEX(Productos!$B$5:$B$504,MATCH($C869,Productos!$A$5:$A$504,0)),"Clave no existe"))</f>
        <v/>
      </c>
      <c r="E869" s="14" t="str">
        <f>IF($C869="","",IFERROR(INDEX(Productos!$D$5:$D$504,MATCH($C869,Productos!$A$5:$A$504,0)),""))</f>
        <v/>
      </c>
      <c r="F869" s="20"/>
      <c r="G869" s="22" t="str">
        <f>IF($C869="","",IFERROR(INDEX(Productos!$F$5:$F$504,MATCH($C869,Productos!$A$5:$A$504,0)),0))</f>
        <v/>
      </c>
      <c r="H869" s="22" t="str">
        <f t="shared" si="13"/>
        <v/>
      </c>
      <c r="I869" s="14" t="str">
        <f>IF(OR($C869="",$F869=""),"",IFERROR(INDEX(Productos!$I$5:$I$504,MATCH($C869,Productos!$A$5:$A$504,0)),0)+SUMIFS($F$5:$F869,$C$5:$C869,$C869,$B$5:$B869,"Entrada")-SUMIFS($F$5:$F869,$C$5:$C869,$C869,$B$5:$B869,"Salida"))</f>
        <v/>
      </c>
      <c r="J869" s="20"/>
      <c r="K869" s="20"/>
      <c r="L869" s="20"/>
      <c r="M869" s="14" t="str">
        <f>IF(AND($C869&lt;&gt;"",$C869=Kardex!$C$4),COUNTIF($C$5:$C869,Kardex!$C$4),"")</f>
        <v/>
      </c>
    </row>
    <row r="870" spans="1:13" x14ac:dyDescent="0.25">
      <c r="A870" s="24"/>
      <c r="B870" s="20"/>
      <c r="C870" s="20"/>
      <c r="D870" s="14" t="str">
        <f>IF($C870="","",IFERROR(INDEX(Productos!$B$5:$B$504,MATCH($C870,Productos!$A$5:$A$504,0)),"Clave no existe"))</f>
        <v/>
      </c>
      <c r="E870" s="14" t="str">
        <f>IF($C870="","",IFERROR(INDEX(Productos!$D$5:$D$504,MATCH($C870,Productos!$A$5:$A$504,0)),""))</f>
        <v/>
      </c>
      <c r="F870" s="20"/>
      <c r="G870" s="22" t="str">
        <f>IF($C870="","",IFERROR(INDEX(Productos!$F$5:$F$504,MATCH($C870,Productos!$A$5:$A$504,0)),0))</f>
        <v/>
      </c>
      <c r="H870" s="22" t="str">
        <f t="shared" si="13"/>
        <v/>
      </c>
      <c r="I870" s="14" t="str">
        <f>IF(OR($C870="",$F870=""),"",IFERROR(INDEX(Productos!$I$5:$I$504,MATCH($C870,Productos!$A$5:$A$504,0)),0)+SUMIFS($F$5:$F870,$C$5:$C870,$C870,$B$5:$B870,"Entrada")-SUMIFS($F$5:$F870,$C$5:$C870,$C870,$B$5:$B870,"Salida"))</f>
        <v/>
      </c>
      <c r="J870" s="20"/>
      <c r="K870" s="20"/>
      <c r="L870" s="20"/>
      <c r="M870" s="14" t="str">
        <f>IF(AND($C870&lt;&gt;"",$C870=Kardex!$C$4),COUNTIF($C$5:$C870,Kardex!$C$4),"")</f>
        <v/>
      </c>
    </row>
    <row r="871" spans="1:13" x14ac:dyDescent="0.25">
      <c r="A871" s="24"/>
      <c r="B871" s="20"/>
      <c r="C871" s="20"/>
      <c r="D871" s="14" t="str">
        <f>IF($C871="","",IFERROR(INDEX(Productos!$B$5:$B$504,MATCH($C871,Productos!$A$5:$A$504,0)),"Clave no existe"))</f>
        <v/>
      </c>
      <c r="E871" s="14" t="str">
        <f>IF($C871="","",IFERROR(INDEX(Productos!$D$5:$D$504,MATCH($C871,Productos!$A$5:$A$504,0)),""))</f>
        <v/>
      </c>
      <c r="F871" s="20"/>
      <c r="G871" s="22" t="str">
        <f>IF($C871="","",IFERROR(INDEX(Productos!$F$5:$F$504,MATCH($C871,Productos!$A$5:$A$504,0)),0))</f>
        <v/>
      </c>
      <c r="H871" s="22" t="str">
        <f t="shared" si="13"/>
        <v/>
      </c>
      <c r="I871" s="14" t="str">
        <f>IF(OR($C871="",$F871=""),"",IFERROR(INDEX(Productos!$I$5:$I$504,MATCH($C871,Productos!$A$5:$A$504,0)),0)+SUMIFS($F$5:$F871,$C$5:$C871,$C871,$B$5:$B871,"Entrada")-SUMIFS($F$5:$F871,$C$5:$C871,$C871,$B$5:$B871,"Salida"))</f>
        <v/>
      </c>
      <c r="J871" s="20"/>
      <c r="K871" s="20"/>
      <c r="L871" s="20"/>
      <c r="M871" s="14" t="str">
        <f>IF(AND($C871&lt;&gt;"",$C871=Kardex!$C$4),COUNTIF($C$5:$C871,Kardex!$C$4),"")</f>
        <v/>
      </c>
    </row>
    <row r="872" spans="1:13" x14ac:dyDescent="0.25">
      <c r="A872" s="24"/>
      <c r="B872" s="20"/>
      <c r="C872" s="20"/>
      <c r="D872" s="14" t="str">
        <f>IF($C872="","",IFERROR(INDEX(Productos!$B$5:$B$504,MATCH($C872,Productos!$A$5:$A$504,0)),"Clave no existe"))</f>
        <v/>
      </c>
      <c r="E872" s="14" t="str">
        <f>IF($C872="","",IFERROR(INDEX(Productos!$D$5:$D$504,MATCH($C872,Productos!$A$5:$A$504,0)),""))</f>
        <v/>
      </c>
      <c r="F872" s="20"/>
      <c r="G872" s="22" t="str">
        <f>IF($C872="","",IFERROR(INDEX(Productos!$F$5:$F$504,MATCH($C872,Productos!$A$5:$A$504,0)),0))</f>
        <v/>
      </c>
      <c r="H872" s="22" t="str">
        <f t="shared" si="13"/>
        <v/>
      </c>
      <c r="I872" s="14" t="str">
        <f>IF(OR($C872="",$F872=""),"",IFERROR(INDEX(Productos!$I$5:$I$504,MATCH($C872,Productos!$A$5:$A$504,0)),0)+SUMIFS($F$5:$F872,$C$5:$C872,$C872,$B$5:$B872,"Entrada")-SUMIFS($F$5:$F872,$C$5:$C872,$C872,$B$5:$B872,"Salida"))</f>
        <v/>
      </c>
      <c r="J872" s="20"/>
      <c r="K872" s="20"/>
      <c r="L872" s="20"/>
      <c r="M872" s="14" t="str">
        <f>IF(AND($C872&lt;&gt;"",$C872=Kardex!$C$4),COUNTIF($C$5:$C872,Kardex!$C$4),"")</f>
        <v/>
      </c>
    </row>
    <row r="873" spans="1:13" x14ac:dyDescent="0.25">
      <c r="A873" s="24"/>
      <c r="B873" s="20"/>
      <c r="C873" s="20"/>
      <c r="D873" s="14" t="str">
        <f>IF($C873="","",IFERROR(INDEX(Productos!$B$5:$B$504,MATCH($C873,Productos!$A$5:$A$504,0)),"Clave no existe"))</f>
        <v/>
      </c>
      <c r="E873" s="14" t="str">
        <f>IF($C873="","",IFERROR(INDEX(Productos!$D$5:$D$504,MATCH($C873,Productos!$A$5:$A$504,0)),""))</f>
        <v/>
      </c>
      <c r="F873" s="20"/>
      <c r="G873" s="22" t="str">
        <f>IF($C873="","",IFERROR(INDEX(Productos!$F$5:$F$504,MATCH($C873,Productos!$A$5:$A$504,0)),0))</f>
        <v/>
      </c>
      <c r="H873" s="22" t="str">
        <f t="shared" si="13"/>
        <v/>
      </c>
      <c r="I873" s="14" t="str">
        <f>IF(OR($C873="",$F873=""),"",IFERROR(INDEX(Productos!$I$5:$I$504,MATCH($C873,Productos!$A$5:$A$504,0)),0)+SUMIFS($F$5:$F873,$C$5:$C873,$C873,$B$5:$B873,"Entrada")-SUMIFS($F$5:$F873,$C$5:$C873,$C873,$B$5:$B873,"Salida"))</f>
        <v/>
      </c>
      <c r="J873" s="20"/>
      <c r="K873" s="20"/>
      <c r="L873" s="20"/>
      <c r="M873" s="14" t="str">
        <f>IF(AND($C873&lt;&gt;"",$C873=Kardex!$C$4),COUNTIF($C$5:$C873,Kardex!$C$4),"")</f>
        <v/>
      </c>
    </row>
    <row r="874" spans="1:13" x14ac:dyDescent="0.25">
      <c r="A874" s="24"/>
      <c r="B874" s="20"/>
      <c r="C874" s="20"/>
      <c r="D874" s="14" t="str">
        <f>IF($C874="","",IFERROR(INDEX(Productos!$B$5:$B$504,MATCH($C874,Productos!$A$5:$A$504,0)),"Clave no existe"))</f>
        <v/>
      </c>
      <c r="E874" s="14" t="str">
        <f>IF($C874="","",IFERROR(INDEX(Productos!$D$5:$D$504,MATCH($C874,Productos!$A$5:$A$504,0)),""))</f>
        <v/>
      </c>
      <c r="F874" s="20"/>
      <c r="G874" s="22" t="str">
        <f>IF($C874="","",IFERROR(INDEX(Productos!$F$5:$F$504,MATCH($C874,Productos!$A$5:$A$504,0)),0))</f>
        <v/>
      </c>
      <c r="H874" s="22" t="str">
        <f t="shared" si="13"/>
        <v/>
      </c>
      <c r="I874" s="14" t="str">
        <f>IF(OR($C874="",$F874=""),"",IFERROR(INDEX(Productos!$I$5:$I$504,MATCH($C874,Productos!$A$5:$A$504,0)),0)+SUMIFS($F$5:$F874,$C$5:$C874,$C874,$B$5:$B874,"Entrada")-SUMIFS($F$5:$F874,$C$5:$C874,$C874,$B$5:$B874,"Salida"))</f>
        <v/>
      </c>
      <c r="J874" s="20"/>
      <c r="K874" s="20"/>
      <c r="L874" s="20"/>
      <c r="M874" s="14" t="str">
        <f>IF(AND($C874&lt;&gt;"",$C874=Kardex!$C$4),COUNTIF($C$5:$C874,Kardex!$C$4),"")</f>
        <v/>
      </c>
    </row>
    <row r="875" spans="1:13" x14ac:dyDescent="0.25">
      <c r="A875" s="24"/>
      <c r="B875" s="20"/>
      <c r="C875" s="20"/>
      <c r="D875" s="14" t="str">
        <f>IF($C875="","",IFERROR(INDEX(Productos!$B$5:$B$504,MATCH($C875,Productos!$A$5:$A$504,0)),"Clave no existe"))</f>
        <v/>
      </c>
      <c r="E875" s="14" t="str">
        <f>IF($C875="","",IFERROR(INDEX(Productos!$D$5:$D$504,MATCH($C875,Productos!$A$5:$A$504,0)),""))</f>
        <v/>
      </c>
      <c r="F875" s="20"/>
      <c r="G875" s="22" t="str">
        <f>IF($C875="","",IFERROR(INDEX(Productos!$F$5:$F$504,MATCH($C875,Productos!$A$5:$A$504,0)),0))</f>
        <v/>
      </c>
      <c r="H875" s="22" t="str">
        <f t="shared" si="13"/>
        <v/>
      </c>
      <c r="I875" s="14" t="str">
        <f>IF(OR($C875="",$F875=""),"",IFERROR(INDEX(Productos!$I$5:$I$504,MATCH($C875,Productos!$A$5:$A$504,0)),0)+SUMIFS($F$5:$F875,$C$5:$C875,$C875,$B$5:$B875,"Entrada")-SUMIFS($F$5:$F875,$C$5:$C875,$C875,$B$5:$B875,"Salida"))</f>
        <v/>
      </c>
      <c r="J875" s="20"/>
      <c r="K875" s="20"/>
      <c r="L875" s="20"/>
      <c r="M875" s="14" t="str">
        <f>IF(AND($C875&lt;&gt;"",$C875=Kardex!$C$4),COUNTIF($C$5:$C875,Kardex!$C$4),"")</f>
        <v/>
      </c>
    </row>
    <row r="876" spans="1:13" x14ac:dyDescent="0.25">
      <c r="A876" s="24"/>
      <c r="B876" s="20"/>
      <c r="C876" s="20"/>
      <c r="D876" s="14" t="str">
        <f>IF($C876="","",IFERROR(INDEX(Productos!$B$5:$B$504,MATCH($C876,Productos!$A$5:$A$504,0)),"Clave no existe"))</f>
        <v/>
      </c>
      <c r="E876" s="14" t="str">
        <f>IF($C876="","",IFERROR(INDEX(Productos!$D$5:$D$504,MATCH($C876,Productos!$A$5:$A$504,0)),""))</f>
        <v/>
      </c>
      <c r="F876" s="20"/>
      <c r="G876" s="22" t="str">
        <f>IF($C876="","",IFERROR(INDEX(Productos!$F$5:$F$504,MATCH($C876,Productos!$A$5:$A$504,0)),0))</f>
        <v/>
      </c>
      <c r="H876" s="22" t="str">
        <f t="shared" si="13"/>
        <v/>
      </c>
      <c r="I876" s="14" t="str">
        <f>IF(OR($C876="",$F876=""),"",IFERROR(INDEX(Productos!$I$5:$I$504,MATCH($C876,Productos!$A$5:$A$504,0)),0)+SUMIFS($F$5:$F876,$C$5:$C876,$C876,$B$5:$B876,"Entrada")-SUMIFS($F$5:$F876,$C$5:$C876,$C876,$B$5:$B876,"Salida"))</f>
        <v/>
      </c>
      <c r="J876" s="20"/>
      <c r="K876" s="20"/>
      <c r="L876" s="20"/>
      <c r="M876" s="14" t="str">
        <f>IF(AND($C876&lt;&gt;"",$C876=Kardex!$C$4),COUNTIF($C$5:$C876,Kardex!$C$4),"")</f>
        <v/>
      </c>
    </row>
    <row r="877" spans="1:13" x14ac:dyDescent="0.25">
      <c r="A877" s="24"/>
      <c r="B877" s="20"/>
      <c r="C877" s="20"/>
      <c r="D877" s="14" t="str">
        <f>IF($C877="","",IFERROR(INDEX(Productos!$B$5:$B$504,MATCH($C877,Productos!$A$5:$A$504,0)),"Clave no existe"))</f>
        <v/>
      </c>
      <c r="E877" s="14" t="str">
        <f>IF($C877="","",IFERROR(INDEX(Productos!$D$5:$D$504,MATCH($C877,Productos!$A$5:$A$504,0)),""))</f>
        <v/>
      </c>
      <c r="F877" s="20"/>
      <c r="G877" s="22" t="str">
        <f>IF($C877="","",IFERROR(INDEX(Productos!$F$5:$F$504,MATCH($C877,Productos!$A$5:$A$504,0)),0))</f>
        <v/>
      </c>
      <c r="H877" s="22" t="str">
        <f t="shared" si="13"/>
        <v/>
      </c>
      <c r="I877" s="14" t="str">
        <f>IF(OR($C877="",$F877=""),"",IFERROR(INDEX(Productos!$I$5:$I$504,MATCH($C877,Productos!$A$5:$A$504,0)),0)+SUMIFS($F$5:$F877,$C$5:$C877,$C877,$B$5:$B877,"Entrada")-SUMIFS($F$5:$F877,$C$5:$C877,$C877,$B$5:$B877,"Salida"))</f>
        <v/>
      </c>
      <c r="J877" s="20"/>
      <c r="K877" s="20"/>
      <c r="L877" s="20"/>
      <c r="M877" s="14" t="str">
        <f>IF(AND($C877&lt;&gt;"",$C877=Kardex!$C$4),COUNTIF($C$5:$C877,Kardex!$C$4),"")</f>
        <v/>
      </c>
    </row>
    <row r="878" spans="1:13" x14ac:dyDescent="0.25">
      <c r="A878" s="24"/>
      <c r="B878" s="20"/>
      <c r="C878" s="20"/>
      <c r="D878" s="14" t="str">
        <f>IF($C878="","",IFERROR(INDEX(Productos!$B$5:$B$504,MATCH($C878,Productos!$A$5:$A$504,0)),"Clave no existe"))</f>
        <v/>
      </c>
      <c r="E878" s="14" t="str">
        <f>IF($C878="","",IFERROR(INDEX(Productos!$D$5:$D$504,MATCH($C878,Productos!$A$5:$A$504,0)),""))</f>
        <v/>
      </c>
      <c r="F878" s="20"/>
      <c r="G878" s="22" t="str">
        <f>IF($C878="","",IFERROR(INDEX(Productos!$F$5:$F$504,MATCH($C878,Productos!$A$5:$A$504,0)),0))</f>
        <v/>
      </c>
      <c r="H878" s="22" t="str">
        <f t="shared" si="13"/>
        <v/>
      </c>
      <c r="I878" s="14" t="str">
        <f>IF(OR($C878="",$F878=""),"",IFERROR(INDEX(Productos!$I$5:$I$504,MATCH($C878,Productos!$A$5:$A$504,0)),0)+SUMIFS($F$5:$F878,$C$5:$C878,$C878,$B$5:$B878,"Entrada")-SUMIFS($F$5:$F878,$C$5:$C878,$C878,$B$5:$B878,"Salida"))</f>
        <v/>
      </c>
      <c r="J878" s="20"/>
      <c r="K878" s="20"/>
      <c r="L878" s="20"/>
      <c r="M878" s="14" t="str">
        <f>IF(AND($C878&lt;&gt;"",$C878=Kardex!$C$4),COUNTIF($C$5:$C878,Kardex!$C$4),"")</f>
        <v/>
      </c>
    </row>
    <row r="879" spans="1:13" x14ac:dyDescent="0.25">
      <c r="A879" s="24"/>
      <c r="B879" s="20"/>
      <c r="C879" s="20"/>
      <c r="D879" s="14" t="str">
        <f>IF($C879="","",IFERROR(INDEX(Productos!$B$5:$B$504,MATCH($C879,Productos!$A$5:$A$504,0)),"Clave no existe"))</f>
        <v/>
      </c>
      <c r="E879" s="14" t="str">
        <f>IF($C879="","",IFERROR(INDEX(Productos!$D$5:$D$504,MATCH($C879,Productos!$A$5:$A$504,0)),""))</f>
        <v/>
      </c>
      <c r="F879" s="20"/>
      <c r="G879" s="22" t="str">
        <f>IF($C879="","",IFERROR(INDEX(Productos!$F$5:$F$504,MATCH($C879,Productos!$A$5:$A$504,0)),0))</f>
        <v/>
      </c>
      <c r="H879" s="22" t="str">
        <f t="shared" si="13"/>
        <v/>
      </c>
      <c r="I879" s="14" t="str">
        <f>IF(OR($C879="",$F879=""),"",IFERROR(INDEX(Productos!$I$5:$I$504,MATCH($C879,Productos!$A$5:$A$504,0)),0)+SUMIFS($F$5:$F879,$C$5:$C879,$C879,$B$5:$B879,"Entrada")-SUMIFS($F$5:$F879,$C$5:$C879,$C879,$B$5:$B879,"Salida"))</f>
        <v/>
      </c>
      <c r="J879" s="20"/>
      <c r="K879" s="20"/>
      <c r="L879" s="20"/>
      <c r="M879" s="14" t="str">
        <f>IF(AND($C879&lt;&gt;"",$C879=Kardex!$C$4),COUNTIF($C$5:$C879,Kardex!$C$4),"")</f>
        <v/>
      </c>
    </row>
    <row r="880" spans="1:13" x14ac:dyDescent="0.25">
      <c r="A880" s="24"/>
      <c r="B880" s="20"/>
      <c r="C880" s="20"/>
      <c r="D880" s="14" t="str">
        <f>IF($C880="","",IFERROR(INDEX(Productos!$B$5:$B$504,MATCH($C880,Productos!$A$5:$A$504,0)),"Clave no existe"))</f>
        <v/>
      </c>
      <c r="E880" s="14" t="str">
        <f>IF($C880="","",IFERROR(INDEX(Productos!$D$5:$D$504,MATCH($C880,Productos!$A$5:$A$504,0)),""))</f>
        <v/>
      </c>
      <c r="F880" s="20"/>
      <c r="G880" s="22" t="str">
        <f>IF($C880="","",IFERROR(INDEX(Productos!$F$5:$F$504,MATCH($C880,Productos!$A$5:$A$504,0)),0))</f>
        <v/>
      </c>
      <c r="H880" s="22" t="str">
        <f t="shared" si="13"/>
        <v/>
      </c>
      <c r="I880" s="14" t="str">
        <f>IF(OR($C880="",$F880=""),"",IFERROR(INDEX(Productos!$I$5:$I$504,MATCH($C880,Productos!$A$5:$A$504,0)),0)+SUMIFS($F$5:$F880,$C$5:$C880,$C880,$B$5:$B880,"Entrada")-SUMIFS($F$5:$F880,$C$5:$C880,$C880,$B$5:$B880,"Salida"))</f>
        <v/>
      </c>
      <c r="J880" s="20"/>
      <c r="K880" s="20"/>
      <c r="L880" s="20"/>
      <c r="M880" s="14" t="str">
        <f>IF(AND($C880&lt;&gt;"",$C880=Kardex!$C$4),COUNTIF($C$5:$C880,Kardex!$C$4),"")</f>
        <v/>
      </c>
    </row>
    <row r="881" spans="1:13" x14ac:dyDescent="0.25">
      <c r="A881" s="24"/>
      <c r="B881" s="20"/>
      <c r="C881" s="20"/>
      <c r="D881" s="14" t="str">
        <f>IF($C881="","",IFERROR(INDEX(Productos!$B$5:$B$504,MATCH($C881,Productos!$A$5:$A$504,0)),"Clave no existe"))</f>
        <v/>
      </c>
      <c r="E881" s="14" t="str">
        <f>IF($C881="","",IFERROR(INDEX(Productos!$D$5:$D$504,MATCH($C881,Productos!$A$5:$A$504,0)),""))</f>
        <v/>
      </c>
      <c r="F881" s="20"/>
      <c r="G881" s="22" t="str">
        <f>IF($C881="","",IFERROR(INDEX(Productos!$F$5:$F$504,MATCH($C881,Productos!$A$5:$A$504,0)),0))</f>
        <v/>
      </c>
      <c r="H881" s="22" t="str">
        <f t="shared" si="13"/>
        <v/>
      </c>
      <c r="I881" s="14" t="str">
        <f>IF(OR($C881="",$F881=""),"",IFERROR(INDEX(Productos!$I$5:$I$504,MATCH($C881,Productos!$A$5:$A$504,0)),0)+SUMIFS($F$5:$F881,$C$5:$C881,$C881,$B$5:$B881,"Entrada")-SUMIFS($F$5:$F881,$C$5:$C881,$C881,$B$5:$B881,"Salida"))</f>
        <v/>
      </c>
      <c r="J881" s="20"/>
      <c r="K881" s="20"/>
      <c r="L881" s="20"/>
      <c r="M881" s="14" t="str">
        <f>IF(AND($C881&lt;&gt;"",$C881=Kardex!$C$4),COUNTIF($C$5:$C881,Kardex!$C$4),"")</f>
        <v/>
      </c>
    </row>
    <row r="882" spans="1:13" x14ac:dyDescent="0.25">
      <c r="A882" s="24"/>
      <c r="B882" s="20"/>
      <c r="C882" s="20"/>
      <c r="D882" s="14" t="str">
        <f>IF($C882="","",IFERROR(INDEX(Productos!$B$5:$B$504,MATCH($C882,Productos!$A$5:$A$504,0)),"Clave no existe"))</f>
        <v/>
      </c>
      <c r="E882" s="14" t="str">
        <f>IF($C882="","",IFERROR(INDEX(Productos!$D$5:$D$504,MATCH($C882,Productos!$A$5:$A$504,0)),""))</f>
        <v/>
      </c>
      <c r="F882" s="20"/>
      <c r="G882" s="22" t="str">
        <f>IF($C882="","",IFERROR(INDEX(Productos!$F$5:$F$504,MATCH($C882,Productos!$A$5:$A$504,0)),0))</f>
        <v/>
      </c>
      <c r="H882" s="22" t="str">
        <f t="shared" si="13"/>
        <v/>
      </c>
      <c r="I882" s="14" t="str">
        <f>IF(OR($C882="",$F882=""),"",IFERROR(INDEX(Productos!$I$5:$I$504,MATCH($C882,Productos!$A$5:$A$504,0)),0)+SUMIFS($F$5:$F882,$C$5:$C882,$C882,$B$5:$B882,"Entrada")-SUMIFS($F$5:$F882,$C$5:$C882,$C882,$B$5:$B882,"Salida"))</f>
        <v/>
      </c>
      <c r="J882" s="20"/>
      <c r="K882" s="20"/>
      <c r="L882" s="20"/>
      <c r="M882" s="14" t="str">
        <f>IF(AND($C882&lt;&gt;"",$C882=Kardex!$C$4),COUNTIF($C$5:$C882,Kardex!$C$4),"")</f>
        <v/>
      </c>
    </row>
    <row r="883" spans="1:13" x14ac:dyDescent="0.25">
      <c r="A883" s="24"/>
      <c r="B883" s="20"/>
      <c r="C883" s="20"/>
      <c r="D883" s="14" t="str">
        <f>IF($C883="","",IFERROR(INDEX(Productos!$B$5:$B$504,MATCH($C883,Productos!$A$5:$A$504,0)),"Clave no existe"))</f>
        <v/>
      </c>
      <c r="E883" s="14" t="str">
        <f>IF($C883="","",IFERROR(INDEX(Productos!$D$5:$D$504,MATCH($C883,Productos!$A$5:$A$504,0)),""))</f>
        <v/>
      </c>
      <c r="F883" s="20"/>
      <c r="G883" s="22" t="str">
        <f>IF($C883="","",IFERROR(INDEX(Productos!$F$5:$F$504,MATCH($C883,Productos!$A$5:$A$504,0)),0))</f>
        <v/>
      </c>
      <c r="H883" s="22" t="str">
        <f t="shared" si="13"/>
        <v/>
      </c>
      <c r="I883" s="14" t="str">
        <f>IF(OR($C883="",$F883=""),"",IFERROR(INDEX(Productos!$I$5:$I$504,MATCH($C883,Productos!$A$5:$A$504,0)),0)+SUMIFS($F$5:$F883,$C$5:$C883,$C883,$B$5:$B883,"Entrada")-SUMIFS($F$5:$F883,$C$5:$C883,$C883,$B$5:$B883,"Salida"))</f>
        <v/>
      </c>
      <c r="J883" s="20"/>
      <c r="K883" s="20"/>
      <c r="L883" s="20"/>
      <c r="M883" s="14" t="str">
        <f>IF(AND($C883&lt;&gt;"",$C883=Kardex!$C$4),COUNTIF($C$5:$C883,Kardex!$C$4),"")</f>
        <v/>
      </c>
    </row>
    <row r="884" spans="1:13" x14ac:dyDescent="0.25">
      <c r="A884" s="24"/>
      <c r="B884" s="20"/>
      <c r="C884" s="20"/>
      <c r="D884" s="14" t="str">
        <f>IF($C884="","",IFERROR(INDEX(Productos!$B$5:$B$504,MATCH($C884,Productos!$A$5:$A$504,0)),"Clave no existe"))</f>
        <v/>
      </c>
      <c r="E884" s="14" t="str">
        <f>IF($C884="","",IFERROR(INDEX(Productos!$D$5:$D$504,MATCH($C884,Productos!$A$5:$A$504,0)),""))</f>
        <v/>
      </c>
      <c r="F884" s="20"/>
      <c r="G884" s="22" t="str">
        <f>IF($C884="","",IFERROR(INDEX(Productos!$F$5:$F$504,MATCH($C884,Productos!$A$5:$A$504,0)),0))</f>
        <v/>
      </c>
      <c r="H884" s="22" t="str">
        <f t="shared" si="13"/>
        <v/>
      </c>
      <c r="I884" s="14" t="str">
        <f>IF(OR($C884="",$F884=""),"",IFERROR(INDEX(Productos!$I$5:$I$504,MATCH($C884,Productos!$A$5:$A$504,0)),0)+SUMIFS($F$5:$F884,$C$5:$C884,$C884,$B$5:$B884,"Entrada")-SUMIFS($F$5:$F884,$C$5:$C884,$C884,$B$5:$B884,"Salida"))</f>
        <v/>
      </c>
      <c r="J884" s="20"/>
      <c r="K884" s="20"/>
      <c r="L884" s="20"/>
      <c r="M884" s="14" t="str">
        <f>IF(AND($C884&lt;&gt;"",$C884=Kardex!$C$4),COUNTIF($C$5:$C884,Kardex!$C$4),"")</f>
        <v/>
      </c>
    </row>
    <row r="885" spans="1:13" x14ac:dyDescent="0.25">
      <c r="A885" s="24"/>
      <c r="B885" s="20"/>
      <c r="C885" s="20"/>
      <c r="D885" s="14" t="str">
        <f>IF($C885="","",IFERROR(INDEX(Productos!$B$5:$B$504,MATCH($C885,Productos!$A$5:$A$504,0)),"Clave no existe"))</f>
        <v/>
      </c>
      <c r="E885" s="14" t="str">
        <f>IF($C885="","",IFERROR(INDEX(Productos!$D$5:$D$504,MATCH($C885,Productos!$A$5:$A$504,0)),""))</f>
        <v/>
      </c>
      <c r="F885" s="20"/>
      <c r="G885" s="22" t="str">
        <f>IF($C885="","",IFERROR(INDEX(Productos!$F$5:$F$504,MATCH($C885,Productos!$A$5:$A$504,0)),0))</f>
        <v/>
      </c>
      <c r="H885" s="22" t="str">
        <f t="shared" si="13"/>
        <v/>
      </c>
      <c r="I885" s="14" t="str">
        <f>IF(OR($C885="",$F885=""),"",IFERROR(INDEX(Productos!$I$5:$I$504,MATCH($C885,Productos!$A$5:$A$504,0)),0)+SUMIFS($F$5:$F885,$C$5:$C885,$C885,$B$5:$B885,"Entrada")-SUMIFS($F$5:$F885,$C$5:$C885,$C885,$B$5:$B885,"Salida"))</f>
        <v/>
      </c>
      <c r="J885" s="20"/>
      <c r="K885" s="20"/>
      <c r="L885" s="20"/>
      <c r="M885" s="14" t="str">
        <f>IF(AND($C885&lt;&gt;"",$C885=Kardex!$C$4),COUNTIF($C$5:$C885,Kardex!$C$4),"")</f>
        <v/>
      </c>
    </row>
    <row r="886" spans="1:13" x14ac:dyDescent="0.25">
      <c r="A886" s="24"/>
      <c r="B886" s="20"/>
      <c r="C886" s="20"/>
      <c r="D886" s="14" t="str">
        <f>IF($C886="","",IFERROR(INDEX(Productos!$B$5:$B$504,MATCH($C886,Productos!$A$5:$A$504,0)),"Clave no existe"))</f>
        <v/>
      </c>
      <c r="E886" s="14" t="str">
        <f>IF($C886="","",IFERROR(INDEX(Productos!$D$5:$D$504,MATCH($C886,Productos!$A$5:$A$504,0)),""))</f>
        <v/>
      </c>
      <c r="F886" s="20"/>
      <c r="G886" s="22" t="str">
        <f>IF($C886="","",IFERROR(INDEX(Productos!$F$5:$F$504,MATCH($C886,Productos!$A$5:$A$504,0)),0))</f>
        <v/>
      </c>
      <c r="H886" s="22" t="str">
        <f t="shared" si="13"/>
        <v/>
      </c>
      <c r="I886" s="14" t="str">
        <f>IF(OR($C886="",$F886=""),"",IFERROR(INDEX(Productos!$I$5:$I$504,MATCH($C886,Productos!$A$5:$A$504,0)),0)+SUMIFS($F$5:$F886,$C$5:$C886,$C886,$B$5:$B886,"Entrada")-SUMIFS($F$5:$F886,$C$5:$C886,$C886,$B$5:$B886,"Salida"))</f>
        <v/>
      </c>
      <c r="J886" s="20"/>
      <c r="K886" s="20"/>
      <c r="L886" s="20"/>
      <c r="M886" s="14" t="str">
        <f>IF(AND($C886&lt;&gt;"",$C886=Kardex!$C$4),COUNTIF($C$5:$C886,Kardex!$C$4),"")</f>
        <v/>
      </c>
    </row>
    <row r="887" spans="1:13" x14ac:dyDescent="0.25">
      <c r="A887" s="24"/>
      <c r="B887" s="20"/>
      <c r="C887" s="20"/>
      <c r="D887" s="14" t="str">
        <f>IF($C887="","",IFERROR(INDEX(Productos!$B$5:$B$504,MATCH($C887,Productos!$A$5:$A$504,0)),"Clave no existe"))</f>
        <v/>
      </c>
      <c r="E887" s="14" t="str">
        <f>IF($C887="","",IFERROR(INDEX(Productos!$D$5:$D$504,MATCH($C887,Productos!$A$5:$A$504,0)),""))</f>
        <v/>
      </c>
      <c r="F887" s="20"/>
      <c r="G887" s="22" t="str">
        <f>IF($C887="","",IFERROR(INDEX(Productos!$F$5:$F$504,MATCH($C887,Productos!$A$5:$A$504,0)),0))</f>
        <v/>
      </c>
      <c r="H887" s="22" t="str">
        <f t="shared" si="13"/>
        <v/>
      </c>
      <c r="I887" s="14" t="str">
        <f>IF(OR($C887="",$F887=""),"",IFERROR(INDEX(Productos!$I$5:$I$504,MATCH($C887,Productos!$A$5:$A$504,0)),0)+SUMIFS($F$5:$F887,$C$5:$C887,$C887,$B$5:$B887,"Entrada")-SUMIFS($F$5:$F887,$C$5:$C887,$C887,$B$5:$B887,"Salida"))</f>
        <v/>
      </c>
      <c r="J887" s="20"/>
      <c r="K887" s="20"/>
      <c r="L887" s="20"/>
      <c r="M887" s="14" t="str">
        <f>IF(AND($C887&lt;&gt;"",$C887=Kardex!$C$4),COUNTIF($C$5:$C887,Kardex!$C$4),"")</f>
        <v/>
      </c>
    </row>
    <row r="888" spans="1:13" x14ac:dyDescent="0.25">
      <c r="A888" s="24"/>
      <c r="B888" s="20"/>
      <c r="C888" s="20"/>
      <c r="D888" s="14" t="str">
        <f>IF($C888="","",IFERROR(INDEX(Productos!$B$5:$B$504,MATCH($C888,Productos!$A$5:$A$504,0)),"Clave no existe"))</f>
        <v/>
      </c>
      <c r="E888" s="14" t="str">
        <f>IF($C888="","",IFERROR(INDEX(Productos!$D$5:$D$504,MATCH($C888,Productos!$A$5:$A$504,0)),""))</f>
        <v/>
      </c>
      <c r="F888" s="20"/>
      <c r="G888" s="22" t="str">
        <f>IF($C888="","",IFERROR(INDEX(Productos!$F$5:$F$504,MATCH($C888,Productos!$A$5:$A$504,0)),0))</f>
        <v/>
      </c>
      <c r="H888" s="22" t="str">
        <f t="shared" si="13"/>
        <v/>
      </c>
      <c r="I888" s="14" t="str">
        <f>IF(OR($C888="",$F888=""),"",IFERROR(INDEX(Productos!$I$5:$I$504,MATCH($C888,Productos!$A$5:$A$504,0)),0)+SUMIFS($F$5:$F888,$C$5:$C888,$C888,$B$5:$B888,"Entrada")-SUMIFS($F$5:$F888,$C$5:$C888,$C888,$B$5:$B888,"Salida"))</f>
        <v/>
      </c>
      <c r="J888" s="20"/>
      <c r="K888" s="20"/>
      <c r="L888" s="20"/>
      <c r="M888" s="14" t="str">
        <f>IF(AND($C888&lt;&gt;"",$C888=Kardex!$C$4),COUNTIF($C$5:$C888,Kardex!$C$4),"")</f>
        <v/>
      </c>
    </row>
    <row r="889" spans="1:13" x14ac:dyDescent="0.25">
      <c r="A889" s="24"/>
      <c r="B889" s="20"/>
      <c r="C889" s="20"/>
      <c r="D889" s="14" t="str">
        <f>IF($C889="","",IFERROR(INDEX(Productos!$B$5:$B$504,MATCH($C889,Productos!$A$5:$A$504,0)),"Clave no existe"))</f>
        <v/>
      </c>
      <c r="E889" s="14" t="str">
        <f>IF($C889="","",IFERROR(INDEX(Productos!$D$5:$D$504,MATCH($C889,Productos!$A$5:$A$504,0)),""))</f>
        <v/>
      </c>
      <c r="F889" s="20"/>
      <c r="G889" s="22" t="str">
        <f>IF($C889="","",IFERROR(INDEX(Productos!$F$5:$F$504,MATCH($C889,Productos!$A$5:$A$504,0)),0))</f>
        <v/>
      </c>
      <c r="H889" s="22" t="str">
        <f t="shared" si="13"/>
        <v/>
      </c>
      <c r="I889" s="14" t="str">
        <f>IF(OR($C889="",$F889=""),"",IFERROR(INDEX(Productos!$I$5:$I$504,MATCH($C889,Productos!$A$5:$A$504,0)),0)+SUMIFS($F$5:$F889,$C$5:$C889,$C889,$B$5:$B889,"Entrada")-SUMIFS($F$5:$F889,$C$5:$C889,$C889,$B$5:$B889,"Salida"))</f>
        <v/>
      </c>
      <c r="J889" s="20"/>
      <c r="K889" s="20"/>
      <c r="L889" s="20"/>
      <c r="M889" s="14" t="str">
        <f>IF(AND($C889&lt;&gt;"",$C889=Kardex!$C$4),COUNTIF($C$5:$C889,Kardex!$C$4),"")</f>
        <v/>
      </c>
    </row>
    <row r="890" spans="1:13" x14ac:dyDescent="0.25">
      <c r="A890" s="24"/>
      <c r="B890" s="20"/>
      <c r="C890" s="20"/>
      <c r="D890" s="14" t="str">
        <f>IF($C890="","",IFERROR(INDEX(Productos!$B$5:$B$504,MATCH($C890,Productos!$A$5:$A$504,0)),"Clave no existe"))</f>
        <v/>
      </c>
      <c r="E890" s="14" t="str">
        <f>IF($C890="","",IFERROR(INDEX(Productos!$D$5:$D$504,MATCH($C890,Productos!$A$5:$A$504,0)),""))</f>
        <v/>
      </c>
      <c r="F890" s="20"/>
      <c r="G890" s="22" t="str">
        <f>IF($C890="","",IFERROR(INDEX(Productos!$F$5:$F$504,MATCH($C890,Productos!$A$5:$A$504,0)),0))</f>
        <v/>
      </c>
      <c r="H890" s="22" t="str">
        <f t="shared" si="13"/>
        <v/>
      </c>
      <c r="I890" s="14" t="str">
        <f>IF(OR($C890="",$F890=""),"",IFERROR(INDEX(Productos!$I$5:$I$504,MATCH($C890,Productos!$A$5:$A$504,0)),0)+SUMIFS($F$5:$F890,$C$5:$C890,$C890,$B$5:$B890,"Entrada")-SUMIFS($F$5:$F890,$C$5:$C890,$C890,$B$5:$B890,"Salida"))</f>
        <v/>
      </c>
      <c r="J890" s="20"/>
      <c r="K890" s="20"/>
      <c r="L890" s="20"/>
      <c r="M890" s="14" t="str">
        <f>IF(AND($C890&lt;&gt;"",$C890=Kardex!$C$4),COUNTIF($C$5:$C890,Kardex!$C$4),"")</f>
        <v/>
      </c>
    </row>
    <row r="891" spans="1:13" x14ac:dyDescent="0.25">
      <c r="A891" s="24"/>
      <c r="B891" s="20"/>
      <c r="C891" s="20"/>
      <c r="D891" s="14" t="str">
        <f>IF($C891="","",IFERROR(INDEX(Productos!$B$5:$B$504,MATCH($C891,Productos!$A$5:$A$504,0)),"Clave no existe"))</f>
        <v/>
      </c>
      <c r="E891" s="14" t="str">
        <f>IF($C891="","",IFERROR(INDEX(Productos!$D$5:$D$504,MATCH($C891,Productos!$A$5:$A$504,0)),""))</f>
        <v/>
      </c>
      <c r="F891" s="20"/>
      <c r="G891" s="22" t="str">
        <f>IF($C891="","",IFERROR(INDEX(Productos!$F$5:$F$504,MATCH($C891,Productos!$A$5:$A$504,0)),0))</f>
        <v/>
      </c>
      <c r="H891" s="22" t="str">
        <f t="shared" si="13"/>
        <v/>
      </c>
      <c r="I891" s="14" t="str">
        <f>IF(OR($C891="",$F891=""),"",IFERROR(INDEX(Productos!$I$5:$I$504,MATCH($C891,Productos!$A$5:$A$504,0)),0)+SUMIFS($F$5:$F891,$C$5:$C891,$C891,$B$5:$B891,"Entrada")-SUMIFS($F$5:$F891,$C$5:$C891,$C891,$B$5:$B891,"Salida"))</f>
        <v/>
      </c>
      <c r="J891" s="20"/>
      <c r="K891" s="20"/>
      <c r="L891" s="20"/>
      <c r="M891" s="14" t="str">
        <f>IF(AND($C891&lt;&gt;"",$C891=Kardex!$C$4),COUNTIF($C$5:$C891,Kardex!$C$4),"")</f>
        <v/>
      </c>
    </row>
    <row r="892" spans="1:13" x14ac:dyDescent="0.25">
      <c r="A892" s="24"/>
      <c r="B892" s="20"/>
      <c r="C892" s="20"/>
      <c r="D892" s="14" t="str">
        <f>IF($C892="","",IFERROR(INDEX(Productos!$B$5:$B$504,MATCH($C892,Productos!$A$5:$A$504,0)),"Clave no existe"))</f>
        <v/>
      </c>
      <c r="E892" s="14" t="str">
        <f>IF($C892="","",IFERROR(INDEX(Productos!$D$5:$D$504,MATCH($C892,Productos!$A$5:$A$504,0)),""))</f>
        <v/>
      </c>
      <c r="F892" s="20"/>
      <c r="G892" s="22" t="str">
        <f>IF($C892="","",IFERROR(INDEX(Productos!$F$5:$F$504,MATCH($C892,Productos!$A$5:$A$504,0)),0))</f>
        <v/>
      </c>
      <c r="H892" s="22" t="str">
        <f t="shared" si="13"/>
        <v/>
      </c>
      <c r="I892" s="14" t="str">
        <f>IF(OR($C892="",$F892=""),"",IFERROR(INDEX(Productos!$I$5:$I$504,MATCH($C892,Productos!$A$5:$A$504,0)),0)+SUMIFS($F$5:$F892,$C$5:$C892,$C892,$B$5:$B892,"Entrada")-SUMIFS($F$5:$F892,$C$5:$C892,$C892,$B$5:$B892,"Salida"))</f>
        <v/>
      </c>
      <c r="J892" s="20"/>
      <c r="K892" s="20"/>
      <c r="L892" s="20"/>
      <c r="M892" s="14" t="str">
        <f>IF(AND($C892&lt;&gt;"",$C892=Kardex!$C$4),COUNTIF($C$5:$C892,Kardex!$C$4),"")</f>
        <v/>
      </c>
    </row>
    <row r="893" spans="1:13" x14ac:dyDescent="0.25">
      <c r="A893" s="24"/>
      <c r="B893" s="20"/>
      <c r="C893" s="20"/>
      <c r="D893" s="14" t="str">
        <f>IF($C893="","",IFERROR(INDEX(Productos!$B$5:$B$504,MATCH($C893,Productos!$A$5:$A$504,0)),"Clave no existe"))</f>
        <v/>
      </c>
      <c r="E893" s="14" t="str">
        <f>IF($C893="","",IFERROR(INDEX(Productos!$D$5:$D$504,MATCH($C893,Productos!$A$5:$A$504,0)),""))</f>
        <v/>
      </c>
      <c r="F893" s="20"/>
      <c r="G893" s="22" t="str">
        <f>IF($C893="","",IFERROR(INDEX(Productos!$F$5:$F$504,MATCH($C893,Productos!$A$5:$A$504,0)),0))</f>
        <v/>
      </c>
      <c r="H893" s="22" t="str">
        <f t="shared" si="13"/>
        <v/>
      </c>
      <c r="I893" s="14" t="str">
        <f>IF(OR($C893="",$F893=""),"",IFERROR(INDEX(Productos!$I$5:$I$504,MATCH($C893,Productos!$A$5:$A$504,0)),0)+SUMIFS($F$5:$F893,$C$5:$C893,$C893,$B$5:$B893,"Entrada")-SUMIFS($F$5:$F893,$C$5:$C893,$C893,$B$5:$B893,"Salida"))</f>
        <v/>
      </c>
      <c r="J893" s="20"/>
      <c r="K893" s="20"/>
      <c r="L893" s="20"/>
      <c r="M893" s="14" t="str">
        <f>IF(AND($C893&lt;&gt;"",$C893=Kardex!$C$4),COUNTIF($C$5:$C893,Kardex!$C$4),"")</f>
        <v/>
      </c>
    </row>
    <row r="894" spans="1:13" x14ac:dyDescent="0.25">
      <c r="A894" s="24"/>
      <c r="B894" s="20"/>
      <c r="C894" s="20"/>
      <c r="D894" s="14" t="str">
        <f>IF($C894="","",IFERROR(INDEX(Productos!$B$5:$B$504,MATCH($C894,Productos!$A$5:$A$504,0)),"Clave no existe"))</f>
        <v/>
      </c>
      <c r="E894" s="14" t="str">
        <f>IF($C894="","",IFERROR(INDEX(Productos!$D$5:$D$504,MATCH($C894,Productos!$A$5:$A$504,0)),""))</f>
        <v/>
      </c>
      <c r="F894" s="20"/>
      <c r="G894" s="22" t="str">
        <f>IF($C894="","",IFERROR(INDEX(Productos!$F$5:$F$504,MATCH($C894,Productos!$A$5:$A$504,0)),0))</f>
        <v/>
      </c>
      <c r="H894" s="22" t="str">
        <f t="shared" si="13"/>
        <v/>
      </c>
      <c r="I894" s="14" t="str">
        <f>IF(OR($C894="",$F894=""),"",IFERROR(INDEX(Productos!$I$5:$I$504,MATCH($C894,Productos!$A$5:$A$504,0)),0)+SUMIFS($F$5:$F894,$C$5:$C894,$C894,$B$5:$B894,"Entrada")-SUMIFS($F$5:$F894,$C$5:$C894,$C894,$B$5:$B894,"Salida"))</f>
        <v/>
      </c>
      <c r="J894" s="20"/>
      <c r="K894" s="20"/>
      <c r="L894" s="20"/>
      <c r="M894" s="14" t="str">
        <f>IF(AND($C894&lt;&gt;"",$C894=Kardex!$C$4),COUNTIF($C$5:$C894,Kardex!$C$4),"")</f>
        <v/>
      </c>
    </row>
    <row r="895" spans="1:13" x14ac:dyDescent="0.25">
      <c r="A895" s="24"/>
      <c r="B895" s="20"/>
      <c r="C895" s="20"/>
      <c r="D895" s="14" t="str">
        <f>IF($C895="","",IFERROR(INDEX(Productos!$B$5:$B$504,MATCH($C895,Productos!$A$5:$A$504,0)),"Clave no existe"))</f>
        <v/>
      </c>
      <c r="E895" s="14" t="str">
        <f>IF($C895="","",IFERROR(INDEX(Productos!$D$5:$D$504,MATCH($C895,Productos!$A$5:$A$504,0)),""))</f>
        <v/>
      </c>
      <c r="F895" s="20"/>
      <c r="G895" s="22" t="str">
        <f>IF($C895="","",IFERROR(INDEX(Productos!$F$5:$F$504,MATCH($C895,Productos!$A$5:$A$504,0)),0))</f>
        <v/>
      </c>
      <c r="H895" s="22" t="str">
        <f t="shared" si="13"/>
        <v/>
      </c>
      <c r="I895" s="14" t="str">
        <f>IF(OR($C895="",$F895=""),"",IFERROR(INDEX(Productos!$I$5:$I$504,MATCH($C895,Productos!$A$5:$A$504,0)),0)+SUMIFS($F$5:$F895,$C$5:$C895,$C895,$B$5:$B895,"Entrada")-SUMIFS($F$5:$F895,$C$5:$C895,$C895,$B$5:$B895,"Salida"))</f>
        <v/>
      </c>
      <c r="J895" s="20"/>
      <c r="K895" s="20"/>
      <c r="L895" s="20"/>
      <c r="M895" s="14" t="str">
        <f>IF(AND($C895&lt;&gt;"",$C895=Kardex!$C$4),COUNTIF($C$5:$C895,Kardex!$C$4),"")</f>
        <v/>
      </c>
    </row>
    <row r="896" spans="1:13" x14ac:dyDescent="0.25">
      <c r="A896" s="24"/>
      <c r="B896" s="20"/>
      <c r="C896" s="20"/>
      <c r="D896" s="14" t="str">
        <f>IF($C896="","",IFERROR(INDEX(Productos!$B$5:$B$504,MATCH($C896,Productos!$A$5:$A$504,0)),"Clave no existe"))</f>
        <v/>
      </c>
      <c r="E896" s="14" t="str">
        <f>IF($C896="","",IFERROR(INDEX(Productos!$D$5:$D$504,MATCH($C896,Productos!$A$5:$A$504,0)),""))</f>
        <v/>
      </c>
      <c r="F896" s="20"/>
      <c r="G896" s="22" t="str">
        <f>IF($C896="","",IFERROR(INDEX(Productos!$F$5:$F$504,MATCH($C896,Productos!$A$5:$A$504,0)),0))</f>
        <v/>
      </c>
      <c r="H896" s="22" t="str">
        <f t="shared" si="13"/>
        <v/>
      </c>
      <c r="I896" s="14" t="str">
        <f>IF(OR($C896="",$F896=""),"",IFERROR(INDEX(Productos!$I$5:$I$504,MATCH($C896,Productos!$A$5:$A$504,0)),0)+SUMIFS($F$5:$F896,$C$5:$C896,$C896,$B$5:$B896,"Entrada")-SUMIFS($F$5:$F896,$C$5:$C896,$C896,$B$5:$B896,"Salida"))</f>
        <v/>
      </c>
      <c r="J896" s="20"/>
      <c r="K896" s="20"/>
      <c r="L896" s="20"/>
      <c r="M896" s="14" t="str">
        <f>IF(AND($C896&lt;&gt;"",$C896=Kardex!$C$4),COUNTIF($C$5:$C896,Kardex!$C$4),"")</f>
        <v/>
      </c>
    </row>
    <row r="897" spans="1:13" x14ac:dyDescent="0.25">
      <c r="A897" s="24"/>
      <c r="B897" s="20"/>
      <c r="C897" s="20"/>
      <c r="D897" s="14" t="str">
        <f>IF($C897="","",IFERROR(INDEX(Productos!$B$5:$B$504,MATCH($C897,Productos!$A$5:$A$504,0)),"Clave no existe"))</f>
        <v/>
      </c>
      <c r="E897" s="14" t="str">
        <f>IF($C897="","",IFERROR(INDEX(Productos!$D$5:$D$504,MATCH($C897,Productos!$A$5:$A$504,0)),""))</f>
        <v/>
      </c>
      <c r="F897" s="20"/>
      <c r="G897" s="22" t="str">
        <f>IF($C897="","",IFERROR(INDEX(Productos!$F$5:$F$504,MATCH($C897,Productos!$A$5:$A$504,0)),0))</f>
        <v/>
      </c>
      <c r="H897" s="22" t="str">
        <f t="shared" si="13"/>
        <v/>
      </c>
      <c r="I897" s="14" t="str">
        <f>IF(OR($C897="",$F897=""),"",IFERROR(INDEX(Productos!$I$5:$I$504,MATCH($C897,Productos!$A$5:$A$504,0)),0)+SUMIFS($F$5:$F897,$C$5:$C897,$C897,$B$5:$B897,"Entrada")-SUMIFS($F$5:$F897,$C$5:$C897,$C897,$B$5:$B897,"Salida"))</f>
        <v/>
      </c>
      <c r="J897" s="20"/>
      <c r="K897" s="20"/>
      <c r="L897" s="20"/>
      <c r="M897" s="14" t="str">
        <f>IF(AND($C897&lt;&gt;"",$C897=Kardex!$C$4),COUNTIF($C$5:$C897,Kardex!$C$4),"")</f>
        <v/>
      </c>
    </row>
    <row r="898" spans="1:13" x14ac:dyDescent="0.25">
      <c r="A898" s="24"/>
      <c r="B898" s="20"/>
      <c r="C898" s="20"/>
      <c r="D898" s="14" t="str">
        <f>IF($C898="","",IFERROR(INDEX(Productos!$B$5:$B$504,MATCH($C898,Productos!$A$5:$A$504,0)),"Clave no existe"))</f>
        <v/>
      </c>
      <c r="E898" s="14" t="str">
        <f>IF($C898="","",IFERROR(INDEX(Productos!$D$5:$D$504,MATCH($C898,Productos!$A$5:$A$504,0)),""))</f>
        <v/>
      </c>
      <c r="F898" s="20"/>
      <c r="G898" s="22" t="str">
        <f>IF($C898="","",IFERROR(INDEX(Productos!$F$5:$F$504,MATCH($C898,Productos!$A$5:$A$504,0)),0))</f>
        <v/>
      </c>
      <c r="H898" s="22" t="str">
        <f t="shared" si="13"/>
        <v/>
      </c>
      <c r="I898" s="14" t="str">
        <f>IF(OR($C898="",$F898=""),"",IFERROR(INDEX(Productos!$I$5:$I$504,MATCH($C898,Productos!$A$5:$A$504,0)),0)+SUMIFS($F$5:$F898,$C$5:$C898,$C898,$B$5:$B898,"Entrada")-SUMIFS($F$5:$F898,$C$5:$C898,$C898,$B$5:$B898,"Salida"))</f>
        <v/>
      </c>
      <c r="J898" s="20"/>
      <c r="K898" s="20"/>
      <c r="L898" s="20"/>
      <c r="M898" s="14" t="str">
        <f>IF(AND($C898&lt;&gt;"",$C898=Kardex!$C$4),COUNTIF($C$5:$C898,Kardex!$C$4),"")</f>
        <v/>
      </c>
    </row>
    <row r="899" spans="1:13" x14ac:dyDescent="0.25">
      <c r="A899" s="24"/>
      <c r="B899" s="20"/>
      <c r="C899" s="20"/>
      <c r="D899" s="14" t="str">
        <f>IF($C899="","",IFERROR(INDEX(Productos!$B$5:$B$504,MATCH($C899,Productos!$A$5:$A$504,0)),"Clave no existe"))</f>
        <v/>
      </c>
      <c r="E899" s="14" t="str">
        <f>IF($C899="","",IFERROR(INDEX(Productos!$D$5:$D$504,MATCH($C899,Productos!$A$5:$A$504,0)),""))</f>
        <v/>
      </c>
      <c r="F899" s="20"/>
      <c r="G899" s="22" t="str">
        <f>IF($C899="","",IFERROR(INDEX(Productos!$F$5:$F$504,MATCH($C899,Productos!$A$5:$A$504,0)),0))</f>
        <v/>
      </c>
      <c r="H899" s="22" t="str">
        <f t="shared" si="13"/>
        <v/>
      </c>
      <c r="I899" s="14" t="str">
        <f>IF(OR($C899="",$F899=""),"",IFERROR(INDEX(Productos!$I$5:$I$504,MATCH($C899,Productos!$A$5:$A$504,0)),0)+SUMIFS($F$5:$F899,$C$5:$C899,$C899,$B$5:$B899,"Entrada")-SUMIFS($F$5:$F899,$C$5:$C899,$C899,$B$5:$B899,"Salida"))</f>
        <v/>
      </c>
      <c r="J899" s="20"/>
      <c r="K899" s="20"/>
      <c r="L899" s="20"/>
      <c r="M899" s="14" t="str">
        <f>IF(AND($C899&lt;&gt;"",$C899=Kardex!$C$4),COUNTIF($C$5:$C899,Kardex!$C$4),"")</f>
        <v/>
      </c>
    </row>
    <row r="900" spans="1:13" x14ac:dyDescent="0.25">
      <c r="A900" s="24"/>
      <c r="B900" s="20"/>
      <c r="C900" s="20"/>
      <c r="D900" s="14" t="str">
        <f>IF($C900="","",IFERROR(INDEX(Productos!$B$5:$B$504,MATCH($C900,Productos!$A$5:$A$504,0)),"Clave no existe"))</f>
        <v/>
      </c>
      <c r="E900" s="14" t="str">
        <f>IF($C900="","",IFERROR(INDEX(Productos!$D$5:$D$504,MATCH($C900,Productos!$A$5:$A$504,0)),""))</f>
        <v/>
      </c>
      <c r="F900" s="20"/>
      <c r="G900" s="22" t="str">
        <f>IF($C900="","",IFERROR(INDEX(Productos!$F$5:$F$504,MATCH($C900,Productos!$A$5:$A$504,0)),0))</f>
        <v/>
      </c>
      <c r="H900" s="22" t="str">
        <f t="shared" si="13"/>
        <v/>
      </c>
      <c r="I900" s="14" t="str">
        <f>IF(OR($C900="",$F900=""),"",IFERROR(INDEX(Productos!$I$5:$I$504,MATCH($C900,Productos!$A$5:$A$504,0)),0)+SUMIFS($F$5:$F900,$C$5:$C900,$C900,$B$5:$B900,"Entrada")-SUMIFS($F$5:$F900,$C$5:$C900,$C900,$B$5:$B900,"Salida"))</f>
        <v/>
      </c>
      <c r="J900" s="20"/>
      <c r="K900" s="20"/>
      <c r="L900" s="20"/>
      <c r="M900" s="14" t="str">
        <f>IF(AND($C900&lt;&gt;"",$C900=Kardex!$C$4),COUNTIF($C$5:$C900,Kardex!$C$4),"")</f>
        <v/>
      </c>
    </row>
    <row r="901" spans="1:13" x14ac:dyDescent="0.25">
      <c r="A901" s="24"/>
      <c r="B901" s="20"/>
      <c r="C901" s="20"/>
      <c r="D901" s="14" t="str">
        <f>IF($C901="","",IFERROR(INDEX(Productos!$B$5:$B$504,MATCH($C901,Productos!$A$5:$A$504,0)),"Clave no existe"))</f>
        <v/>
      </c>
      <c r="E901" s="14" t="str">
        <f>IF($C901="","",IFERROR(INDEX(Productos!$D$5:$D$504,MATCH($C901,Productos!$A$5:$A$504,0)),""))</f>
        <v/>
      </c>
      <c r="F901" s="20"/>
      <c r="G901" s="22" t="str">
        <f>IF($C901="","",IFERROR(INDEX(Productos!$F$5:$F$504,MATCH($C901,Productos!$A$5:$A$504,0)),0))</f>
        <v/>
      </c>
      <c r="H901" s="22" t="str">
        <f t="shared" ref="H901:H964" si="14">IF(OR($C901="",$F901=""),"",F901*G901)</f>
        <v/>
      </c>
      <c r="I901" s="14" t="str">
        <f>IF(OR($C901="",$F901=""),"",IFERROR(INDEX(Productos!$I$5:$I$504,MATCH($C901,Productos!$A$5:$A$504,0)),0)+SUMIFS($F$5:$F901,$C$5:$C901,$C901,$B$5:$B901,"Entrada")-SUMIFS($F$5:$F901,$C$5:$C901,$C901,$B$5:$B901,"Salida"))</f>
        <v/>
      </c>
      <c r="J901" s="20"/>
      <c r="K901" s="20"/>
      <c r="L901" s="20"/>
      <c r="M901" s="14" t="str">
        <f>IF(AND($C901&lt;&gt;"",$C901=Kardex!$C$4),COUNTIF($C$5:$C901,Kardex!$C$4),"")</f>
        <v/>
      </c>
    </row>
    <row r="902" spans="1:13" x14ac:dyDescent="0.25">
      <c r="A902" s="24"/>
      <c r="B902" s="20"/>
      <c r="C902" s="20"/>
      <c r="D902" s="14" t="str">
        <f>IF($C902="","",IFERROR(INDEX(Productos!$B$5:$B$504,MATCH($C902,Productos!$A$5:$A$504,0)),"Clave no existe"))</f>
        <v/>
      </c>
      <c r="E902" s="14" t="str">
        <f>IF($C902="","",IFERROR(INDEX(Productos!$D$5:$D$504,MATCH($C902,Productos!$A$5:$A$504,0)),""))</f>
        <v/>
      </c>
      <c r="F902" s="20"/>
      <c r="G902" s="22" t="str">
        <f>IF($C902="","",IFERROR(INDEX(Productos!$F$5:$F$504,MATCH($C902,Productos!$A$5:$A$504,0)),0))</f>
        <v/>
      </c>
      <c r="H902" s="22" t="str">
        <f t="shared" si="14"/>
        <v/>
      </c>
      <c r="I902" s="14" t="str">
        <f>IF(OR($C902="",$F902=""),"",IFERROR(INDEX(Productos!$I$5:$I$504,MATCH($C902,Productos!$A$5:$A$504,0)),0)+SUMIFS($F$5:$F902,$C$5:$C902,$C902,$B$5:$B902,"Entrada")-SUMIFS($F$5:$F902,$C$5:$C902,$C902,$B$5:$B902,"Salida"))</f>
        <v/>
      </c>
      <c r="J902" s="20"/>
      <c r="K902" s="20"/>
      <c r="L902" s="20"/>
      <c r="M902" s="14" t="str">
        <f>IF(AND($C902&lt;&gt;"",$C902=Kardex!$C$4),COUNTIF($C$5:$C902,Kardex!$C$4),"")</f>
        <v/>
      </c>
    </row>
    <row r="903" spans="1:13" x14ac:dyDescent="0.25">
      <c r="A903" s="24"/>
      <c r="B903" s="20"/>
      <c r="C903" s="20"/>
      <c r="D903" s="14" t="str">
        <f>IF($C903="","",IFERROR(INDEX(Productos!$B$5:$B$504,MATCH($C903,Productos!$A$5:$A$504,0)),"Clave no existe"))</f>
        <v/>
      </c>
      <c r="E903" s="14" t="str">
        <f>IF($C903="","",IFERROR(INDEX(Productos!$D$5:$D$504,MATCH($C903,Productos!$A$5:$A$504,0)),""))</f>
        <v/>
      </c>
      <c r="F903" s="20"/>
      <c r="G903" s="22" t="str">
        <f>IF($C903="","",IFERROR(INDEX(Productos!$F$5:$F$504,MATCH($C903,Productos!$A$5:$A$504,0)),0))</f>
        <v/>
      </c>
      <c r="H903" s="22" t="str">
        <f t="shared" si="14"/>
        <v/>
      </c>
      <c r="I903" s="14" t="str">
        <f>IF(OR($C903="",$F903=""),"",IFERROR(INDEX(Productos!$I$5:$I$504,MATCH($C903,Productos!$A$5:$A$504,0)),0)+SUMIFS($F$5:$F903,$C$5:$C903,$C903,$B$5:$B903,"Entrada")-SUMIFS($F$5:$F903,$C$5:$C903,$C903,$B$5:$B903,"Salida"))</f>
        <v/>
      </c>
      <c r="J903" s="20"/>
      <c r="K903" s="20"/>
      <c r="L903" s="20"/>
      <c r="M903" s="14" t="str">
        <f>IF(AND($C903&lt;&gt;"",$C903=Kardex!$C$4),COUNTIF($C$5:$C903,Kardex!$C$4),"")</f>
        <v/>
      </c>
    </row>
    <row r="904" spans="1:13" x14ac:dyDescent="0.25">
      <c r="A904" s="24"/>
      <c r="B904" s="20"/>
      <c r="C904" s="20"/>
      <c r="D904" s="14" t="str">
        <f>IF($C904="","",IFERROR(INDEX(Productos!$B$5:$B$504,MATCH($C904,Productos!$A$5:$A$504,0)),"Clave no existe"))</f>
        <v/>
      </c>
      <c r="E904" s="14" t="str">
        <f>IF($C904="","",IFERROR(INDEX(Productos!$D$5:$D$504,MATCH($C904,Productos!$A$5:$A$504,0)),""))</f>
        <v/>
      </c>
      <c r="F904" s="20"/>
      <c r="G904" s="22" t="str">
        <f>IF($C904="","",IFERROR(INDEX(Productos!$F$5:$F$504,MATCH($C904,Productos!$A$5:$A$504,0)),0))</f>
        <v/>
      </c>
      <c r="H904" s="22" t="str">
        <f t="shared" si="14"/>
        <v/>
      </c>
      <c r="I904" s="14" t="str">
        <f>IF(OR($C904="",$F904=""),"",IFERROR(INDEX(Productos!$I$5:$I$504,MATCH($C904,Productos!$A$5:$A$504,0)),0)+SUMIFS($F$5:$F904,$C$5:$C904,$C904,$B$5:$B904,"Entrada")-SUMIFS($F$5:$F904,$C$5:$C904,$C904,$B$5:$B904,"Salida"))</f>
        <v/>
      </c>
      <c r="J904" s="20"/>
      <c r="K904" s="20"/>
      <c r="L904" s="20"/>
      <c r="M904" s="14" t="str">
        <f>IF(AND($C904&lt;&gt;"",$C904=Kardex!$C$4),COUNTIF($C$5:$C904,Kardex!$C$4),"")</f>
        <v/>
      </c>
    </row>
    <row r="905" spans="1:13" x14ac:dyDescent="0.25">
      <c r="A905" s="24"/>
      <c r="B905" s="20"/>
      <c r="C905" s="20"/>
      <c r="D905" s="14" t="str">
        <f>IF($C905="","",IFERROR(INDEX(Productos!$B$5:$B$504,MATCH($C905,Productos!$A$5:$A$504,0)),"Clave no existe"))</f>
        <v/>
      </c>
      <c r="E905" s="14" t="str">
        <f>IF($C905="","",IFERROR(INDEX(Productos!$D$5:$D$504,MATCH($C905,Productos!$A$5:$A$504,0)),""))</f>
        <v/>
      </c>
      <c r="F905" s="20"/>
      <c r="G905" s="22" t="str">
        <f>IF($C905="","",IFERROR(INDEX(Productos!$F$5:$F$504,MATCH($C905,Productos!$A$5:$A$504,0)),0))</f>
        <v/>
      </c>
      <c r="H905" s="22" t="str">
        <f t="shared" si="14"/>
        <v/>
      </c>
      <c r="I905" s="14" t="str">
        <f>IF(OR($C905="",$F905=""),"",IFERROR(INDEX(Productos!$I$5:$I$504,MATCH($C905,Productos!$A$5:$A$504,0)),0)+SUMIFS($F$5:$F905,$C$5:$C905,$C905,$B$5:$B905,"Entrada")-SUMIFS($F$5:$F905,$C$5:$C905,$C905,$B$5:$B905,"Salida"))</f>
        <v/>
      </c>
      <c r="J905" s="20"/>
      <c r="K905" s="20"/>
      <c r="L905" s="20"/>
      <c r="M905" s="14" t="str">
        <f>IF(AND($C905&lt;&gt;"",$C905=Kardex!$C$4),COUNTIF($C$5:$C905,Kardex!$C$4),"")</f>
        <v/>
      </c>
    </row>
    <row r="906" spans="1:13" x14ac:dyDescent="0.25">
      <c r="A906" s="24"/>
      <c r="B906" s="20"/>
      <c r="C906" s="20"/>
      <c r="D906" s="14" t="str">
        <f>IF($C906="","",IFERROR(INDEX(Productos!$B$5:$B$504,MATCH($C906,Productos!$A$5:$A$504,0)),"Clave no existe"))</f>
        <v/>
      </c>
      <c r="E906" s="14" t="str">
        <f>IF($C906="","",IFERROR(INDEX(Productos!$D$5:$D$504,MATCH($C906,Productos!$A$5:$A$504,0)),""))</f>
        <v/>
      </c>
      <c r="F906" s="20"/>
      <c r="G906" s="22" t="str">
        <f>IF($C906="","",IFERROR(INDEX(Productos!$F$5:$F$504,MATCH($C906,Productos!$A$5:$A$504,0)),0))</f>
        <v/>
      </c>
      <c r="H906" s="22" t="str">
        <f t="shared" si="14"/>
        <v/>
      </c>
      <c r="I906" s="14" t="str">
        <f>IF(OR($C906="",$F906=""),"",IFERROR(INDEX(Productos!$I$5:$I$504,MATCH($C906,Productos!$A$5:$A$504,0)),0)+SUMIFS($F$5:$F906,$C$5:$C906,$C906,$B$5:$B906,"Entrada")-SUMIFS($F$5:$F906,$C$5:$C906,$C906,$B$5:$B906,"Salida"))</f>
        <v/>
      </c>
      <c r="J906" s="20"/>
      <c r="K906" s="20"/>
      <c r="L906" s="20"/>
      <c r="M906" s="14" t="str">
        <f>IF(AND($C906&lt;&gt;"",$C906=Kardex!$C$4),COUNTIF($C$5:$C906,Kardex!$C$4),"")</f>
        <v/>
      </c>
    </row>
    <row r="907" spans="1:13" x14ac:dyDescent="0.25">
      <c r="A907" s="24"/>
      <c r="B907" s="20"/>
      <c r="C907" s="20"/>
      <c r="D907" s="14" t="str">
        <f>IF($C907="","",IFERROR(INDEX(Productos!$B$5:$B$504,MATCH($C907,Productos!$A$5:$A$504,0)),"Clave no existe"))</f>
        <v/>
      </c>
      <c r="E907" s="14" t="str">
        <f>IF($C907="","",IFERROR(INDEX(Productos!$D$5:$D$504,MATCH($C907,Productos!$A$5:$A$504,0)),""))</f>
        <v/>
      </c>
      <c r="F907" s="20"/>
      <c r="G907" s="22" t="str">
        <f>IF($C907="","",IFERROR(INDEX(Productos!$F$5:$F$504,MATCH($C907,Productos!$A$5:$A$504,0)),0))</f>
        <v/>
      </c>
      <c r="H907" s="22" t="str">
        <f t="shared" si="14"/>
        <v/>
      </c>
      <c r="I907" s="14" t="str">
        <f>IF(OR($C907="",$F907=""),"",IFERROR(INDEX(Productos!$I$5:$I$504,MATCH($C907,Productos!$A$5:$A$504,0)),0)+SUMIFS($F$5:$F907,$C$5:$C907,$C907,$B$5:$B907,"Entrada")-SUMIFS($F$5:$F907,$C$5:$C907,$C907,$B$5:$B907,"Salida"))</f>
        <v/>
      </c>
      <c r="J907" s="20"/>
      <c r="K907" s="20"/>
      <c r="L907" s="20"/>
      <c r="M907" s="14" t="str">
        <f>IF(AND($C907&lt;&gt;"",$C907=Kardex!$C$4),COUNTIF($C$5:$C907,Kardex!$C$4),"")</f>
        <v/>
      </c>
    </row>
    <row r="908" spans="1:13" x14ac:dyDescent="0.25">
      <c r="A908" s="24"/>
      <c r="B908" s="20"/>
      <c r="C908" s="20"/>
      <c r="D908" s="14" t="str">
        <f>IF($C908="","",IFERROR(INDEX(Productos!$B$5:$B$504,MATCH($C908,Productos!$A$5:$A$504,0)),"Clave no existe"))</f>
        <v/>
      </c>
      <c r="E908" s="14" t="str">
        <f>IF($C908="","",IFERROR(INDEX(Productos!$D$5:$D$504,MATCH($C908,Productos!$A$5:$A$504,0)),""))</f>
        <v/>
      </c>
      <c r="F908" s="20"/>
      <c r="G908" s="22" t="str">
        <f>IF($C908="","",IFERROR(INDEX(Productos!$F$5:$F$504,MATCH($C908,Productos!$A$5:$A$504,0)),0))</f>
        <v/>
      </c>
      <c r="H908" s="22" t="str">
        <f t="shared" si="14"/>
        <v/>
      </c>
      <c r="I908" s="14" t="str">
        <f>IF(OR($C908="",$F908=""),"",IFERROR(INDEX(Productos!$I$5:$I$504,MATCH($C908,Productos!$A$5:$A$504,0)),0)+SUMIFS($F$5:$F908,$C$5:$C908,$C908,$B$5:$B908,"Entrada")-SUMIFS($F$5:$F908,$C$5:$C908,$C908,$B$5:$B908,"Salida"))</f>
        <v/>
      </c>
      <c r="J908" s="20"/>
      <c r="K908" s="20"/>
      <c r="L908" s="20"/>
      <c r="M908" s="14" t="str">
        <f>IF(AND($C908&lt;&gt;"",$C908=Kardex!$C$4),COUNTIF($C$5:$C908,Kardex!$C$4),"")</f>
        <v/>
      </c>
    </row>
    <row r="909" spans="1:13" x14ac:dyDescent="0.25">
      <c r="A909" s="24"/>
      <c r="B909" s="20"/>
      <c r="C909" s="20"/>
      <c r="D909" s="14" t="str">
        <f>IF($C909="","",IFERROR(INDEX(Productos!$B$5:$B$504,MATCH($C909,Productos!$A$5:$A$504,0)),"Clave no existe"))</f>
        <v/>
      </c>
      <c r="E909" s="14" t="str">
        <f>IF($C909="","",IFERROR(INDEX(Productos!$D$5:$D$504,MATCH($C909,Productos!$A$5:$A$504,0)),""))</f>
        <v/>
      </c>
      <c r="F909" s="20"/>
      <c r="G909" s="22" t="str">
        <f>IF($C909="","",IFERROR(INDEX(Productos!$F$5:$F$504,MATCH($C909,Productos!$A$5:$A$504,0)),0))</f>
        <v/>
      </c>
      <c r="H909" s="22" t="str">
        <f t="shared" si="14"/>
        <v/>
      </c>
      <c r="I909" s="14" t="str">
        <f>IF(OR($C909="",$F909=""),"",IFERROR(INDEX(Productos!$I$5:$I$504,MATCH($C909,Productos!$A$5:$A$504,0)),0)+SUMIFS($F$5:$F909,$C$5:$C909,$C909,$B$5:$B909,"Entrada")-SUMIFS($F$5:$F909,$C$5:$C909,$C909,$B$5:$B909,"Salida"))</f>
        <v/>
      </c>
      <c r="J909" s="20"/>
      <c r="K909" s="20"/>
      <c r="L909" s="20"/>
      <c r="M909" s="14" t="str">
        <f>IF(AND($C909&lt;&gt;"",$C909=Kardex!$C$4),COUNTIF($C$5:$C909,Kardex!$C$4),"")</f>
        <v/>
      </c>
    </row>
    <row r="910" spans="1:13" x14ac:dyDescent="0.25">
      <c r="A910" s="24"/>
      <c r="B910" s="20"/>
      <c r="C910" s="20"/>
      <c r="D910" s="14" t="str">
        <f>IF($C910="","",IFERROR(INDEX(Productos!$B$5:$B$504,MATCH($C910,Productos!$A$5:$A$504,0)),"Clave no existe"))</f>
        <v/>
      </c>
      <c r="E910" s="14" t="str">
        <f>IF($C910="","",IFERROR(INDEX(Productos!$D$5:$D$504,MATCH($C910,Productos!$A$5:$A$504,0)),""))</f>
        <v/>
      </c>
      <c r="F910" s="20"/>
      <c r="G910" s="22" t="str">
        <f>IF($C910="","",IFERROR(INDEX(Productos!$F$5:$F$504,MATCH($C910,Productos!$A$5:$A$504,0)),0))</f>
        <v/>
      </c>
      <c r="H910" s="22" t="str">
        <f t="shared" si="14"/>
        <v/>
      </c>
      <c r="I910" s="14" t="str">
        <f>IF(OR($C910="",$F910=""),"",IFERROR(INDEX(Productos!$I$5:$I$504,MATCH($C910,Productos!$A$5:$A$504,0)),0)+SUMIFS($F$5:$F910,$C$5:$C910,$C910,$B$5:$B910,"Entrada")-SUMIFS($F$5:$F910,$C$5:$C910,$C910,$B$5:$B910,"Salida"))</f>
        <v/>
      </c>
      <c r="J910" s="20"/>
      <c r="K910" s="20"/>
      <c r="L910" s="20"/>
      <c r="M910" s="14" t="str">
        <f>IF(AND($C910&lt;&gt;"",$C910=Kardex!$C$4),COUNTIF($C$5:$C910,Kardex!$C$4),"")</f>
        <v/>
      </c>
    </row>
    <row r="911" spans="1:13" x14ac:dyDescent="0.25">
      <c r="A911" s="24"/>
      <c r="B911" s="20"/>
      <c r="C911" s="20"/>
      <c r="D911" s="14" t="str">
        <f>IF($C911="","",IFERROR(INDEX(Productos!$B$5:$B$504,MATCH($C911,Productos!$A$5:$A$504,0)),"Clave no existe"))</f>
        <v/>
      </c>
      <c r="E911" s="14" t="str">
        <f>IF($C911="","",IFERROR(INDEX(Productos!$D$5:$D$504,MATCH($C911,Productos!$A$5:$A$504,0)),""))</f>
        <v/>
      </c>
      <c r="F911" s="20"/>
      <c r="G911" s="22" t="str">
        <f>IF($C911="","",IFERROR(INDEX(Productos!$F$5:$F$504,MATCH($C911,Productos!$A$5:$A$504,0)),0))</f>
        <v/>
      </c>
      <c r="H911" s="22" t="str">
        <f t="shared" si="14"/>
        <v/>
      </c>
      <c r="I911" s="14" t="str">
        <f>IF(OR($C911="",$F911=""),"",IFERROR(INDEX(Productos!$I$5:$I$504,MATCH($C911,Productos!$A$5:$A$504,0)),0)+SUMIFS($F$5:$F911,$C$5:$C911,$C911,$B$5:$B911,"Entrada")-SUMIFS($F$5:$F911,$C$5:$C911,$C911,$B$5:$B911,"Salida"))</f>
        <v/>
      </c>
      <c r="J911" s="20"/>
      <c r="K911" s="20"/>
      <c r="L911" s="20"/>
      <c r="M911" s="14" t="str">
        <f>IF(AND($C911&lt;&gt;"",$C911=Kardex!$C$4),COUNTIF($C$5:$C911,Kardex!$C$4),"")</f>
        <v/>
      </c>
    </row>
    <row r="912" spans="1:13" x14ac:dyDescent="0.25">
      <c r="A912" s="24"/>
      <c r="B912" s="20"/>
      <c r="C912" s="20"/>
      <c r="D912" s="14" t="str">
        <f>IF($C912="","",IFERROR(INDEX(Productos!$B$5:$B$504,MATCH($C912,Productos!$A$5:$A$504,0)),"Clave no existe"))</f>
        <v/>
      </c>
      <c r="E912" s="14" t="str">
        <f>IF($C912="","",IFERROR(INDEX(Productos!$D$5:$D$504,MATCH($C912,Productos!$A$5:$A$504,0)),""))</f>
        <v/>
      </c>
      <c r="F912" s="20"/>
      <c r="G912" s="22" t="str">
        <f>IF($C912="","",IFERROR(INDEX(Productos!$F$5:$F$504,MATCH($C912,Productos!$A$5:$A$504,0)),0))</f>
        <v/>
      </c>
      <c r="H912" s="22" t="str">
        <f t="shared" si="14"/>
        <v/>
      </c>
      <c r="I912" s="14" t="str">
        <f>IF(OR($C912="",$F912=""),"",IFERROR(INDEX(Productos!$I$5:$I$504,MATCH($C912,Productos!$A$5:$A$504,0)),0)+SUMIFS($F$5:$F912,$C$5:$C912,$C912,$B$5:$B912,"Entrada")-SUMIFS($F$5:$F912,$C$5:$C912,$C912,$B$5:$B912,"Salida"))</f>
        <v/>
      </c>
      <c r="J912" s="20"/>
      <c r="K912" s="20"/>
      <c r="L912" s="20"/>
      <c r="M912" s="14" t="str">
        <f>IF(AND($C912&lt;&gt;"",$C912=Kardex!$C$4),COUNTIF($C$5:$C912,Kardex!$C$4),"")</f>
        <v/>
      </c>
    </row>
    <row r="913" spans="1:13" x14ac:dyDescent="0.25">
      <c r="A913" s="24"/>
      <c r="B913" s="20"/>
      <c r="C913" s="20"/>
      <c r="D913" s="14" t="str">
        <f>IF($C913="","",IFERROR(INDEX(Productos!$B$5:$B$504,MATCH($C913,Productos!$A$5:$A$504,0)),"Clave no existe"))</f>
        <v/>
      </c>
      <c r="E913" s="14" t="str">
        <f>IF($C913="","",IFERROR(INDEX(Productos!$D$5:$D$504,MATCH($C913,Productos!$A$5:$A$504,0)),""))</f>
        <v/>
      </c>
      <c r="F913" s="20"/>
      <c r="G913" s="22" t="str">
        <f>IF($C913="","",IFERROR(INDEX(Productos!$F$5:$F$504,MATCH($C913,Productos!$A$5:$A$504,0)),0))</f>
        <v/>
      </c>
      <c r="H913" s="22" t="str">
        <f t="shared" si="14"/>
        <v/>
      </c>
      <c r="I913" s="14" t="str">
        <f>IF(OR($C913="",$F913=""),"",IFERROR(INDEX(Productos!$I$5:$I$504,MATCH($C913,Productos!$A$5:$A$504,0)),0)+SUMIFS($F$5:$F913,$C$5:$C913,$C913,$B$5:$B913,"Entrada")-SUMIFS($F$5:$F913,$C$5:$C913,$C913,$B$5:$B913,"Salida"))</f>
        <v/>
      </c>
      <c r="J913" s="20"/>
      <c r="K913" s="20"/>
      <c r="L913" s="20"/>
      <c r="M913" s="14" t="str">
        <f>IF(AND($C913&lt;&gt;"",$C913=Kardex!$C$4),COUNTIF($C$5:$C913,Kardex!$C$4),"")</f>
        <v/>
      </c>
    </row>
    <row r="914" spans="1:13" x14ac:dyDescent="0.25">
      <c r="A914" s="24"/>
      <c r="B914" s="20"/>
      <c r="C914" s="20"/>
      <c r="D914" s="14" t="str">
        <f>IF($C914="","",IFERROR(INDEX(Productos!$B$5:$B$504,MATCH($C914,Productos!$A$5:$A$504,0)),"Clave no existe"))</f>
        <v/>
      </c>
      <c r="E914" s="14" t="str">
        <f>IF($C914="","",IFERROR(INDEX(Productos!$D$5:$D$504,MATCH($C914,Productos!$A$5:$A$504,0)),""))</f>
        <v/>
      </c>
      <c r="F914" s="20"/>
      <c r="G914" s="22" t="str">
        <f>IF($C914="","",IFERROR(INDEX(Productos!$F$5:$F$504,MATCH($C914,Productos!$A$5:$A$504,0)),0))</f>
        <v/>
      </c>
      <c r="H914" s="22" t="str">
        <f t="shared" si="14"/>
        <v/>
      </c>
      <c r="I914" s="14" t="str">
        <f>IF(OR($C914="",$F914=""),"",IFERROR(INDEX(Productos!$I$5:$I$504,MATCH($C914,Productos!$A$5:$A$504,0)),0)+SUMIFS($F$5:$F914,$C$5:$C914,$C914,$B$5:$B914,"Entrada")-SUMIFS($F$5:$F914,$C$5:$C914,$C914,$B$5:$B914,"Salida"))</f>
        <v/>
      </c>
      <c r="J914" s="20"/>
      <c r="K914" s="20"/>
      <c r="L914" s="20"/>
      <c r="M914" s="14" t="str">
        <f>IF(AND($C914&lt;&gt;"",$C914=Kardex!$C$4),COUNTIF($C$5:$C914,Kardex!$C$4),"")</f>
        <v/>
      </c>
    </row>
    <row r="915" spans="1:13" x14ac:dyDescent="0.25">
      <c r="A915" s="24"/>
      <c r="B915" s="20"/>
      <c r="C915" s="20"/>
      <c r="D915" s="14" t="str">
        <f>IF($C915="","",IFERROR(INDEX(Productos!$B$5:$B$504,MATCH($C915,Productos!$A$5:$A$504,0)),"Clave no existe"))</f>
        <v/>
      </c>
      <c r="E915" s="14" t="str">
        <f>IF($C915="","",IFERROR(INDEX(Productos!$D$5:$D$504,MATCH($C915,Productos!$A$5:$A$504,0)),""))</f>
        <v/>
      </c>
      <c r="F915" s="20"/>
      <c r="G915" s="22" t="str">
        <f>IF($C915="","",IFERROR(INDEX(Productos!$F$5:$F$504,MATCH($C915,Productos!$A$5:$A$504,0)),0))</f>
        <v/>
      </c>
      <c r="H915" s="22" t="str">
        <f t="shared" si="14"/>
        <v/>
      </c>
      <c r="I915" s="14" t="str">
        <f>IF(OR($C915="",$F915=""),"",IFERROR(INDEX(Productos!$I$5:$I$504,MATCH($C915,Productos!$A$5:$A$504,0)),0)+SUMIFS($F$5:$F915,$C$5:$C915,$C915,$B$5:$B915,"Entrada")-SUMIFS($F$5:$F915,$C$5:$C915,$C915,$B$5:$B915,"Salida"))</f>
        <v/>
      </c>
      <c r="J915" s="20"/>
      <c r="K915" s="20"/>
      <c r="L915" s="20"/>
      <c r="M915" s="14" t="str">
        <f>IF(AND($C915&lt;&gt;"",$C915=Kardex!$C$4),COUNTIF($C$5:$C915,Kardex!$C$4),"")</f>
        <v/>
      </c>
    </row>
    <row r="916" spans="1:13" x14ac:dyDescent="0.25">
      <c r="A916" s="24"/>
      <c r="B916" s="20"/>
      <c r="C916" s="20"/>
      <c r="D916" s="14" t="str">
        <f>IF($C916="","",IFERROR(INDEX(Productos!$B$5:$B$504,MATCH($C916,Productos!$A$5:$A$504,0)),"Clave no existe"))</f>
        <v/>
      </c>
      <c r="E916" s="14" t="str">
        <f>IF($C916="","",IFERROR(INDEX(Productos!$D$5:$D$504,MATCH($C916,Productos!$A$5:$A$504,0)),""))</f>
        <v/>
      </c>
      <c r="F916" s="20"/>
      <c r="G916" s="22" t="str">
        <f>IF($C916="","",IFERROR(INDEX(Productos!$F$5:$F$504,MATCH($C916,Productos!$A$5:$A$504,0)),0))</f>
        <v/>
      </c>
      <c r="H916" s="22" t="str">
        <f t="shared" si="14"/>
        <v/>
      </c>
      <c r="I916" s="14" t="str">
        <f>IF(OR($C916="",$F916=""),"",IFERROR(INDEX(Productos!$I$5:$I$504,MATCH($C916,Productos!$A$5:$A$504,0)),0)+SUMIFS($F$5:$F916,$C$5:$C916,$C916,$B$5:$B916,"Entrada")-SUMIFS($F$5:$F916,$C$5:$C916,$C916,$B$5:$B916,"Salida"))</f>
        <v/>
      </c>
      <c r="J916" s="20"/>
      <c r="K916" s="20"/>
      <c r="L916" s="20"/>
      <c r="M916" s="14" t="str">
        <f>IF(AND($C916&lt;&gt;"",$C916=Kardex!$C$4),COUNTIF($C$5:$C916,Kardex!$C$4),"")</f>
        <v/>
      </c>
    </row>
    <row r="917" spans="1:13" x14ac:dyDescent="0.25">
      <c r="A917" s="24"/>
      <c r="B917" s="20"/>
      <c r="C917" s="20"/>
      <c r="D917" s="14" t="str">
        <f>IF($C917="","",IFERROR(INDEX(Productos!$B$5:$B$504,MATCH($C917,Productos!$A$5:$A$504,0)),"Clave no existe"))</f>
        <v/>
      </c>
      <c r="E917" s="14" t="str">
        <f>IF($C917="","",IFERROR(INDEX(Productos!$D$5:$D$504,MATCH($C917,Productos!$A$5:$A$504,0)),""))</f>
        <v/>
      </c>
      <c r="F917" s="20"/>
      <c r="G917" s="22" t="str">
        <f>IF($C917="","",IFERROR(INDEX(Productos!$F$5:$F$504,MATCH($C917,Productos!$A$5:$A$504,0)),0))</f>
        <v/>
      </c>
      <c r="H917" s="22" t="str">
        <f t="shared" si="14"/>
        <v/>
      </c>
      <c r="I917" s="14" t="str">
        <f>IF(OR($C917="",$F917=""),"",IFERROR(INDEX(Productos!$I$5:$I$504,MATCH($C917,Productos!$A$5:$A$504,0)),0)+SUMIFS($F$5:$F917,$C$5:$C917,$C917,$B$5:$B917,"Entrada")-SUMIFS($F$5:$F917,$C$5:$C917,$C917,$B$5:$B917,"Salida"))</f>
        <v/>
      </c>
      <c r="J917" s="20"/>
      <c r="K917" s="20"/>
      <c r="L917" s="20"/>
      <c r="M917" s="14" t="str">
        <f>IF(AND($C917&lt;&gt;"",$C917=Kardex!$C$4),COUNTIF($C$5:$C917,Kardex!$C$4),"")</f>
        <v/>
      </c>
    </row>
    <row r="918" spans="1:13" x14ac:dyDescent="0.25">
      <c r="A918" s="24"/>
      <c r="B918" s="20"/>
      <c r="C918" s="20"/>
      <c r="D918" s="14" t="str">
        <f>IF($C918="","",IFERROR(INDEX(Productos!$B$5:$B$504,MATCH($C918,Productos!$A$5:$A$504,0)),"Clave no existe"))</f>
        <v/>
      </c>
      <c r="E918" s="14" t="str">
        <f>IF($C918="","",IFERROR(INDEX(Productos!$D$5:$D$504,MATCH($C918,Productos!$A$5:$A$504,0)),""))</f>
        <v/>
      </c>
      <c r="F918" s="20"/>
      <c r="G918" s="22" t="str">
        <f>IF($C918="","",IFERROR(INDEX(Productos!$F$5:$F$504,MATCH($C918,Productos!$A$5:$A$504,0)),0))</f>
        <v/>
      </c>
      <c r="H918" s="22" t="str">
        <f t="shared" si="14"/>
        <v/>
      </c>
      <c r="I918" s="14" t="str">
        <f>IF(OR($C918="",$F918=""),"",IFERROR(INDEX(Productos!$I$5:$I$504,MATCH($C918,Productos!$A$5:$A$504,0)),0)+SUMIFS($F$5:$F918,$C$5:$C918,$C918,$B$5:$B918,"Entrada")-SUMIFS($F$5:$F918,$C$5:$C918,$C918,$B$5:$B918,"Salida"))</f>
        <v/>
      </c>
      <c r="J918" s="20"/>
      <c r="K918" s="20"/>
      <c r="L918" s="20"/>
      <c r="M918" s="14" t="str">
        <f>IF(AND($C918&lt;&gt;"",$C918=Kardex!$C$4),COUNTIF($C$5:$C918,Kardex!$C$4),"")</f>
        <v/>
      </c>
    </row>
    <row r="919" spans="1:13" x14ac:dyDescent="0.25">
      <c r="A919" s="24"/>
      <c r="B919" s="20"/>
      <c r="C919" s="20"/>
      <c r="D919" s="14" t="str">
        <f>IF($C919="","",IFERROR(INDEX(Productos!$B$5:$B$504,MATCH($C919,Productos!$A$5:$A$504,0)),"Clave no existe"))</f>
        <v/>
      </c>
      <c r="E919" s="14" t="str">
        <f>IF($C919="","",IFERROR(INDEX(Productos!$D$5:$D$504,MATCH($C919,Productos!$A$5:$A$504,0)),""))</f>
        <v/>
      </c>
      <c r="F919" s="20"/>
      <c r="G919" s="22" t="str">
        <f>IF($C919="","",IFERROR(INDEX(Productos!$F$5:$F$504,MATCH($C919,Productos!$A$5:$A$504,0)),0))</f>
        <v/>
      </c>
      <c r="H919" s="22" t="str">
        <f t="shared" si="14"/>
        <v/>
      </c>
      <c r="I919" s="14" t="str">
        <f>IF(OR($C919="",$F919=""),"",IFERROR(INDEX(Productos!$I$5:$I$504,MATCH($C919,Productos!$A$5:$A$504,0)),0)+SUMIFS($F$5:$F919,$C$5:$C919,$C919,$B$5:$B919,"Entrada")-SUMIFS($F$5:$F919,$C$5:$C919,$C919,$B$5:$B919,"Salida"))</f>
        <v/>
      </c>
      <c r="J919" s="20"/>
      <c r="K919" s="20"/>
      <c r="L919" s="20"/>
      <c r="M919" s="14" t="str">
        <f>IF(AND($C919&lt;&gt;"",$C919=Kardex!$C$4),COUNTIF($C$5:$C919,Kardex!$C$4),"")</f>
        <v/>
      </c>
    </row>
    <row r="920" spans="1:13" x14ac:dyDescent="0.25">
      <c r="A920" s="24"/>
      <c r="B920" s="20"/>
      <c r="C920" s="20"/>
      <c r="D920" s="14" t="str">
        <f>IF($C920="","",IFERROR(INDEX(Productos!$B$5:$B$504,MATCH($C920,Productos!$A$5:$A$504,0)),"Clave no existe"))</f>
        <v/>
      </c>
      <c r="E920" s="14" t="str">
        <f>IF($C920="","",IFERROR(INDEX(Productos!$D$5:$D$504,MATCH($C920,Productos!$A$5:$A$504,0)),""))</f>
        <v/>
      </c>
      <c r="F920" s="20"/>
      <c r="G920" s="22" t="str">
        <f>IF($C920="","",IFERROR(INDEX(Productos!$F$5:$F$504,MATCH($C920,Productos!$A$5:$A$504,0)),0))</f>
        <v/>
      </c>
      <c r="H920" s="22" t="str">
        <f t="shared" si="14"/>
        <v/>
      </c>
      <c r="I920" s="14" t="str">
        <f>IF(OR($C920="",$F920=""),"",IFERROR(INDEX(Productos!$I$5:$I$504,MATCH($C920,Productos!$A$5:$A$504,0)),0)+SUMIFS($F$5:$F920,$C$5:$C920,$C920,$B$5:$B920,"Entrada")-SUMIFS($F$5:$F920,$C$5:$C920,$C920,$B$5:$B920,"Salida"))</f>
        <v/>
      </c>
      <c r="J920" s="20"/>
      <c r="K920" s="20"/>
      <c r="L920" s="20"/>
      <c r="M920" s="14" t="str">
        <f>IF(AND($C920&lt;&gt;"",$C920=Kardex!$C$4),COUNTIF($C$5:$C920,Kardex!$C$4),"")</f>
        <v/>
      </c>
    </row>
    <row r="921" spans="1:13" x14ac:dyDescent="0.25">
      <c r="A921" s="24"/>
      <c r="B921" s="20"/>
      <c r="C921" s="20"/>
      <c r="D921" s="14" t="str">
        <f>IF($C921="","",IFERROR(INDEX(Productos!$B$5:$B$504,MATCH($C921,Productos!$A$5:$A$504,0)),"Clave no existe"))</f>
        <v/>
      </c>
      <c r="E921" s="14" t="str">
        <f>IF($C921="","",IFERROR(INDEX(Productos!$D$5:$D$504,MATCH($C921,Productos!$A$5:$A$504,0)),""))</f>
        <v/>
      </c>
      <c r="F921" s="20"/>
      <c r="G921" s="22" t="str">
        <f>IF($C921="","",IFERROR(INDEX(Productos!$F$5:$F$504,MATCH($C921,Productos!$A$5:$A$504,0)),0))</f>
        <v/>
      </c>
      <c r="H921" s="22" t="str">
        <f t="shared" si="14"/>
        <v/>
      </c>
      <c r="I921" s="14" t="str">
        <f>IF(OR($C921="",$F921=""),"",IFERROR(INDEX(Productos!$I$5:$I$504,MATCH($C921,Productos!$A$5:$A$504,0)),0)+SUMIFS($F$5:$F921,$C$5:$C921,$C921,$B$5:$B921,"Entrada")-SUMIFS($F$5:$F921,$C$5:$C921,$C921,$B$5:$B921,"Salida"))</f>
        <v/>
      </c>
      <c r="J921" s="20"/>
      <c r="K921" s="20"/>
      <c r="L921" s="20"/>
      <c r="M921" s="14" t="str">
        <f>IF(AND($C921&lt;&gt;"",$C921=Kardex!$C$4),COUNTIF($C$5:$C921,Kardex!$C$4),"")</f>
        <v/>
      </c>
    </row>
    <row r="922" spans="1:13" x14ac:dyDescent="0.25">
      <c r="A922" s="24"/>
      <c r="B922" s="20"/>
      <c r="C922" s="20"/>
      <c r="D922" s="14" t="str">
        <f>IF($C922="","",IFERROR(INDEX(Productos!$B$5:$B$504,MATCH($C922,Productos!$A$5:$A$504,0)),"Clave no existe"))</f>
        <v/>
      </c>
      <c r="E922" s="14" t="str">
        <f>IF($C922="","",IFERROR(INDEX(Productos!$D$5:$D$504,MATCH($C922,Productos!$A$5:$A$504,0)),""))</f>
        <v/>
      </c>
      <c r="F922" s="20"/>
      <c r="G922" s="22" t="str">
        <f>IF($C922="","",IFERROR(INDEX(Productos!$F$5:$F$504,MATCH($C922,Productos!$A$5:$A$504,0)),0))</f>
        <v/>
      </c>
      <c r="H922" s="22" t="str">
        <f t="shared" si="14"/>
        <v/>
      </c>
      <c r="I922" s="14" t="str">
        <f>IF(OR($C922="",$F922=""),"",IFERROR(INDEX(Productos!$I$5:$I$504,MATCH($C922,Productos!$A$5:$A$504,0)),0)+SUMIFS($F$5:$F922,$C$5:$C922,$C922,$B$5:$B922,"Entrada")-SUMIFS($F$5:$F922,$C$5:$C922,$C922,$B$5:$B922,"Salida"))</f>
        <v/>
      </c>
      <c r="J922" s="20"/>
      <c r="K922" s="20"/>
      <c r="L922" s="20"/>
      <c r="M922" s="14" t="str">
        <f>IF(AND($C922&lt;&gt;"",$C922=Kardex!$C$4),COUNTIF($C$5:$C922,Kardex!$C$4),"")</f>
        <v/>
      </c>
    </row>
    <row r="923" spans="1:13" x14ac:dyDescent="0.25">
      <c r="A923" s="24"/>
      <c r="B923" s="20"/>
      <c r="C923" s="20"/>
      <c r="D923" s="14" t="str">
        <f>IF($C923="","",IFERROR(INDEX(Productos!$B$5:$B$504,MATCH($C923,Productos!$A$5:$A$504,0)),"Clave no existe"))</f>
        <v/>
      </c>
      <c r="E923" s="14" t="str">
        <f>IF($C923="","",IFERROR(INDEX(Productos!$D$5:$D$504,MATCH($C923,Productos!$A$5:$A$504,0)),""))</f>
        <v/>
      </c>
      <c r="F923" s="20"/>
      <c r="G923" s="22" t="str">
        <f>IF($C923="","",IFERROR(INDEX(Productos!$F$5:$F$504,MATCH($C923,Productos!$A$5:$A$504,0)),0))</f>
        <v/>
      </c>
      <c r="H923" s="22" t="str">
        <f t="shared" si="14"/>
        <v/>
      </c>
      <c r="I923" s="14" t="str">
        <f>IF(OR($C923="",$F923=""),"",IFERROR(INDEX(Productos!$I$5:$I$504,MATCH($C923,Productos!$A$5:$A$504,0)),0)+SUMIFS($F$5:$F923,$C$5:$C923,$C923,$B$5:$B923,"Entrada")-SUMIFS($F$5:$F923,$C$5:$C923,$C923,$B$5:$B923,"Salida"))</f>
        <v/>
      </c>
      <c r="J923" s="20"/>
      <c r="K923" s="20"/>
      <c r="L923" s="20"/>
      <c r="M923" s="14" t="str">
        <f>IF(AND($C923&lt;&gt;"",$C923=Kardex!$C$4),COUNTIF($C$5:$C923,Kardex!$C$4),"")</f>
        <v/>
      </c>
    </row>
    <row r="924" spans="1:13" x14ac:dyDescent="0.25">
      <c r="A924" s="24"/>
      <c r="B924" s="20"/>
      <c r="C924" s="20"/>
      <c r="D924" s="14" t="str">
        <f>IF($C924="","",IFERROR(INDEX(Productos!$B$5:$B$504,MATCH($C924,Productos!$A$5:$A$504,0)),"Clave no existe"))</f>
        <v/>
      </c>
      <c r="E924" s="14" t="str">
        <f>IF($C924="","",IFERROR(INDEX(Productos!$D$5:$D$504,MATCH($C924,Productos!$A$5:$A$504,0)),""))</f>
        <v/>
      </c>
      <c r="F924" s="20"/>
      <c r="G924" s="22" t="str">
        <f>IF($C924="","",IFERROR(INDEX(Productos!$F$5:$F$504,MATCH($C924,Productos!$A$5:$A$504,0)),0))</f>
        <v/>
      </c>
      <c r="H924" s="22" t="str">
        <f t="shared" si="14"/>
        <v/>
      </c>
      <c r="I924" s="14" t="str">
        <f>IF(OR($C924="",$F924=""),"",IFERROR(INDEX(Productos!$I$5:$I$504,MATCH($C924,Productos!$A$5:$A$504,0)),0)+SUMIFS($F$5:$F924,$C$5:$C924,$C924,$B$5:$B924,"Entrada")-SUMIFS($F$5:$F924,$C$5:$C924,$C924,$B$5:$B924,"Salida"))</f>
        <v/>
      </c>
      <c r="J924" s="20"/>
      <c r="K924" s="20"/>
      <c r="L924" s="20"/>
      <c r="M924" s="14" t="str">
        <f>IF(AND($C924&lt;&gt;"",$C924=Kardex!$C$4),COUNTIF($C$5:$C924,Kardex!$C$4),"")</f>
        <v/>
      </c>
    </row>
    <row r="925" spans="1:13" x14ac:dyDescent="0.25">
      <c r="A925" s="24"/>
      <c r="B925" s="20"/>
      <c r="C925" s="20"/>
      <c r="D925" s="14" t="str">
        <f>IF($C925="","",IFERROR(INDEX(Productos!$B$5:$B$504,MATCH($C925,Productos!$A$5:$A$504,0)),"Clave no existe"))</f>
        <v/>
      </c>
      <c r="E925" s="14" t="str">
        <f>IF($C925="","",IFERROR(INDEX(Productos!$D$5:$D$504,MATCH($C925,Productos!$A$5:$A$504,0)),""))</f>
        <v/>
      </c>
      <c r="F925" s="20"/>
      <c r="G925" s="22" t="str">
        <f>IF($C925="","",IFERROR(INDEX(Productos!$F$5:$F$504,MATCH($C925,Productos!$A$5:$A$504,0)),0))</f>
        <v/>
      </c>
      <c r="H925" s="22" t="str">
        <f t="shared" si="14"/>
        <v/>
      </c>
      <c r="I925" s="14" t="str">
        <f>IF(OR($C925="",$F925=""),"",IFERROR(INDEX(Productos!$I$5:$I$504,MATCH($C925,Productos!$A$5:$A$504,0)),0)+SUMIFS($F$5:$F925,$C$5:$C925,$C925,$B$5:$B925,"Entrada")-SUMIFS($F$5:$F925,$C$5:$C925,$C925,$B$5:$B925,"Salida"))</f>
        <v/>
      </c>
      <c r="J925" s="20"/>
      <c r="K925" s="20"/>
      <c r="L925" s="20"/>
      <c r="M925" s="14" t="str">
        <f>IF(AND($C925&lt;&gt;"",$C925=Kardex!$C$4),COUNTIF($C$5:$C925,Kardex!$C$4),"")</f>
        <v/>
      </c>
    </row>
    <row r="926" spans="1:13" x14ac:dyDescent="0.25">
      <c r="A926" s="24"/>
      <c r="B926" s="20"/>
      <c r="C926" s="20"/>
      <c r="D926" s="14" t="str">
        <f>IF($C926="","",IFERROR(INDEX(Productos!$B$5:$B$504,MATCH($C926,Productos!$A$5:$A$504,0)),"Clave no existe"))</f>
        <v/>
      </c>
      <c r="E926" s="14" t="str">
        <f>IF($C926="","",IFERROR(INDEX(Productos!$D$5:$D$504,MATCH($C926,Productos!$A$5:$A$504,0)),""))</f>
        <v/>
      </c>
      <c r="F926" s="20"/>
      <c r="G926" s="22" t="str">
        <f>IF($C926="","",IFERROR(INDEX(Productos!$F$5:$F$504,MATCH($C926,Productos!$A$5:$A$504,0)),0))</f>
        <v/>
      </c>
      <c r="H926" s="22" t="str">
        <f t="shared" si="14"/>
        <v/>
      </c>
      <c r="I926" s="14" t="str">
        <f>IF(OR($C926="",$F926=""),"",IFERROR(INDEX(Productos!$I$5:$I$504,MATCH($C926,Productos!$A$5:$A$504,0)),0)+SUMIFS($F$5:$F926,$C$5:$C926,$C926,$B$5:$B926,"Entrada")-SUMIFS($F$5:$F926,$C$5:$C926,$C926,$B$5:$B926,"Salida"))</f>
        <v/>
      </c>
      <c r="J926" s="20"/>
      <c r="K926" s="20"/>
      <c r="L926" s="20"/>
      <c r="M926" s="14" t="str">
        <f>IF(AND($C926&lt;&gt;"",$C926=Kardex!$C$4),COUNTIF($C$5:$C926,Kardex!$C$4),"")</f>
        <v/>
      </c>
    </row>
    <row r="927" spans="1:13" x14ac:dyDescent="0.25">
      <c r="A927" s="24"/>
      <c r="B927" s="20"/>
      <c r="C927" s="20"/>
      <c r="D927" s="14" t="str">
        <f>IF($C927="","",IFERROR(INDEX(Productos!$B$5:$B$504,MATCH($C927,Productos!$A$5:$A$504,0)),"Clave no existe"))</f>
        <v/>
      </c>
      <c r="E927" s="14" t="str">
        <f>IF($C927="","",IFERROR(INDEX(Productos!$D$5:$D$504,MATCH($C927,Productos!$A$5:$A$504,0)),""))</f>
        <v/>
      </c>
      <c r="F927" s="20"/>
      <c r="G927" s="22" t="str">
        <f>IF($C927="","",IFERROR(INDEX(Productos!$F$5:$F$504,MATCH($C927,Productos!$A$5:$A$504,0)),0))</f>
        <v/>
      </c>
      <c r="H927" s="22" t="str">
        <f t="shared" si="14"/>
        <v/>
      </c>
      <c r="I927" s="14" t="str">
        <f>IF(OR($C927="",$F927=""),"",IFERROR(INDEX(Productos!$I$5:$I$504,MATCH($C927,Productos!$A$5:$A$504,0)),0)+SUMIFS($F$5:$F927,$C$5:$C927,$C927,$B$5:$B927,"Entrada")-SUMIFS($F$5:$F927,$C$5:$C927,$C927,$B$5:$B927,"Salida"))</f>
        <v/>
      </c>
      <c r="J927" s="20"/>
      <c r="K927" s="20"/>
      <c r="L927" s="20"/>
      <c r="M927" s="14" t="str">
        <f>IF(AND($C927&lt;&gt;"",$C927=Kardex!$C$4),COUNTIF($C$5:$C927,Kardex!$C$4),"")</f>
        <v/>
      </c>
    </row>
    <row r="928" spans="1:13" x14ac:dyDescent="0.25">
      <c r="A928" s="24"/>
      <c r="B928" s="20"/>
      <c r="C928" s="20"/>
      <c r="D928" s="14" t="str">
        <f>IF($C928="","",IFERROR(INDEX(Productos!$B$5:$B$504,MATCH($C928,Productos!$A$5:$A$504,0)),"Clave no existe"))</f>
        <v/>
      </c>
      <c r="E928" s="14" t="str">
        <f>IF($C928="","",IFERROR(INDEX(Productos!$D$5:$D$504,MATCH($C928,Productos!$A$5:$A$504,0)),""))</f>
        <v/>
      </c>
      <c r="F928" s="20"/>
      <c r="G928" s="22" t="str">
        <f>IF($C928="","",IFERROR(INDEX(Productos!$F$5:$F$504,MATCH($C928,Productos!$A$5:$A$504,0)),0))</f>
        <v/>
      </c>
      <c r="H928" s="22" t="str">
        <f t="shared" si="14"/>
        <v/>
      </c>
      <c r="I928" s="14" t="str">
        <f>IF(OR($C928="",$F928=""),"",IFERROR(INDEX(Productos!$I$5:$I$504,MATCH($C928,Productos!$A$5:$A$504,0)),0)+SUMIFS($F$5:$F928,$C$5:$C928,$C928,$B$5:$B928,"Entrada")-SUMIFS($F$5:$F928,$C$5:$C928,$C928,$B$5:$B928,"Salida"))</f>
        <v/>
      </c>
      <c r="J928" s="20"/>
      <c r="K928" s="20"/>
      <c r="L928" s="20"/>
      <c r="M928" s="14" t="str">
        <f>IF(AND($C928&lt;&gt;"",$C928=Kardex!$C$4),COUNTIF($C$5:$C928,Kardex!$C$4),"")</f>
        <v/>
      </c>
    </row>
    <row r="929" spans="1:13" x14ac:dyDescent="0.25">
      <c r="A929" s="24"/>
      <c r="B929" s="20"/>
      <c r="C929" s="20"/>
      <c r="D929" s="14" t="str">
        <f>IF($C929="","",IFERROR(INDEX(Productos!$B$5:$B$504,MATCH($C929,Productos!$A$5:$A$504,0)),"Clave no existe"))</f>
        <v/>
      </c>
      <c r="E929" s="14" t="str">
        <f>IF($C929="","",IFERROR(INDEX(Productos!$D$5:$D$504,MATCH($C929,Productos!$A$5:$A$504,0)),""))</f>
        <v/>
      </c>
      <c r="F929" s="20"/>
      <c r="G929" s="22" t="str">
        <f>IF($C929="","",IFERROR(INDEX(Productos!$F$5:$F$504,MATCH($C929,Productos!$A$5:$A$504,0)),0))</f>
        <v/>
      </c>
      <c r="H929" s="22" t="str">
        <f t="shared" si="14"/>
        <v/>
      </c>
      <c r="I929" s="14" t="str">
        <f>IF(OR($C929="",$F929=""),"",IFERROR(INDEX(Productos!$I$5:$I$504,MATCH($C929,Productos!$A$5:$A$504,0)),0)+SUMIFS($F$5:$F929,$C$5:$C929,$C929,$B$5:$B929,"Entrada")-SUMIFS($F$5:$F929,$C$5:$C929,$C929,$B$5:$B929,"Salida"))</f>
        <v/>
      </c>
      <c r="J929" s="20"/>
      <c r="K929" s="20"/>
      <c r="L929" s="20"/>
      <c r="M929" s="14" t="str">
        <f>IF(AND($C929&lt;&gt;"",$C929=Kardex!$C$4),COUNTIF($C$5:$C929,Kardex!$C$4),"")</f>
        <v/>
      </c>
    </row>
    <row r="930" spans="1:13" x14ac:dyDescent="0.25">
      <c r="A930" s="24"/>
      <c r="B930" s="20"/>
      <c r="C930" s="20"/>
      <c r="D930" s="14" t="str">
        <f>IF($C930="","",IFERROR(INDEX(Productos!$B$5:$B$504,MATCH($C930,Productos!$A$5:$A$504,0)),"Clave no existe"))</f>
        <v/>
      </c>
      <c r="E930" s="14" t="str">
        <f>IF($C930="","",IFERROR(INDEX(Productos!$D$5:$D$504,MATCH($C930,Productos!$A$5:$A$504,0)),""))</f>
        <v/>
      </c>
      <c r="F930" s="20"/>
      <c r="G930" s="22" t="str">
        <f>IF($C930="","",IFERROR(INDEX(Productos!$F$5:$F$504,MATCH($C930,Productos!$A$5:$A$504,0)),0))</f>
        <v/>
      </c>
      <c r="H930" s="22" t="str">
        <f t="shared" si="14"/>
        <v/>
      </c>
      <c r="I930" s="14" t="str">
        <f>IF(OR($C930="",$F930=""),"",IFERROR(INDEX(Productos!$I$5:$I$504,MATCH($C930,Productos!$A$5:$A$504,0)),0)+SUMIFS($F$5:$F930,$C$5:$C930,$C930,$B$5:$B930,"Entrada")-SUMIFS($F$5:$F930,$C$5:$C930,$C930,$B$5:$B930,"Salida"))</f>
        <v/>
      </c>
      <c r="J930" s="20"/>
      <c r="K930" s="20"/>
      <c r="L930" s="20"/>
      <c r="M930" s="14" t="str">
        <f>IF(AND($C930&lt;&gt;"",$C930=Kardex!$C$4),COUNTIF($C$5:$C930,Kardex!$C$4),"")</f>
        <v/>
      </c>
    </row>
    <row r="931" spans="1:13" x14ac:dyDescent="0.25">
      <c r="A931" s="24"/>
      <c r="B931" s="20"/>
      <c r="C931" s="20"/>
      <c r="D931" s="14" t="str">
        <f>IF($C931="","",IFERROR(INDEX(Productos!$B$5:$B$504,MATCH($C931,Productos!$A$5:$A$504,0)),"Clave no existe"))</f>
        <v/>
      </c>
      <c r="E931" s="14" t="str">
        <f>IF($C931="","",IFERROR(INDEX(Productos!$D$5:$D$504,MATCH($C931,Productos!$A$5:$A$504,0)),""))</f>
        <v/>
      </c>
      <c r="F931" s="20"/>
      <c r="G931" s="22" t="str">
        <f>IF($C931="","",IFERROR(INDEX(Productos!$F$5:$F$504,MATCH($C931,Productos!$A$5:$A$504,0)),0))</f>
        <v/>
      </c>
      <c r="H931" s="22" t="str">
        <f t="shared" si="14"/>
        <v/>
      </c>
      <c r="I931" s="14" t="str">
        <f>IF(OR($C931="",$F931=""),"",IFERROR(INDEX(Productos!$I$5:$I$504,MATCH($C931,Productos!$A$5:$A$504,0)),0)+SUMIFS($F$5:$F931,$C$5:$C931,$C931,$B$5:$B931,"Entrada")-SUMIFS($F$5:$F931,$C$5:$C931,$C931,$B$5:$B931,"Salida"))</f>
        <v/>
      </c>
      <c r="J931" s="20"/>
      <c r="K931" s="20"/>
      <c r="L931" s="20"/>
      <c r="M931" s="14" t="str">
        <f>IF(AND($C931&lt;&gt;"",$C931=Kardex!$C$4),COUNTIF($C$5:$C931,Kardex!$C$4),"")</f>
        <v/>
      </c>
    </row>
    <row r="932" spans="1:13" x14ac:dyDescent="0.25">
      <c r="A932" s="24"/>
      <c r="B932" s="20"/>
      <c r="C932" s="20"/>
      <c r="D932" s="14" t="str">
        <f>IF($C932="","",IFERROR(INDEX(Productos!$B$5:$B$504,MATCH($C932,Productos!$A$5:$A$504,0)),"Clave no existe"))</f>
        <v/>
      </c>
      <c r="E932" s="14" t="str">
        <f>IF($C932="","",IFERROR(INDEX(Productos!$D$5:$D$504,MATCH($C932,Productos!$A$5:$A$504,0)),""))</f>
        <v/>
      </c>
      <c r="F932" s="20"/>
      <c r="G932" s="22" t="str">
        <f>IF($C932="","",IFERROR(INDEX(Productos!$F$5:$F$504,MATCH($C932,Productos!$A$5:$A$504,0)),0))</f>
        <v/>
      </c>
      <c r="H932" s="22" t="str">
        <f t="shared" si="14"/>
        <v/>
      </c>
      <c r="I932" s="14" t="str">
        <f>IF(OR($C932="",$F932=""),"",IFERROR(INDEX(Productos!$I$5:$I$504,MATCH($C932,Productos!$A$5:$A$504,0)),0)+SUMIFS($F$5:$F932,$C$5:$C932,$C932,$B$5:$B932,"Entrada")-SUMIFS($F$5:$F932,$C$5:$C932,$C932,$B$5:$B932,"Salida"))</f>
        <v/>
      </c>
      <c r="J932" s="20"/>
      <c r="K932" s="20"/>
      <c r="L932" s="20"/>
      <c r="M932" s="14" t="str">
        <f>IF(AND($C932&lt;&gt;"",$C932=Kardex!$C$4),COUNTIF($C$5:$C932,Kardex!$C$4),"")</f>
        <v/>
      </c>
    </row>
    <row r="933" spans="1:13" x14ac:dyDescent="0.25">
      <c r="A933" s="24"/>
      <c r="B933" s="20"/>
      <c r="C933" s="20"/>
      <c r="D933" s="14" t="str">
        <f>IF($C933="","",IFERROR(INDEX(Productos!$B$5:$B$504,MATCH($C933,Productos!$A$5:$A$504,0)),"Clave no existe"))</f>
        <v/>
      </c>
      <c r="E933" s="14" t="str">
        <f>IF($C933="","",IFERROR(INDEX(Productos!$D$5:$D$504,MATCH($C933,Productos!$A$5:$A$504,0)),""))</f>
        <v/>
      </c>
      <c r="F933" s="20"/>
      <c r="G933" s="22" t="str">
        <f>IF($C933="","",IFERROR(INDEX(Productos!$F$5:$F$504,MATCH($C933,Productos!$A$5:$A$504,0)),0))</f>
        <v/>
      </c>
      <c r="H933" s="22" t="str">
        <f t="shared" si="14"/>
        <v/>
      </c>
      <c r="I933" s="14" t="str">
        <f>IF(OR($C933="",$F933=""),"",IFERROR(INDEX(Productos!$I$5:$I$504,MATCH($C933,Productos!$A$5:$A$504,0)),0)+SUMIFS($F$5:$F933,$C$5:$C933,$C933,$B$5:$B933,"Entrada")-SUMIFS($F$5:$F933,$C$5:$C933,$C933,$B$5:$B933,"Salida"))</f>
        <v/>
      </c>
      <c r="J933" s="20"/>
      <c r="K933" s="20"/>
      <c r="L933" s="20"/>
      <c r="M933" s="14" t="str">
        <f>IF(AND($C933&lt;&gt;"",$C933=Kardex!$C$4),COUNTIF($C$5:$C933,Kardex!$C$4),"")</f>
        <v/>
      </c>
    </row>
    <row r="934" spans="1:13" x14ac:dyDescent="0.25">
      <c r="A934" s="24"/>
      <c r="B934" s="20"/>
      <c r="C934" s="20"/>
      <c r="D934" s="14" t="str">
        <f>IF($C934="","",IFERROR(INDEX(Productos!$B$5:$B$504,MATCH($C934,Productos!$A$5:$A$504,0)),"Clave no existe"))</f>
        <v/>
      </c>
      <c r="E934" s="14" t="str">
        <f>IF($C934="","",IFERROR(INDEX(Productos!$D$5:$D$504,MATCH($C934,Productos!$A$5:$A$504,0)),""))</f>
        <v/>
      </c>
      <c r="F934" s="20"/>
      <c r="G934" s="22" t="str">
        <f>IF($C934="","",IFERROR(INDEX(Productos!$F$5:$F$504,MATCH($C934,Productos!$A$5:$A$504,0)),0))</f>
        <v/>
      </c>
      <c r="H934" s="22" t="str">
        <f t="shared" si="14"/>
        <v/>
      </c>
      <c r="I934" s="14" t="str">
        <f>IF(OR($C934="",$F934=""),"",IFERROR(INDEX(Productos!$I$5:$I$504,MATCH($C934,Productos!$A$5:$A$504,0)),0)+SUMIFS($F$5:$F934,$C$5:$C934,$C934,$B$5:$B934,"Entrada")-SUMIFS($F$5:$F934,$C$5:$C934,$C934,$B$5:$B934,"Salida"))</f>
        <v/>
      </c>
      <c r="J934" s="20"/>
      <c r="K934" s="20"/>
      <c r="L934" s="20"/>
      <c r="M934" s="14" t="str">
        <f>IF(AND($C934&lt;&gt;"",$C934=Kardex!$C$4),COUNTIF($C$5:$C934,Kardex!$C$4),"")</f>
        <v/>
      </c>
    </row>
    <row r="935" spans="1:13" x14ac:dyDescent="0.25">
      <c r="A935" s="24"/>
      <c r="B935" s="20"/>
      <c r="C935" s="20"/>
      <c r="D935" s="14" t="str">
        <f>IF($C935="","",IFERROR(INDEX(Productos!$B$5:$B$504,MATCH($C935,Productos!$A$5:$A$504,0)),"Clave no existe"))</f>
        <v/>
      </c>
      <c r="E935" s="14" t="str">
        <f>IF($C935="","",IFERROR(INDEX(Productos!$D$5:$D$504,MATCH($C935,Productos!$A$5:$A$504,0)),""))</f>
        <v/>
      </c>
      <c r="F935" s="20"/>
      <c r="G935" s="22" t="str">
        <f>IF($C935="","",IFERROR(INDEX(Productos!$F$5:$F$504,MATCH($C935,Productos!$A$5:$A$504,0)),0))</f>
        <v/>
      </c>
      <c r="H935" s="22" t="str">
        <f t="shared" si="14"/>
        <v/>
      </c>
      <c r="I935" s="14" t="str">
        <f>IF(OR($C935="",$F935=""),"",IFERROR(INDEX(Productos!$I$5:$I$504,MATCH($C935,Productos!$A$5:$A$504,0)),0)+SUMIFS($F$5:$F935,$C$5:$C935,$C935,$B$5:$B935,"Entrada")-SUMIFS($F$5:$F935,$C$5:$C935,$C935,$B$5:$B935,"Salida"))</f>
        <v/>
      </c>
      <c r="J935" s="20"/>
      <c r="K935" s="20"/>
      <c r="L935" s="20"/>
      <c r="M935" s="14" t="str">
        <f>IF(AND($C935&lt;&gt;"",$C935=Kardex!$C$4),COUNTIF($C$5:$C935,Kardex!$C$4),"")</f>
        <v/>
      </c>
    </row>
    <row r="936" spans="1:13" x14ac:dyDescent="0.25">
      <c r="A936" s="24"/>
      <c r="B936" s="20"/>
      <c r="C936" s="20"/>
      <c r="D936" s="14" t="str">
        <f>IF($C936="","",IFERROR(INDEX(Productos!$B$5:$B$504,MATCH($C936,Productos!$A$5:$A$504,0)),"Clave no existe"))</f>
        <v/>
      </c>
      <c r="E936" s="14" t="str">
        <f>IF($C936="","",IFERROR(INDEX(Productos!$D$5:$D$504,MATCH($C936,Productos!$A$5:$A$504,0)),""))</f>
        <v/>
      </c>
      <c r="F936" s="20"/>
      <c r="G936" s="22" t="str">
        <f>IF($C936="","",IFERROR(INDEX(Productos!$F$5:$F$504,MATCH($C936,Productos!$A$5:$A$504,0)),0))</f>
        <v/>
      </c>
      <c r="H936" s="22" t="str">
        <f t="shared" si="14"/>
        <v/>
      </c>
      <c r="I936" s="14" t="str">
        <f>IF(OR($C936="",$F936=""),"",IFERROR(INDEX(Productos!$I$5:$I$504,MATCH($C936,Productos!$A$5:$A$504,0)),0)+SUMIFS($F$5:$F936,$C$5:$C936,$C936,$B$5:$B936,"Entrada")-SUMIFS($F$5:$F936,$C$5:$C936,$C936,$B$5:$B936,"Salida"))</f>
        <v/>
      </c>
      <c r="J936" s="20"/>
      <c r="K936" s="20"/>
      <c r="L936" s="20"/>
      <c r="M936" s="14" t="str">
        <f>IF(AND($C936&lt;&gt;"",$C936=Kardex!$C$4),COUNTIF($C$5:$C936,Kardex!$C$4),"")</f>
        <v/>
      </c>
    </row>
    <row r="937" spans="1:13" x14ac:dyDescent="0.25">
      <c r="A937" s="24"/>
      <c r="B937" s="20"/>
      <c r="C937" s="20"/>
      <c r="D937" s="14" t="str">
        <f>IF($C937="","",IFERROR(INDEX(Productos!$B$5:$B$504,MATCH($C937,Productos!$A$5:$A$504,0)),"Clave no existe"))</f>
        <v/>
      </c>
      <c r="E937" s="14" t="str">
        <f>IF($C937="","",IFERROR(INDEX(Productos!$D$5:$D$504,MATCH($C937,Productos!$A$5:$A$504,0)),""))</f>
        <v/>
      </c>
      <c r="F937" s="20"/>
      <c r="G937" s="22" t="str">
        <f>IF($C937="","",IFERROR(INDEX(Productos!$F$5:$F$504,MATCH($C937,Productos!$A$5:$A$504,0)),0))</f>
        <v/>
      </c>
      <c r="H937" s="22" t="str">
        <f t="shared" si="14"/>
        <v/>
      </c>
      <c r="I937" s="14" t="str">
        <f>IF(OR($C937="",$F937=""),"",IFERROR(INDEX(Productos!$I$5:$I$504,MATCH($C937,Productos!$A$5:$A$504,0)),0)+SUMIFS($F$5:$F937,$C$5:$C937,$C937,$B$5:$B937,"Entrada")-SUMIFS($F$5:$F937,$C$5:$C937,$C937,$B$5:$B937,"Salida"))</f>
        <v/>
      </c>
      <c r="J937" s="20"/>
      <c r="K937" s="20"/>
      <c r="L937" s="20"/>
      <c r="M937" s="14" t="str">
        <f>IF(AND($C937&lt;&gt;"",$C937=Kardex!$C$4),COUNTIF($C$5:$C937,Kardex!$C$4),"")</f>
        <v/>
      </c>
    </row>
    <row r="938" spans="1:13" x14ac:dyDescent="0.25">
      <c r="A938" s="24"/>
      <c r="B938" s="20"/>
      <c r="C938" s="20"/>
      <c r="D938" s="14" t="str">
        <f>IF($C938="","",IFERROR(INDEX(Productos!$B$5:$B$504,MATCH($C938,Productos!$A$5:$A$504,0)),"Clave no existe"))</f>
        <v/>
      </c>
      <c r="E938" s="14" t="str">
        <f>IF($C938="","",IFERROR(INDEX(Productos!$D$5:$D$504,MATCH($C938,Productos!$A$5:$A$504,0)),""))</f>
        <v/>
      </c>
      <c r="F938" s="20"/>
      <c r="G938" s="22" t="str">
        <f>IF($C938="","",IFERROR(INDEX(Productos!$F$5:$F$504,MATCH($C938,Productos!$A$5:$A$504,0)),0))</f>
        <v/>
      </c>
      <c r="H938" s="22" t="str">
        <f t="shared" si="14"/>
        <v/>
      </c>
      <c r="I938" s="14" t="str">
        <f>IF(OR($C938="",$F938=""),"",IFERROR(INDEX(Productos!$I$5:$I$504,MATCH($C938,Productos!$A$5:$A$504,0)),0)+SUMIFS($F$5:$F938,$C$5:$C938,$C938,$B$5:$B938,"Entrada")-SUMIFS($F$5:$F938,$C$5:$C938,$C938,$B$5:$B938,"Salida"))</f>
        <v/>
      </c>
      <c r="J938" s="20"/>
      <c r="K938" s="20"/>
      <c r="L938" s="20"/>
      <c r="M938" s="14" t="str">
        <f>IF(AND($C938&lt;&gt;"",$C938=Kardex!$C$4),COUNTIF($C$5:$C938,Kardex!$C$4),"")</f>
        <v/>
      </c>
    </row>
    <row r="939" spans="1:13" x14ac:dyDescent="0.25">
      <c r="A939" s="24"/>
      <c r="B939" s="20"/>
      <c r="C939" s="20"/>
      <c r="D939" s="14" t="str">
        <f>IF($C939="","",IFERROR(INDEX(Productos!$B$5:$B$504,MATCH($C939,Productos!$A$5:$A$504,0)),"Clave no existe"))</f>
        <v/>
      </c>
      <c r="E939" s="14" t="str">
        <f>IF($C939="","",IFERROR(INDEX(Productos!$D$5:$D$504,MATCH($C939,Productos!$A$5:$A$504,0)),""))</f>
        <v/>
      </c>
      <c r="F939" s="20"/>
      <c r="G939" s="22" t="str">
        <f>IF($C939="","",IFERROR(INDEX(Productos!$F$5:$F$504,MATCH($C939,Productos!$A$5:$A$504,0)),0))</f>
        <v/>
      </c>
      <c r="H939" s="22" t="str">
        <f t="shared" si="14"/>
        <v/>
      </c>
      <c r="I939" s="14" t="str">
        <f>IF(OR($C939="",$F939=""),"",IFERROR(INDEX(Productos!$I$5:$I$504,MATCH($C939,Productos!$A$5:$A$504,0)),0)+SUMIFS($F$5:$F939,$C$5:$C939,$C939,$B$5:$B939,"Entrada")-SUMIFS($F$5:$F939,$C$5:$C939,$C939,$B$5:$B939,"Salida"))</f>
        <v/>
      </c>
      <c r="J939" s="20"/>
      <c r="K939" s="20"/>
      <c r="L939" s="20"/>
      <c r="M939" s="14" t="str">
        <f>IF(AND($C939&lt;&gt;"",$C939=Kardex!$C$4),COUNTIF($C$5:$C939,Kardex!$C$4),"")</f>
        <v/>
      </c>
    </row>
    <row r="940" spans="1:13" x14ac:dyDescent="0.25">
      <c r="A940" s="24"/>
      <c r="B940" s="20"/>
      <c r="C940" s="20"/>
      <c r="D940" s="14" t="str">
        <f>IF($C940="","",IFERROR(INDEX(Productos!$B$5:$B$504,MATCH($C940,Productos!$A$5:$A$504,0)),"Clave no existe"))</f>
        <v/>
      </c>
      <c r="E940" s="14" t="str">
        <f>IF($C940="","",IFERROR(INDEX(Productos!$D$5:$D$504,MATCH($C940,Productos!$A$5:$A$504,0)),""))</f>
        <v/>
      </c>
      <c r="F940" s="20"/>
      <c r="G940" s="22" t="str">
        <f>IF($C940="","",IFERROR(INDEX(Productos!$F$5:$F$504,MATCH($C940,Productos!$A$5:$A$504,0)),0))</f>
        <v/>
      </c>
      <c r="H940" s="22" t="str">
        <f t="shared" si="14"/>
        <v/>
      </c>
      <c r="I940" s="14" t="str">
        <f>IF(OR($C940="",$F940=""),"",IFERROR(INDEX(Productos!$I$5:$I$504,MATCH($C940,Productos!$A$5:$A$504,0)),0)+SUMIFS($F$5:$F940,$C$5:$C940,$C940,$B$5:$B940,"Entrada")-SUMIFS($F$5:$F940,$C$5:$C940,$C940,$B$5:$B940,"Salida"))</f>
        <v/>
      </c>
      <c r="J940" s="20"/>
      <c r="K940" s="20"/>
      <c r="L940" s="20"/>
      <c r="M940" s="14" t="str">
        <f>IF(AND($C940&lt;&gt;"",$C940=Kardex!$C$4),COUNTIF($C$5:$C940,Kardex!$C$4),"")</f>
        <v/>
      </c>
    </row>
    <row r="941" spans="1:13" x14ac:dyDescent="0.25">
      <c r="A941" s="24"/>
      <c r="B941" s="20"/>
      <c r="C941" s="20"/>
      <c r="D941" s="14" t="str">
        <f>IF($C941="","",IFERROR(INDEX(Productos!$B$5:$B$504,MATCH($C941,Productos!$A$5:$A$504,0)),"Clave no existe"))</f>
        <v/>
      </c>
      <c r="E941" s="14" t="str">
        <f>IF($C941="","",IFERROR(INDEX(Productos!$D$5:$D$504,MATCH($C941,Productos!$A$5:$A$504,0)),""))</f>
        <v/>
      </c>
      <c r="F941" s="20"/>
      <c r="G941" s="22" t="str">
        <f>IF($C941="","",IFERROR(INDEX(Productos!$F$5:$F$504,MATCH($C941,Productos!$A$5:$A$504,0)),0))</f>
        <v/>
      </c>
      <c r="H941" s="22" t="str">
        <f t="shared" si="14"/>
        <v/>
      </c>
      <c r="I941" s="14" t="str">
        <f>IF(OR($C941="",$F941=""),"",IFERROR(INDEX(Productos!$I$5:$I$504,MATCH($C941,Productos!$A$5:$A$504,0)),0)+SUMIFS($F$5:$F941,$C$5:$C941,$C941,$B$5:$B941,"Entrada")-SUMIFS($F$5:$F941,$C$5:$C941,$C941,$B$5:$B941,"Salida"))</f>
        <v/>
      </c>
      <c r="J941" s="20"/>
      <c r="K941" s="20"/>
      <c r="L941" s="20"/>
      <c r="M941" s="14" t="str">
        <f>IF(AND($C941&lt;&gt;"",$C941=Kardex!$C$4),COUNTIF($C$5:$C941,Kardex!$C$4),"")</f>
        <v/>
      </c>
    </row>
    <row r="942" spans="1:13" x14ac:dyDescent="0.25">
      <c r="A942" s="24"/>
      <c r="B942" s="20"/>
      <c r="C942" s="20"/>
      <c r="D942" s="14" t="str">
        <f>IF($C942="","",IFERROR(INDEX(Productos!$B$5:$B$504,MATCH($C942,Productos!$A$5:$A$504,0)),"Clave no existe"))</f>
        <v/>
      </c>
      <c r="E942" s="14" t="str">
        <f>IF($C942="","",IFERROR(INDEX(Productos!$D$5:$D$504,MATCH($C942,Productos!$A$5:$A$504,0)),""))</f>
        <v/>
      </c>
      <c r="F942" s="20"/>
      <c r="G942" s="22" t="str">
        <f>IF($C942="","",IFERROR(INDEX(Productos!$F$5:$F$504,MATCH($C942,Productos!$A$5:$A$504,0)),0))</f>
        <v/>
      </c>
      <c r="H942" s="22" t="str">
        <f t="shared" si="14"/>
        <v/>
      </c>
      <c r="I942" s="14" t="str">
        <f>IF(OR($C942="",$F942=""),"",IFERROR(INDEX(Productos!$I$5:$I$504,MATCH($C942,Productos!$A$5:$A$504,0)),0)+SUMIFS($F$5:$F942,$C$5:$C942,$C942,$B$5:$B942,"Entrada")-SUMIFS($F$5:$F942,$C$5:$C942,$C942,$B$5:$B942,"Salida"))</f>
        <v/>
      </c>
      <c r="J942" s="20"/>
      <c r="K942" s="20"/>
      <c r="L942" s="20"/>
      <c r="M942" s="14" t="str">
        <f>IF(AND($C942&lt;&gt;"",$C942=Kardex!$C$4),COUNTIF($C$5:$C942,Kardex!$C$4),"")</f>
        <v/>
      </c>
    </row>
    <row r="943" spans="1:13" x14ac:dyDescent="0.25">
      <c r="A943" s="24"/>
      <c r="B943" s="20"/>
      <c r="C943" s="20"/>
      <c r="D943" s="14" t="str">
        <f>IF($C943="","",IFERROR(INDEX(Productos!$B$5:$B$504,MATCH($C943,Productos!$A$5:$A$504,0)),"Clave no existe"))</f>
        <v/>
      </c>
      <c r="E943" s="14" t="str">
        <f>IF($C943="","",IFERROR(INDEX(Productos!$D$5:$D$504,MATCH($C943,Productos!$A$5:$A$504,0)),""))</f>
        <v/>
      </c>
      <c r="F943" s="20"/>
      <c r="G943" s="22" t="str">
        <f>IF($C943="","",IFERROR(INDEX(Productos!$F$5:$F$504,MATCH($C943,Productos!$A$5:$A$504,0)),0))</f>
        <v/>
      </c>
      <c r="H943" s="22" t="str">
        <f t="shared" si="14"/>
        <v/>
      </c>
      <c r="I943" s="14" t="str">
        <f>IF(OR($C943="",$F943=""),"",IFERROR(INDEX(Productos!$I$5:$I$504,MATCH($C943,Productos!$A$5:$A$504,0)),0)+SUMIFS($F$5:$F943,$C$5:$C943,$C943,$B$5:$B943,"Entrada")-SUMIFS($F$5:$F943,$C$5:$C943,$C943,$B$5:$B943,"Salida"))</f>
        <v/>
      </c>
      <c r="J943" s="20"/>
      <c r="K943" s="20"/>
      <c r="L943" s="20"/>
      <c r="M943" s="14" t="str">
        <f>IF(AND($C943&lt;&gt;"",$C943=Kardex!$C$4),COUNTIF($C$5:$C943,Kardex!$C$4),"")</f>
        <v/>
      </c>
    </row>
    <row r="944" spans="1:13" x14ac:dyDescent="0.25">
      <c r="A944" s="24"/>
      <c r="B944" s="20"/>
      <c r="C944" s="20"/>
      <c r="D944" s="14" t="str">
        <f>IF($C944="","",IFERROR(INDEX(Productos!$B$5:$B$504,MATCH($C944,Productos!$A$5:$A$504,0)),"Clave no existe"))</f>
        <v/>
      </c>
      <c r="E944" s="14" t="str">
        <f>IF($C944="","",IFERROR(INDEX(Productos!$D$5:$D$504,MATCH($C944,Productos!$A$5:$A$504,0)),""))</f>
        <v/>
      </c>
      <c r="F944" s="20"/>
      <c r="G944" s="22" t="str">
        <f>IF($C944="","",IFERROR(INDEX(Productos!$F$5:$F$504,MATCH($C944,Productos!$A$5:$A$504,0)),0))</f>
        <v/>
      </c>
      <c r="H944" s="22" t="str">
        <f t="shared" si="14"/>
        <v/>
      </c>
      <c r="I944" s="14" t="str">
        <f>IF(OR($C944="",$F944=""),"",IFERROR(INDEX(Productos!$I$5:$I$504,MATCH($C944,Productos!$A$5:$A$504,0)),0)+SUMIFS($F$5:$F944,$C$5:$C944,$C944,$B$5:$B944,"Entrada")-SUMIFS($F$5:$F944,$C$5:$C944,$C944,$B$5:$B944,"Salida"))</f>
        <v/>
      </c>
      <c r="J944" s="20"/>
      <c r="K944" s="20"/>
      <c r="L944" s="20"/>
      <c r="M944" s="14" t="str">
        <f>IF(AND($C944&lt;&gt;"",$C944=Kardex!$C$4),COUNTIF($C$5:$C944,Kardex!$C$4),"")</f>
        <v/>
      </c>
    </row>
    <row r="945" spans="1:13" x14ac:dyDescent="0.25">
      <c r="A945" s="24"/>
      <c r="B945" s="20"/>
      <c r="C945" s="20"/>
      <c r="D945" s="14" t="str">
        <f>IF($C945="","",IFERROR(INDEX(Productos!$B$5:$B$504,MATCH($C945,Productos!$A$5:$A$504,0)),"Clave no existe"))</f>
        <v/>
      </c>
      <c r="E945" s="14" t="str">
        <f>IF($C945="","",IFERROR(INDEX(Productos!$D$5:$D$504,MATCH($C945,Productos!$A$5:$A$504,0)),""))</f>
        <v/>
      </c>
      <c r="F945" s="20"/>
      <c r="G945" s="22" t="str">
        <f>IF($C945="","",IFERROR(INDEX(Productos!$F$5:$F$504,MATCH($C945,Productos!$A$5:$A$504,0)),0))</f>
        <v/>
      </c>
      <c r="H945" s="22" t="str">
        <f t="shared" si="14"/>
        <v/>
      </c>
      <c r="I945" s="14" t="str">
        <f>IF(OR($C945="",$F945=""),"",IFERROR(INDEX(Productos!$I$5:$I$504,MATCH($C945,Productos!$A$5:$A$504,0)),0)+SUMIFS($F$5:$F945,$C$5:$C945,$C945,$B$5:$B945,"Entrada")-SUMIFS($F$5:$F945,$C$5:$C945,$C945,$B$5:$B945,"Salida"))</f>
        <v/>
      </c>
      <c r="J945" s="20"/>
      <c r="K945" s="20"/>
      <c r="L945" s="20"/>
      <c r="M945" s="14" t="str">
        <f>IF(AND($C945&lt;&gt;"",$C945=Kardex!$C$4),COUNTIF($C$5:$C945,Kardex!$C$4),"")</f>
        <v/>
      </c>
    </row>
    <row r="946" spans="1:13" x14ac:dyDescent="0.25">
      <c r="A946" s="24"/>
      <c r="B946" s="20"/>
      <c r="C946" s="20"/>
      <c r="D946" s="14" t="str">
        <f>IF($C946="","",IFERROR(INDEX(Productos!$B$5:$B$504,MATCH($C946,Productos!$A$5:$A$504,0)),"Clave no existe"))</f>
        <v/>
      </c>
      <c r="E946" s="14" t="str">
        <f>IF($C946="","",IFERROR(INDEX(Productos!$D$5:$D$504,MATCH($C946,Productos!$A$5:$A$504,0)),""))</f>
        <v/>
      </c>
      <c r="F946" s="20"/>
      <c r="G946" s="22" t="str">
        <f>IF($C946="","",IFERROR(INDEX(Productos!$F$5:$F$504,MATCH($C946,Productos!$A$5:$A$504,0)),0))</f>
        <v/>
      </c>
      <c r="H946" s="22" t="str">
        <f t="shared" si="14"/>
        <v/>
      </c>
      <c r="I946" s="14" t="str">
        <f>IF(OR($C946="",$F946=""),"",IFERROR(INDEX(Productos!$I$5:$I$504,MATCH($C946,Productos!$A$5:$A$504,0)),0)+SUMIFS($F$5:$F946,$C$5:$C946,$C946,$B$5:$B946,"Entrada")-SUMIFS($F$5:$F946,$C$5:$C946,$C946,$B$5:$B946,"Salida"))</f>
        <v/>
      </c>
      <c r="J946" s="20"/>
      <c r="K946" s="20"/>
      <c r="L946" s="20"/>
      <c r="M946" s="14" t="str">
        <f>IF(AND($C946&lt;&gt;"",$C946=Kardex!$C$4),COUNTIF($C$5:$C946,Kardex!$C$4),"")</f>
        <v/>
      </c>
    </row>
    <row r="947" spans="1:13" x14ac:dyDescent="0.25">
      <c r="A947" s="24"/>
      <c r="B947" s="20"/>
      <c r="C947" s="20"/>
      <c r="D947" s="14" t="str">
        <f>IF($C947="","",IFERROR(INDEX(Productos!$B$5:$B$504,MATCH($C947,Productos!$A$5:$A$504,0)),"Clave no existe"))</f>
        <v/>
      </c>
      <c r="E947" s="14" t="str">
        <f>IF($C947="","",IFERROR(INDEX(Productos!$D$5:$D$504,MATCH($C947,Productos!$A$5:$A$504,0)),""))</f>
        <v/>
      </c>
      <c r="F947" s="20"/>
      <c r="G947" s="22" t="str">
        <f>IF($C947="","",IFERROR(INDEX(Productos!$F$5:$F$504,MATCH($C947,Productos!$A$5:$A$504,0)),0))</f>
        <v/>
      </c>
      <c r="H947" s="22" t="str">
        <f t="shared" si="14"/>
        <v/>
      </c>
      <c r="I947" s="14" t="str">
        <f>IF(OR($C947="",$F947=""),"",IFERROR(INDEX(Productos!$I$5:$I$504,MATCH($C947,Productos!$A$5:$A$504,0)),0)+SUMIFS($F$5:$F947,$C$5:$C947,$C947,$B$5:$B947,"Entrada")-SUMIFS($F$5:$F947,$C$5:$C947,$C947,$B$5:$B947,"Salida"))</f>
        <v/>
      </c>
      <c r="J947" s="20"/>
      <c r="K947" s="20"/>
      <c r="L947" s="20"/>
      <c r="M947" s="14" t="str">
        <f>IF(AND($C947&lt;&gt;"",$C947=Kardex!$C$4),COUNTIF($C$5:$C947,Kardex!$C$4),"")</f>
        <v/>
      </c>
    </row>
    <row r="948" spans="1:13" x14ac:dyDescent="0.25">
      <c r="A948" s="24"/>
      <c r="B948" s="20"/>
      <c r="C948" s="20"/>
      <c r="D948" s="14" t="str">
        <f>IF($C948="","",IFERROR(INDEX(Productos!$B$5:$B$504,MATCH($C948,Productos!$A$5:$A$504,0)),"Clave no existe"))</f>
        <v/>
      </c>
      <c r="E948" s="14" t="str">
        <f>IF($C948="","",IFERROR(INDEX(Productos!$D$5:$D$504,MATCH($C948,Productos!$A$5:$A$504,0)),""))</f>
        <v/>
      </c>
      <c r="F948" s="20"/>
      <c r="G948" s="22" t="str">
        <f>IF($C948="","",IFERROR(INDEX(Productos!$F$5:$F$504,MATCH($C948,Productos!$A$5:$A$504,0)),0))</f>
        <v/>
      </c>
      <c r="H948" s="22" t="str">
        <f t="shared" si="14"/>
        <v/>
      </c>
      <c r="I948" s="14" t="str">
        <f>IF(OR($C948="",$F948=""),"",IFERROR(INDEX(Productos!$I$5:$I$504,MATCH($C948,Productos!$A$5:$A$504,0)),0)+SUMIFS($F$5:$F948,$C$5:$C948,$C948,$B$5:$B948,"Entrada")-SUMIFS($F$5:$F948,$C$5:$C948,$C948,$B$5:$B948,"Salida"))</f>
        <v/>
      </c>
      <c r="J948" s="20"/>
      <c r="K948" s="20"/>
      <c r="L948" s="20"/>
      <c r="M948" s="14" t="str">
        <f>IF(AND($C948&lt;&gt;"",$C948=Kardex!$C$4),COUNTIF($C$5:$C948,Kardex!$C$4),"")</f>
        <v/>
      </c>
    </row>
    <row r="949" spans="1:13" x14ac:dyDescent="0.25">
      <c r="A949" s="24"/>
      <c r="B949" s="20"/>
      <c r="C949" s="20"/>
      <c r="D949" s="14" t="str">
        <f>IF($C949="","",IFERROR(INDEX(Productos!$B$5:$B$504,MATCH($C949,Productos!$A$5:$A$504,0)),"Clave no existe"))</f>
        <v/>
      </c>
      <c r="E949" s="14" t="str">
        <f>IF($C949="","",IFERROR(INDEX(Productos!$D$5:$D$504,MATCH($C949,Productos!$A$5:$A$504,0)),""))</f>
        <v/>
      </c>
      <c r="F949" s="20"/>
      <c r="G949" s="22" t="str">
        <f>IF($C949="","",IFERROR(INDEX(Productos!$F$5:$F$504,MATCH($C949,Productos!$A$5:$A$504,0)),0))</f>
        <v/>
      </c>
      <c r="H949" s="22" t="str">
        <f t="shared" si="14"/>
        <v/>
      </c>
      <c r="I949" s="14" t="str">
        <f>IF(OR($C949="",$F949=""),"",IFERROR(INDEX(Productos!$I$5:$I$504,MATCH($C949,Productos!$A$5:$A$504,0)),0)+SUMIFS($F$5:$F949,$C$5:$C949,$C949,$B$5:$B949,"Entrada")-SUMIFS($F$5:$F949,$C$5:$C949,$C949,$B$5:$B949,"Salida"))</f>
        <v/>
      </c>
      <c r="J949" s="20"/>
      <c r="K949" s="20"/>
      <c r="L949" s="20"/>
      <c r="M949" s="14" t="str">
        <f>IF(AND($C949&lt;&gt;"",$C949=Kardex!$C$4),COUNTIF($C$5:$C949,Kardex!$C$4),"")</f>
        <v/>
      </c>
    </row>
    <row r="950" spans="1:13" x14ac:dyDescent="0.25">
      <c r="A950" s="24"/>
      <c r="B950" s="20"/>
      <c r="C950" s="20"/>
      <c r="D950" s="14" t="str">
        <f>IF($C950="","",IFERROR(INDEX(Productos!$B$5:$B$504,MATCH($C950,Productos!$A$5:$A$504,0)),"Clave no existe"))</f>
        <v/>
      </c>
      <c r="E950" s="14" t="str">
        <f>IF($C950="","",IFERROR(INDEX(Productos!$D$5:$D$504,MATCH($C950,Productos!$A$5:$A$504,0)),""))</f>
        <v/>
      </c>
      <c r="F950" s="20"/>
      <c r="G950" s="22" t="str">
        <f>IF($C950="","",IFERROR(INDEX(Productos!$F$5:$F$504,MATCH($C950,Productos!$A$5:$A$504,0)),0))</f>
        <v/>
      </c>
      <c r="H950" s="22" t="str">
        <f t="shared" si="14"/>
        <v/>
      </c>
      <c r="I950" s="14" t="str">
        <f>IF(OR($C950="",$F950=""),"",IFERROR(INDEX(Productos!$I$5:$I$504,MATCH($C950,Productos!$A$5:$A$504,0)),0)+SUMIFS($F$5:$F950,$C$5:$C950,$C950,$B$5:$B950,"Entrada")-SUMIFS($F$5:$F950,$C$5:$C950,$C950,$B$5:$B950,"Salida"))</f>
        <v/>
      </c>
      <c r="J950" s="20"/>
      <c r="K950" s="20"/>
      <c r="L950" s="20"/>
      <c r="M950" s="14" t="str">
        <f>IF(AND($C950&lt;&gt;"",$C950=Kardex!$C$4),COUNTIF($C$5:$C950,Kardex!$C$4),"")</f>
        <v/>
      </c>
    </row>
    <row r="951" spans="1:13" x14ac:dyDescent="0.25">
      <c r="A951" s="24"/>
      <c r="B951" s="20"/>
      <c r="C951" s="20"/>
      <c r="D951" s="14" t="str">
        <f>IF($C951="","",IFERROR(INDEX(Productos!$B$5:$B$504,MATCH($C951,Productos!$A$5:$A$504,0)),"Clave no existe"))</f>
        <v/>
      </c>
      <c r="E951" s="14" t="str">
        <f>IF($C951="","",IFERROR(INDEX(Productos!$D$5:$D$504,MATCH($C951,Productos!$A$5:$A$504,0)),""))</f>
        <v/>
      </c>
      <c r="F951" s="20"/>
      <c r="G951" s="22" t="str">
        <f>IF($C951="","",IFERROR(INDEX(Productos!$F$5:$F$504,MATCH($C951,Productos!$A$5:$A$504,0)),0))</f>
        <v/>
      </c>
      <c r="H951" s="22" t="str">
        <f t="shared" si="14"/>
        <v/>
      </c>
      <c r="I951" s="14" t="str">
        <f>IF(OR($C951="",$F951=""),"",IFERROR(INDEX(Productos!$I$5:$I$504,MATCH($C951,Productos!$A$5:$A$504,0)),0)+SUMIFS($F$5:$F951,$C$5:$C951,$C951,$B$5:$B951,"Entrada")-SUMIFS($F$5:$F951,$C$5:$C951,$C951,$B$5:$B951,"Salida"))</f>
        <v/>
      </c>
      <c r="J951" s="20"/>
      <c r="K951" s="20"/>
      <c r="L951" s="20"/>
      <c r="M951" s="14" t="str">
        <f>IF(AND($C951&lt;&gt;"",$C951=Kardex!$C$4),COUNTIF($C$5:$C951,Kardex!$C$4),"")</f>
        <v/>
      </c>
    </row>
    <row r="952" spans="1:13" x14ac:dyDescent="0.25">
      <c r="A952" s="24"/>
      <c r="B952" s="20"/>
      <c r="C952" s="20"/>
      <c r="D952" s="14" t="str">
        <f>IF($C952="","",IFERROR(INDEX(Productos!$B$5:$B$504,MATCH($C952,Productos!$A$5:$A$504,0)),"Clave no existe"))</f>
        <v/>
      </c>
      <c r="E952" s="14" t="str">
        <f>IF($C952="","",IFERROR(INDEX(Productos!$D$5:$D$504,MATCH($C952,Productos!$A$5:$A$504,0)),""))</f>
        <v/>
      </c>
      <c r="F952" s="20"/>
      <c r="G952" s="22" t="str">
        <f>IF($C952="","",IFERROR(INDEX(Productos!$F$5:$F$504,MATCH($C952,Productos!$A$5:$A$504,0)),0))</f>
        <v/>
      </c>
      <c r="H952" s="22" t="str">
        <f t="shared" si="14"/>
        <v/>
      </c>
      <c r="I952" s="14" t="str">
        <f>IF(OR($C952="",$F952=""),"",IFERROR(INDEX(Productos!$I$5:$I$504,MATCH($C952,Productos!$A$5:$A$504,0)),0)+SUMIFS($F$5:$F952,$C$5:$C952,$C952,$B$5:$B952,"Entrada")-SUMIFS($F$5:$F952,$C$5:$C952,$C952,$B$5:$B952,"Salida"))</f>
        <v/>
      </c>
      <c r="J952" s="20"/>
      <c r="K952" s="20"/>
      <c r="L952" s="20"/>
      <c r="M952" s="14" t="str">
        <f>IF(AND($C952&lt;&gt;"",$C952=Kardex!$C$4),COUNTIF($C$5:$C952,Kardex!$C$4),"")</f>
        <v/>
      </c>
    </row>
    <row r="953" spans="1:13" x14ac:dyDescent="0.25">
      <c r="A953" s="24"/>
      <c r="B953" s="20"/>
      <c r="C953" s="20"/>
      <c r="D953" s="14" t="str">
        <f>IF($C953="","",IFERROR(INDEX(Productos!$B$5:$B$504,MATCH($C953,Productos!$A$5:$A$504,0)),"Clave no existe"))</f>
        <v/>
      </c>
      <c r="E953" s="14" t="str">
        <f>IF($C953="","",IFERROR(INDEX(Productos!$D$5:$D$504,MATCH($C953,Productos!$A$5:$A$504,0)),""))</f>
        <v/>
      </c>
      <c r="F953" s="20"/>
      <c r="G953" s="22" t="str">
        <f>IF($C953="","",IFERROR(INDEX(Productos!$F$5:$F$504,MATCH($C953,Productos!$A$5:$A$504,0)),0))</f>
        <v/>
      </c>
      <c r="H953" s="22" t="str">
        <f t="shared" si="14"/>
        <v/>
      </c>
      <c r="I953" s="14" t="str">
        <f>IF(OR($C953="",$F953=""),"",IFERROR(INDEX(Productos!$I$5:$I$504,MATCH($C953,Productos!$A$5:$A$504,0)),0)+SUMIFS($F$5:$F953,$C$5:$C953,$C953,$B$5:$B953,"Entrada")-SUMIFS($F$5:$F953,$C$5:$C953,$C953,$B$5:$B953,"Salida"))</f>
        <v/>
      </c>
      <c r="J953" s="20"/>
      <c r="K953" s="20"/>
      <c r="L953" s="20"/>
      <c r="M953" s="14" t="str">
        <f>IF(AND($C953&lt;&gt;"",$C953=Kardex!$C$4),COUNTIF($C$5:$C953,Kardex!$C$4),"")</f>
        <v/>
      </c>
    </row>
    <row r="954" spans="1:13" x14ac:dyDescent="0.25">
      <c r="A954" s="24"/>
      <c r="B954" s="20"/>
      <c r="C954" s="20"/>
      <c r="D954" s="14" t="str">
        <f>IF($C954="","",IFERROR(INDEX(Productos!$B$5:$B$504,MATCH($C954,Productos!$A$5:$A$504,0)),"Clave no existe"))</f>
        <v/>
      </c>
      <c r="E954" s="14" t="str">
        <f>IF($C954="","",IFERROR(INDEX(Productos!$D$5:$D$504,MATCH($C954,Productos!$A$5:$A$504,0)),""))</f>
        <v/>
      </c>
      <c r="F954" s="20"/>
      <c r="G954" s="22" t="str">
        <f>IF($C954="","",IFERROR(INDEX(Productos!$F$5:$F$504,MATCH($C954,Productos!$A$5:$A$504,0)),0))</f>
        <v/>
      </c>
      <c r="H954" s="22" t="str">
        <f t="shared" si="14"/>
        <v/>
      </c>
      <c r="I954" s="14" t="str">
        <f>IF(OR($C954="",$F954=""),"",IFERROR(INDEX(Productos!$I$5:$I$504,MATCH($C954,Productos!$A$5:$A$504,0)),0)+SUMIFS($F$5:$F954,$C$5:$C954,$C954,$B$5:$B954,"Entrada")-SUMIFS($F$5:$F954,$C$5:$C954,$C954,$B$5:$B954,"Salida"))</f>
        <v/>
      </c>
      <c r="J954" s="20"/>
      <c r="K954" s="20"/>
      <c r="L954" s="20"/>
      <c r="M954" s="14" t="str">
        <f>IF(AND($C954&lt;&gt;"",$C954=Kardex!$C$4),COUNTIF($C$5:$C954,Kardex!$C$4),"")</f>
        <v/>
      </c>
    </row>
    <row r="955" spans="1:13" x14ac:dyDescent="0.25">
      <c r="A955" s="24"/>
      <c r="B955" s="20"/>
      <c r="C955" s="20"/>
      <c r="D955" s="14" t="str">
        <f>IF($C955="","",IFERROR(INDEX(Productos!$B$5:$B$504,MATCH($C955,Productos!$A$5:$A$504,0)),"Clave no existe"))</f>
        <v/>
      </c>
      <c r="E955" s="14" t="str">
        <f>IF($C955="","",IFERROR(INDEX(Productos!$D$5:$D$504,MATCH($C955,Productos!$A$5:$A$504,0)),""))</f>
        <v/>
      </c>
      <c r="F955" s="20"/>
      <c r="G955" s="22" t="str">
        <f>IF($C955="","",IFERROR(INDEX(Productos!$F$5:$F$504,MATCH($C955,Productos!$A$5:$A$504,0)),0))</f>
        <v/>
      </c>
      <c r="H955" s="22" t="str">
        <f t="shared" si="14"/>
        <v/>
      </c>
      <c r="I955" s="14" t="str">
        <f>IF(OR($C955="",$F955=""),"",IFERROR(INDEX(Productos!$I$5:$I$504,MATCH($C955,Productos!$A$5:$A$504,0)),0)+SUMIFS($F$5:$F955,$C$5:$C955,$C955,$B$5:$B955,"Entrada")-SUMIFS($F$5:$F955,$C$5:$C955,$C955,$B$5:$B955,"Salida"))</f>
        <v/>
      </c>
      <c r="J955" s="20"/>
      <c r="K955" s="20"/>
      <c r="L955" s="20"/>
      <c r="M955" s="14" t="str">
        <f>IF(AND($C955&lt;&gt;"",$C955=Kardex!$C$4),COUNTIF($C$5:$C955,Kardex!$C$4),"")</f>
        <v/>
      </c>
    </row>
    <row r="956" spans="1:13" x14ac:dyDescent="0.25">
      <c r="A956" s="24"/>
      <c r="B956" s="20"/>
      <c r="C956" s="20"/>
      <c r="D956" s="14" t="str">
        <f>IF($C956="","",IFERROR(INDEX(Productos!$B$5:$B$504,MATCH($C956,Productos!$A$5:$A$504,0)),"Clave no existe"))</f>
        <v/>
      </c>
      <c r="E956" s="14" t="str">
        <f>IF($C956="","",IFERROR(INDEX(Productos!$D$5:$D$504,MATCH($C956,Productos!$A$5:$A$504,0)),""))</f>
        <v/>
      </c>
      <c r="F956" s="20"/>
      <c r="G956" s="22" t="str">
        <f>IF($C956="","",IFERROR(INDEX(Productos!$F$5:$F$504,MATCH($C956,Productos!$A$5:$A$504,0)),0))</f>
        <v/>
      </c>
      <c r="H956" s="22" t="str">
        <f t="shared" si="14"/>
        <v/>
      </c>
      <c r="I956" s="14" t="str">
        <f>IF(OR($C956="",$F956=""),"",IFERROR(INDEX(Productos!$I$5:$I$504,MATCH($C956,Productos!$A$5:$A$504,0)),0)+SUMIFS($F$5:$F956,$C$5:$C956,$C956,$B$5:$B956,"Entrada")-SUMIFS($F$5:$F956,$C$5:$C956,$C956,$B$5:$B956,"Salida"))</f>
        <v/>
      </c>
      <c r="J956" s="20"/>
      <c r="K956" s="20"/>
      <c r="L956" s="20"/>
      <c r="M956" s="14" t="str">
        <f>IF(AND($C956&lt;&gt;"",$C956=Kardex!$C$4),COUNTIF($C$5:$C956,Kardex!$C$4),"")</f>
        <v/>
      </c>
    </row>
    <row r="957" spans="1:13" x14ac:dyDescent="0.25">
      <c r="A957" s="24"/>
      <c r="B957" s="20"/>
      <c r="C957" s="20"/>
      <c r="D957" s="14" t="str">
        <f>IF($C957="","",IFERROR(INDEX(Productos!$B$5:$B$504,MATCH($C957,Productos!$A$5:$A$504,0)),"Clave no existe"))</f>
        <v/>
      </c>
      <c r="E957" s="14" t="str">
        <f>IF($C957="","",IFERROR(INDEX(Productos!$D$5:$D$504,MATCH($C957,Productos!$A$5:$A$504,0)),""))</f>
        <v/>
      </c>
      <c r="F957" s="20"/>
      <c r="G957" s="22" t="str">
        <f>IF($C957="","",IFERROR(INDEX(Productos!$F$5:$F$504,MATCH($C957,Productos!$A$5:$A$504,0)),0))</f>
        <v/>
      </c>
      <c r="H957" s="22" t="str">
        <f t="shared" si="14"/>
        <v/>
      </c>
      <c r="I957" s="14" t="str">
        <f>IF(OR($C957="",$F957=""),"",IFERROR(INDEX(Productos!$I$5:$I$504,MATCH($C957,Productos!$A$5:$A$504,0)),0)+SUMIFS($F$5:$F957,$C$5:$C957,$C957,$B$5:$B957,"Entrada")-SUMIFS($F$5:$F957,$C$5:$C957,$C957,$B$5:$B957,"Salida"))</f>
        <v/>
      </c>
      <c r="J957" s="20"/>
      <c r="K957" s="20"/>
      <c r="L957" s="20"/>
      <c r="M957" s="14" t="str">
        <f>IF(AND($C957&lt;&gt;"",$C957=Kardex!$C$4),COUNTIF($C$5:$C957,Kardex!$C$4),"")</f>
        <v/>
      </c>
    </row>
    <row r="958" spans="1:13" x14ac:dyDescent="0.25">
      <c r="A958" s="24"/>
      <c r="B958" s="20"/>
      <c r="C958" s="20"/>
      <c r="D958" s="14" t="str">
        <f>IF($C958="","",IFERROR(INDEX(Productos!$B$5:$B$504,MATCH($C958,Productos!$A$5:$A$504,0)),"Clave no existe"))</f>
        <v/>
      </c>
      <c r="E958" s="14" t="str">
        <f>IF($C958="","",IFERROR(INDEX(Productos!$D$5:$D$504,MATCH($C958,Productos!$A$5:$A$504,0)),""))</f>
        <v/>
      </c>
      <c r="F958" s="20"/>
      <c r="G958" s="22" t="str">
        <f>IF($C958="","",IFERROR(INDEX(Productos!$F$5:$F$504,MATCH($C958,Productos!$A$5:$A$504,0)),0))</f>
        <v/>
      </c>
      <c r="H958" s="22" t="str">
        <f t="shared" si="14"/>
        <v/>
      </c>
      <c r="I958" s="14" t="str">
        <f>IF(OR($C958="",$F958=""),"",IFERROR(INDEX(Productos!$I$5:$I$504,MATCH($C958,Productos!$A$5:$A$504,0)),0)+SUMIFS($F$5:$F958,$C$5:$C958,$C958,$B$5:$B958,"Entrada")-SUMIFS($F$5:$F958,$C$5:$C958,$C958,$B$5:$B958,"Salida"))</f>
        <v/>
      </c>
      <c r="J958" s="20"/>
      <c r="K958" s="20"/>
      <c r="L958" s="20"/>
      <c r="M958" s="14" t="str">
        <f>IF(AND($C958&lt;&gt;"",$C958=Kardex!$C$4),COUNTIF($C$5:$C958,Kardex!$C$4),"")</f>
        <v/>
      </c>
    </row>
    <row r="959" spans="1:13" x14ac:dyDescent="0.25">
      <c r="A959" s="24"/>
      <c r="B959" s="20"/>
      <c r="C959" s="20"/>
      <c r="D959" s="14" t="str">
        <f>IF($C959="","",IFERROR(INDEX(Productos!$B$5:$B$504,MATCH($C959,Productos!$A$5:$A$504,0)),"Clave no existe"))</f>
        <v/>
      </c>
      <c r="E959" s="14" t="str">
        <f>IF($C959="","",IFERROR(INDEX(Productos!$D$5:$D$504,MATCH($C959,Productos!$A$5:$A$504,0)),""))</f>
        <v/>
      </c>
      <c r="F959" s="20"/>
      <c r="G959" s="22" t="str">
        <f>IF($C959="","",IFERROR(INDEX(Productos!$F$5:$F$504,MATCH($C959,Productos!$A$5:$A$504,0)),0))</f>
        <v/>
      </c>
      <c r="H959" s="22" t="str">
        <f t="shared" si="14"/>
        <v/>
      </c>
      <c r="I959" s="14" t="str">
        <f>IF(OR($C959="",$F959=""),"",IFERROR(INDEX(Productos!$I$5:$I$504,MATCH($C959,Productos!$A$5:$A$504,0)),0)+SUMIFS($F$5:$F959,$C$5:$C959,$C959,$B$5:$B959,"Entrada")-SUMIFS($F$5:$F959,$C$5:$C959,$C959,$B$5:$B959,"Salida"))</f>
        <v/>
      </c>
      <c r="J959" s="20"/>
      <c r="K959" s="20"/>
      <c r="L959" s="20"/>
      <c r="M959" s="14" t="str">
        <f>IF(AND($C959&lt;&gt;"",$C959=Kardex!$C$4),COUNTIF($C$5:$C959,Kardex!$C$4),"")</f>
        <v/>
      </c>
    </row>
    <row r="960" spans="1:13" x14ac:dyDescent="0.25">
      <c r="A960" s="24"/>
      <c r="B960" s="20"/>
      <c r="C960" s="20"/>
      <c r="D960" s="14" t="str">
        <f>IF($C960="","",IFERROR(INDEX(Productos!$B$5:$B$504,MATCH($C960,Productos!$A$5:$A$504,0)),"Clave no existe"))</f>
        <v/>
      </c>
      <c r="E960" s="14" t="str">
        <f>IF($C960="","",IFERROR(INDEX(Productos!$D$5:$D$504,MATCH($C960,Productos!$A$5:$A$504,0)),""))</f>
        <v/>
      </c>
      <c r="F960" s="20"/>
      <c r="G960" s="22" t="str">
        <f>IF($C960="","",IFERROR(INDEX(Productos!$F$5:$F$504,MATCH($C960,Productos!$A$5:$A$504,0)),0))</f>
        <v/>
      </c>
      <c r="H960" s="22" t="str">
        <f t="shared" si="14"/>
        <v/>
      </c>
      <c r="I960" s="14" t="str">
        <f>IF(OR($C960="",$F960=""),"",IFERROR(INDEX(Productos!$I$5:$I$504,MATCH($C960,Productos!$A$5:$A$504,0)),0)+SUMIFS($F$5:$F960,$C$5:$C960,$C960,$B$5:$B960,"Entrada")-SUMIFS($F$5:$F960,$C$5:$C960,$C960,$B$5:$B960,"Salida"))</f>
        <v/>
      </c>
      <c r="J960" s="20"/>
      <c r="K960" s="20"/>
      <c r="L960" s="20"/>
      <c r="M960" s="14" t="str">
        <f>IF(AND($C960&lt;&gt;"",$C960=Kardex!$C$4),COUNTIF($C$5:$C960,Kardex!$C$4),"")</f>
        <v/>
      </c>
    </row>
    <row r="961" spans="1:13" x14ac:dyDescent="0.25">
      <c r="A961" s="24"/>
      <c r="B961" s="20"/>
      <c r="C961" s="20"/>
      <c r="D961" s="14" t="str">
        <f>IF($C961="","",IFERROR(INDEX(Productos!$B$5:$B$504,MATCH($C961,Productos!$A$5:$A$504,0)),"Clave no existe"))</f>
        <v/>
      </c>
      <c r="E961" s="14" t="str">
        <f>IF($C961="","",IFERROR(INDEX(Productos!$D$5:$D$504,MATCH($C961,Productos!$A$5:$A$504,0)),""))</f>
        <v/>
      </c>
      <c r="F961" s="20"/>
      <c r="G961" s="22" t="str">
        <f>IF($C961="","",IFERROR(INDEX(Productos!$F$5:$F$504,MATCH($C961,Productos!$A$5:$A$504,0)),0))</f>
        <v/>
      </c>
      <c r="H961" s="22" t="str">
        <f t="shared" si="14"/>
        <v/>
      </c>
      <c r="I961" s="14" t="str">
        <f>IF(OR($C961="",$F961=""),"",IFERROR(INDEX(Productos!$I$5:$I$504,MATCH($C961,Productos!$A$5:$A$504,0)),0)+SUMIFS($F$5:$F961,$C$5:$C961,$C961,$B$5:$B961,"Entrada")-SUMIFS($F$5:$F961,$C$5:$C961,$C961,$B$5:$B961,"Salida"))</f>
        <v/>
      </c>
      <c r="J961" s="20"/>
      <c r="K961" s="20"/>
      <c r="L961" s="20"/>
      <c r="M961" s="14" t="str">
        <f>IF(AND($C961&lt;&gt;"",$C961=Kardex!$C$4),COUNTIF($C$5:$C961,Kardex!$C$4),"")</f>
        <v/>
      </c>
    </row>
    <row r="962" spans="1:13" x14ac:dyDescent="0.25">
      <c r="A962" s="24"/>
      <c r="B962" s="20"/>
      <c r="C962" s="20"/>
      <c r="D962" s="14" t="str">
        <f>IF($C962="","",IFERROR(INDEX(Productos!$B$5:$B$504,MATCH($C962,Productos!$A$5:$A$504,0)),"Clave no existe"))</f>
        <v/>
      </c>
      <c r="E962" s="14" t="str">
        <f>IF($C962="","",IFERROR(INDEX(Productos!$D$5:$D$504,MATCH($C962,Productos!$A$5:$A$504,0)),""))</f>
        <v/>
      </c>
      <c r="F962" s="20"/>
      <c r="G962" s="22" t="str">
        <f>IF($C962="","",IFERROR(INDEX(Productos!$F$5:$F$504,MATCH($C962,Productos!$A$5:$A$504,0)),0))</f>
        <v/>
      </c>
      <c r="H962" s="22" t="str">
        <f t="shared" si="14"/>
        <v/>
      </c>
      <c r="I962" s="14" t="str">
        <f>IF(OR($C962="",$F962=""),"",IFERROR(INDEX(Productos!$I$5:$I$504,MATCH($C962,Productos!$A$5:$A$504,0)),0)+SUMIFS($F$5:$F962,$C$5:$C962,$C962,$B$5:$B962,"Entrada")-SUMIFS($F$5:$F962,$C$5:$C962,$C962,$B$5:$B962,"Salida"))</f>
        <v/>
      </c>
      <c r="J962" s="20"/>
      <c r="K962" s="20"/>
      <c r="L962" s="20"/>
      <c r="M962" s="14" t="str">
        <f>IF(AND($C962&lt;&gt;"",$C962=Kardex!$C$4),COUNTIF($C$5:$C962,Kardex!$C$4),"")</f>
        <v/>
      </c>
    </row>
    <row r="963" spans="1:13" x14ac:dyDescent="0.25">
      <c r="A963" s="24"/>
      <c r="B963" s="20"/>
      <c r="C963" s="20"/>
      <c r="D963" s="14" t="str">
        <f>IF($C963="","",IFERROR(INDEX(Productos!$B$5:$B$504,MATCH($C963,Productos!$A$5:$A$504,0)),"Clave no existe"))</f>
        <v/>
      </c>
      <c r="E963" s="14" t="str">
        <f>IF($C963="","",IFERROR(INDEX(Productos!$D$5:$D$504,MATCH($C963,Productos!$A$5:$A$504,0)),""))</f>
        <v/>
      </c>
      <c r="F963" s="20"/>
      <c r="G963" s="22" t="str">
        <f>IF($C963="","",IFERROR(INDEX(Productos!$F$5:$F$504,MATCH($C963,Productos!$A$5:$A$504,0)),0))</f>
        <v/>
      </c>
      <c r="H963" s="22" t="str">
        <f t="shared" si="14"/>
        <v/>
      </c>
      <c r="I963" s="14" t="str">
        <f>IF(OR($C963="",$F963=""),"",IFERROR(INDEX(Productos!$I$5:$I$504,MATCH($C963,Productos!$A$5:$A$504,0)),0)+SUMIFS($F$5:$F963,$C$5:$C963,$C963,$B$5:$B963,"Entrada")-SUMIFS($F$5:$F963,$C$5:$C963,$C963,$B$5:$B963,"Salida"))</f>
        <v/>
      </c>
      <c r="J963" s="20"/>
      <c r="K963" s="20"/>
      <c r="L963" s="20"/>
      <c r="M963" s="14" t="str">
        <f>IF(AND($C963&lt;&gt;"",$C963=Kardex!$C$4),COUNTIF($C$5:$C963,Kardex!$C$4),"")</f>
        <v/>
      </c>
    </row>
    <row r="964" spans="1:13" x14ac:dyDescent="0.25">
      <c r="A964" s="24"/>
      <c r="B964" s="20"/>
      <c r="C964" s="20"/>
      <c r="D964" s="14" t="str">
        <f>IF($C964="","",IFERROR(INDEX(Productos!$B$5:$B$504,MATCH($C964,Productos!$A$5:$A$504,0)),"Clave no existe"))</f>
        <v/>
      </c>
      <c r="E964" s="14" t="str">
        <f>IF($C964="","",IFERROR(INDEX(Productos!$D$5:$D$504,MATCH($C964,Productos!$A$5:$A$504,0)),""))</f>
        <v/>
      </c>
      <c r="F964" s="20"/>
      <c r="G964" s="22" t="str">
        <f>IF($C964="","",IFERROR(INDEX(Productos!$F$5:$F$504,MATCH($C964,Productos!$A$5:$A$504,0)),0))</f>
        <v/>
      </c>
      <c r="H964" s="22" t="str">
        <f t="shared" si="14"/>
        <v/>
      </c>
      <c r="I964" s="14" t="str">
        <f>IF(OR($C964="",$F964=""),"",IFERROR(INDEX(Productos!$I$5:$I$504,MATCH($C964,Productos!$A$5:$A$504,0)),0)+SUMIFS($F$5:$F964,$C$5:$C964,$C964,$B$5:$B964,"Entrada")-SUMIFS($F$5:$F964,$C$5:$C964,$C964,$B$5:$B964,"Salida"))</f>
        <v/>
      </c>
      <c r="J964" s="20"/>
      <c r="K964" s="20"/>
      <c r="L964" s="20"/>
      <c r="M964" s="14" t="str">
        <f>IF(AND($C964&lt;&gt;"",$C964=Kardex!$C$4),COUNTIF($C$5:$C964,Kardex!$C$4),"")</f>
        <v/>
      </c>
    </row>
    <row r="965" spans="1:13" x14ac:dyDescent="0.25">
      <c r="A965" s="24"/>
      <c r="B965" s="20"/>
      <c r="C965" s="20"/>
      <c r="D965" s="14" t="str">
        <f>IF($C965="","",IFERROR(INDEX(Productos!$B$5:$B$504,MATCH($C965,Productos!$A$5:$A$504,0)),"Clave no existe"))</f>
        <v/>
      </c>
      <c r="E965" s="14" t="str">
        <f>IF($C965="","",IFERROR(INDEX(Productos!$D$5:$D$504,MATCH($C965,Productos!$A$5:$A$504,0)),""))</f>
        <v/>
      </c>
      <c r="F965" s="20"/>
      <c r="G965" s="22" t="str">
        <f>IF($C965="","",IFERROR(INDEX(Productos!$F$5:$F$504,MATCH($C965,Productos!$A$5:$A$504,0)),0))</f>
        <v/>
      </c>
      <c r="H965" s="22" t="str">
        <f t="shared" ref="H965:H1028" si="15">IF(OR($C965="",$F965=""),"",F965*G965)</f>
        <v/>
      </c>
      <c r="I965" s="14" t="str">
        <f>IF(OR($C965="",$F965=""),"",IFERROR(INDEX(Productos!$I$5:$I$504,MATCH($C965,Productos!$A$5:$A$504,0)),0)+SUMIFS($F$5:$F965,$C$5:$C965,$C965,$B$5:$B965,"Entrada")-SUMIFS($F$5:$F965,$C$5:$C965,$C965,$B$5:$B965,"Salida"))</f>
        <v/>
      </c>
      <c r="J965" s="20"/>
      <c r="K965" s="20"/>
      <c r="L965" s="20"/>
      <c r="M965" s="14" t="str">
        <f>IF(AND($C965&lt;&gt;"",$C965=Kardex!$C$4),COUNTIF($C$5:$C965,Kardex!$C$4),"")</f>
        <v/>
      </c>
    </row>
    <row r="966" spans="1:13" x14ac:dyDescent="0.25">
      <c r="A966" s="24"/>
      <c r="B966" s="20"/>
      <c r="C966" s="20"/>
      <c r="D966" s="14" t="str">
        <f>IF($C966="","",IFERROR(INDEX(Productos!$B$5:$B$504,MATCH($C966,Productos!$A$5:$A$504,0)),"Clave no existe"))</f>
        <v/>
      </c>
      <c r="E966" s="14" t="str">
        <f>IF($C966="","",IFERROR(INDEX(Productos!$D$5:$D$504,MATCH($C966,Productos!$A$5:$A$504,0)),""))</f>
        <v/>
      </c>
      <c r="F966" s="20"/>
      <c r="G966" s="22" t="str">
        <f>IF($C966="","",IFERROR(INDEX(Productos!$F$5:$F$504,MATCH($C966,Productos!$A$5:$A$504,0)),0))</f>
        <v/>
      </c>
      <c r="H966" s="22" t="str">
        <f t="shared" si="15"/>
        <v/>
      </c>
      <c r="I966" s="14" t="str">
        <f>IF(OR($C966="",$F966=""),"",IFERROR(INDEX(Productos!$I$5:$I$504,MATCH($C966,Productos!$A$5:$A$504,0)),0)+SUMIFS($F$5:$F966,$C$5:$C966,$C966,$B$5:$B966,"Entrada")-SUMIFS($F$5:$F966,$C$5:$C966,$C966,$B$5:$B966,"Salida"))</f>
        <v/>
      </c>
      <c r="J966" s="20"/>
      <c r="K966" s="20"/>
      <c r="L966" s="20"/>
      <c r="M966" s="14" t="str">
        <f>IF(AND($C966&lt;&gt;"",$C966=Kardex!$C$4),COUNTIF($C$5:$C966,Kardex!$C$4),"")</f>
        <v/>
      </c>
    </row>
    <row r="967" spans="1:13" x14ac:dyDescent="0.25">
      <c r="A967" s="24"/>
      <c r="B967" s="20"/>
      <c r="C967" s="20"/>
      <c r="D967" s="14" t="str">
        <f>IF($C967="","",IFERROR(INDEX(Productos!$B$5:$B$504,MATCH($C967,Productos!$A$5:$A$504,0)),"Clave no existe"))</f>
        <v/>
      </c>
      <c r="E967" s="14" t="str">
        <f>IF($C967="","",IFERROR(INDEX(Productos!$D$5:$D$504,MATCH($C967,Productos!$A$5:$A$504,0)),""))</f>
        <v/>
      </c>
      <c r="F967" s="20"/>
      <c r="G967" s="22" t="str">
        <f>IF($C967="","",IFERROR(INDEX(Productos!$F$5:$F$504,MATCH($C967,Productos!$A$5:$A$504,0)),0))</f>
        <v/>
      </c>
      <c r="H967" s="22" t="str">
        <f t="shared" si="15"/>
        <v/>
      </c>
      <c r="I967" s="14" t="str">
        <f>IF(OR($C967="",$F967=""),"",IFERROR(INDEX(Productos!$I$5:$I$504,MATCH($C967,Productos!$A$5:$A$504,0)),0)+SUMIFS($F$5:$F967,$C$5:$C967,$C967,$B$5:$B967,"Entrada")-SUMIFS($F$5:$F967,$C$5:$C967,$C967,$B$5:$B967,"Salida"))</f>
        <v/>
      </c>
      <c r="J967" s="20"/>
      <c r="K967" s="20"/>
      <c r="L967" s="20"/>
      <c r="M967" s="14" t="str">
        <f>IF(AND($C967&lt;&gt;"",$C967=Kardex!$C$4),COUNTIF($C$5:$C967,Kardex!$C$4),"")</f>
        <v/>
      </c>
    </row>
    <row r="968" spans="1:13" x14ac:dyDescent="0.25">
      <c r="A968" s="24"/>
      <c r="B968" s="20"/>
      <c r="C968" s="20"/>
      <c r="D968" s="14" t="str">
        <f>IF($C968="","",IFERROR(INDEX(Productos!$B$5:$B$504,MATCH($C968,Productos!$A$5:$A$504,0)),"Clave no existe"))</f>
        <v/>
      </c>
      <c r="E968" s="14" t="str">
        <f>IF($C968="","",IFERROR(INDEX(Productos!$D$5:$D$504,MATCH($C968,Productos!$A$5:$A$504,0)),""))</f>
        <v/>
      </c>
      <c r="F968" s="20"/>
      <c r="G968" s="22" t="str">
        <f>IF($C968="","",IFERROR(INDEX(Productos!$F$5:$F$504,MATCH($C968,Productos!$A$5:$A$504,0)),0))</f>
        <v/>
      </c>
      <c r="H968" s="22" t="str">
        <f t="shared" si="15"/>
        <v/>
      </c>
      <c r="I968" s="14" t="str">
        <f>IF(OR($C968="",$F968=""),"",IFERROR(INDEX(Productos!$I$5:$I$504,MATCH($C968,Productos!$A$5:$A$504,0)),0)+SUMIFS($F$5:$F968,$C$5:$C968,$C968,$B$5:$B968,"Entrada")-SUMIFS($F$5:$F968,$C$5:$C968,$C968,$B$5:$B968,"Salida"))</f>
        <v/>
      </c>
      <c r="J968" s="20"/>
      <c r="K968" s="20"/>
      <c r="L968" s="20"/>
      <c r="M968" s="14" t="str">
        <f>IF(AND($C968&lt;&gt;"",$C968=Kardex!$C$4),COUNTIF($C$5:$C968,Kardex!$C$4),"")</f>
        <v/>
      </c>
    </row>
    <row r="969" spans="1:13" x14ac:dyDescent="0.25">
      <c r="A969" s="24"/>
      <c r="B969" s="20"/>
      <c r="C969" s="20"/>
      <c r="D969" s="14" t="str">
        <f>IF($C969="","",IFERROR(INDEX(Productos!$B$5:$B$504,MATCH($C969,Productos!$A$5:$A$504,0)),"Clave no existe"))</f>
        <v/>
      </c>
      <c r="E969" s="14" t="str">
        <f>IF($C969="","",IFERROR(INDEX(Productos!$D$5:$D$504,MATCH($C969,Productos!$A$5:$A$504,0)),""))</f>
        <v/>
      </c>
      <c r="F969" s="20"/>
      <c r="G969" s="22" t="str">
        <f>IF($C969="","",IFERROR(INDEX(Productos!$F$5:$F$504,MATCH($C969,Productos!$A$5:$A$504,0)),0))</f>
        <v/>
      </c>
      <c r="H969" s="22" t="str">
        <f t="shared" si="15"/>
        <v/>
      </c>
      <c r="I969" s="14" t="str">
        <f>IF(OR($C969="",$F969=""),"",IFERROR(INDEX(Productos!$I$5:$I$504,MATCH($C969,Productos!$A$5:$A$504,0)),0)+SUMIFS($F$5:$F969,$C$5:$C969,$C969,$B$5:$B969,"Entrada")-SUMIFS($F$5:$F969,$C$5:$C969,$C969,$B$5:$B969,"Salida"))</f>
        <v/>
      </c>
      <c r="J969" s="20"/>
      <c r="K969" s="20"/>
      <c r="L969" s="20"/>
      <c r="M969" s="14" t="str">
        <f>IF(AND($C969&lt;&gt;"",$C969=Kardex!$C$4),COUNTIF($C$5:$C969,Kardex!$C$4),"")</f>
        <v/>
      </c>
    </row>
    <row r="970" spans="1:13" x14ac:dyDescent="0.25">
      <c r="A970" s="24"/>
      <c r="B970" s="20"/>
      <c r="C970" s="20"/>
      <c r="D970" s="14" t="str">
        <f>IF($C970="","",IFERROR(INDEX(Productos!$B$5:$B$504,MATCH($C970,Productos!$A$5:$A$504,0)),"Clave no existe"))</f>
        <v/>
      </c>
      <c r="E970" s="14" t="str">
        <f>IF($C970="","",IFERROR(INDEX(Productos!$D$5:$D$504,MATCH($C970,Productos!$A$5:$A$504,0)),""))</f>
        <v/>
      </c>
      <c r="F970" s="20"/>
      <c r="G970" s="22" t="str">
        <f>IF($C970="","",IFERROR(INDEX(Productos!$F$5:$F$504,MATCH($C970,Productos!$A$5:$A$504,0)),0))</f>
        <v/>
      </c>
      <c r="H970" s="22" t="str">
        <f t="shared" si="15"/>
        <v/>
      </c>
      <c r="I970" s="14" t="str">
        <f>IF(OR($C970="",$F970=""),"",IFERROR(INDEX(Productos!$I$5:$I$504,MATCH($C970,Productos!$A$5:$A$504,0)),0)+SUMIFS($F$5:$F970,$C$5:$C970,$C970,$B$5:$B970,"Entrada")-SUMIFS($F$5:$F970,$C$5:$C970,$C970,$B$5:$B970,"Salida"))</f>
        <v/>
      </c>
      <c r="J970" s="20"/>
      <c r="K970" s="20"/>
      <c r="L970" s="20"/>
      <c r="M970" s="14" t="str">
        <f>IF(AND($C970&lt;&gt;"",$C970=Kardex!$C$4),COUNTIF($C$5:$C970,Kardex!$C$4),"")</f>
        <v/>
      </c>
    </row>
    <row r="971" spans="1:13" x14ac:dyDescent="0.25">
      <c r="A971" s="24"/>
      <c r="B971" s="20"/>
      <c r="C971" s="20"/>
      <c r="D971" s="14" t="str">
        <f>IF($C971="","",IFERROR(INDEX(Productos!$B$5:$B$504,MATCH($C971,Productos!$A$5:$A$504,0)),"Clave no existe"))</f>
        <v/>
      </c>
      <c r="E971" s="14" t="str">
        <f>IF($C971="","",IFERROR(INDEX(Productos!$D$5:$D$504,MATCH($C971,Productos!$A$5:$A$504,0)),""))</f>
        <v/>
      </c>
      <c r="F971" s="20"/>
      <c r="G971" s="22" t="str">
        <f>IF($C971="","",IFERROR(INDEX(Productos!$F$5:$F$504,MATCH($C971,Productos!$A$5:$A$504,0)),0))</f>
        <v/>
      </c>
      <c r="H971" s="22" t="str">
        <f t="shared" si="15"/>
        <v/>
      </c>
      <c r="I971" s="14" t="str">
        <f>IF(OR($C971="",$F971=""),"",IFERROR(INDEX(Productos!$I$5:$I$504,MATCH($C971,Productos!$A$5:$A$504,0)),0)+SUMIFS($F$5:$F971,$C$5:$C971,$C971,$B$5:$B971,"Entrada")-SUMIFS($F$5:$F971,$C$5:$C971,$C971,$B$5:$B971,"Salida"))</f>
        <v/>
      </c>
      <c r="J971" s="20"/>
      <c r="K971" s="20"/>
      <c r="L971" s="20"/>
      <c r="M971" s="14" t="str">
        <f>IF(AND($C971&lt;&gt;"",$C971=Kardex!$C$4),COUNTIF($C$5:$C971,Kardex!$C$4),"")</f>
        <v/>
      </c>
    </row>
    <row r="972" spans="1:13" x14ac:dyDescent="0.25">
      <c r="A972" s="24"/>
      <c r="B972" s="20"/>
      <c r="C972" s="20"/>
      <c r="D972" s="14" t="str">
        <f>IF($C972="","",IFERROR(INDEX(Productos!$B$5:$B$504,MATCH($C972,Productos!$A$5:$A$504,0)),"Clave no existe"))</f>
        <v/>
      </c>
      <c r="E972" s="14" t="str">
        <f>IF($C972="","",IFERROR(INDEX(Productos!$D$5:$D$504,MATCH($C972,Productos!$A$5:$A$504,0)),""))</f>
        <v/>
      </c>
      <c r="F972" s="20"/>
      <c r="G972" s="22" t="str">
        <f>IF($C972="","",IFERROR(INDEX(Productos!$F$5:$F$504,MATCH($C972,Productos!$A$5:$A$504,0)),0))</f>
        <v/>
      </c>
      <c r="H972" s="22" t="str">
        <f t="shared" si="15"/>
        <v/>
      </c>
      <c r="I972" s="14" t="str">
        <f>IF(OR($C972="",$F972=""),"",IFERROR(INDEX(Productos!$I$5:$I$504,MATCH($C972,Productos!$A$5:$A$504,0)),0)+SUMIFS($F$5:$F972,$C$5:$C972,$C972,$B$5:$B972,"Entrada")-SUMIFS($F$5:$F972,$C$5:$C972,$C972,$B$5:$B972,"Salida"))</f>
        <v/>
      </c>
      <c r="J972" s="20"/>
      <c r="K972" s="20"/>
      <c r="L972" s="20"/>
      <c r="M972" s="14" t="str">
        <f>IF(AND($C972&lt;&gt;"",$C972=Kardex!$C$4),COUNTIF($C$5:$C972,Kardex!$C$4),"")</f>
        <v/>
      </c>
    </row>
    <row r="973" spans="1:13" x14ac:dyDescent="0.25">
      <c r="A973" s="24"/>
      <c r="B973" s="20"/>
      <c r="C973" s="20"/>
      <c r="D973" s="14" t="str">
        <f>IF($C973="","",IFERROR(INDEX(Productos!$B$5:$B$504,MATCH($C973,Productos!$A$5:$A$504,0)),"Clave no existe"))</f>
        <v/>
      </c>
      <c r="E973" s="14" t="str">
        <f>IF($C973="","",IFERROR(INDEX(Productos!$D$5:$D$504,MATCH($C973,Productos!$A$5:$A$504,0)),""))</f>
        <v/>
      </c>
      <c r="F973" s="20"/>
      <c r="G973" s="22" t="str">
        <f>IF($C973="","",IFERROR(INDEX(Productos!$F$5:$F$504,MATCH($C973,Productos!$A$5:$A$504,0)),0))</f>
        <v/>
      </c>
      <c r="H973" s="22" t="str">
        <f t="shared" si="15"/>
        <v/>
      </c>
      <c r="I973" s="14" t="str">
        <f>IF(OR($C973="",$F973=""),"",IFERROR(INDEX(Productos!$I$5:$I$504,MATCH($C973,Productos!$A$5:$A$504,0)),0)+SUMIFS($F$5:$F973,$C$5:$C973,$C973,$B$5:$B973,"Entrada")-SUMIFS($F$5:$F973,$C$5:$C973,$C973,$B$5:$B973,"Salida"))</f>
        <v/>
      </c>
      <c r="J973" s="20"/>
      <c r="K973" s="20"/>
      <c r="L973" s="20"/>
      <c r="M973" s="14" t="str">
        <f>IF(AND($C973&lt;&gt;"",$C973=Kardex!$C$4),COUNTIF($C$5:$C973,Kardex!$C$4),"")</f>
        <v/>
      </c>
    </row>
    <row r="974" spans="1:13" x14ac:dyDescent="0.25">
      <c r="A974" s="24"/>
      <c r="B974" s="20"/>
      <c r="C974" s="20"/>
      <c r="D974" s="14" t="str">
        <f>IF($C974="","",IFERROR(INDEX(Productos!$B$5:$B$504,MATCH($C974,Productos!$A$5:$A$504,0)),"Clave no existe"))</f>
        <v/>
      </c>
      <c r="E974" s="14" t="str">
        <f>IF($C974="","",IFERROR(INDEX(Productos!$D$5:$D$504,MATCH($C974,Productos!$A$5:$A$504,0)),""))</f>
        <v/>
      </c>
      <c r="F974" s="20"/>
      <c r="G974" s="22" t="str">
        <f>IF($C974="","",IFERROR(INDEX(Productos!$F$5:$F$504,MATCH($C974,Productos!$A$5:$A$504,0)),0))</f>
        <v/>
      </c>
      <c r="H974" s="22" t="str">
        <f t="shared" si="15"/>
        <v/>
      </c>
      <c r="I974" s="14" t="str">
        <f>IF(OR($C974="",$F974=""),"",IFERROR(INDEX(Productos!$I$5:$I$504,MATCH($C974,Productos!$A$5:$A$504,0)),0)+SUMIFS($F$5:$F974,$C$5:$C974,$C974,$B$5:$B974,"Entrada")-SUMIFS($F$5:$F974,$C$5:$C974,$C974,$B$5:$B974,"Salida"))</f>
        <v/>
      </c>
      <c r="J974" s="20"/>
      <c r="K974" s="20"/>
      <c r="L974" s="20"/>
      <c r="M974" s="14" t="str">
        <f>IF(AND($C974&lt;&gt;"",$C974=Kardex!$C$4),COUNTIF($C$5:$C974,Kardex!$C$4),"")</f>
        <v/>
      </c>
    </row>
    <row r="975" spans="1:13" x14ac:dyDescent="0.25">
      <c r="A975" s="24"/>
      <c r="B975" s="20"/>
      <c r="C975" s="20"/>
      <c r="D975" s="14" t="str">
        <f>IF($C975="","",IFERROR(INDEX(Productos!$B$5:$B$504,MATCH($C975,Productos!$A$5:$A$504,0)),"Clave no existe"))</f>
        <v/>
      </c>
      <c r="E975" s="14" t="str">
        <f>IF($C975="","",IFERROR(INDEX(Productos!$D$5:$D$504,MATCH($C975,Productos!$A$5:$A$504,0)),""))</f>
        <v/>
      </c>
      <c r="F975" s="20"/>
      <c r="G975" s="22" t="str">
        <f>IF($C975="","",IFERROR(INDEX(Productos!$F$5:$F$504,MATCH($C975,Productos!$A$5:$A$504,0)),0))</f>
        <v/>
      </c>
      <c r="H975" s="22" t="str">
        <f t="shared" si="15"/>
        <v/>
      </c>
      <c r="I975" s="14" t="str">
        <f>IF(OR($C975="",$F975=""),"",IFERROR(INDEX(Productos!$I$5:$I$504,MATCH($C975,Productos!$A$5:$A$504,0)),0)+SUMIFS($F$5:$F975,$C$5:$C975,$C975,$B$5:$B975,"Entrada")-SUMIFS($F$5:$F975,$C$5:$C975,$C975,$B$5:$B975,"Salida"))</f>
        <v/>
      </c>
      <c r="J975" s="20"/>
      <c r="K975" s="20"/>
      <c r="L975" s="20"/>
      <c r="M975" s="14" t="str">
        <f>IF(AND($C975&lt;&gt;"",$C975=Kardex!$C$4),COUNTIF($C$5:$C975,Kardex!$C$4),"")</f>
        <v/>
      </c>
    </row>
    <row r="976" spans="1:13" x14ac:dyDescent="0.25">
      <c r="A976" s="24"/>
      <c r="B976" s="20"/>
      <c r="C976" s="20"/>
      <c r="D976" s="14" t="str">
        <f>IF($C976="","",IFERROR(INDEX(Productos!$B$5:$B$504,MATCH($C976,Productos!$A$5:$A$504,0)),"Clave no existe"))</f>
        <v/>
      </c>
      <c r="E976" s="14" t="str">
        <f>IF($C976="","",IFERROR(INDEX(Productos!$D$5:$D$504,MATCH($C976,Productos!$A$5:$A$504,0)),""))</f>
        <v/>
      </c>
      <c r="F976" s="20"/>
      <c r="G976" s="22" t="str">
        <f>IF($C976="","",IFERROR(INDEX(Productos!$F$5:$F$504,MATCH($C976,Productos!$A$5:$A$504,0)),0))</f>
        <v/>
      </c>
      <c r="H976" s="22" t="str">
        <f t="shared" si="15"/>
        <v/>
      </c>
      <c r="I976" s="14" t="str">
        <f>IF(OR($C976="",$F976=""),"",IFERROR(INDEX(Productos!$I$5:$I$504,MATCH($C976,Productos!$A$5:$A$504,0)),0)+SUMIFS($F$5:$F976,$C$5:$C976,$C976,$B$5:$B976,"Entrada")-SUMIFS($F$5:$F976,$C$5:$C976,$C976,$B$5:$B976,"Salida"))</f>
        <v/>
      </c>
      <c r="J976" s="20"/>
      <c r="K976" s="20"/>
      <c r="L976" s="20"/>
      <c r="M976" s="14" t="str">
        <f>IF(AND($C976&lt;&gt;"",$C976=Kardex!$C$4),COUNTIF($C$5:$C976,Kardex!$C$4),"")</f>
        <v/>
      </c>
    </row>
    <row r="977" spans="1:13" x14ac:dyDescent="0.25">
      <c r="A977" s="24"/>
      <c r="B977" s="20"/>
      <c r="C977" s="20"/>
      <c r="D977" s="14" t="str">
        <f>IF($C977="","",IFERROR(INDEX(Productos!$B$5:$B$504,MATCH($C977,Productos!$A$5:$A$504,0)),"Clave no existe"))</f>
        <v/>
      </c>
      <c r="E977" s="14" t="str">
        <f>IF($C977="","",IFERROR(INDEX(Productos!$D$5:$D$504,MATCH($C977,Productos!$A$5:$A$504,0)),""))</f>
        <v/>
      </c>
      <c r="F977" s="20"/>
      <c r="G977" s="22" t="str">
        <f>IF($C977="","",IFERROR(INDEX(Productos!$F$5:$F$504,MATCH($C977,Productos!$A$5:$A$504,0)),0))</f>
        <v/>
      </c>
      <c r="H977" s="22" t="str">
        <f t="shared" si="15"/>
        <v/>
      </c>
      <c r="I977" s="14" t="str">
        <f>IF(OR($C977="",$F977=""),"",IFERROR(INDEX(Productos!$I$5:$I$504,MATCH($C977,Productos!$A$5:$A$504,0)),0)+SUMIFS($F$5:$F977,$C$5:$C977,$C977,$B$5:$B977,"Entrada")-SUMIFS($F$5:$F977,$C$5:$C977,$C977,$B$5:$B977,"Salida"))</f>
        <v/>
      </c>
      <c r="J977" s="20"/>
      <c r="K977" s="20"/>
      <c r="L977" s="20"/>
      <c r="M977" s="14" t="str">
        <f>IF(AND($C977&lt;&gt;"",$C977=Kardex!$C$4),COUNTIF($C$5:$C977,Kardex!$C$4),"")</f>
        <v/>
      </c>
    </row>
    <row r="978" spans="1:13" x14ac:dyDescent="0.25">
      <c r="A978" s="24"/>
      <c r="B978" s="20"/>
      <c r="C978" s="20"/>
      <c r="D978" s="14" t="str">
        <f>IF($C978="","",IFERROR(INDEX(Productos!$B$5:$B$504,MATCH($C978,Productos!$A$5:$A$504,0)),"Clave no existe"))</f>
        <v/>
      </c>
      <c r="E978" s="14" t="str">
        <f>IF($C978="","",IFERROR(INDEX(Productos!$D$5:$D$504,MATCH($C978,Productos!$A$5:$A$504,0)),""))</f>
        <v/>
      </c>
      <c r="F978" s="20"/>
      <c r="G978" s="22" t="str">
        <f>IF($C978="","",IFERROR(INDEX(Productos!$F$5:$F$504,MATCH($C978,Productos!$A$5:$A$504,0)),0))</f>
        <v/>
      </c>
      <c r="H978" s="22" t="str">
        <f t="shared" si="15"/>
        <v/>
      </c>
      <c r="I978" s="14" t="str">
        <f>IF(OR($C978="",$F978=""),"",IFERROR(INDEX(Productos!$I$5:$I$504,MATCH($C978,Productos!$A$5:$A$504,0)),0)+SUMIFS($F$5:$F978,$C$5:$C978,$C978,$B$5:$B978,"Entrada")-SUMIFS($F$5:$F978,$C$5:$C978,$C978,$B$5:$B978,"Salida"))</f>
        <v/>
      </c>
      <c r="J978" s="20"/>
      <c r="K978" s="20"/>
      <c r="L978" s="20"/>
      <c r="M978" s="14" t="str">
        <f>IF(AND($C978&lt;&gt;"",$C978=Kardex!$C$4),COUNTIF($C$5:$C978,Kardex!$C$4),"")</f>
        <v/>
      </c>
    </row>
    <row r="979" spans="1:13" x14ac:dyDescent="0.25">
      <c r="A979" s="24"/>
      <c r="B979" s="20"/>
      <c r="C979" s="20"/>
      <c r="D979" s="14" t="str">
        <f>IF($C979="","",IFERROR(INDEX(Productos!$B$5:$B$504,MATCH($C979,Productos!$A$5:$A$504,0)),"Clave no existe"))</f>
        <v/>
      </c>
      <c r="E979" s="14" t="str">
        <f>IF($C979="","",IFERROR(INDEX(Productos!$D$5:$D$504,MATCH($C979,Productos!$A$5:$A$504,0)),""))</f>
        <v/>
      </c>
      <c r="F979" s="20"/>
      <c r="G979" s="22" t="str">
        <f>IF($C979="","",IFERROR(INDEX(Productos!$F$5:$F$504,MATCH($C979,Productos!$A$5:$A$504,0)),0))</f>
        <v/>
      </c>
      <c r="H979" s="22" t="str">
        <f t="shared" si="15"/>
        <v/>
      </c>
      <c r="I979" s="14" t="str">
        <f>IF(OR($C979="",$F979=""),"",IFERROR(INDEX(Productos!$I$5:$I$504,MATCH($C979,Productos!$A$5:$A$504,0)),0)+SUMIFS($F$5:$F979,$C$5:$C979,$C979,$B$5:$B979,"Entrada")-SUMIFS($F$5:$F979,$C$5:$C979,$C979,$B$5:$B979,"Salida"))</f>
        <v/>
      </c>
      <c r="J979" s="20"/>
      <c r="K979" s="20"/>
      <c r="L979" s="20"/>
      <c r="M979" s="14" t="str">
        <f>IF(AND($C979&lt;&gt;"",$C979=Kardex!$C$4),COUNTIF($C$5:$C979,Kardex!$C$4),"")</f>
        <v/>
      </c>
    </row>
    <row r="980" spans="1:13" x14ac:dyDescent="0.25">
      <c r="A980" s="24"/>
      <c r="B980" s="20"/>
      <c r="C980" s="20"/>
      <c r="D980" s="14" t="str">
        <f>IF($C980="","",IFERROR(INDEX(Productos!$B$5:$B$504,MATCH($C980,Productos!$A$5:$A$504,0)),"Clave no existe"))</f>
        <v/>
      </c>
      <c r="E980" s="14" t="str">
        <f>IF($C980="","",IFERROR(INDEX(Productos!$D$5:$D$504,MATCH($C980,Productos!$A$5:$A$504,0)),""))</f>
        <v/>
      </c>
      <c r="F980" s="20"/>
      <c r="G980" s="22" t="str">
        <f>IF($C980="","",IFERROR(INDEX(Productos!$F$5:$F$504,MATCH($C980,Productos!$A$5:$A$504,0)),0))</f>
        <v/>
      </c>
      <c r="H980" s="22" t="str">
        <f t="shared" si="15"/>
        <v/>
      </c>
      <c r="I980" s="14" t="str">
        <f>IF(OR($C980="",$F980=""),"",IFERROR(INDEX(Productos!$I$5:$I$504,MATCH($C980,Productos!$A$5:$A$504,0)),0)+SUMIFS($F$5:$F980,$C$5:$C980,$C980,$B$5:$B980,"Entrada")-SUMIFS($F$5:$F980,$C$5:$C980,$C980,$B$5:$B980,"Salida"))</f>
        <v/>
      </c>
      <c r="J980" s="20"/>
      <c r="K980" s="20"/>
      <c r="L980" s="20"/>
      <c r="M980" s="14" t="str">
        <f>IF(AND($C980&lt;&gt;"",$C980=Kardex!$C$4),COUNTIF($C$5:$C980,Kardex!$C$4),"")</f>
        <v/>
      </c>
    </row>
    <row r="981" spans="1:13" x14ac:dyDescent="0.25">
      <c r="A981" s="24"/>
      <c r="B981" s="20"/>
      <c r="C981" s="20"/>
      <c r="D981" s="14" t="str">
        <f>IF($C981="","",IFERROR(INDEX(Productos!$B$5:$B$504,MATCH($C981,Productos!$A$5:$A$504,0)),"Clave no existe"))</f>
        <v/>
      </c>
      <c r="E981" s="14" t="str">
        <f>IF($C981="","",IFERROR(INDEX(Productos!$D$5:$D$504,MATCH($C981,Productos!$A$5:$A$504,0)),""))</f>
        <v/>
      </c>
      <c r="F981" s="20"/>
      <c r="G981" s="22" t="str">
        <f>IF($C981="","",IFERROR(INDEX(Productos!$F$5:$F$504,MATCH($C981,Productos!$A$5:$A$504,0)),0))</f>
        <v/>
      </c>
      <c r="H981" s="22" t="str">
        <f t="shared" si="15"/>
        <v/>
      </c>
      <c r="I981" s="14" t="str">
        <f>IF(OR($C981="",$F981=""),"",IFERROR(INDEX(Productos!$I$5:$I$504,MATCH($C981,Productos!$A$5:$A$504,0)),0)+SUMIFS($F$5:$F981,$C$5:$C981,$C981,$B$5:$B981,"Entrada")-SUMIFS($F$5:$F981,$C$5:$C981,$C981,$B$5:$B981,"Salida"))</f>
        <v/>
      </c>
      <c r="J981" s="20"/>
      <c r="K981" s="20"/>
      <c r="L981" s="20"/>
      <c r="M981" s="14" t="str">
        <f>IF(AND($C981&lt;&gt;"",$C981=Kardex!$C$4),COUNTIF($C$5:$C981,Kardex!$C$4),"")</f>
        <v/>
      </c>
    </row>
    <row r="982" spans="1:13" x14ac:dyDescent="0.25">
      <c r="A982" s="24"/>
      <c r="B982" s="20"/>
      <c r="C982" s="20"/>
      <c r="D982" s="14" t="str">
        <f>IF($C982="","",IFERROR(INDEX(Productos!$B$5:$B$504,MATCH($C982,Productos!$A$5:$A$504,0)),"Clave no existe"))</f>
        <v/>
      </c>
      <c r="E982" s="14" t="str">
        <f>IF($C982="","",IFERROR(INDEX(Productos!$D$5:$D$504,MATCH($C982,Productos!$A$5:$A$504,0)),""))</f>
        <v/>
      </c>
      <c r="F982" s="20"/>
      <c r="G982" s="22" t="str">
        <f>IF($C982="","",IFERROR(INDEX(Productos!$F$5:$F$504,MATCH($C982,Productos!$A$5:$A$504,0)),0))</f>
        <v/>
      </c>
      <c r="H982" s="22" t="str">
        <f t="shared" si="15"/>
        <v/>
      </c>
      <c r="I982" s="14" t="str">
        <f>IF(OR($C982="",$F982=""),"",IFERROR(INDEX(Productos!$I$5:$I$504,MATCH($C982,Productos!$A$5:$A$504,0)),0)+SUMIFS($F$5:$F982,$C$5:$C982,$C982,$B$5:$B982,"Entrada")-SUMIFS($F$5:$F982,$C$5:$C982,$C982,$B$5:$B982,"Salida"))</f>
        <v/>
      </c>
      <c r="J982" s="20"/>
      <c r="K982" s="20"/>
      <c r="L982" s="20"/>
      <c r="M982" s="14" t="str">
        <f>IF(AND($C982&lt;&gt;"",$C982=Kardex!$C$4),COUNTIF($C$5:$C982,Kardex!$C$4),"")</f>
        <v/>
      </c>
    </row>
    <row r="983" spans="1:13" x14ac:dyDescent="0.25">
      <c r="A983" s="24"/>
      <c r="B983" s="20"/>
      <c r="C983" s="20"/>
      <c r="D983" s="14" t="str">
        <f>IF($C983="","",IFERROR(INDEX(Productos!$B$5:$B$504,MATCH($C983,Productos!$A$5:$A$504,0)),"Clave no existe"))</f>
        <v/>
      </c>
      <c r="E983" s="14" t="str">
        <f>IF($C983="","",IFERROR(INDEX(Productos!$D$5:$D$504,MATCH($C983,Productos!$A$5:$A$504,0)),""))</f>
        <v/>
      </c>
      <c r="F983" s="20"/>
      <c r="G983" s="22" t="str">
        <f>IF($C983="","",IFERROR(INDEX(Productos!$F$5:$F$504,MATCH($C983,Productos!$A$5:$A$504,0)),0))</f>
        <v/>
      </c>
      <c r="H983" s="22" t="str">
        <f t="shared" si="15"/>
        <v/>
      </c>
      <c r="I983" s="14" t="str">
        <f>IF(OR($C983="",$F983=""),"",IFERROR(INDEX(Productos!$I$5:$I$504,MATCH($C983,Productos!$A$5:$A$504,0)),0)+SUMIFS($F$5:$F983,$C$5:$C983,$C983,$B$5:$B983,"Entrada")-SUMIFS($F$5:$F983,$C$5:$C983,$C983,$B$5:$B983,"Salida"))</f>
        <v/>
      </c>
      <c r="J983" s="20"/>
      <c r="K983" s="20"/>
      <c r="L983" s="20"/>
      <c r="M983" s="14" t="str">
        <f>IF(AND($C983&lt;&gt;"",$C983=Kardex!$C$4),COUNTIF($C$5:$C983,Kardex!$C$4),"")</f>
        <v/>
      </c>
    </row>
    <row r="984" spans="1:13" x14ac:dyDescent="0.25">
      <c r="A984" s="24"/>
      <c r="B984" s="20"/>
      <c r="C984" s="20"/>
      <c r="D984" s="14" t="str">
        <f>IF($C984="","",IFERROR(INDEX(Productos!$B$5:$B$504,MATCH($C984,Productos!$A$5:$A$504,0)),"Clave no existe"))</f>
        <v/>
      </c>
      <c r="E984" s="14" t="str">
        <f>IF($C984="","",IFERROR(INDEX(Productos!$D$5:$D$504,MATCH($C984,Productos!$A$5:$A$504,0)),""))</f>
        <v/>
      </c>
      <c r="F984" s="20"/>
      <c r="G984" s="22" t="str">
        <f>IF($C984="","",IFERROR(INDEX(Productos!$F$5:$F$504,MATCH($C984,Productos!$A$5:$A$504,0)),0))</f>
        <v/>
      </c>
      <c r="H984" s="22" t="str">
        <f t="shared" si="15"/>
        <v/>
      </c>
      <c r="I984" s="14" t="str">
        <f>IF(OR($C984="",$F984=""),"",IFERROR(INDEX(Productos!$I$5:$I$504,MATCH($C984,Productos!$A$5:$A$504,0)),0)+SUMIFS($F$5:$F984,$C$5:$C984,$C984,$B$5:$B984,"Entrada")-SUMIFS($F$5:$F984,$C$5:$C984,$C984,$B$5:$B984,"Salida"))</f>
        <v/>
      </c>
      <c r="J984" s="20"/>
      <c r="K984" s="20"/>
      <c r="L984" s="20"/>
      <c r="M984" s="14" t="str">
        <f>IF(AND($C984&lt;&gt;"",$C984=Kardex!$C$4),COUNTIF($C$5:$C984,Kardex!$C$4),"")</f>
        <v/>
      </c>
    </row>
    <row r="985" spans="1:13" x14ac:dyDescent="0.25">
      <c r="A985" s="24"/>
      <c r="B985" s="20"/>
      <c r="C985" s="20"/>
      <c r="D985" s="14" t="str">
        <f>IF($C985="","",IFERROR(INDEX(Productos!$B$5:$B$504,MATCH($C985,Productos!$A$5:$A$504,0)),"Clave no existe"))</f>
        <v/>
      </c>
      <c r="E985" s="14" t="str">
        <f>IF($C985="","",IFERROR(INDEX(Productos!$D$5:$D$504,MATCH($C985,Productos!$A$5:$A$504,0)),""))</f>
        <v/>
      </c>
      <c r="F985" s="20"/>
      <c r="G985" s="22" t="str">
        <f>IF($C985="","",IFERROR(INDEX(Productos!$F$5:$F$504,MATCH($C985,Productos!$A$5:$A$504,0)),0))</f>
        <v/>
      </c>
      <c r="H985" s="22" t="str">
        <f t="shared" si="15"/>
        <v/>
      </c>
      <c r="I985" s="14" t="str">
        <f>IF(OR($C985="",$F985=""),"",IFERROR(INDEX(Productos!$I$5:$I$504,MATCH($C985,Productos!$A$5:$A$504,0)),0)+SUMIFS($F$5:$F985,$C$5:$C985,$C985,$B$5:$B985,"Entrada")-SUMIFS($F$5:$F985,$C$5:$C985,$C985,$B$5:$B985,"Salida"))</f>
        <v/>
      </c>
      <c r="J985" s="20"/>
      <c r="K985" s="20"/>
      <c r="L985" s="20"/>
      <c r="M985" s="14" t="str">
        <f>IF(AND($C985&lt;&gt;"",$C985=Kardex!$C$4),COUNTIF($C$5:$C985,Kardex!$C$4),"")</f>
        <v/>
      </c>
    </row>
    <row r="986" spans="1:13" x14ac:dyDescent="0.25">
      <c r="A986" s="24"/>
      <c r="B986" s="20"/>
      <c r="C986" s="20"/>
      <c r="D986" s="14" t="str">
        <f>IF($C986="","",IFERROR(INDEX(Productos!$B$5:$B$504,MATCH($C986,Productos!$A$5:$A$504,0)),"Clave no existe"))</f>
        <v/>
      </c>
      <c r="E986" s="14" t="str">
        <f>IF($C986="","",IFERROR(INDEX(Productos!$D$5:$D$504,MATCH($C986,Productos!$A$5:$A$504,0)),""))</f>
        <v/>
      </c>
      <c r="F986" s="20"/>
      <c r="G986" s="22" t="str">
        <f>IF($C986="","",IFERROR(INDEX(Productos!$F$5:$F$504,MATCH($C986,Productos!$A$5:$A$504,0)),0))</f>
        <v/>
      </c>
      <c r="H986" s="22" t="str">
        <f t="shared" si="15"/>
        <v/>
      </c>
      <c r="I986" s="14" t="str">
        <f>IF(OR($C986="",$F986=""),"",IFERROR(INDEX(Productos!$I$5:$I$504,MATCH($C986,Productos!$A$5:$A$504,0)),0)+SUMIFS($F$5:$F986,$C$5:$C986,$C986,$B$5:$B986,"Entrada")-SUMIFS($F$5:$F986,$C$5:$C986,$C986,$B$5:$B986,"Salida"))</f>
        <v/>
      </c>
      <c r="J986" s="20"/>
      <c r="K986" s="20"/>
      <c r="L986" s="20"/>
      <c r="M986" s="14" t="str">
        <f>IF(AND($C986&lt;&gt;"",$C986=Kardex!$C$4),COUNTIF($C$5:$C986,Kardex!$C$4),"")</f>
        <v/>
      </c>
    </row>
    <row r="987" spans="1:13" x14ac:dyDescent="0.25">
      <c r="A987" s="24"/>
      <c r="B987" s="20"/>
      <c r="C987" s="20"/>
      <c r="D987" s="14" t="str">
        <f>IF($C987="","",IFERROR(INDEX(Productos!$B$5:$B$504,MATCH($C987,Productos!$A$5:$A$504,0)),"Clave no existe"))</f>
        <v/>
      </c>
      <c r="E987" s="14" t="str">
        <f>IF($C987="","",IFERROR(INDEX(Productos!$D$5:$D$504,MATCH($C987,Productos!$A$5:$A$504,0)),""))</f>
        <v/>
      </c>
      <c r="F987" s="20"/>
      <c r="G987" s="22" t="str">
        <f>IF($C987="","",IFERROR(INDEX(Productos!$F$5:$F$504,MATCH($C987,Productos!$A$5:$A$504,0)),0))</f>
        <v/>
      </c>
      <c r="H987" s="22" t="str">
        <f t="shared" si="15"/>
        <v/>
      </c>
      <c r="I987" s="14" t="str">
        <f>IF(OR($C987="",$F987=""),"",IFERROR(INDEX(Productos!$I$5:$I$504,MATCH($C987,Productos!$A$5:$A$504,0)),0)+SUMIFS($F$5:$F987,$C$5:$C987,$C987,$B$5:$B987,"Entrada")-SUMIFS($F$5:$F987,$C$5:$C987,$C987,$B$5:$B987,"Salida"))</f>
        <v/>
      </c>
      <c r="J987" s="20"/>
      <c r="K987" s="20"/>
      <c r="L987" s="20"/>
      <c r="M987" s="14" t="str">
        <f>IF(AND($C987&lt;&gt;"",$C987=Kardex!$C$4),COUNTIF($C$5:$C987,Kardex!$C$4),"")</f>
        <v/>
      </c>
    </row>
    <row r="988" spans="1:13" x14ac:dyDescent="0.25">
      <c r="A988" s="24"/>
      <c r="B988" s="20"/>
      <c r="C988" s="20"/>
      <c r="D988" s="14" t="str">
        <f>IF($C988="","",IFERROR(INDEX(Productos!$B$5:$B$504,MATCH($C988,Productos!$A$5:$A$504,0)),"Clave no existe"))</f>
        <v/>
      </c>
      <c r="E988" s="14" t="str">
        <f>IF($C988="","",IFERROR(INDEX(Productos!$D$5:$D$504,MATCH($C988,Productos!$A$5:$A$504,0)),""))</f>
        <v/>
      </c>
      <c r="F988" s="20"/>
      <c r="G988" s="22" t="str">
        <f>IF($C988="","",IFERROR(INDEX(Productos!$F$5:$F$504,MATCH($C988,Productos!$A$5:$A$504,0)),0))</f>
        <v/>
      </c>
      <c r="H988" s="22" t="str">
        <f t="shared" si="15"/>
        <v/>
      </c>
      <c r="I988" s="14" t="str">
        <f>IF(OR($C988="",$F988=""),"",IFERROR(INDEX(Productos!$I$5:$I$504,MATCH($C988,Productos!$A$5:$A$504,0)),0)+SUMIFS($F$5:$F988,$C$5:$C988,$C988,$B$5:$B988,"Entrada")-SUMIFS($F$5:$F988,$C$5:$C988,$C988,$B$5:$B988,"Salida"))</f>
        <v/>
      </c>
      <c r="J988" s="20"/>
      <c r="K988" s="20"/>
      <c r="L988" s="20"/>
      <c r="M988" s="14" t="str">
        <f>IF(AND($C988&lt;&gt;"",$C988=Kardex!$C$4),COUNTIF($C$5:$C988,Kardex!$C$4),"")</f>
        <v/>
      </c>
    </row>
    <row r="989" spans="1:13" x14ac:dyDescent="0.25">
      <c r="A989" s="24"/>
      <c r="B989" s="20"/>
      <c r="C989" s="20"/>
      <c r="D989" s="14" t="str">
        <f>IF($C989="","",IFERROR(INDEX(Productos!$B$5:$B$504,MATCH($C989,Productos!$A$5:$A$504,0)),"Clave no existe"))</f>
        <v/>
      </c>
      <c r="E989" s="14" t="str">
        <f>IF($C989="","",IFERROR(INDEX(Productos!$D$5:$D$504,MATCH($C989,Productos!$A$5:$A$504,0)),""))</f>
        <v/>
      </c>
      <c r="F989" s="20"/>
      <c r="G989" s="22" t="str">
        <f>IF($C989="","",IFERROR(INDEX(Productos!$F$5:$F$504,MATCH($C989,Productos!$A$5:$A$504,0)),0))</f>
        <v/>
      </c>
      <c r="H989" s="22" t="str">
        <f t="shared" si="15"/>
        <v/>
      </c>
      <c r="I989" s="14" t="str">
        <f>IF(OR($C989="",$F989=""),"",IFERROR(INDEX(Productos!$I$5:$I$504,MATCH($C989,Productos!$A$5:$A$504,0)),0)+SUMIFS($F$5:$F989,$C$5:$C989,$C989,$B$5:$B989,"Entrada")-SUMIFS($F$5:$F989,$C$5:$C989,$C989,$B$5:$B989,"Salida"))</f>
        <v/>
      </c>
      <c r="J989" s="20"/>
      <c r="K989" s="20"/>
      <c r="L989" s="20"/>
      <c r="M989" s="14" t="str">
        <f>IF(AND($C989&lt;&gt;"",$C989=Kardex!$C$4),COUNTIF($C$5:$C989,Kardex!$C$4),"")</f>
        <v/>
      </c>
    </row>
    <row r="990" spans="1:13" x14ac:dyDescent="0.25">
      <c r="A990" s="24"/>
      <c r="B990" s="20"/>
      <c r="C990" s="20"/>
      <c r="D990" s="14" t="str">
        <f>IF($C990="","",IFERROR(INDEX(Productos!$B$5:$B$504,MATCH($C990,Productos!$A$5:$A$504,0)),"Clave no existe"))</f>
        <v/>
      </c>
      <c r="E990" s="14" t="str">
        <f>IF($C990="","",IFERROR(INDEX(Productos!$D$5:$D$504,MATCH($C990,Productos!$A$5:$A$504,0)),""))</f>
        <v/>
      </c>
      <c r="F990" s="20"/>
      <c r="G990" s="22" t="str">
        <f>IF($C990="","",IFERROR(INDEX(Productos!$F$5:$F$504,MATCH($C990,Productos!$A$5:$A$504,0)),0))</f>
        <v/>
      </c>
      <c r="H990" s="22" t="str">
        <f t="shared" si="15"/>
        <v/>
      </c>
      <c r="I990" s="14" t="str">
        <f>IF(OR($C990="",$F990=""),"",IFERROR(INDEX(Productos!$I$5:$I$504,MATCH($C990,Productos!$A$5:$A$504,0)),0)+SUMIFS($F$5:$F990,$C$5:$C990,$C990,$B$5:$B990,"Entrada")-SUMIFS($F$5:$F990,$C$5:$C990,$C990,$B$5:$B990,"Salida"))</f>
        <v/>
      </c>
      <c r="J990" s="20"/>
      <c r="K990" s="20"/>
      <c r="L990" s="20"/>
      <c r="M990" s="14" t="str">
        <f>IF(AND($C990&lt;&gt;"",$C990=Kardex!$C$4),COUNTIF($C$5:$C990,Kardex!$C$4),"")</f>
        <v/>
      </c>
    </row>
    <row r="991" spans="1:13" x14ac:dyDescent="0.25">
      <c r="A991" s="24"/>
      <c r="B991" s="20"/>
      <c r="C991" s="20"/>
      <c r="D991" s="14" t="str">
        <f>IF($C991="","",IFERROR(INDEX(Productos!$B$5:$B$504,MATCH($C991,Productos!$A$5:$A$504,0)),"Clave no existe"))</f>
        <v/>
      </c>
      <c r="E991" s="14" t="str">
        <f>IF($C991="","",IFERROR(INDEX(Productos!$D$5:$D$504,MATCH($C991,Productos!$A$5:$A$504,0)),""))</f>
        <v/>
      </c>
      <c r="F991" s="20"/>
      <c r="G991" s="22" t="str">
        <f>IF($C991="","",IFERROR(INDEX(Productos!$F$5:$F$504,MATCH($C991,Productos!$A$5:$A$504,0)),0))</f>
        <v/>
      </c>
      <c r="H991" s="22" t="str">
        <f t="shared" si="15"/>
        <v/>
      </c>
      <c r="I991" s="14" t="str">
        <f>IF(OR($C991="",$F991=""),"",IFERROR(INDEX(Productos!$I$5:$I$504,MATCH($C991,Productos!$A$5:$A$504,0)),0)+SUMIFS($F$5:$F991,$C$5:$C991,$C991,$B$5:$B991,"Entrada")-SUMIFS($F$5:$F991,$C$5:$C991,$C991,$B$5:$B991,"Salida"))</f>
        <v/>
      </c>
      <c r="J991" s="20"/>
      <c r="K991" s="20"/>
      <c r="L991" s="20"/>
      <c r="M991" s="14" t="str">
        <f>IF(AND($C991&lt;&gt;"",$C991=Kardex!$C$4),COUNTIF($C$5:$C991,Kardex!$C$4),"")</f>
        <v/>
      </c>
    </row>
    <row r="992" spans="1:13" x14ac:dyDescent="0.25">
      <c r="A992" s="24"/>
      <c r="B992" s="20"/>
      <c r="C992" s="20"/>
      <c r="D992" s="14" t="str">
        <f>IF($C992="","",IFERROR(INDEX(Productos!$B$5:$B$504,MATCH($C992,Productos!$A$5:$A$504,0)),"Clave no existe"))</f>
        <v/>
      </c>
      <c r="E992" s="14" t="str">
        <f>IF($C992="","",IFERROR(INDEX(Productos!$D$5:$D$504,MATCH($C992,Productos!$A$5:$A$504,0)),""))</f>
        <v/>
      </c>
      <c r="F992" s="20"/>
      <c r="G992" s="22" t="str">
        <f>IF($C992="","",IFERROR(INDEX(Productos!$F$5:$F$504,MATCH($C992,Productos!$A$5:$A$504,0)),0))</f>
        <v/>
      </c>
      <c r="H992" s="22" t="str">
        <f t="shared" si="15"/>
        <v/>
      </c>
      <c r="I992" s="14" t="str">
        <f>IF(OR($C992="",$F992=""),"",IFERROR(INDEX(Productos!$I$5:$I$504,MATCH($C992,Productos!$A$5:$A$504,0)),0)+SUMIFS($F$5:$F992,$C$5:$C992,$C992,$B$5:$B992,"Entrada")-SUMIFS($F$5:$F992,$C$5:$C992,$C992,$B$5:$B992,"Salida"))</f>
        <v/>
      </c>
      <c r="J992" s="20"/>
      <c r="K992" s="20"/>
      <c r="L992" s="20"/>
      <c r="M992" s="14" t="str">
        <f>IF(AND($C992&lt;&gt;"",$C992=Kardex!$C$4),COUNTIF($C$5:$C992,Kardex!$C$4),"")</f>
        <v/>
      </c>
    </row>
    <row r="993" spans="1:13" x14ac:dyDescent="0.25">
      <c r="A993" s="24"/>
      <c r="B993" s="20"/>
      <c r="C993" s="20"/>
      <c r="D993" s="14" t="str">
        <f>IF($C993="","",IFERROR(INDEX(Productos!$B$5:$B$504,MATCH($C993,Productos!$A$5:$A$504,0)),"Clave no existe"))</f>
        <v/>
      </c>
      <c r="E993" s="14" t="str">
        <f>IF($C993="","",IFERROR(INDEX(Productos!$D$5:$D$504,MATCH($C993,Productos!$A$5:$A$504,0)),""))</f>
        <v/>
      </c>
      <c r="F993" s="20"/>
      <c r="G993" s="22" t="str">
        <f>IF($C993="","",IFERROR(INDEX(Productos!$F$5:$F$504,MATCH($C993,Productos!$A$5:$A$504,0)),0))</f>
        <v/>
      </c>
      <c r="H993" s="22" t="str">
        <f t="shared" si="15"/>
        <v/>
      </c>
      <c r="I993" s="14" t="str">
        <f>IF(OR($C993="",$F993=""),"",IFERROR(INDEX(Productos!$I$5:$I$504,MATCH($C993,Productos!$A$5:$A$504,0)),0)+SUMIFS($F$5:$F993,$C$5:$C993,$C993,$B$5:$B993,"Entrada")-SUMIFS($F$5:$F993,$C$5:$C993,$C993,$B$5:$B993,"Salida"))</f>
        <v/>
      </c>
      <c r="J993" s="20"/>
      <c r="K993" s="20"/>
      <c r="L993" s="20"/>
      <c r="M993" s="14" t="str">
        <f>IF(AND($C993&lt;&gt;"",$C993=Kardex!$C$4),COUNTIF($C$5:$C993,Kardex!$C$4),"")</f>
        <v/>
      </c>
    </row>
    <row r="994" spans="1:13" x14ac:dyDescent="0.25">
      <c r="A994" s="24"/>
      <c r="B994" s="20"/>
      <c r="C994" s="20"/>
      <c r="D994" s="14" t="str">
        <f>IF($C994="","",IFERROR(INDEX(Productos!$B$5:$B$504,MATCH($C994,Productos!$A$5:$A$504,0)),"Clave no existe"))</f>
        <v/>
      </c>
      <c r="E994" s="14" t="str">
        <f>IF($C994="","",IFERROR(INDEX(Productos!$D$5:$D$504,MATCH($C994,Productos!$A$5:$A$504,0)),""))</f>
        <v/>
      </c>
      <c r="F994" s="20"/>
      <c r="G994" s="22" t="str">
        <f>IF($C994="","",IFERROR(INDEX(Productos!$F$5:$F$504,MATCH($C994,Productos!$A$5:$A$504,0)),0))</f>
        <v/>
      </c>
      <c r="H994" s="22" t="str">
        <f t="shared" si="15"/>
        <v/>
      </c>
      <c r="I994" s="14" t="str">
        <f>IF(OR($C994="",$F994=""),"",IFERROR(INDEX(Productos!$I$5:$I$504,MATCH($C994,Productos!$A$5:$A$504,0)),0)+SUMIFS($F$5:$F994,$C$5:$C994,$C994,$B$5:$B994,"Entrada")-SUMIFS($F$5:$F994,$C$5:$C994,$C994,$B$5:$B994,"Salida"))</f>
        <v/>
      </c>
      <c r="J994" s="20"/>
      <c r="K994" s="20"/>
      <c r="L994" s="20"/>
      <c r="M994" s="14" t="str">
        <f>IF(AND($C994&lt;&gt;"",$C994=Kardex!$C$4),COUNTIF($C$5:$C994,Kardex!$C$4),"")</f>
        <v/>
      </c>
    </row>
    <row r="995" spans="1:13" x14ac:dyDescent="0.25">
      <c r="A995" s="24"/>
      <c r="B995" s="20"/>
      <c r="C995" s="20"/>
      <c r="D995" s="14" t="str">
        <f>IF($C995="","",IFERROR(INDEX(Productos!$B$5:$B$504,MATCH($C995,Productos!$A$5:$A$504,0)),"Clave no existe"))</f>
        <v/>
      </c>
      <c r="E995" s="14" t="str">
        <f>IF($C995="","",IFERROR(INDEX(Productos!$D$5:$D$504,MATCH($C995,Productos!$A$5:$A$504,0)),""))</f>
        <v/>
      </c>
      <c r="F995" s="20"/>
      <c r="G995" s="22" t="str">
        <f>IF($C995="","",IFERROR(INDEX(Productos!$F$5:$F$504,MATCH($C995,Productos!$A$5:$A$504,0)),0))</f>
        <v/>
      </c>
      <c r="H995" s="22" t="str">
        <f t="shared" si="15"/>
        <v/>
      </c>
      <c r="I995" s="14" t="str">
        <f>IF(OR($C995="",$F995=""),"",IFERROR(INDEX(Productos!$I$5:$I$504,MATCH($C995,Productos!$A$5:$A$504,0)),0)+SUMIFS($F$5:$F995,$C$5:$C995,$C995,$B$5:$B995,"Entrada")-SUMIFS($F$5:$F995,$C$5:$C995,$C995,$B$5:$B995,"Salida"))</f>
        <v/>
      </c>
      <c r="J995" s="20"/>
      <c r="K995" s="20"/>
      <c r="L995" s="20"/>
      <c r="M995" s="14" t="str">
        <f>IF(AND($C995&lt;&gt;"",$C995=Kardex!$C$4),COUNTIF($C$5:$C995,Kardex!$C$4),"")</f>
        <v/>
      </c>
    </row>
    <row r="996" spans="1:13" x14ac:dyDescent="0.25">
      <c r="A996" s="24"/>
      <c r="B996" s="20"/>
      <c r="C996" s="20"/>
      <c r="D996" s="14" t="str">
        <f>IF($C996="","",IFERROR(INDEX(Productos!$B$5:$B$504,MATCH($C996,Productos!$A$5:$A$504,0)),"Clave no existe"))</f>
        <v/>
      </c>
      <c r="E996" s="14" t="str">
        <f>IF($C996="","",IFERROR(INDEX(Productos!$D$5:$D$504,MATCH($C996,Productos!$A$5:$A$504,0)),""))</f>
        <v/>
      </c>
      <c r="F996" s="20"/>
      <c r="G996" s="22" t="str">
        <f>IF($C996="","",IFERROR(INDEX(Productos!$F$5:$F$504,MATCH($C996,Productos!$A$5:$A$504,0)),0))</f>
        <v/>
      </c>
      <c r="H996" s="22" t="str">
        <f t="shared" si="15"/>
        <v/>
      </c>
      <c r="I996" s="14" t="str">
        <f>IF(OR($C996="",$F996=""),"",IFERROR(INDEX(Productos!$I$5:$I$504,MATCH($C996,Productos!$A$5:$A$504,0)),0)+SUMIFS($F$5:$F996,$C$5:$C996,$C996,$B$5:$B996,"Entrada")-SUMIFS($F$5:$F996,$C$5:$C996,$C996,$B$5:$B996,"Salida"))</f>
        <v/>
      </c>
      <c r="J996" s="20"/>
      <c r="K996" s="20"/>
      <c r="L996" s="20"/>
      <c r="M996" s="14" t="str">
        <f>IF(AND($C996&lt;&gt;"",$C996=Kardex!$C$4),COUNTIF($C$5:$C996,Kardex!$C$4),"")</f>
        <v/>
      </c>
    </row>
    <row r="997" spans="1:13" x14ac:dyDescent="0.25">
      <c r="A997" s="24"/>
      <c r="B997" s="20"/>
      <c r="C997" s="20"/>
      <c r="D997" s="14" t="str">
        <f>IF($C997="","",IFERROR(INDEX(Productos!$B$5:$B$504,MATCH($C997,Productos!$A$5:$A$504,0)),"Clave no existe"))</f>
        <v/>
      </c>
      <c r="E997" s="14" t="str">
        <f>IF($C997="","",IFERROR(INDEX(Productos!$D$5:$D$504,MATCH($C997,Productos!$A$5:$A$504,0)),""))</f>
        <v/>
      </c>
      <c r="F997" s="20"/>
      <c r="G997" s="22" t="str">
        <f>IF($C997="","",IFERROR(INDEX(Productos!$F$5:$F$504,MATCH($C997,Productos!$A$5:$A$504,0)),0))</f>
        <v/>
      </c>
      <c r="H997" s="22" t="str">
        <f t="shared" si="15"/>
        <v/>
      </c>
      <c r="I997" s="14" t="str">
        <f>IF(OR($C997="",$F997=""),"",IFERROR(INDEX(Productos!$I$5:$I$504,MATCH($C997,Productos!$A$5:$A$504,0)),0)+SUMIFS($F$5:$F997,$C$5:$C997,$C997,$B$5:$B997,"Entrada")-SUMIFS($F$5:$F997,$C$5:$C997,$C997,$B$5:$B997,"Salida"))</f>
        <v/>
      </c>
      <c r="J997" s="20"/>
      <c r="K997" s="20"/>
      <c r="L997" s="20"/>
      <c r="M997" s="14" t="str">
        <f>IF(AND($C997&lt;&gt;"",$C997=Kardex!$C$4),COUNTIF($C$5:$C997,Kardex!$C$4),"")</f>
        <v/>
      </c>
    </row>
    <row r="998" spans="1:13" x14ac:dyDescent="0.25">
      <c r="A998" s="24"/>
      <c r="B998" s="20"/>
      <c r="C998" s="20"/>
      <c r="D998" s="14" t="str">
        <f>IF($C998="","",IFERROR(INDEX(Productos!$B$5:$B$504,MATCH($C998,Productos!$A$5:$A$504,0)),"Clave no existe"))</f>
        <v/>
      </c>
      <c r="E998" s="14" t="str">
        <f>IF($C998="","",IFERROR(INDEX(Productos!$D$5:$D$504,MATCH($C998,Productos!$A$5:$A$504,0)),""))</f>
        <v/>
      </c>
      <c r="F998" s="20"/>
      <c r="G998" s="22" t="str">
        <f>IF($C998="","",IFERROR(INDEX(Productos!$F$5:$F$504,MATCH($C998,Productos!$A$5:$A$504,0)),0))</f>
        <v/>
      </c>
      <c r="H998" s="22" t="str">
        <f t="shared" si="15"/>
        <v/>
      </c>
      <c r="I998" s="14" t="str">
        <f>IF(OR($C998="",$F998=""),"",IFERROR(INDEX(Productos!$I$5:$I$504,MATCH($C998,Productos!$A$5:$A$504,0)),0)+SUMIFS($F$5:$F998,$C$5:$C998,$C998,$B$5:$B998,"Entrada")-SUMIFS($F$5:$F998,$C$5:$C998,$C998,$B$5:$B998,"Salida"))</f>
        <v/>
      </c>
      <c r="J998" s="20"/>
      <c r="K998" s="20"/>
      <c r="L998" s="20"/>
      <c r="M998" s="14" t="str">
        <f>IF(AND($C998&lt;&gt;"",$C998=Kardex!$C$4),COUNTIF($C$5:$C998,Kardex!$C$4),"")</f>
        <v/>
      </c>
    </row>
    <row r="999" spans="1:13" x14ac:dyDescent="0.25">
      <c r="A999" s="24"/>
      <c r="B999" s="20"/>
      <c r="C999" s="20"/>
      <c r="D999" s="14" t="str">
        <f>IF($C999="","",IFERROR(INDEX(Productos!$B$5:$B$504,MATCH($C999,Productos!$A$5:$A$504,0)),"Clave no existe"))</f>
        <v/>
      </c>
      <c r="E999" s="14" t="str">
        <f>IF($C999="","",IFERROR(INDEX(Productos!$D$5:$D$504,MATCH($C999,Productos!$A$5:$A$504,0)),""))</f>
        <v/>
      </c>
      <c r="F999" s="20"/>
      <c r="G999" s="22" t="str">
        <f>IF($C999="","",IFERROR(INDEX(Productos!$F$5:$F$504,MATCH($C999,Productos!$A$5:$A$504,0)),0))</f>
        <v/>
      </c>
      <c r="H999" s="22" t="str">
        <f t="shared" si="15"/>
        <v/>
      </c>
      <c r="I999" s="14" t="str">
        <f>IF(OR($C999="",$F999=""),"",IFERROR(INDEX(Productos!$I$5:$I$504,MATCH($C999,Productos!$A$5:$A$504,0)),0)+SUMIFS($F$5:$F999,$C$5:$C999,$C999,$B$5:$B999,"Entrada")-SUMIFS($F$5:$F999,$C$5:$C999,$C999,$B$5:$B999,"Salida"))</f>
        <v/>
      </c>
      <c r="J999" s="20"/>
      <c r="K999" s="20"/>
      <c r="L999" s="20"/>
      <c r="M999" s="14" t="str">
        <f>IF(AND($C999&lt;&gt;"",$C999=Kardex!$C$4),COUNTIF($C$5:$C999,Kardex!$C$4),"")</f>
        <v/>
      </c>
    </row>
    <row r="1000" spans="1:13" x14ac:dyDescent="0.25">
      <c r="A1000" s="24"/>
      <c r="B1000" s="20"/>
      <c r="C1000" s="20"/>
      <c r="D1000" s="14" t="str">
        <f>IF($C1000="","",IFERROR(INDEX(Productos!$B$5:$B$504,MATCH($C1000,Productos!$A$5:$A$504,0)),"Clave no existe"))</f>
        <v/>
      </c>
      <c r="E1000" s="14" t="str">
        <f>IF($C1000="","",IFERROR(INDEX(Productos!$D$5:$D$504,MATCH($C1000,Productos!$A$5:$A$504,0)),""))</f>
        <v/>
      </c>
      <c r="F1000" s="20"/>
      <c r="G1000" s="22" t="str">
        <f>IF($C1000="","",IFERROR(INDEX(Productos!$F$5:$F$504,MATCH($C1000,Productos!$A$5:$A$504,0)),0))</f>
        <v/>
      </c>
      <c r="H1000" s="22" t="str">
        <f t="shared" si="15"/>
        <v/>
      </c>
      <c r="I1000" s="14" t="str">
        <f>IF(OR($C1000="",$F1000=""),"",IFERROR(INDEX(Productos!$I$5:$I$504,MATCH($C1000,Productos!$A$5:$A$504,0)),0)+SUMIFS($F$5:$F1000,$C$5:$C1000,$C1000,$B$5:$B1000,"Entrada")-SUMIFS($F$5:$F1000,$C$5:$C1000,$C1000,$B$5:$B1000,"Salida"))</f>
        <v/>
      </c>
      <c r="J1000" s="20"/>
      <c r="K1000" s="20"/>
      <c r="L1000" s="20"/>
      <c r="M1000" s="14" t="str">
        <f>IF(AND($C1000&lt;&gt;"",$C1000=Kardex!$C$4),COUNTIF($C$5:$C1000,Kardex!$C$4),"")</f>
        <v/>
      </c>
    </row>
    <row r="1001" spans="1:13" x14ac:dyDescent="0.25">
      <c r="A1001" s="24"/>
      <c r="B1001" s="20"/>
      <c r="C1001" s="20"/>
      <c r="D1001" s="14" t="str">
        <f>IF($C1001="","",IFERROR(INDEX(Productos!$B$5:$B$504,MATCH($C1001,Productos!$A$5:$A$504,0)),"Clave no existe"))</f>
        <v/>
      </c>
      <c r="E1001" s="14" t="str">
        <f>IF($C1001="","",IFERROR(INDEX(Productos!$D$5:$D$504,MATCH($C1001,Productos!$A$5:$A$504,0)),""))</f>
        <v/>
      </c>
      <c r="F1001" s="20"/>
      <c r="G1001" s="22" t="str">
        <f>IF($C1001="","",IFERROR(INDEX(Productos!$F$5:$F$504,MATCH($C1001,Productos!$A$5:$A$504,0)),0))</f>
        <v/>
      </c>
      <c r="H1001" s="22" t="str">
        <f t="shared" si="15"/>
        <v/>
      </c>
      <c r="I1001" s="14" t="str">
        <f>IF(OR($C1001="",$F1001=""),"",IFERROR(INDEX(Productos!$I$5:$I$504,MATCH($C1001,Productos!$A$5:$A$504,0)),0)+SUMIFS($F$5:$F1001,$C$5:$C1001,$C1001,$B$5:$B1001,"Entrada")-SUMIFS($F$5:$F1001,$C$5:$C1001,$C1001,$B$5:$B1001,"Salida"))</f>
        <v/>
      </c>
      <c r="J1001" s="20"/>
      <c r="K1001" s="20"/>
      <c r="L1001" s="20"/>
      <c r="M1001" s="14" t="str">
        <f>IF(AND($C1001&lt;&gt;"",$C1001=Kardex!$C$4),COUNTIF($C$5:$C1001,Kardex!$C$4),"")</f>
        <v/>
      </c>
    </row>
    <row r="1002" spans="1:13" x14ac:dyDescent="0.25">
      <c r="A1002" s="24"/>
      <c r="B1002" s="20"/>
      <c r="C1002" s="20"/>
      <c r="D1002" s="14" t="str">
        <f>IF($C1002="","",IFERROR(INDEX(Productos!$B$5:$B$504,MATCH($C1002,Productos!$A$5:$A$504,0)),"Clave no existe"))</f>
        <v/>
      </c>
      <c r="E1002" s="14" t="str">
        <f>IF($C1002="","",IFERROR(INDEX(Productos!$D$5:$D$504,MATCH($C1002,Productos!$A$5:$A$504,0)),""))</f>
        <v/>
      </c>
      <c r="F1002" s="20"/>
      <c r="G1002" s="22" t="str">
        <f>IF($C1002="","",IFERROR(INDEX(Productos!$F$5:$F$504,MATCH($C1002,Productos!$A$5:$A$504,0)),0))</f>
        <v/>
      </c>
      <c r="H1002" s="22" t="str">
        <f t="shared" si="15"/>
        <v/>
      </c>
      <c r="I1002" s="14" t="str">
        <f>IF(OR($C1002="",$F1002=""),"",IFERROR(INDEX(Productos!$I$5:$I$504,MATCH($C1002,Productos!$A$5:$A$504,0)),0)+SUMIFS($F$5:$F1002,$C$5:$C1002,$C1002,$B$5:$B1002,"Entrada")-SUMIFS($F$5:$F1002,$C$5:$C1002,$C1002,$B$5:$B1002,"Salida"))</f>
        <v/>
      </c>
      <c r="J1002" s="20"/>
      <c r="K1002" s="20"/>
      <c r="L1002" s="20"/>
      <c r="M1002" s="14" t="str">
        <f>IF(AND($C1002&lt;&gt;"",$C1002=Kardex!$C$4),COUNTIF($C$5:$C1002,Kardex!$C$4),"")</f>
        <v/>
      </c>
    </row>
    <row r="1003" spans="1:13" x14ac:dyDescent="0.25">
      <c r="A1003" s="24"/>
      <c r="B1003" s="20"/>
      <c r="C1003" s="20"/>
      <c r="D1003" s="14" t="str">
        <f>IF($C1003="","",IFERROR(INDEX(Productos!$B$5:$B$504,MATCH($C1003,Productos!$A$5:$A$504,0)),"Clave no existe"))</f>
        <v/>
      </c>
      <c r="E1003" s="14" t="str">
        <f>IF($C1003="","",IFERROR(INDEX(Productos!$D$5:$D$504,MATCH($C1003,Productos!$A$5:$A$504,0)),""))</f>
        <v/>
      </c>
      <c r="F1003" s="20"/>
      <c r="G1003" s="22" t="str">
        <f>IF($C1003="","",IFERROR(INDEX(Productos!$F$5:$F$504,MATCH($C1003,Productos!$A$5:$A$504,0)),0))</f>
        <v/>
      </c>
      <c r="H1003" s="22" t="str">
        <f t="shared" si="15"/>
        <v/>
      </c>
      <c r="I1003" s="14" t="str">
        <f>IF(OR($C1003="",$F1003=""),"",IFERROR(INDEX(Productos!$I$5:$I$504,MATCH($C1003,Productos!$A$5:$A$504,0)),0)+SUMIFS($F$5:$F1003,$C$5:$C1003,$C1003,$B$5:$B1003,"Entrada")-SUMIFS($F$5:$F1003,$C$5:$C1003,$C1003,$B$5:$B1003,"Salida"))</f>
        <v/>
      </c>
      <c r="J1003" s="20"/>
      <c r="K1003" s="20"/>
      <c r="L1003" s="20"/>
      <c r="M1003" s="14" t="str">
        <f>IF(AND($C1003&lt;&gt;"",$C1003=Kardex!$C$4),COUNTIF($C$5:$C1003,Kardex!$C$4),"")</f>
        <v/>
      </c>
    </row>
    <row r="1004" spans="1:13" x14ac:dyDescent="0.25">
      <c r="A1004" s="24"/>
      <c r="B1004" s="20"/>
      <c r="C1004" s="20"/>
      <c r="D1004" s="14" t="str">
        <f>IF($C1004="","",IFERROR(INDEX(Productos!$B$5:$B$504,MATCH($C1004,Productos!$A$5:$A$504,0)),"Clave no existe"))</f>
        <v/>
      </c>
      <c r="E1004" s="14" t="str">
        <f>IF($C1004="","",IFERROR(INDEX(Productos!$D$5:$D$504,MATCH($C1004,Productos!$A$5:$A$504,0)),""))</f>
        <v/>
      </c>
      <c r="F1004" s="20"/>
      <c r="G1004" s="22" t="str">
        <f>IF($C1004="","",IFERROR(INDEX(Productos!$F$5:$F$504,MATCH($C1004,Productos!$A$5:$A$504,0)),0))</f>
        <v/>
      </c>
      <c r="H1004" s="22" t="str">
        <f t="shared" si="15"/>
        <v/>
      </c>
      <c r="I1004" s="14" t="str">
        <f>IF(OR($C1004="",$F1004=""),"",IFERROR(INDEX(Productos!$I$5:$I$504,MATCH($C1004,Productos!$A$5:$A$504,0)),0)+SUMIFS($F$5:$F1004,$C$5:$C1004,$C1004,$B$5:$B1004,"Entrada")-SUMIFS($F$5:$F1004,$C$5:$C1004,$C1004,$B$5:$B1004,"Salida"))</f>
        <v/>
      </c>
      <c r="J1004" s="20"/>
      <c r="K1004" s="20"/>
      <c r="L1004" s="20"/>
      <c r="M1004" s="14" t="str">
        <f>IF(AND($C1004&lt;&gt;"",$C1004=Kardex!$C$4),COUNTIF($C$5:$C1004,Kardex!$C$4),"")</f>
        <v/>
      </c>
    </row>
    <row r="1005" spans="1:13" x14ac:dyDescent="0.25">
      <c r="A1005" s="24"/>
      <c r="B1005" s="20"/>
      <c r="C1005" s="20"/>
      <c r="D1005" s="14" t="str">
        <f>IF($C1005="","",IFERROR(INDEX(Productos!$B$5:$B$504,MATCH($C1005,Productos!$A$5:$A$504,0)),"Clave no existe"))</f>
        <v/>
      </c>
      <c r="E1005" s="14" t="str">
        <f>IF($C1005="","",IFERROR(INDEX(Productos!$D$5:$D$504,MATCH($C1005,Productos!$A$5:$A$504,0)),""))</f>
        <v/>
      </c>
      <c r="F1005" s="20"/>
      <c r="G1005" s="22" t="str">
        <f>IF($C1005="","",IFERROR(INDEX(Productos!$F$5:$F$504,MATCH($C1005,Productos!$A$5:$A$504,0)),0))</f>
        <v/>
      </c>
      <c r="H1005" s="22" t="str">
        <f t="shared" si="15"/>
        <v/>
      </c>
      <c r="I1005" s="14" t="str">
        <f>IF(OR($C1005="",$F1005=""),"",IFERROR(INDEX(Productos!$I$5:$I$504,MATCH($C1005,Productos!$A$5:$A$504,0)),0)+SUMIFS($F$5:$F1005,$C$5:$C1005,$C1005,$B$5:$B1005,"Entrada")-SUMIFS($F$5:$F1005,$C$5:$C1005,$C1005,$B$5:$B1005,"Salida"))</f>
        <v/>
      </c>
      <c r="J1005" s="20"/>
      <c r="K1005" s="20"/>
      <c r="L1005" s="20"/>
      <c r="M1005" s="14" t="str">
        <f>IF(AND($C1005&lt;&gt;"",$C1005=Kardex!$C$4),COUNTIF($C$5:$C1005,Kardex!$C$4),"")</f>
        <v/>
      </c>
    </row>
    <row r="1006" spans="1:13" x14ac:dyDescent="0.25">
      <c r="A1006" s="24"/>
      <c r="B1006" s="20"/>
      <c r="C1006" s="20"/>
      <c r="D1006" s="14" t="str">
        <f>IF($C1006="","",IFERROR(INDEX(Productos!$B$5:$B$504,MATCH($C1006,Productos!$A$5:$A$504,0)),"Clave no existe"))</f>
        <v/>
      </c>
      <c r="E1006" s="14" t="str">
        <f>IF($C1006="","",IFERROR(INDEX(Productos!$D$5:$D$504,MATCH($C1006,Productos!$A$5:$A$504,0)),""))</f>
        <v/>
      </c>
      <c r="F1006" s="20"/>
      <c r="G1006" s="22" t="str">
        <f>IF($C1006="","",IFERROR(INDEX(Productos!$F$5:$F$504,MATCH($C1006,Productos!$A$5:$A$504,0)),0))</f>
        <v/>
      </c>
      <c r="H1006" s="22" t="str">
        <f t="shared" si="15"/>
        <v/>
      </c>
      <c r="I1006" s="14" t="str">
        <f>IF(OR($C1006="",$F1006=""),"",IFERROR(INDEX(Productos!$I$5:$I$504,MATCH($C1006,Productos!$A$5:$A$504,0)),0)+SUMIFS($F$5:$F1006,$C$5:$C1006,$C1006,$B$5:$B1006,"Entrada")-SUMIFS($F$5:$F1006,$C$5:$C1006,$C1006,$B$5:$B1006,"Salida"))</f>
        <v/>
      </c>
      <c r="J1006" s="20"/>
      <c r="K1006" s="20"/>
      <c r="L1006" s="20"/>
      <c r="M1006" s="14" t="str">
        <f>IF(AND($C1006&lt;&gt;"",$C1006=Kardex!$C$4),COUNTIF($C$5:$C1006,Kardex!$C$4),"")</f>
        <v/>
      </c>
    </row>
    <row r="1007" spans="1:13" x14ac:dyDescent="0.25">
      <c r="A1007" s="24"/>
      <c r="B1007" s="20"/>
      <c r="C1007" s="20"/>
      <c r="D1007" s="14" t="str">
        <f>IF($C1007="","",IFERROR(INDEX(Productos!$B$5:$B$504,MATCH($C1007,Productos!$A$5:$A$504,0)),"Clave no existe"))</f>
        <v/>
      </c>
      <c r="E1007" s="14" t="str">
        <f>IF($C1007="","",IFERROR(INDEX(Productos!$D$5:$D$504,MATCH($C1007,Productos!$A$5:$A$504,0)),""))</f>
        <v/>
      </c>
      <c r="F1007" s="20"/>
      <c r="G1007" s="22" t="str">
        <f>IF($C1007="","",IFERROR(INDEX(Productos!$F$5:$F$504,MATCH($C1007,Productos!$A$5:$A$504,0)),0))</f>
        <v/>
      </c>
      <c r="H1007" s="22" t="str">
        <f t="shared" si="15"/>
        <v/>
      </c>
      <c r="I1007" s="14" t="str">
        <f>IF(OR($C1007="",$F1007=""),"",IFERROR(INDEX(Productos!$I$5:$I$504,MATCH($C1007,Productos!$A$5:$A$504,0)),0)+SUMIFS($F$5:$F1007,$C$5:$C1007,$C1007,$B$5:$B1007,"Entrada")-SUMIFS($F$5:$F1007,$C$5:$C1007,$C1007,$B$5:$B1007,"Salida"))</f>
        <v/>
      </c>
      <c r="J1007" s="20"/>
      <c r="K1007" s="20"/>
      <c r="L1007" s="20"/>
      <c r="M1007" s="14" t="str">
        <f>IF(AND($C1007&lt;&gt;"",$C1007=Kardex!$C$4),COUNTIF($C$5:$C1007,Kardex!$C$4),"")</f>
        <v/>
      </c>
    </row>
    <row r="1008" spans="1:13" x14ac:dyDescent="0.25">
      <c r="A1008" s="24"/>
      <c r="B1008" s="20"/>
      <c r="C1008" s="20"/>
      <c r="D1008" s="14" t="str">
        <f>IF($C1008="","",IFERROR(INDEX(Productos!$B$5:$B$504,MATCH($C1008,Productos!$A$5:$A$504,0)),"Clave no existe"))</f>
        <v/>
      </c>
      <c r="E1008" s="14" t="str">
        <f>IF($C1008="","",IFERROR(INDEX(Productos!$D$5:$D$504,MATCH($C1008,Productos!$A$5:$A$504,0)),""))</f>
        <v/>
      </c>
      <c r="F1008" s="20"/>
      <c r="G1008" s="22" t="str">
        <f>IF($C1008="","",IFERROR(INDEX(Productos!$F$5:$F$504,MATCH($C1008,Productos!$A$5:$A$504,0)),0))</f>
        <v/>
      </c>
      <c r="H1008" s="22" t="str">
        <f t="shared" si="15"/>
        <v/>
      </c>
      <c r="I1008" s="14" t="str">
        <f>IF(OR($C1008="",$F1008=""),"",IFERROR(INDEX(Productos!$I$5:$I$504,MATCH($C1008,Productos!$A$5:$A$504,0)),0)+SUMIFS($F$5:$F1008,$C$5:$C1008,$C1008,$B$5:$B1008,"Entrada")-SUMIFS($F$5:$F1008,$C$5:$C1008,$C1008,$B$5:$B1008,"Salida"))</f>
        <v/>
      </c>
      <c r="J1008" s="20"/>
      <c r="K1008" s="20"/>
      <c r="L1008" s="20"/>
      <c r="M1008" s="14" t="str">
        <f>IF(AND($C1008&lt;&gt;"",$C1008=Kardex!$C$4),COUNTIF($C$5:$C1008,Kardex!$C$4),"")</f>
        <v/>
      </c>
    </row>
    <row r="1009" spans="1:13" x14ac:dyDescent="0.25">
      <c r="A1009" s="24"/>
      <c r="B1009" s="20"/>
      <c r="C1009" s="20"/>
      <c r="D1009" s="14" t="str">
        <f>IF($C1009="","",IFERROR(INDEX(Productos!$B$5:$B$504,MATCH($C1009,Productos!$A$5:$A$504,0)),"Clave no existe"))</f>
        <v/>
      </c>
      <c r="E1009" s="14" t="str">
        <f>IF($C1009="","",IFERROR(INDEX(Productos!$D$5:$D$504,MATCH($C1009,Productos!$A$5:$A$504,0)),""))</f>
        <v/>
      </c>
      <c r="F1009" s="20"/>
      <c r="G1009" s="22" t="str">
        <f>IF($C1009="","",IFERROR(INDEX(Productos!$F$5:$F$504,MATCH($C1009,Productos!$A$5:$A$504,0)),0))</f>
        <v/>
      </c>
      <c r="H1009" s="22" t="str">
        <f t="shared" si="15"/>
        <v/>
      </c>
      <c r="I1009" s="14" t="str">
        <f>IF(OR($C1009="",$F1009=""),"",IFERROR(INDEX(Productos!$I$5:$I$504,MATCH($C1009,Productos!$A$5:$A$504,0)),0)+SUMIFS($F$5:$F1009,$C$5:$C1009,$C1009,$B$5:$B1009,"Entrada")-SUMIFS($F$5:$F1009,$C$5:$C1009,$C1009,$B$5:$B1009,"Salida"))</f>
        <v/>
      </c>
      <c r="J1009" s="20"/>
      <c r="K1009" s="20"/>
      <c r="L1009" s="20"/>
      <c r="M1009" s="14" t="str">
        <f>IF(AND($C1009&lt;&gt;"",$C1009=Kardex!$C$4),COUNTIF($C$5:$C1009,Kardex!$C$4),"")</f>
        <v/>
      </c>
    </row>
    <row r="1010" spans="1:13" x14ac:dyDescent="0.25">
      <c r="A1010" s="24"/>
      <c r="B1010" s="20"/>
      <c r="C1010" s="20"/>
      <c r="D1010" s="14" t="str">
        <f>IF($C1010="","",IFERROR(INDEX(Productos!$B$5:$B$504,MATCH($C1010,Productos!$A$5:$A$504,0)),"Clave no existe"))</f>
        <v/>
      </c>
      <c r="E1010" s="14" t="str">
        <f>IF($C1010="","",IFERROR(INDEX(Productos!$D$5:$D$504,MATCH($C1010,Productos!$A$5:$A$504,0)),""))</f>
        <v/>
      </c>
      <c r="F1010" s="20"/>
      <c r="G1010" s="22" t="str">
        <f>IF($C1010="","",IFERROR(INDEX(Productos!$F$5:$F$504,MATCH($C1010,Productos!$A$5:$A$504,0)),0))</f>
        <v/>
      </c>
      <c r="H1010" s="22" t="str">
        <f t="shared" si="15"/>
        <v/>
      </c>
      <c r="I1010" s="14" t="str">
        <f>IF(OR($C1010="",$F1010=""),"",IFERROR(INDEX(Productos!$I$5:$I$504,MATCH($C1010,Productos!$A$5:$A$504,0)),0)+SUMIFS($F$5:$F1010,$C$5:$C1010,$C1010,$B$5:$B1010,"Entrada")-SUMIFS($F$5:$F1010,$C$5:$C1010,$C1010,$B$5:$B1010,"Salida"))</f>
        <v/>
      </c>
      <c r="J1010" s="20"/>
      <c r="K1010" s="20"/>
      <c r="L1010" s="20"/>
      <c r="M1010" s="14" t="str">
        <f>IF(AND($C1010&lt;&gt;"",$C1010=Kardex!$C$4),COUNTIF($C$5:$C1010,Kardex!$C$4),"")</f>
        <v/>
      </c>
    </row>
    <row r="1011" spans="1:13" x14ac:dyDescent="0.25">
      <c r="A1011" s="24"/>
      <c r="B1011" s="20"/>
      <c r="C1011" s="20"/>
      <c r="D1011" s="14" t="str">
        <f>IF($C1011="","",IFERROR(INDEX(Productos!$B$5:$B$504,MATCH($C1011,Productos!$A$5:$A$504,0)),"Clave no existe"))</f>
        <v/>
      </c>
      <c r="E1011" s="14" t="str">
        <f>IF($C1011="","",IFERROR(INDEX(Productos!$D$5:$D$504,MATCH($C1011,Productos!$A$5:$A$504,0)),""))</f>
        <v/>
      </c>
      <c r="F1011" s="20"/>
      <c r="G1011" s="22" t="str">
        <f>IF($C1011="","",IFERROR(INDEX(Productos!$F$5:$F$504,MATCH($C1011,Productos!$A$5:$A$504,0)),0))</f>
        <v/>
      </c>
      <c r="H1011" s="22" t="str">
        <f t="shared" si="15"/>
        <v/>
      </c>
      <c r="I1011" s="14" t="str">
        <f>IF(OR($C1011="",$F1011=""),"",IFERROR(INDEX(Productos!$I$5:$I$504,MATCH($C1011,Productos!$A$5:$A$504,0)),0)+SUMIFS($F$5:$F1011,$C$5:$C1011,$C1011,$B$5:$B1011,"Entrada")-SUMIFS($F$5:$F1011,$C$5:$C1011,$C1011,$B$5:$B1011,"Salida"))</f>
        <v/>
      </c>
      <c r="J1011" s="20"/>
      <c r="K1011" s="20"/>
      <c r="L1011" s="20"/>
      <c r="M1011" s="14" t="str">
        <f>IF(AND($C1011&lt;&gt;"",$C1011=Kardex!$C$4),COUNTIF($C$5:$C1011,Kardex!$C$4),"")</f>
        <v/>
      </c>
    </row>
    <row r="1012" spans="1:13" x14ac:dyDescent="0.25">
      <c r="A1012" s="24"/>
      <c r="B1012" s="20"/>
      <c r="C1012" s="20"/>
      <c r="D1012" s="14" t="str">
        <f>IF($C1012="","",IFERROR(INDEX(Productos!$B$5:$B$504,MATCH($C1012,Productos!$A$5:$A$504,0)),"Clave no existe"))</f>
        <v/>
      </c>
      <c r="E1012" s="14" t="str">
        <f>IF($C1012="","",IFERROR(INDEX(Productos!$D$5:$D$504,MATCH($C1012,Productos!$A$5:$A$504,0)),""))</f>
        <v/>
      </c>
      <c r="F1012" s="20"/>
      <c r="G1012" s="22" t="str">
        <f>IF($C1012="","",IFERROR(INDEX(Productos!$F$5:$F$504,MATCH($C1012,Productos!$A$5:$A$504,0)),0))</f>
        <v/>
      </c>
      <c r="H1012" s="22" t="str">
        <f t="shared" si="15"/>
        <v/>
      </c>
      <c r="I1012" s="14" t="str">
        <f>IF(OR($C1012="",$F1012=""),"",IFERROR(INDEX(Productos!$I$5:$I$504,MATCH($C1012,Productos!$A$5:$A$504,0)),0)+SUMIFS($F$5:$F1012,$C$5:$C1012,$C1012,$B$5:$B1012,"Entrada")-SUMIFS($F$5:$F1012,$C$5:$C1012,$C1012,$B$5:$B1012,"Salida"))</f>
        <v/>
      </c>
      <c r="J1012" s="20"/>
      <c r="K1012" s="20"/>
      <c r="L1012" s="20"/>
      <c r="M1012" s="14" t="str">
        <f>IF(AND($C1012&lt;&gt;"",$C1012=Kardex!$C$4),COUNTIF($C$5:$C1012,Kardex!$C$4),"")</f>
        <v/>
      </c>
    </row>
    <row r="1013" spans="1:13" x14ac:dyDescent="0.25">
      <c r="A1013" s="24"/>
      <c r="B1013" s="20"/>
      <c r="C1013" s="20"/>
      <c r="D1013" s="14" t="str">
        <f>IF($C1013="","",IFERROR(INDEX(Productos!$B$5:$B$504,MATCH($C1013,Productos!$A$5:$A$504,0)),"Clave no existe"))</f>
        <v/>
      </c>
      <c r="E1013" s="14" t="str">
        <f>IF($C1013="","",IFERROR(INDEX(Productos!$D$5:$D$504,MATCH($C1013,Productos!$A$5:$A$504,0)),""))</f>
        <v/>
      </c>
      <c r="F1013" s="20"/>
      <c r="G1013" s="22" t="str">
        <f>IF($C1013="","",IFERROR(INDEX(Productos!$F$5:$F$504,MATCH($C1013,Productos!$A$5:$A$504,0)),0))</f>
        <v/>
      </c>
      <c r="H1013" s="22" t="str">
        <f t="shared" si="15"/>
        <v/>
      </c>
      <c r="I1013" s="14" t="str">
        <f>IF(OR($C1013="",$F1013=""),"",IFERROR(INDEX(Productos!$I$5:$I$504,MATCH($C1013,Productos!$A$5:$A$504,0)),0)+SUMIFS($F$5:$F1013,$C$5:$C1013,$C1013,$B$5:$B1013,"Entrada")-SUMIFS($F$5:$F1013,$C$5:$C1013,$C1013,$B$5:$B1013,"Salida"))</f>
        <v/>
      </c>
      <c r="J1013" s="20"/>
      <c r="K1013" s="20"/>
      <c r="L1013" s="20"/>
      <c r="M1013" s="14" t="str">
        <f>IF(AND($C1013&lt;&gt;"",$C1013=Kardex!$C$4),COUNTIF($C$5:$C1013,Kardex!$C$4),"")</f>
        <v/>
      </c>
    </row>
    <row r="1014" spans="1:13" x14ac:dyDescent="0.25">
      <c r="A1014" s="24"/>
      <c r="B1014" s="20"/>
      <c r="C1014" s="20"/>
      <c r="D1014" s="14" t="str">
        <f>IF($C1014="","",IFERROR(INDEX(Productos!$B$5:$B$504,MATCH($C1014,Productos!$A$5:$A$504,0)),"Clave no existe"))</f>
        <v/>
      </c>
      <c r="E1014" s="14" t="str">
        <f>IF($C1014="","",IFERROR(INDEX(Productos!$D$5:$D$504,MATCH($C1014,Productos!$A$5:$A$504,0)),""))</f>
        <v/>
      </c>
      <c r="F1014" s="20"/>
      <c r="G1014" s="22" t="str">
        <f>IF($C1014="","",IFERROR(INDEX(Productos!$F$5:$F$504,MATCH($C1014,Productos!$A$5:$A$504,0)),0))</f>
        <v/>
      </c>
      <c r="H1014" s="22" t="str">
        <f t="shared" si="15"/>
        <v/>
      </c>
      <c r="I1014" s="14" t="str">
        <f>IF(OR($C1014="",$F1014=""),"",IFERROR(INDEX(Productos!$I$5:$I$504,MATCH($C1014,Productos!$A$5:$A$504,0)),0)+SUMIFS($F$5:$F1014,$C$5:$C1014,$C1014,$B$5:$B1014,"Entrada")-SUMIFS($F$5:$F1014,$C$5:$C1014,$C1014,$B$5:$B1014,"Salida"))</f>
        <v/>
      </c>
      <c r="J1014" s="20"/>
      <c r="K1014" s="20"/>
      <c r="L1014" s="20"/>
      <c r="M1014" s="14" t="str">
        <f>IF(AND($C1014&lt;&gt;"",$C1014=Kardex!$C$4),COUNTIF($C$5:$C1014,Kardex!$C$4),"")</f>
        <v/>
      </c>
    </row>
    <row r="1015" spans="1:13" x14ac:dyDescent="0.25">
      <c r="A1015" s="24"/>
      <c r="B1015" s="20"/>
      <c r="C1015" s="20"/>
      <c r="D1015" s="14" t="str">
        <f>IF($C1015="","",IFERROR(INDEX(Productos!$B$5:$B$504,MATCH($C1015,Productos!$A$5:$A$504,0)),"Clave no existe"))</f>
        <v/>
      </c>
      <c r="E1015" s="14" t="str">
        <f>IF($C1015="","",IFERROR(INDEX(Productos!$D$5:$D$504,MATCH($C1015,Productos!$A$5:$A$504,0)),""))</f>
        <v/>
      </c>
      <c r="F1015" s="20"/>
      <c r="G1015" s="22" t="str">
        <f>IF($C1015="","",IFERROR(INDEX(Productos!$F$5:$F$504,MATCH($C1015,Productos!$A$5:$A$504,0)),0))</f>
        <v/>
      </c>
      <c r="H1015" s="22" t="str">
        <f t="shared" si="15"/>
        <v/>
      </c>
      <c r="I1015" s="14" t="str">
        <f>IF(OR($C1015="",$F1015=""),"",IFERROR(INDEX(Productos!$I$5:$I$504,MATCH($C1015,Productos!$A$5:$A$504,0)),0)+SUMIFS($F$5:$F1015,$C$5:$C1015,$C1015,$B$5:$B1015,"Entrada")-SUMIFS($F$5:$F1015,$C$5:$C1015,$C1015,$B$5:$B1015,"Salida"))</f>
        <v/>
      </c>
      <c r="J1015" s="20"/>
      <c r="K1015" s="20"/>
      <c r="L1015" s="20"/>
      <c r="M1015" s="14" t="str">
        <f>IF(AND($C1015&lt;&gt;"",$C1015=Kardex!$C$4),COUNTIF($C$5:$C1015,Kardex!$C$4),"")</f>
        <v/>
      </c>
    </row>
    <row r="1016" spans="1:13" x14ac:dyDescent="0.25">
      <c r="A1016" s="24"/>
      <c r="B1016" s="20"/>
      <c r="C1016" s="20"/>
      <c r="D1016" s="14" t="str">
        <f>IF($C1016="","",IFERROR(INDEX(Productos!$B$5:$B$504,MATCH($C1016,Productos!$A$5:$A$504,0)),"Clave no existe"))</f>
        <v/>
      </c>
      <c r="E1016" s="14" t="str">
        <f>IF($C1016="","",IFERROR(INDEX(Productos!$D$5:$D$504,MATCH($C1016,Productos!$A$5:$A$504,0)),""))</f>
        <v/>
      </c>
      <c r="F1016" s="20"/>
      <c r="G1016" s="22" t="str">
        <f>IF($C1016="","",IFERROR(INDEX(Productos!$F$5:$F$504,MATCH($C1016,Productos!$A$5:$A$504,0)),0))</f>
        <v/>
      </c>
      <c r="H1016" s="22" t="str">
        <f t="shared" si="15"/>
        <v/>
      </c>
      <c r="I1016" s="14" t="str">
        <f>IF(OR($C1016="",$F1016=""),"",IFERROR(INDEX(Productos!$I$5:$I$504,MATCH($C1016,Productos!$A$5:$A$504,0)),0)+SUMIFS($F$5:$F1016,$C$5:$C1016,$C1016,$B$5:$B1016,"Entrada")-SUMIFS($F$5:$F1016,$C$5:$C1016,$C1016,$B$5:$B1016,"Salida"))</f>
        <v/>
      </c>
      <c r="J1016" s="20"/>
      <c r="K1016" s="20"/>
      <c r="L1016" s="20"/>
      <c r="M1016" s="14" t="str">
        <f>IF(AND($C1016&lt;&gt;"",$C1016=Kardex!$C$4),COUNTIF($C$5:$C1016,Kardex!$C$4),"")</f>
        <v/>
      </c>
    </row>
    <row r="1017" spans="1:13" x14ac:dyDescent="0.25">
      <c r="A1017" s="24"/>
      <c r="B1017" s="20"/>
      <c r="C1017" s="20"/>
      <c r="D1017" s="14" t="str">
        <f>IF($C1017="","",IFERROR(INDEX(Productos!$B$5:$B$504,MATCH($C1017,Productos!$A$5:$A$504,0)),"Clave no existe"))</f>
        <v/>
      </c>
      <c r="E1017" s="14" t="str">
        <f>IF($C1017="","",IFERROR(INDEX(Productos!$D$5:$D$504,MATCH($C1017,Productos!$A$5:$A$504,0)),""))</f>
        <v/>
      </c>
      <c r="F1017" s="20"/>
      <c r="G1017" s="22" t="str">
        <f>IF($C1017="","",IFERROR(INDEX(Productos!$F$5:$F$504,MATCH($C1017,Productos!$A$5:$A$504,0)),0))</f>
        <v/>
      </c>
      <c r="H1017" s="22" t="str">
        <f t="shared" si="15"/>
        <v/>
      </c>
      <c r="I1017" s="14" t="str">
        <f>IF(OR($C1017="",$F1017=""),"",IFERROR(INDEX(Productos!$I$5:$I$504,MATCH($C1017,Productos!$A$5:$A$504,0)),0)+SUMIFS($F$5:$F1017,$C$5:$C1017,$C1017,$B$5:$B1017,"Entrada")-SUMIFS($F$5:$F1017,$C$5:$C1017,$C1017,$B$5:$B1017,"Salida"))</f>
        <v/>
      </c>
      <c r="J1017" s="20"/>
      <c r="K1017" s="20"/>
      <c r="L1017" s="20"/>
      <c r="M1017" s="14" t="str">
        <f>IF(AND($C1017&lt;&gt;"",$C1017=Kardex!$C$4),COUNTIF($C$5:$C1017,Kardex!$C$4),"")</f>
        <v/>
      </c>
    </row>
    <row r="1018" spans="1:13" x14ac:dyDescent="0.25">
      <c r="A1018" s="24"/>
      <c r="B1018" s="20"/>
      <c r="C1018" s="20"/>
      <c r="D1018" s="14" t="str">
        <f>IF($C1018="","",IFERROR(INDEX(Productos!$B$5:$B$504,MATCH($C1018,Productos!$A$5:$A$504,0)),"Clave no existe"))</f>
        <v/>
      </c>
      <c r="E1018" s="14" t="str">
        <f>IF($C1018="","",IFERROR(INDEX(Productos!$D$5:$D$504,MATCH($C1018,Productos!$A$5:$A$504,0)),""))</f>
        <v/>
      </c>
      <c r="F1018" s="20"/>
      <c r="G1018" s="22" t="str">
        <f>IF($C1018="","",IFERROR(INDEX(Productos!$F$5:$F$504,MATCH($C1018,Productos!$A$5:$A$504,0)),0))</f>
        <v/>
      </c>
      <c r="H1018" s="22" t="str">
        <f t="shared" si="15"/>
        <v/>
      </c>
      <c r="I1018" s="14" t="str">
        <f>IF(OR($C1018="",$F1018=""),"",IFERROR(INDEX(Productos!$I$5:$I$504,MATCH($C1018,Productos!$A$5:$A$504,0)),0)+SUMIFS($F$5:$F1018,$C$5:$C1018,$C1018,$B$5:$B1018,"Entrada")-SUMIFS($F$5:$F1018,$C$5:$C1018,$C1018,$B$5:$B1018,"Salida"))</f>
        <v/>
      </c>
      <c r="J1018" s="20"/>
      <c r="K1018" s="20"/>
      <c r="L1018" s="20"/>
      <c r="M1018" s="14" t="str">
        <f>IF(AND($C1018&lt;&gt;"",$C1018=Kardex!$C$4),COUNTIF($C$5:$C1018,Kardex!$C$4),"")</f>
        <v/>
      </c>
    </row>
    <row r="1019" spans="1:13" x14ac:dyDescent="0.25">
      <c r="A1019" s="24"/>
      <c r="B1019" s="20"/>
      <c r="C1019" s="20"/>
      <c r="D1019" s="14" t="str">
        <f>IF($C1019="","",IFERROR(INDEX(Productos!$B$5:$B$504,MATCH($C1019,Productos!$A$5:$A$504,0)),"Clave no existe"))</f>
        <v/>
      </c>
      <c r="E1019" s="14" t="str">
        <f>IF($C1019="","",IFERROR(INDEX(Productos!$D$5:$D$504,MATCH($C1019,Productos!$A$5:$A$504,0)),""))</f>
        <v/>
      </c>
      <c r="F1019" s="20"/>
      <c r="G1019" s="22" t="str">
        <f>IF($C1019="","",IFERROR(INDEX(Productos!$F$5:$F$504,MATCH($C1019,Productos!$A$5:$A$504,0)),0))</f>
        <v/>
      </c>
      <c r="H1019" s="22" t="str">
        <f t="shared" si="15"/>
        <v/>
      </c>
      <c r="I1019" s="14" t="str">
        <f>IF(OR($C1019="",$F1019=""),"",IFERROR(INDEX(Productos!$I$5:$I$504,MATCH($C1019,Productos!$A$5:$A$504,0)),0)+SUMIFS($F$5:$F1019,$C$5:$C1019,$C1019,$B$5:$B1019,"Entrada")-SUMIFS($F$5:$F1019,$C$5:$C1019,$C1019,$B$5:$B1019,"Salida"))</f>
        <v/>
      </c>
      <c r="J1019" s="20"/>
      <c r="K1019" s="20"/>
      <c r="L1019" s="20"/>
      <c r="M1019" s="14" t="str">
        <f>IF(AND($C1019&lt;&gt;"",$C1019=Kardex!$C$4),COUNTIF($C$5:$C1019,Kardex!$C$4),"")</f>
        <v/>
      </c>
    </row>
    <row r="1020" spans="1:13" x14ac:dyDescent="0.25">
      <c r="A1020" s="24"/>
      <c r="B1020" s="20"/>
      <c r="C1020" s="20"/>
      <c r="D1020" s="14" t="str">
        <f>IF($C1020="","",IFERROR(INDEX(Productos!$B$5:$B$504,MATCH($C1020,Productos!$A$5:$A$504,0)),"Clave no existe"))</f>
        <v/>
      </c>
      <c r="E1020" s="14" t="str">
        <f>IF($C1020="","",IFERROR(INDEX(Productos!$D$5:$D$504,MATCH($C1020,Productos!$A$5:$A$504,0)),""))</f>
        <v/>
      </c>
      <c r="F1020" s="20"/>
      <c r="G1020" s="22" t="str">
        <f>IF($C1020="","",IFERROR(INDEX(Productos!$F$5:$F$504,MATCH($C1020,Productos!$A$5:$A$504,0)),0))</f>
        <v/>
      </c>
      <c r="H1020" s="22" t="str">
        <f t="shared" si="15"/>
        <v/>
      </c>
      <c r="I1020" s="14" t="str">
        <f>IF(OR($C1020="",$F1020=""),"",IFERROR(INDEX(Productos!$I$5:$I$504,MATCH($C1020,Productos!$A$5:$A$504,0)),0)+SUMIFS($F$5:$F1020,$C$5:$C1020,$C1020,$B$5:$B1020,"Entrada")-SUMIFS($F$5:$F1020,$C$5:$C1020,$C1020,$B$5:$B1020,"Salida"))</f>
        <v/>
      </c>
      <c r="J1020" s="20"/>
      <c r="K1020" s="20"/>
      <c r="L1020" s="20"/>
      <c r="M1020" s="14" t="str">
        <f>IF(AND($C1020&lt;&gt;"",$C1020=Kardex!$C$4),COUNTIF($C$5:$C1020,Kardex!$C$4),"")</f>
        <v/>
      </c>
    </row>
    <row r="1021" spans="1:13" x14ac:dyDescent="0.25">
      <c r="A1021" s="24"/>
      <c r="B1021" s="20"/>
      <c r="C1021" s="20"/>
      <c r="D1021" s="14" t="str">
        <f>IF($C1021="","",IFERROR(INDEX(Productos!$B$5:$B$504,MATCH($C1021,Productos!$A$5:$A$504,0)),"Clave no existe"))</f>
        <v/>
      </c>
      <c r="E1021" s="14" t="str">
        <f>IF($C1021="","",IFERROR(INDEX(Productos!$D$5:$D$504,MATCH($C1021,Productos!$A$5:$A$504,0)),""))</f>
        <v/>
      </c>
      <c r="F1021" s="20"/>
      <c r="G1021" s="22" t="str">
        <f>IF($C1021="","",IFERROR(INDEX(Productos!$F$5:$F$504,MATCH($C1021,Productos!$A$5:$A$504,0)),0))</f>
        <v/>
      </c>
      <c r="H1021" s="22" t="str">
        <f t="shared" si="15"/>
        <v/>
      </c>
      <c r="I1021" s="14" t="str">
        <f>IF(OR($C1021="",$F1021=""),"",IFERROR(INDEX(Productos!$I$5:$I$504,MATCH($C1021,Productos!$A$5:$A$504,0)),0)+SUMIFS($F$5:$F1021,$C$5:$C1021,$C1021,$B$5:$B1021,"Entrada")-SUMIFS($F$5:$F1021,$C$5:$C1021,$C1021,$B$5:$B1021,"Salida"))</f>
        <v/>
      </c>
      <c r="J1021" s="20"/>
      <c r="K1021" s="20"/>
      <c r="L1021" s="20"/>
      <c r="M1021" s="14" t="str">
        <f>IF(AND($C1021&lt;&gt;"",$C1021=Kardex!$C$4),COUNTIF($C$5:$C1021,Kardex!$C$4),"")</f>
        <v/>
      </c>
    </row>
    <row r="1022" spans="1:13" x14ac:dyDescent="0.25">
      <c r="A1022" s="24"/>
      <c r="B1022" s="20"/>
      <c r="C1022" s="20"/>
      <c r="D1022" s="14" t="str">
        <f>IF($C1022="","",IFERROR(INDEX(Productos!$B$5:$B$504,MATCH($C1022,Productos!$A$5:$A$504,0)),"Clave no existe"))</f>
        <v/>
      </c>
      <c r="E1022" s="14" t="str">
        <f>IF($C1022="","",IFERROR(INDEX(Productos!$D$5:$D$504,MATCH($C1022,Productos!$A$5:$A$504,0)),""))</f>
        <v/>
      </c>
      <c r="F1022" s="20"/>
      <c r="G1022" s="22" t="str">
        <f>IF($C1022="","",IFERROR(INDEX(Productos!$F$5:$F$504,MATCH($C1022,Productos!$A$5:$A$504,0)),0))</f>
        <v/>
      </c>
      <c r="H1022" s="22" t="str">
        <f t="shared" si="15"/>
        <v/>
      </c>
      <c r="I1022" s="14" t="str">
        <f>IF(OR($C1022="",$F1022=""),"",IFERROR(INDEX(Productos!$I$5:$I$504,MATCH($C1022,Productos!$A$5:$A$504,0)),0)+SUMIFS($F$5:$F1022,$C$5:$C1022,$C1022,$B$5:$B1022,"Entrada")-SUMIFS($F$5:$F1022,$C$5:$C1022,$C1022,$B$5:$B1022,"Salida"))</f>
        <v/>
      </c>
      <c r="J1022" s="20"/>
      <c r="K1022" s="20"/>
      <c r="L1022" s="20"/>
      <c r="M1022" s="14" t="str">
        <f>IF(AND($C1022&lt;&gt;"",$C1022=Kardex!$C$4),COUNTIF($C$5:$C1022,Kardex!$C$4),"")</f>
        <v/>
      </c>
    </row>
    <row r="1023" spans="1:13" x14ac:dyDescent="0.25">
      <c r="A1023" s="24"/>
      <c r="B1023" s="20"/>
      <c r="C1023" s="20"/>
      <c r="D1023" s="14" t="str">
        <f>IF($C1023="","",IFERROR(INDEX(Productos!$B$5:$B$504,MATCH($C1023,Productos!$A$5:$A$504,0)),"Clave no existe"))</f>
        <v/>
      </c>
      <c r="E1023" s="14" t="str">
        <f>IF($C1023="","",IFERROR(INDEX(Productos!$D$5:$D$504,MATCH($C1023,Productos!$A$5:$A$504,0)),""))</f>
        <v/>
      </c>
      <c r="F1023" s="20"/>
      <c r="G1023" s="22" t="str">
        <f>IF($C1023="","",IFERROR(INDEX(Productos!$F$5:$F$504,MATCH($C1023,Productos!$A$5:$A$504,0)),0))</f>
        <v/>
      </c>
      <c r="H1023" s="22" t="str">
        <f t="shared" si="15"/>
        <v/>
      </c>
      <c r="I1023" s="14" t="str">
        <f>IF(OR($C1023="",$F1023=""),"",IFERROR(INDEX(Productos!$I$5:$I$504,MATCH($C1023,Productos!$A$5:$A$504,0)),0)+SUMIFS($F$5:$F1023,$C$5:$C1023,$C1023,$B$5:$B1023,"Entrada")-SUMIFS($F$5:$F1023,$C$5:$C1023,$C1023,$B$5:$B1023,"Salida"))</f>
        <v/>
      </c>
      <c r="J1023" s="20"/>
      <c r="K1023" s="20"/>
      <c r="L1023" s="20"/>
      <c r="M1023" s="14" t="str">
        <f>IF(AND($C1023&lt;&gt;"",$C1023=Kardex!$C$4),COUNTIF($C$5:$C1023,Kardex!$C$4),"")</f>
        <v/>
      </c>
    </row>
    <row r="1024" spans="1:13" x14ac:dyDescent="0.25">
      <c r="A1024" s="24"/>
      <c r="B1024" s="20"/>
      <c r="C1024" s="20"/>
      <c r="D1024" s="14" t="str">
        <f>IF($C1024="","",IFERROR(INDEX(Productos!$B$5:$B$504,MATCH($C1024,Productos!$A$5:$A$504,0)),"Clave no existe"))</f>
        <v/>
      </c>
      <c r="E1024" s="14" t="str">
        <f>IF($C1024="","",IFERROR(INDEX(Productos!$D$5:$D$504,MATCH($C1024,Productos!$A$5:$A$504,0)),""))</f>
        <v/>
      </c>
      <c r="F1024" s="20"/>
      <c r="G1024" s="22" t="str">
        <f>IF($C1024="","",IFERROR(INDEX(Productos!$F$5:$F$504,MATCH($C1024,Productos!$A$5:$A$504,0)),0))</f>
        <v/>
      </c>
      <c r="H1024" s="22" t="str">
        <f t="shared" si="15"/>
        <v/>
      </c>
      <c r="I1024" s="14" t="str">
        <f>IF(OR($C1024="",$F1024=""),"",IFERROR(INDEX(Productos!$I$5:$I$504,MATCH($C1024,Productos!$A$5:$A$504,0)),0)+SUMIFS($F$5:$F1024,$C$5:$C1024,$C1024,$B$5:$B1024,"Entrada")-SUMIFS($F$5:$F1024,$C$5:$C1024,$C1024,$B$5:$B1024,"Salida"))</f>
        <v/>
      </c>
      <c r="J1024" s="20"/>
      <c r="K1024" s="20"/>
      <c r="L1024" s="20"/>
      <c r="M1024" s="14" t="str">
        <f>IF(AND($C1024&lt;&gt;"",$C1024=Kardex!$C$4),COUNTIF($C$5:$C1024,Kardex!$C$4),"")</f>
        <v/>
      </c>
    </row>
    <row r="1025" spans="1:13" x14ac:dyDescent="0.25">
      <c r="A1025" s="24"/>
      <c r="B1025" s="20"/>
      <c r="C1025" s="20"/>
      <c r="D1025" s="14" t="str">
        <f>IF($C1025="","",IFERROR(INDEX(Productos!$B$5:$B$504,MATCH($C1025,Productos!$A$5:$A$504,0)),"Clave no existe"))</f>
        <v/>
      </c>
      <c r="E1025" s="14" t="str">
        <f>IF($C1025="","",IFERROR(INDEX(Productos!$D$5:$D$504,MATCH($C1025,Productos!$A$5:$A$504,0)),""))</f>
        <v/>
      </c>
      <c r="F1025" s="20"/>
      <c r="G1025" s="22" t="str">
        <f>IF($C1025="","",IFERROR(INDEX(Productos!$F$5:$F$504,MATCH($C1025,Productos!$A$5:$A$504,0)),0))</f>
        <v/>
      </c>
      <c r="H1025" s="22" t="str">
        <f t="shared" si="15"/>
        <v/>
      </c>
      <c r="I1025" s="14" t="str">
        <f>IF(OR($C1025="",$F1025=""),"",IFERROR(INDEX(Productos!$I$5:$I$504,MATCH($C1025,Productos!$A$5:$A$504,0)),0)+SUMIFS($F$5:$F1025,$C$5:$C1025,$C1025,$B$5:$B1025,"Entrada")-SUMIFS($F$5:$F1025,$C$5:$C1025,$C1025,$B$5:$B1025,"Salida"))</f>
        <v/>
      </c>
      <c r="J1025" s="20"/>
      <c r="K1025" s="20"/>
      <c r="L1025" s="20"/>
      <c r="M1025" s="14" t="str">
        <f>IF(AND($C1025&lt;&gt;"",$C1025=Kardex!$C$4),COUNTIF($C$5:$C1025,Kardex!$C$4),"")</f>
        <v/>
      </c>
    </row>
    <row r="1026" spans="1:13" x14ac:dyDescent="0.25">
      <c r="A1026" s="24"/>
      <c r="B1026" s="20"/>
      <c r="C1026" s="20"/>
      <c r="D1026" s="14" t="str">
        <f>IF($C1026="","",IFERROR(INDEX(Productos!$B$5:$B$504,MATCH($C1026,Productos!$A$5:$A$504,0)),"Clave no existe"))</f>
        <v/>
      </c>
      <c r="E1026" s="14" t="str">
        <f>IF($C1026="","",IFERROR(INDEX(Productos!$D$5:$D$504,MATCH($C1026,Productos!$A$5:$A$504,0)),""))</f>
        <v/>
      </c>
      <c r="F1026" s="20"/>
      <c r="G1026" s="22" t="str">
        <f>IF($C1026="","",IFERROR(INDEX(Productos!$F$5:$F$504,MATCH($C1026,Productos!$A$5:$A$504,0)),0))</f>
        <v/>
      </c>
      <c r="H1026" s="22" t="str">
        <f t="shared" si="15"/>
        <v/>
      </c>
      <c r="I1026" s="14" t="str">
        <f>IF(OR($C1026="",$F1026=""),"",IFERROR(INDEX(Productos!$I$5:$I$504,MATCH($C1026,Productos!$A$5:$A$504,0)),0)+SUMIFS($F$5:$F1026,$C$5:$C1026,$C1026,$B$5:$B1026,"Entrada")-SUMIFS($F$5:$F1026,$C$5:$C1026,$C1026,$B$5:$B1026,"Salida"))</f>
        <v/>
      </c>
      <c r="J1026" s="20"/>
      <c r="K1026" s="20"/>
      <c r="L1026" s="20"/>
      <c r="M1026" s="14" t="str">
        <f>IF(AND($C1026&lt;&gt;"",$C1026=Kardex!$C$4),COUNTIF($C$5:$C1026,Kardex!$C$4),"")</f>
        <v/>
      </c>
    </row>
    <row r="1027" spans="1:13" x14ac:dyDescent="0.25">
      <c r="A1027" s="24"/>
      <c r="B1027" s="20"/>
      <c r="C1027" s="20"/>
      <c r="D1027" s="14" t="str">
        <f>IF($C1027="","",IFERROR(INDEX(Productos!$B$5:$B$504,MATCH($C1027,Productos!$A$5:$A$504,0)),"Clave no existe"))</f>
        <v/>
      </c>
      <c r="E1027" s="14" t="str">
        <f>IF($C1027="","",IFERROR(INDEX(Productos!$D$5:$D$504,MATCH($C1027,Productos!$A$5:$A$504,0)),""))</f>
        <v/>
      </c>
      <c r="F1027" s="20"/>
      <c r="G1027" s="22" t="str">
        <f>IF($C1027="","",IFERROR(INDEX(Productos!$F$5:$F$504,MATCH($C1027,Productos!$A$5:$A$504,0)),0))</f>
        <v/>
      </c>
      <c r="H1027" s="22" t="str">
        <f t="shared" si="15"/>
        <v/>
      </c>
      <c r="I1027" s="14" t="str">
        <f>IF(OR($C1027="",$F1027=""),"",IFERROR(INDEX(Productos!$I$5:$I$504,MATCH($C1027,Productos!$A$5:$A$504,0)),0)+SUMIFS($F$5:$F1027,$C$5:$C1027,$C1027,$B$5:$B1027,"Entrada")-SUMIFS($F$5:$F1027,$C$5:$C1027,$C1027,$B$5:$B1027,"Salida"))</f>
        <v/>
      </c>
      <c r="J1027" s="20"/>
      <c r="K1027" s="20"/>
      <c r="L1027" s="20"/>
      <c r="M1027" s="14" t="str">
        <f>IF(AND($C1027&lt;&gt;"",$C1027=Kardex!$C$4),COUNTIF($C$5:$C1027,Kardex!$C$4),"")</f>
        <v/>
      </c>
    </row>
    <row r="1028" spans="1:13" x14ac:dyDescent="0.25">
      <c r="A1028" s="24"/>
      <c r="B1028" s="20"/>
      <c r="C1028" s="20"/>
      <c r="D1028" s="14" t="str">
        <f>IF($C1028="","",IFERROR(INDEX(Productos!$B$5:$B$504,MATCH($C1028,Productos!$A$5:$A$504,0)),"Clave no existe"))</f>
        <v/>
      </c>
      <c r="E1028" s="14" t="str">
        <f>IF($C1028="","",IFERROR(INDEX(Productos!$D$5:$D$504,MATCH($C1028,Productos!$A$5:$A$504,0)),""))</f>
        <v/>
      </c>
      <c r="F1028" s="20"/>
      <c r="G1028" s="22" t="str">
        <f>IF($C1028="","",IFERROR(INDEX(Productos!$F$5:$F$504,MATCH($C1028,Productos!$A$5:$A$504,0)),0))</f>
        <v/>
      </c>
      <c r="H1028" s="22" t="str">
        <f t="shared" si="15"/>
        <v/>
      </c>
      <c r="I1028" s="14" t="str">
        <f>IF(OR($C1028="",$F1028=""),"",IFERROR(INDEX(Productos!$I$5:$I$504,MATCH($C1028,Productos!$A$5:$A$504,0)),0)+SUMIFS($F$5:$F1028,$C$5:$C1028,$C1028,$B$5:$B1028,"Entrada")-SUMIFS($F$5:$F1028,$C$5:$C1028,$C1028,$B$5:$B1028,"Salida"))</f>
        <v/>
      </c>
      <c r="J1028" s="20"/>
      <c r="K1028" s="20"/>
      <c r="L1028" s="20"/>
      <c r="M1028" s="14" t="str">
        <f>IF(AND($C1028&lt;&gt;"",$C1028=Kardex!$C$4),COUNTIF($C$5:$C1028,Kardex!$C$4),"")</f>
        <v/>
      </c>
    </row>
    <row r="1029" spans="1:13" x14ac:dyDescent="0.25">
      <c r="A1029" s="24"/>
      <c r="B1029" s="20"/>
      <c r="C1029" s="20"/>
      <c r="D1029" s="14" t="str">
        <f>IF($C1029="","",IFERROR(INDEX(Productos!$B$5:$B$504,MATCH($C1029,Productos!$A$5:$A$504,0)),"Clave no existe"))</f>
        <v/>
      </c>
      <c r="E1029" s="14" t="str">
        <f>IF($C1029="","",IFERROR(INDEX(Productos!$D$5:$D$504,MATCH($C1029,Productos!$A$5:$A$504,0)),""))</f>
        <v/>
      </c>
      <c r="F1029" s="20"/>
      <c r="G1029" s="22" t="str">
        <f>IF($C1029="","",IFERROR(INDEX(Productos!$F$5:$F$504,MATCH($C1029,Productos!$A$5:$A$504,0)),0))</f>
        <v/>
      </c>
      <c r="H1029" s="22" t="str">
        <f t="shared" ref="H1029:H1092" si="16">IF(OR($C1029="",$F1029=""),"",F1029*G1029)</f>
        <v/>
      </c>
      <c r="I1029" s="14" t="str">
        <f>IF(OR($C1029="",$F1029=""),"",IFERROR(INDEX(Productos!$I$5:$I$504,MATCH($C1029,Productos!$A$5:$A$504,0)),0)+SUMIFS($F$5:$F1029,$C$5:$C1029,$C1029,$B$5:$B1029,"Entrada")-SUMIFS($F$5:$F1029,$C$5:$C1029,$C1029,$B$5:$B1029,"Salida"))</f>
        <v/>
      </c>
      <c r="J1029" s="20"/>
      <c r="K1029" s="20"/>
      <c r="L1029" s="20"/>
      <c r="M1029" s="14" t="str">
        <f>IF(AND($C1029&lt;&gt;"",$C1029=Kardex!$C$4),COUNTIF($C$5:$C1029,Kardex!$C$4),"")</f>
        <v/>
      </c>
    </row>
    <row r="1030" spans="1:13" x14ac:dyDescent="0.25">
      <c r="A1030" s="24"/>
      <c r="B1030" s="20"/>
      <c r="C1030" s="20"/>
      <c r="D1030" s="14" t="str">
        <f>IF($C1030="","",IFERROR(INDEX(Productos!$B$5:$B$504,MATCH($C1030,Productos!$A$5:$A$504,0)),"Clave no existe"))</f>
        <v/>
      </c>
      <c r="E1030" s="14" t="str">
        <f>IF($C1030="","",IFERROR(INDEX(Productos!$D$5:$D$504,MATCH($C1030,Productos!$A$5:$A$504,0)),""))</f>
        <v/>
      </c>
      <c r="F1030" s="20"/>
      <c r="G1030" s="22" t="str">
        <f>IF($C1030="","",IFERROR(INDEX(Productos!$F$5:$F$504,MATCH($C1030,Productos!$A$5:$A$504,0)),0))</f>
        <v/>
      </c>
      <c r="H1030" s="22" t="str">
        <f t="shared" si="16"/>
        <v/>
      </c>
      <c r="I1030" s="14" t="str">
        <f>IF(OR($C1030="",$F1030=""),"",IFERROR(INDEX(Productos!$I$5:$I$504,MATCH($C1030,Productos!$A$5:$A$504,0)),0)+SUMIFS($F$5:$F1030,$C$5:$C1030,$C1030,$B$5:$B1030,"Entrada")-SUMIFS($F$5:$F1030,$C$5:$C1030,$C1030,$B$5:$B1030,"Salida"))</f>
        <v/>
      </c>
      <c r="J1030" s="20"/>
      <c r="K1030" s="20"/>
      <c r="L1030" s="20"/>
      <c r="M1030" s="14" t="str">
        <f>IF(AND($C1030&lt;&gt;"",$C1030=Kardex!$C$4),COUNTIF($C$5:$C1030,Kardex!$C$4),"")</f>
        <v/>
      </c>
    </row>
    <row r="1031" spans="1:13" x14ac:dyDescent="0.25">
      <c r="A1031" s="24"/>
      <c r="B1031" s="20"/>
      <c r="C1031" s="20"/>
      <c r="D1031" s="14" t="str">
        <f>IF($C1031="","",IFERROR(INDEX(Productos!$B$5:$B$504,MATCH($C1031,Productos!$A$5:$A$504,0)),"Clave no existe"))</f>
        <v/>
      </c>
      <c r="E1031" s="14" t="str">
        <f>IF($C1031="","",IFERROR(INDEX(Productos!$D$5:$D$504,MATCH($C1031,Productos!$A$5:$A$504,0)),""))</f>
        <v/>
      </c>
      <c r="F1031" s="20"/>
      <c r="G1031" s="22" t="str">
        <f>IF($C1031="","",IFERROR(INDEX(Productos!$F$5:$F$504,MATCH($C1031,Productos!$A$5:$A$504,0)),0))</f>
        <v/>
      </c>
      <c r="H1031" s="22" t="str">
        <f t="shared" si="16"/>
        <v/>
      </c>
      <c r="I1031" s="14" t="str">
        <f>IF(OR($C1031="",$F1031=""),"",IFERROR(INDEX(Productos!$I$5:$I$504,MATCH($C1031,Productos!$A$5:$A$504,0)),0)+SUMIFS($F$5:$F1031,$C$5:$C1031,$C1031,$B$5:$B1031,"Entrada")-SUMIFS($F$5:$F1031,$C$5:$C1031,$C1031,$B$5:$B1031,"Salida"))</f>
        <v/>
      </c>
      <c r="J1031" s="20"/>
      <c r="K1031" s="20"/>
      <c r="L1031" s="20"/>
      <c r="M1031" s="14" t="str">
        <f>IF(AND($C1031&lt;&gt;"",$C1031=Kardex!$C$4),COUNTIF($C$5:$C1031,Kardex!$C$4),"")</f>
        <v/>
      </c>
    </row>
    <row r="1032" spans="1:13" x14ac:dyDescent="0.25">
      <c r="A1032" s="24"/>
      <c r="B1032" s="20"/>
      <c r="C1032" s="20"/>
      <c r="D1032" s="14" t="str">
        <f>IF($C1032="","",IFERROR(INDEX(Productos!$B$5:$B$504,MATCH($C1032,Productos!$A$5:$A$504,0)),"Clave no existe"))</f>
        <v/>
      </c>
      <c r="E1032" s="14" t="str">
        <f>IF($C1032="","",IFERROR(INDEX(Productos!$D$5:$D$504,MATCH($C1032,Productos!$A$5:$A$504,0)),""))</f>
        <v/>
      </c>
      <c r="F1032" s="20"/>
      <c r="G1032" s="22" t="str">
        <f>IF($C1032="","",IFERROR(INDEX(Productos!$F$5:$F$504,MATCH($C1032,Productos!$A$5:$A$504,0)),0))</f>
        <v/>
      </c>
      <c r="H1032" s="22" t="str">
        <f t="shared" si="16"/>
        <v/>
      </c>
      <c r="I1032" s="14" t="str">
        <f>IF(OR($C1032="",$F1032=""),"",IFERROR(INDEX(Productos!$I$5:$I$504,MATCH($C1032,Productos!$A$5:$A$504,0)),0)+SUMIFS($F$5:$F1032,$C$5:$C1032,$C1032,$B$5:$B1032,"Entrada")-SUMIFS($F$5:$F1032,$C$5:$C1032,$C1032,$B$5:$B1032,"Salida"))</f>
        <v/>
      </c>
      <c r="J1032" s="20"/>
      <c r="K1032" s="20"/>
      <c r="L1032" s="20"/>
      <c r="M1032" s="14" t="str">
        <f>IF(AND($C1032&lt;&gt;"",$C1032=Kardex!$C$4),COUNTIF($C$5:$C1032,Kardex!$C$4),"")</f>
        <v/>
      </c>
    </row>
    <row r="1033" spans="1:13" x14ac:dyDescent="0.25">
      <c r="A1033" s="24"/>
      <c r="B1033" s="20"/>
      <c r="C1033" s="20"/>
      <c r="D1033" s="14" t="str">
        <f>IF($C1033="","",IFERROR(INDEX(Productos!$B$5:$B$504,MATCH($C1033,Productos!$A$5:$A$504,0)),"Clave no existe"))</f>
        <v/>
      </c>
      <c r="E1033" s="14" t="str">
        <f>IF($C1033="","",IFERROR(INDEX(Productos!$D$5:$D$504,MATCH($C1033,Productos!$A$5:$A$504,0)),""))</f>
        <v/>
      </c>
      <c r="F1033" s="20"/>
      <c r="G1033" s="22" t="str">
        <f>IF($C1033="","",IFERROR(INDEX(Productos!$F$5:$F$504,MATCH($C1033,Productos!$A$5:$A$504,0)),0))</f>
        <v/>
      </c>
      <c r="H1033" s="22" t="str">
        <f t="shared" si="16"/>
        <v/>
      </c>
      <c r="I1033" s="14" t="str">
        <f>IF(OR($C1033="",$F1033=""),"",IFERROR(INDEX(Productos!$I$5:$I$504,MATCH($C1033,Productos!$A$5:$A$504,0)),0)+SUMIFS($F$5:$F1033,$C$5:$C1033,$C1033,$B$5:$B1033,"Entrada")-SUMIFS($F$5:$F1033,$C$5:$C1033,$C1033,$B$5:$B1033,"Salida"))</f>
        <v/>
      </c>
      <c r="J1033" s="20"/>
      <c r="K1033" s="20"/>
      <c r="L1033" s="20"/>
      <c r="M1033" s="14" t="str">
        <f>IF(AND($C1033&lt;&gt;"",$C1033=Kardex!$C$4),COUNTIF($C$5:$C1033,Kardex!$C$4),"")</f>
        <v/>
      </c>
    </row>
    <row r="1034" spans="1:13" x14ac:dyDescent="0.25">
      <c r="A1034" s="24"/>
      <c r="B1034" s="20"/>
      <c r="C1034" s="20"/>
      <c r="D1034" s="14" t="str">
        <f>IF($C1034="","",IFERROR(INDEX(Productos!$B$5:$B$504,MATCH($C1034,Productos!$A$5:$A$504,0)),"Clave no existe"))</f>
        <v/>
      </c>
      <c r="E1034" s="14" t="str">
        <f>IF($C1034="","",IFERROR(INDEX(Productos!$D$5:$D$504,MATCH($C1034,Productos!$A$5:$A$504,0)),""))</f>
        <v/>
      </c>
      <c r="F1034" s="20"/>
      <c r="G1034" s="22" t="str">
        <f>IF($C1034="","",IFERROR(INDEX(Productos!$F$5:$F$504,MATCH($C1034,Productos!$A$5:$A$504,0)),0))</f>
        <v/>
      </c>
      <c r="H1034" s="22" t="str">
        <f t="shared" si="16"/>
        <v/>
      </c>
      <c r="I1034" s="14" t="str">
        <f>IF(OR($C1034="",$F1034=""),"",IFERROR(INDEX(Productos!$I$5:$I$504,MATCH($C1034,Productos!$A$5:$A$504,0)),0)+SUMIFS($F$5:$F1034,$C$5:$C1034,$C1034,$B$5:$B1034,"Entrada")-SUMIFS($F$5:$F1034,$C$5:$C1034,$C1034,$B$5:$B1034,"Salida"))</f>
        <v/>
      </c>
      <c r="J1034" s="20"/>
      <c r="K1034" s="20"/>
      <c r="L1034" s="20"/>
      <c r="M1034" s="14" t="str">
        <f>IF(AND($C1034&lt;&gt;"",$C1034=Kardex!$C$4),COUNTIF($C$5:$C1034,Kardex!$C$4),"")</f>
        <v/>
      </c>
    </row>
    <row r="1035" spans="1:13" x14ac:dyDescent="0.25">
      <c r="A1035" s="24"/>
      <c r="B1035" s="20"/>
      <c r="C1035" s="20"/>
      <c r="D1035" s="14" t="str">
        <f>IF($C1035="","",IFERROR(INDEX(Productos!$B$5:$B$504,MATCH($C1035,Productos!$A$5:$A$504,0)),"Clave no existe"))</f>
        <v/>
      </c>
      <c r="E1035" s="14" t="str">
        <f>IF($C1035="","",IFERROR(INDEX(Productos!$D$5:$D$504,MATCH($C1035,Productos!$A$5:$A$504,0)),""))</f>
        <v/>
      </c>
      <c r="F1035" s="20"/>
      <c r="G1035" s="22" t="str">
        <f>IF($C1035="","",IFERROR(INDEX(Productos!$F$5:$F$504,MATCH($C1035,Productos!$A$5:$A$504,0)),0))</f>
        <v/>
      </c>
      <c r="H1035" s="22" t="str">
        <f t="shared" si="16"/>
        <v/>
      </c>
      <c r="I1035" s="14" t="str">
        <f>IF(OR($C1035="",$F1035=""),"",IFERROR(INDEX(Productos!$I$5:$I$504,MATCH($C1035,Productos!$A$5:$A$504,0)),0)+SUMIFS($F$5:$F1035,$C$5:$C1035,$C1035,$B$5:$B1035,"Entrada")-SUMIFS($F$5:$F1035,$C$5:$C1035,$C1035,$B$5:$B1035,"Salida"))</f>
        <v/>
      </c>
      <c r="J1035" s="20"/>
      <c r="K1035" s="20"/>
      <c r="L1035" s="20"/>
      <c r="M1035" s="14" t="str">
        <f>IF(AND($C1035&lt;&gt;"",$C1035=Kardex!$C$4),COUNTIF($C$5:$C1035,Kardex!$C$4),"")</f>
        <v/>
      </c>
    </row>
    <row r="1036" spans="1:13" x14ac:dyDescent="0.25">
      <c r="A1036" s="24"/>
      <c r="B1036" s="20"/>
      <c r="C1036" s="20"/>
      <c r="D1036" s="14" t="str">
        <f>IF($C1036="","",IFERROR(INDEX(Productos!$B$5:$B$504,MATCH($C1036,Productos!$A$5:$A$504,0)),"Clave no existe"))</f>
        <v/>
      </c>
      <c r="E1036" s="14" t="str">
        <f>IF($C1036="","",IFERROR(INDEX(Productos!$D$5:$D$504,MATCH($C1036,Productos!$A$5:$A$504,0)),""))</f>
        <v/>
      </c>
      <c r="F1036" s="20"/>
      <c r="G1036" s="22" t="str">
        <f>IF($C1036="","",IFERROR(INDEX(Productos!$F$5:$F$504,MATCH($C1036,Productos!$A$5:$A$504,0)),0))</f>
        <v/>
      </c>
      <c r="H1036" s="22" t="str">
        <f t="shared" si="16"/>
        <v/>
      </c>
      <c r="I1036" s="14" t="str">
        <f>IF(OR($C1036="",$F1036=""),"",IFERROR(INDEX(Productos!$I$5:$I$504,MATCH($C1036,Productos!$A$5:$A$504,0)),0)+SUMIFS($F$5:$F1036,$C$5:$C1036,$C1036,$B$5:$B1036,"Entrada")-SUMIFS($F$5:$F1036,$C$5:$C1036,$C1036,$B$5:$B1036,"Salida"))</f>
        <v/>
      </c>
      <c r="J1036" s="20"/>
      <c r="K1036" s="20"/>
      <c r="L1036" s="20"/>
      <c r="M1036" s="14" t="str">
        <f>IF(AND($C1036&lt;&gt;"",$C1036=Kardex!$C$4),COUNTIF($C$5:$C1036,Kardex!$C$4),"")</f>
        <v/>
      </c>
    </row>
    <row r="1037" spans="1:13" x14ac:dyDescent="0.25">
      <c r="A1037" s="24"/>
      <c r="B1037" s="20"/>
      <c r="C1037" s="20"/>
      <c r="D1037" s="14" t="str">
        <f>IF($C1037="","",IFERROR(INDEX(Productos!$B$5:$B$504,MATCH($C1037,Productos!$A$5:$A$504,0)),"Clave no existe"))</f>
        <v/>
      </c>
      <c r="E1037" s="14" t="str">
        <f>IF($C1037="","",IFERROR(INDEX(Productos!$D$5:$D$504,MATCH($C1037,Productos!$A$5:$A$504,0)),""))</f>
        <v/>
      </c>
      <c r="F1037" s="20"/>
      <c r="G1037" s="22" t="str">
        <f>IF($C1037="","",IFERROR(INDEX(Productos!$F$5:$F$504,MATCH($C1037,Productos!$A$5:$A$504,0)),0))</f>
        <v/>
      </c>
      <c r="H1037" s="22" t="str">
        <f t="shared" si="16"/>
        <v/>
      </c>
      <c r="I1037" s="14" t="str">
        <f>IF(OR($C1037="",$F1037=""),"",IFERROR(INDEX(Productos!$I$5:$I$504,MATCH($C1037,Productos!$A$5:$A$504,0)),0)+SUMIFS($F$5:$F1037,$C$5:$C1037,$C1037,$B$5:$B1037,"Entrada")-SUMIFS($F$5:$F1037,$C$5:$C1037,$C1037,$B$5:$B1037,"Salida"))</f>
        <v/>
      </c>
      <c r="J1037" s="20"/>
      <c r="K1037" s="20"/>
      <c r="L1037" s="20"/>
      <c r="M1037" s="14" t="str">
        <f>IF(AND($C1037&lt;&gt;"",$C1037=Kardex!$C$4),COUNTIF($C$5:$C1037,Kardex!$C$4),"")</f>
        <v/>
      </c>
    </row>
    <row r="1038" spans="1:13" x14ac:dyDescent="0.25">
      <c r="A1038" s="24"/>
      <c r="B1038" s="20"/>
      <c r="C1038" s="20"/>
      <c r="D1038" s="14" t="str">
        <f>IF($C1038="","",IFERROR(INDEX(Productos!$B$5:$B$504,MATCH($C1038,Productos!$A$5:$A$504,0)),"Clave no existe"))</f>
        <v/>
      </c>
      <c r="E1038" s="14" t="str">
        <f>IF($C1038="","",IFERROR(INDEX(Productos!$D$5:$D$504,MATCH($C1038,Productos!$A$5:$A$504,0)),""))</f>
        <v/>
      </c>
      <c r="F1038" s="20"/>
      <c r="G1038" s="22" t="str">
        <f>IF($C1038="","",IFERROR(INDEX(Productos!$F$5:$F$504,MATCH($C1038,Productos!$A$5:$A$504,0)),0))</f>
        <v/>
      </c>
      <c r="H1038" s="22" t="str">
        <f t="shared" si="16"/>
        <v/>
      </c>
      <c r="I1038" s="14" t="str">
        <f>IF(OR($C1038="",$F1038=""),"",IFERROR(INDEX(Productos!$I$5:$I$504,MATCH($C1038,Productos!$A$5:$A$504,0)),0)+SUMIFS($F$5:$F1038,$C$5:$C1038,$C1038,$B$5:$B1038,"Entrada")-SUMIFS($F$5:$F1038,$C$5:$C1038,$C1038,$B$5:$B1038,"Salida"))</f>
        <v/>
      </c>
      <c r="J1038" s="20"/>
      <c r="K1038" s="20"/>
      <c r="L1038" s="20"/>
      <c r="M1038" s="14" t="str">
        <f>IF(AND($C1038&lt;&gt;"",$C1038=Kardex!$C$4),COUNTIF($C$5:$C1038,Kardex!$C$4),"")</f>
        <v/>
      </c>
    </row>
    <row r="1039" spans="1:13" x14ac:dyDescent="0.25">
      <c r="A1039" s="24"/>
      <c r="B1039" s="20"/>
      <c r="C1039" s="20"/>
      <c r="D1039" s="14" t="str">
        <f>IF($C1039="","",IFERROR(INDEX(Productos!$B$5:$B$504,MATCH($C1039,Productos!$A$5:$A$504,0)),"Clave no existe"))</f>
        <v/>
      </c>
      <c r="E1039" s="14" t="str">
        <f>IF($C1039="","",IFERROR(INDEX(Productos!$D$5:$D$504,MATCH($C1039,Productos!$A$5:$A$504,0)),""))</f>
        <v/>
      </c>
      <c r="F1039" s="20"/>
      <c r="G1039" s="22" t="str">
        <f>IF($C1039="","",IFERROR(INDEX(Productos!$F$5:$F$504,MATCH($C1039,Productos!$A$5:$A$504,0)),0))</f>
        <v/>
      </c>
      <c r="H1039" s="22" t="str">
        <f t="shared" si="16"/>
        <v/>
      </c>
      <c r="I1039" s="14" t="str">
        <f>IF(OR($C1039="",$F1039=""),"",IFERROR(INDEX(Productos!$I$5:$I$504,MATCH($C1039,Productos!$A$5:$A$504,0)),0)+SUMIFS($F$5:$F1039,$C$5:$C1039,$C1039,$B$5:$B1039,"Entrada")-SUMIFS($F$5:$F1039,$C$5:$C1039,$C1039,$B$5:$B1039,"Salida"))</f>
        <v/>
      </c>
      <c r="J1039" s="20"/>
      <c r="K1039" s="20"/>
      <c r="L1039" s="20"/>
      <c r="M1039" s="14" t="str">
        <f>IF(AND($C1039&lt;&gt;"",$C1039=Kardex!$C$4),COUNTIF($C$5:$C1039,Kardex!$C$4),"")</f>
        <v/>
      </c>
    </row>
    <row r="1040" spans="1:13" x14ac:dyDescent="0.25">
      <c r="A1040" s="24"/>
      <c r="B1040" s="20"/>
      <c r="C1040" s="20"/>
      <c r="D1040" s="14" t="str">
        <f>IF($C1040="","",IFERROR(INDEX(Productos!$B$5:$B$504,MATCH($C1040,Productos!$A$5:$A$504,0)),"Clave no existe"))</f>
        <v/>
      </c>
      <c r="E1040" s="14" t="str">
        <f>IF($C1040="","",IFERROR(INDEX(Productos!$D$5:$D$504,MATCH($C1040,Productos!$A$5:$A$504,0)),""))</f>
        <v/>
      </c>
      <c r="F1040" s="20"/>
      <c r="G1040" s="22" t="str">
        <f>IF($C1040="","",IFERROR(INDEX(Productos!$F$5:$F$504,MATCH($C1040,Productos!$A$5:$A$504,0)),0))</f>
        <v/>
      </c>
      <c r="H1040" s="22" t="str">
        <f t="shared" si="16"/>
        <v/>
      </c>
      <c r="I1040" s="14" t="str">
        <f>IF(OR($C1040="",$F1040=""),"",IFERROR(INDEX(Productos!$I$5:$I$504,MATCH($C1040,Productos!$A$5:$A$504,0)),0)+SUMIFS($F$5:$F1040,$C$5:$C1040,$C1040,$B$5:$B1040,"Entrada")-SUMIFS($F$5:$F1040,$C$5:$C1040,$C1040,$B$5:$B1040,"Salida"))</f>
        <v/>
      </c>
      <c r="J1040" s="20"/>
      <c r="K1040" s="20"/>
      <c r="L1040" s="20"/>
      <c r="M1040" s="14" t="str">
        <f>IF(AND($C1040&lt;&gt;"",$C1040=Kardex!$C$4),COUNTIF($C$5:$C1040,Kardex!$C$4),"")</f>
        <v/>
      </c>
    </row>
    <row r="1041" spans="1:13" x14ac:dyDescent="0.25">
      <c r="A1041" s="24"/>
      <c r="B1041" s="20"/>
      <c r="C1041" s="20"/>
      <c r="D1041" s="14" t="str">
        <f>IF($C1041="","",IFERROR(INDEX(Productos!$B$5:$B$504,MATCH($C1041,Productos!$A$5:$A$504,0)),"Clave no existe"))</f>
        <v/>
      </c>
      <c r="E1041" s="14" t="str">
        <f>IF($C1041="","",IFERROR(INDEX(Productos!$D$5:$D$504,MATCH($C1041,Productos!$A$5:$A$504,0)),""))</f>
        <v/>
      </c>
      <c r="F1041" s="20"/>
      <c r="G1041" s="22" t="str">
        <f>IF($C1041="","",IFERROR(INDEX(Productos!$F$5:$F$504,MATCH($C1041,Productos!$A$5:$A$504,0)),0))</f>
        <v/>
      </c>
      <c r="H1041" s="22" t="str">
        <f t="shared" si="16"/>
        <v/>
      </c>
      <c r="I1041" s="14" t="str">
        <f>IF(OR($C1041="",$F1041=""),"",IFERROR(INDEX(Productos!$I$5:$I$504,MATCH($C1041,Productos!$A$5:$A$504,0)),0)+SUMIFS($F$5:$F1041,$C$5:$C1041,$C1041,$B$5:$B1041,"Entrada")-SUMIFS($F$5:$F1041,$C$5:$C1041,$C1041,$B$5:$B1041,"Salida"))</f>
        <v/>
      </c>
      <c r="J1041" s="20"/>
      <c r="K1041" s="20"/>
      <c r="L1041" s="20"/>
      <c r="M1041" s="14" t="str">
        <f>IF(AND($C1041&lt;&gt;"",$C1041=Kardex!$C$4),COUNTIF($C$5:$C1041,Kardex!$C$4),"")</f>
        <v/>
      </c>
    </row>
    <row r="1042" spans="1:13" x14ac:dyDescent="0.25">
      <c r="A1042" s="24"/>
      <c r="B1042" s="20"/>
      <c r="C1042" s="20"/>
      <c r="D1042" s="14" t="str">
        <f>IF($C1042="","",IFERROR(INDEX(Productos!$B$5:$B$504,MATCH($C1042,Productos!$A$5:$A$504,0)),"Clave no existe"))</f>
        <v/>
      </c>
      <c r="E1042" s="14" t="str">
        <f>IF($C1042="","",IFERROR(INDEX(Productos!$D$5:$D$504,MATCH($C1042,Productos!$A$5:$A$504,0)),""))</f>
        <v/>
      </c>
      <c r="F1042" s="20"/>
      <c r="G1042" s="22" t="str">
        <f>IF($C1042="","",IFERROR(INDEX(Productos!$F$5:$F$504,MATCH($C1042,Productos!$A$5:$A$504,0)),0))</f>
        <v/>
      </c>
      <c r="H1042" s="22" t="str">
        <f t="shared" si="16"/>
        <v/>
      </c>
      <c r="I1042" s="14" t="str">
        <f>IF(OR($C1042="",$F1042=""),"",IFERROR(INDEX(Productos!$I$5:$I$504,MATCH($C1042,Productos!$A$5:$A$504,0)),0)+SUMIFS($F$5:$F1042,$C$5:$C1042,$C1042,$B$5:$B1042,"Entrada")-SUMIFS($F$5:$F1042,$C$5:$C1042,$C1042,$B$5:$B1042,"Salida"))</f>
        <v/>
      </c>
      <c r="J1042" s="20"/>
      <c r="K1042" s="20"/>
      <c r="L1042" s="20"/>
      <c r="M1042" s="14" t="str">
        <f>IF(AND($C1042&lt;&gt;"",$C1042=Kardex!$C$4),COUNTIF($C$5:$C1042,Kardex!$C$4),"")</f>
        <v/>
      </c>
    </row>
    <row r="1043" spans="1:13" x14ac:dyDescent="0.25">
      <c r="A1043" s="24"/>
      <c r="B1043" s="20"/>
      <c r="C1043" s="20"/>
      <c r="D1043" s="14" t="str">
        <f>IF($C1043="","",IFERROR(INDEX(Productos!$B$5:$B$504,MATCH($C1043,Productos!$A$5:$A$504,0)),"Clave no existe"))</f>
        <v/>
      </c>
      <c r="E1043" s="14" t="str">
        <f>IF($C1043="","",IFERROR(INDEX(Productos!$D$5:$D$504,MATCH($C1043,Productos!$A$5:$A$504,0)),""))</f>
        <v/>
      </c>
      <c r="F1043" s="20"/>
      <c r="G1043" s="22" t="str">
        <f>IF($C1043="","",IFERROR(INDEX(Productos!$F$5:$F$504,MATCH($C1043,Productos!$A$5:$A$504,0)),0))</f>
        <v/>
      </c>
      <c r="H1043" s="22" t="str">
        <f t="shared" si="16"/>
        <v/>
      </c>
      <c r="I1043" s="14" t="str">
        <f>IF(OR($C1043="",$F1043=""),"",IFERROR(INDEX(Productos!$I$5:$I$504,MATCH($C1043,Productos!$A$5:$A$504,0)),0)+SUMIFS($F$5:$F1043,$C$5:$C1043,$C1043,$B$5:$B1043,"Entrada")-SUMIFS($F$5:$F1043,$C$5:$C1043,$C1043,$B$5:$B1043,"Salida"))</f>
        <v/>
      </c>
      <c r="J1043" s="20"/>
      <c r="K1043" s="20"/>
      <c r="L1043" s="20"/>
      <c r="M1043" s="14" t="str">
        <f>IF(AND($C1043&lt;&gt;"",$C1043=Kardex!$C$4),COUNTIF($C$5:$C1043,Kardex!$C$4),"")</f>
        <v/>
      </c>
    </row>
    <row r="1044" spans="1:13" x14ac:dyDescent="0.25">
      <c r="A1044" s="24"/>
      <c r="B1044" s="20"/>
      <c r="C1044" s="20"/>
      <c r="D1044" s="14" t="str">
        <f>IF($C1044="","",IFERROR(INDEX(Productos!$B$5:$B$504,MATCH($C1044,Productos!$A$5:$A$504,0)),"Clave no existe"))</f>
        <v/>
      </c>
      <c r="E1044" s="14" t="str">
        <f>IF($C1044="","",IFERROR(INDEX(Productos!$D$5:$D$504,MATCH($C1044,Productos!$A$5:$A$504,0)),""))</f>
        <v/>
      </c>
      <c r="F1044" s="20"/>
      <c r="G1044" s="22" t="str">
        <f>IF($C1044="","",IFERROR(INDEX(Productos!$F$5:$F$504,MATCH($C1044,Productos!$A$5:$A$504,0)),0))</f>
        <v/>
      </c>
      <c r="H1044" s="22" t="str">
        <f t="shared" si="16"/>
        <v/>
      </c>
      <c r="I1044" s="14" t="str">
        <f>IF(OR($C1044="",$F1044=""),"",IFERROR(INDEX(Productos!$I$5:$I$504,MATCH($C1044,Productos!$A$5:$A$504,0)),0)+SUMIFS($F$5:$F1044,$C$5:$C1044,$C1044,$B$5:$B1044,"Entrada")-SUMIFS($F$5:$F1044,$C$5:$C1044,$C1044,$B$5:$B1044,"Salida"))</f>
        <v/>
      </c>
      <c r="J1044" s="20"/>
      <c r="K1044" s="20"/>
      <c r="L1044" s="20"/>
      <c r="M1044" s="14" t="str">
        <f>IF(AND($C1044&lt;&gt;"",$C1044=Kardex!$C$4),COUNTIF($C$5:$C1044,Kardex!$C$4),"")</f>
        <v/>
      </c>
    </row>
    <row r="1045" spans="1:13" x14ac:dyDescent="0.25">
      <c r="A1045" s="24"/>
      <c r="B1045" s="20"/>
      <c r="C1045" s="20"/>
      <c r="D1045" s="14" t="str">
        <f>IF($C1045="","",IFERROR(INDEX(Productos!$B$5:$B$504,MATCH($C1045,Productos!$A$5:$A$504,0)),"Clave no existe"))</f>
        <v/>
      </c>
      <c r="E1045" s="14" t="str">
        <f>IF($C1045="","",IFERROR(INDEX(Productos!$D$5:$D$504,MATCH($C1045,Productos!$A$5:$A$504,0)),""))</f>
        <v/>
      </c>
      <c r="F1045" s="20"/>
      <c r="G1045" s="22" t="str">
        <f>IF($C1045="","",IFERROR(INDEX(Productos!$F$5:$F$504,MATCH($C1045,Productos!$A$5:$A$504,0)),0))</f>
        <v/>
      </c>
      <c r="H1045" s="22" t="str">
        <f t="shared" si="16"/>
        <v/>
      </c>
      <c r="I1045" s="14" t="str">
        <f>IF(OR($C1045="",$F1045=""),"",IFERROR(INDEX(Productos!$I$5:$I$504,MATCH($C1045,Productos!$A$5:$A$504,0)),0)+SUMIFS($F$5:$F1045,$C$5:$C1045,$C1045,$B$5:$B1045,"Entrada")-SUMIFS($F$5:$F1045,$C$5:$C1045,$C1045,$B$5:$B1045,"Salida"))</f>
        <v/>
      </c>
      <c r="J1045" s="20"/>
      <c r="K1045" s="20"/>
      <c r="L1045" s="20"/>
      <c r="M1045" s="14" t="str">
        <f>IF(AND($C1045&lt;&gt;"",$C1045=Kardex!$C$4),COUNTIF($C$5:$C1045,Kardex!$C$4),"")</f>
        <v/>
      </c>
    </row>
    <row r="1046" spans="1:13" x14ac:dyDescent="0.25">
      <c r="A1046" s="24"/>
      <c r="B1046" s="20"/>
      <c r="C1046" s="20"/>
      <c r="D1046" s="14" t="str">
        <f>IF($C1046="","",IFERROR(INDEX(Productos!$B$5:$B$504,MATCH($C1046,Productos!$A$5:$A$504,0)),"Clave no existe"))</f>
        <v/>
      </c>
      <c r="E1046" s="14" t="str">
        <f>IF($C1046="","",IFERROR(INDEX(Productos!$D$5:$D$504,MATCH($C1046,Productos!$A$5:$A$504,0)),""))</f>
        <v/>
      </c>
      <c r="F1046" s="20"/>
      <c r="G1046" s="22" t="str">
        <f>IF($C1046="","",IFERROR(INDEX(Productos!$F$5:$F$504,MATCH($C1046,Productos!$A$5:$A$504,0)),0))</f>
        <v/>
      </c>
      <c r="H1046" s="22" t="str">
        <f t="shared" si="16"/>
        <v/>
      </c>
      <c r="I1046" s="14" t="str">
        <f>IF(OR($C1046="",$F1046=""),"",IFERROR(INDEX(Productos!$I$5:$I$504,MATCH($C1046,Productos!$A$5:$A$504,0)),0)+SUMIFS($F$5:$F1046,$C$5:$C1046,$C1046,$B$5:$B1046,"Entrada")-SUMIFS($F$5:$F1046,$C$5:$C1046,$C1046,$B$5:$B1046,"Salida"))</f>
        <v/>
      </c>
      <c r="J1046" s="20"/>
      <c r="K1046" s="20"/>
      <c r="L1046" s="20"/>
      <c r="M1046" s="14" t="str">
        <f>IF(AND($C1046&lt;&gt;"",$C1046=Kardex!$C$4),COUNTIF($C$5:$C1046,Kardex!$C$4),"")</f>
        <v/>
      </c>
    </row>
    <row r="1047" spans="1:13" x14ac:dyDescent="0.25">
      <c r="A1047" s="24"/>
      <c r="B1047" s="20"/>
      <c r="C1047" s="20"/>
      <c r="D1047" s="14" t="str">
        <f>IF($C1047="","",IFERROR(INDEX(Productos!$B$5:$B$504,MATCH($C1047,Productos!$A$5:$A$504,0)),"Clave no existe"))</f>
        <v/>
      </c>
      <c r="E1047" s="14" t="str">
        <f>IF($C1047="","",IFERROR(INDEX(Productos!$D$5:$D$504,MATCH($C1047,Productos!$A$5:$A$504,0)),""))</f>
        <v/>
      </c>
      <c r="F1047" s="20"/>
      <c r="G1047" s="22" t="str">
        <f>IF($C1047="","",IFERROR(INDEX(Productos!$F$5:$F$504,MATCH($C1047,Productos!$A$5:$A$504,0)),0))</f>
        <v/>
      </c>
      <c r="H1047" s="22" t="str">
        <f t="shared" si="16"/>
        <v/>
      </c>
      <c r="I1047" s="14" t="str">
        <f>IF(OR($C1047="",$F1047=""),"",IFERROR(INDEX(Productos!$I$5:$I$504,MATCH($C1047,Productos!$A$5:$A$504,0)),0)+SUMIFS($F$5:$F1047,$C$5:$C1047,$C1047,$B$5:$B1047,"Entrada")-SUMIFS($F$5:$F1047,$C$5:$C1047,$C1047,$B$5:$B1047,"Salida"))</f>
        <v/>
      </c>
      <c r="J1047" s="20"/>
      <c r="K1047" s="20"/>
      <c r="L1047" s="20"/>
      <c r="M1047" s="14" t="str">
        <f>IF(AND($C1047&lt;&gt;"",$C1047=Kardex!$C$4),COUNTIF($C$5:$C1047,Kardex!$C$4),"")</f>
        <v/>
      </c>
    </row>
    <row r="1048" spans="1:13" x14ac:dyDescent="0.25">
      <c r="A1048" s="24"/>
      <c r="B1048" s="20"/>
      <c r="C1048" s="20"/>
      <c r="D1048" s="14" t="str">
        <f>IF($C1048="","",IFERROR(INDEX(Productos!$B$5:$B$504,MATCH($C1048,Productos!$A$5:$A$504,0)),"Clave no existe"))</f>
        <v/>
      </c>
      <c r="E1048" s="14" t="str">
        <f>IF($C1048="","",IFERROR(INDEX(Productos!$D$5:$D$504,MATCH($C1048,Productos!$A$5:$A$504,0)),""))</f>
        <v/>
      </c>
      <c r="F1048" s="20"/>
      <c r="G1048" s="22" t="str">
        <f>IF($C1048="","",IFERROR(INDEX(Productos!$F$5:$F$504,MATCH($C1048,Productos!$A$5:$A$504,0)),0))</f>
        <v/>
      </c>
      <c r="H1048" s="22" t="str">
        <f t="shared" si="16"/>
        <v/>
      </c>
      <c r="I1048" s="14" t="str">
        <f>IF(OR($C1048="",$F1048=""),"",IFERROR(INDEX(Productos!$I$5:$I$504,MATCH($C1048,Productos!$A$5:$A$504,0)),0)+SUMIFS($F$5:$F1048,$C$5:$C1048,$C1048,$B$5:$B1048,"Entrada")-SUMIFS($F$5:$F1048,$C$5:$C1048,$C1048,$B$5:$B1048,"Salida"))</f>
        <v/>
      </c>
      <c r="J1048" s="20"/>
      <c r="K1048" s="20"/>
      <c r="L1048" s="20"/>
      <c r="M1048" s="14" t="str">
        <f>IF(AND($C1048&lt;&gt;"",$C1048=Kardex!$C$4),COUNTIF($C$5:$C1048,Kardex!$C$4),"")</f>
        <v/>
      </c>
    </row>
    <row r="1049" spans="1:13" x14ac:dyDescent="0.25">
      <c r="A1049" s="24"/>
      <c r="B1049" s="20"/>
      <c r="C1049" s="20"/>
      <c r="D1049" s="14" t="str">
        <f>IF($C1049="","",IFERROR(INDEX(Productos!$B$5:$B$504,MATCH($C1049,Productos!$A$5:$A$504,0)),"Clave no existe"))</f>
        <v/>
      </c>
      <c r="E1049" s="14" t="str">
        <f>IF($C1049="","",IFERROR(INDEX(Productos!$D$5:$D$504,MATCH($C1049,Productos!$A$5:$A$504,0)),""))</f>
        <v/>
      </c>
      <c r="F1049" s="20"/>
      <c r="G1049" s="22" t="str">
        <f>IF($C1049="","",IFERROR(INDEX(Productos!$F$5:$F$504,MATCH($C1049,Productos!$A$5:$A$504,0)),0))</f>
        <v/>
      </c>
      <c r="H1049" s="22" t="str">
        <f t="shared" si="16"/>
        <v/>
      </c>
      <c r="I1049" s="14" t="str">
        <f>IF(OR($C1049="",$F1049=""),"",IFERROR(INDEX(Productos!$I$5:$I$504,MATCH($C1049,Productos!$A$5:$A$504,0)),0)+SUMIFS($F$5:$F1049,$C$5:$C1049,$C1049,$B$5:$B1049,"Entrada")-SUMIFS($F$5:$F1049,$C$5:$C1049,$C1049,$B$5:$B1049,"Salida"))</f>
        <v/>
      </c>
      <c r="J1049" s="20"/>
      <c r="K1049" s="20"/>
      <c r="L1049" s="20"/>
      <c r="M1049" s="14" t="str">
        <f>IF(AND($C1049&lt;&gt;"",$C1049=Kardex!$C$4),COUNTIF($C$5:$C1049,Kardex!$C$4),"")</f>
        <v/>
      </c>
    </row>
    <row r="1050" spans="1:13" x14ac:dyDescent="0.25">
      <c r="A1050" s="24"/>
      <c r="B1050" s="20"/>
      <c r="C1050" s="20"/>
      <c r="D1050" s="14" t="str">
        <f>IF($C1050="","",IFERROR(INDEX(Productos!$B$5:$B$504,MATCH($C1050,Productos!$A$5:$A$504,0)),"Clave no existe"))</f>
        <v/>
      </c>
      <c r="E1050" s="14" t="str">
        <f>IF($C1050="","",IFERROR(INDEX(Productos!$D$5:$D$504,MATCH($C1050,Productos!$A$5:$A$504,0)),""))</f>
        <v/>
      </c>
      <c r="F1050" s="20"/>
      <c r="G1050" s="22" t="str">
        <f>IF($C1050="","",IFERROR(INDEX(Productos!$F$5:$F$504,MATCH($C1050,Productos!$A$5:$A$504,0)),0))</f>
        <v/>
      </c>
      <c r="H1050" s="22" t="str">
        <f t="shared" si="16"/>
        <v/>
      </c>
      <c r="I1050" s="14" t="str">
        <f>IF(OR($C1050="",$F1050=""),"",IFERROR(INDEX(Productos!$I$5:$I$504,MATCH($C1050,Productos!$A$5:$A$504,0)),0)+SUMIFS($F$5:$F1050,$C$5:$C1050,$C1050,$B$5:$B1050,"Entrada")-SUMIFS($F$5:$F1050,$C$5:$C1050,$C1050,$B$5:$B1050,"Salida"))</f>
        <v/>
      </c>
      <c r="J1050" s="20"/>
      <c r="K1050" s="20"/>
      <c r="L1050" s="20"/>
      <c r="M1050" s="14" t="str">
        <f>IF(AND($C1050&lt;&gt;"",$C1050=Kardex!$C$4),COUNTIF($C$5:$C1050,Kardex!$C$4),"")</f>
        <v/>
      </c>
    </row>
    <row r="1051" spans="1:13" x14ac:dyDescent="0.25">
      <c r="A1051" s="24"/>
      <c r="B1051" s="20"/>
      <c r="C1051" s="20"/>
      <c r="D1051" s="14" t="str">
        <f>IF($C1051="","",IFERROR(INDEX(Productos!$B$5:$B$504,MATCH($C1051,Productos!$A$5:$A$504,0)),"Clave no existe"))</f>
        <v/>
      </c>
      <c r="E1051" s="14" t="str">
        <f>IF($C1051="","",IFERROR(INDEX(Productos!$D$5:$D$504,MATCH($C1051,Productos!$A$5:$A$504,0)),""))</f>
        <v/>
      </c>
      <c r="F1051" s="20"/>
      <c r="G1051" s="22" t="str">
        <f>IF($C1051="","",IFERROR(INDEX(Productos!$F$5:$F$504,MATCH($C1051,Productos!$A$5:$A$504,0)),0))</f>
        <v/>
      </c>
      <c r="H1051" s="22" t="str">
        <f t="shared" si="16"/>
        <v/>
      </c>
      <c r="I1051" s="14" t="str">
        <f>IF(OR($C1051="",$F1051=""),"",IFERROR(INDEX(Productos!$I$5:$I$504,MATCH($C1051,Productos!$A$5:$A$504,0)),0)+SUMIFS($F$5:$F1051,$C$5:$C1051,$C1051,$B$5:$B1051,"Entrada")-SUMIFS($F$5:$F1051,$C$5:$C1051,$C1051,$B$5:$B1051,"Salida"))</f>
        <v/>
      </c>
      <c r="J1051" s="20"/>
      <c r="K1051" s="20"/>
      <c r="L1051" s="20"/>
      <c r="M1051" s="14" t="str">
        <f>IF(AND($C1051&lt;&gt;"",$C1051=Kardex!$C$4),COUNTIF($C$5:$C1051,Kardex!$C$4),"")</f>
        <v/>
      </c>
    </row>
    <row r="1052" spans="1:13" x14ac:dyDescent="0.25">
      <c r="A1052" s="24"/>
      <c r="B1052" s="20"/>
      <c r="C1052" s="20"/>
      <c r="D1052" s="14" t="str">
        <f>IF($C1052="","",IFERROR(INDEX(Productos!$B$5:$B$504,MATCH($C1052,Productos!$A$5:$A$504,0)),"Clave no existe"))</f>
        <v/>
      </c>
      <c r="E1052" s="14" t="str">
        <f>IF($C1052="","",IFERROR(INDEX(Productos!$D$5:$D$504,MATCH($C1052,Productos!$A$5:$A$504,0)),""))</f>
        <v/>
      </c>
      <c r="F1052" s="20"/>
      <c r="G1052" s="22" t="str">
        <f>IF($C1052="","",IFERROR(INDEX(Productos!$F$5:$F$504,MATCH($C1052,Productos!$A$5:$A$504,0)),0))</f>
        <v/>
      </c>
      <c r="H1052" s="22" t="str">
        <f t="shared" si="16"/>
        <v/>
      </c>
      <c r="I1052" s="14" t="str">
        <f>IF(OR($C1052="",$F1052=""),"",IFERROR(INDEX(Productos!$I$5:$I$504,MATCH($C1052,Productos!$A$5:$A$504,0)),0)+SUMIFS($F$5:$F1052,$C$5:$C1052,$C1052,$B$5:$B1052,"Entrada")-SUMIFS($F$5:$F1052,$C$5:$C1052,$C1052,$B$5:$B1052,"Salida"))</f>
        <v/>
      </c>
      <c r="J1052" s="20"/>
      <c r="K1052" s="20"/>
      <c r="L1052" s="20"/>
      <c r="M1052" s="14" t="str">
        <f>IF(AND($C1052&lt;&gt;"",$C1052=Kardex!$C$4),COUNTIF($C$5:$C1052,Kardex!$C$4),"")</f>
        <v/>
      </c>
    </row>
    <row r="1053" spans="1:13" x14ac:dyDescent="0.25">
      <c r="A1053" s="24"/>
      <c r="B1053" s="20"/>
      <c r="C1053" s="20"/>
      <c r="D1053" s="14" t="str">
        <f>IF($C1053="","",IFERROR(INDEX(Productos!$B$5:$B$504,MATCH($C1053,Productos!$A$5:$A$504,0)),"Clave no existe"))</f>
        <v/>
      </c>
      <c r="E1053" s="14" t="str">
        <f>IF($C1053="","",IFERROR(INDEX(Productos!$D$5:$D$504,MATCH($C1053,Productos!$A$5:$A$504,0)),""))</f>
        <v/>
      </c>
      <c r="F1053" s="20"/>
      <c r="G1053" s="22" t="str">
        <f>IF($C1053="","",IFERROR(INDEX(Productos!$F$5:$F$504,MATCH($C1053,Productos!$A$5:$A$504,0)),0))</f>
        <v/>
      </c>
      <c r="H1053" s="22" t="str">
        <f t="shared" si="16"/>
        <v/>
      </c>
      <c r="I1053" s="14" t="str">
        <f>IF(OR($C1053="",$F1053=""),"",IFERROR(INDEX(Productos!$I$5:$I$504,MATCH($C1053,Productos!$A$5:$A$504,0)),0)+SUMIFS($F$5:$F1053,$C$5:$C1053,$C1053,$B$5:$B1053,"Entrada")-SUMIFS($F$5:$F1053,$C$5:$C1053,$C1053,$B$5:$B1053,"Salida"))</f>
        <v/>
      </c>
      <c r="J1053" s="20"/>
      <c r="K1053" s="20"/>
      <c r="L1053" s="20"/>
      <c r="M1053" s="14" t="str">
        <f>IF(AND($C1053&lt;&gt;"",$C1053=Kardex!$C$4),COUNTIF($C$5:$C1053,Kardex!$C$4),"")</f>
        <v/>
      </c>
    </row>
    <row r="1054" spans="1:13" x14ac:dyDescent="0.25">
      <c r="A1054" s="24"/>
      <c r="B1054" s="20"/>
      <c r="C1054" s="20"/>
      <c r="D1054" s="14" t="str">
        <f>IF($C1054="","",IFERROR(INDEX(Productos!$B$5:$B$504,MATCH($C1054,Productos!$A$5:$A$504,0)),"Clave no existe"))</f>
        <v/>
      </c>
      <c r="E1054" s="14" t="str">
        <f>IF($C1054="","",IFERROR(INDEX(Productos!$D$5:$D$504,MATCH($C1054,Productos!$A$5:$A$504,0)),""))</f>
        <v/>
      </c>
      <c r="F1054" s="20"/>
      <c r="G1054" s="22" t="str">
        <f>IF($C1054="","",IFERROR(INDEX(Productos!$F$5:$F$504,MATCH($C1054,Productos!$A$5:$A$504,0)),0))</f>
        <v/>
      </c>
      <c r="H1054" s="22" t="str">
        <f t="shared" si="16"/>
        <v/>
      </c>
      <c r="I1054" s="14" t="str">
        <f>IF(OR($C1054="",$F1054=""),"",IFERROR(INDEX(Productos!$I$5:$I$504,MATCH($C1054,Productos!$A$5:$A$504,0)),0)+SUMIFS($F$5:$F1054,$C$5:$C1054,$C1054,$B$5:$B1054,"Entrada")-SUMIFS($F$5:$F1054,$C$5:$C1054,$C1054,$B$5:$B1054,"Salida"))</f>
        <v/>
      </c>
      <c r="J1054" s="20"/>
      <c r="K1054" s="20"/>
      <c r="L1054" s="20"/>
      <c r="M1054" s="14" t="str">
        <f>IF(AND($C1054&lt;&gt;"",$C1054=Kardex!$C$4),COUNTIF($C$5:$C1054,Kardex!$C$4),"")</f>
        <v/>
      </c>
    </row>
    <row r="1055" spans="1:13" x14ac:dyDescent="0.25">
      <c r="A1055" s="24"/>
      <c r="B1055" s="20"/>
      <c r="C1055" s="20"/>
      <c r="D1055" s="14" t="str">
        <f>IF($C1055="","",IFERROR(INDEX(Productos!$B$5:$B$504,MATCH($C1055,Productos!$A$5:$A$504,0)),"Clave no existe"))</f>
        <v/>
      </c>
      <c r="E1055" s="14" t="str">
        <f>IF($C1055="","",IFERROR(INDEX(Productos!$D$5:$D$504,MATCH($C1055,Productos!$A$5:$A$504,0)),""))</f>
        <v/>
      </c>
      <c r="F1055" s="20"/>
      <c r="G1055" s="22" t="str">
        <f>IF($C1055="","",IFERROR(INDEX(Productos!$F$5:$F$504,MATCH($C1055,Productos!$A$5:$A$504,0)),0))</f>
        <v/>
      </c>
      <c r="H1055" s="22" t="str">
        <f t="shared" si="16"/>
        <v/>
      </c>
      <c r="I1055" s="14" t="str">
        <f>IF(OR($C1055="",$F1055=""),"",IFERROR(INDEX(Productos!$I$5:$I$504,MATCH($C1055,Productos!$A$5:$A$504,0)),0)+SUMIFS($F$5:$F1055,$C$5:$C1055,$C1055,$B$5:$B1055,"Entrada")-SUMIFS($F$5:$F1055,$C$5:$C1055,$C1055,$B$5:$B1055,"Salida"))</f>
        <v/>
      </c>
      <c r="J1055" s="20"/>
      <c r="K1055" s="20"/>
      <c r="L1055" s="20"/>
      <c r="M1055" s="14" t="str">
        <f>IF(AND($C1055&lt;&gt;"",$C1055=Kardex!$C$4),COUNTIF($C$5:$C1055,Kardex!$C$4),"")</f>
        <v/>
      </c>
    </row>
    <row r="1056" spans="1:13" x14ac:dyDescent="0.25">
      <c r="A1056" s="24"/>
      <c r="B1056" s="20"/>
      <c r="C1056" s="20"/>
      <c r="D1056" s="14" t="str">
        <f>IF($C1056="","",IFERROR(INDEX(Productos!$B$5:$B$504,MATCH($C1056,Productos!$A$5:$A$504,0)),"Clave no existe"))</f>
        <v/>
      </c>
      <c r="E1056" s="14" t="str">
        <f>IF($C1056="","",IFERROR(INDEX(Productos!$D$5:$D$504,MATCH($C1056,Productos!$A$5:$A$504,0)),""))</f>
        <v/>
      </c>
      <c r="F1056" s="20"/>
      <c r="G1056" s="22" t="str">
        <f>IF($C1056="","",IFERROR(INDEX(Productos!$F$5:$F$504,MATCH($C1056,Productos!$A$5:$A$504,0)),0))</f>
        <v/>
      </c>
      <c r="H1056" s="22" t="str">
        <f t="shared" si="16"/>
        <v/>
      </c>
      <c r="I1056" s="14" t="str">
        <f>IF(OR($C1056="",$F1056=""),"",IFERROR(INDEX(Productos!$I$5:$I$504,MATCH($C1056,Productos!$A$5:$A$504,0)),0)+SUMIFS($F$5:$F1056,$C$5:$C1056,$C1056,$B$5:$B1056,"Entrada")-SUMIFS($F$5:$F1056,$C$5:$C1056,$C1056,$B$5:$B1056,"Salida"))</f>
        <v/>
      </c>
      <c r="J1056" s="20"/>
      <c r="K1056" s="20"/>
      <c r="L1056" s="20"/>
      <c r="M1056" s="14" t="str">
        <f>IF(AND($C1056&lt;&gt;"",$C1056=Kardex!$C$4),COUNTIF($C$5:$C1056,Kardex!$C$4),"")</f>
        <v/>
      </c>
    </row>
    <row r="1057" spans="1:13" x14ac:dyDescent="0.25">
      <c r="A1057" s="24"/>
      <c r="B1057" s="20"/>
      <c r="C1057" s="20"/>
      <c r="D1057" s="14" t="str">
        <f>IF($C1057="","",IFERROR(INDEX(Productos!$B$5:$B$504,MATCH($C1057,Productos!$A$5:$A$504,0)),"Clave no existe"))</f>
        <v/>
      </c>
      <c r="E1057" s="14" t="str">
        <f>IF($C1057="","",IFERROR(INDEX(Productos!$D$5:$D$504,MATCH($C1057,Productos!$A$5:$A$504,0)),""))</f>
        <v/>
      </c>
      <c r="F1057" s="20"/>
      <c r="G1057" s="22" t="str">
        <f>IF($C1057="","",IFERROR(INDEX(Productos!$F$5:$F$504,MATCH($C1057,Productos!$A$5:$A$504,0)),0))</f>
        <v/>
      </c>
      <c r="H1057" s="22" t="str">
        <f t="shared" si="16"/>
        <v/>
      </c>
      <c r="I1057" s="14" t="str">
        <f>IF(OR($C1057="",$F1057=""),"",IFERROR(INDEX(Productos!$I$5:$I$504,MATCH($C1057,Productos!$A$5:$A$504,0)),0)+SUMIFS($F$5:$F1057,$C$5:$C1057,$C1057,$B$5:$B1057,"Entrada")-SUMIFS($F$5:$F1057,$C$5:$C1057,$C1057,$B$5:$B1057,"Salida"))</f>
        <v/>
      </c>
      <c r="J1057" s="20"/>
      <c r="K1057" s="20"/>
      <c r="L1057" s="20"/>
      <c r="M1057" s="14" t="str">
        <f>IF(AND($C1057&lt;&gt;"",$C1057=Kardex!$C$4),COUNTIF($C$5:$C1057,Kardex!$C$4),"")</f>
        <v/>
      </c>
    </row>
    <row r="1058" spans="1:13" x14ac:dyDescent="0.25">
      <c r="A1058" s="24"/>
      <c r="B1058" s="20"/>
      <c r="C1058" s="20"/>
      <c r="D1058" s="14" t="str">
        <f>IF($C1058="","",IFERROR(INDEX(Productos!$B$5:$B$504,MATCH($C1058,Productos!$A$5:$A$504,0)),"Clave no existe"))</f>
        <v/>
      </c>
      <c r="E1058" s="14" t="str">
        <f>IF($C1058="","",IFERROR(INDEX(Productos!$D$5:$D$504,MATCH($C1058,Productos!$A$5:$A$504,0)),""))</f>
        <v/>
      </c>
      <c r="F1058" s="20"/>
      <c r="G1058" s="22" t="str">
        <f>IF($C1058="","",IFERROR(INDEX(Productos!$F$5:$F$504,MATCH($C1058,Productos!$A$5:$A$504,0)),0))</f>
        <v/>
      </c>
      <c r="H1058" s="22" t="str">
        <f t="shared" si="16"/>
        <v/>
      </c>
      <c r="I1058" s="14" t="str">
        <f>IF(OR($C1058="",$F1058=""),"",IFERROR(INDEX(Productos!$I$5:$I$504,MATCH($C1058,Productos!$A$5:$A$504,0)),0)+SUMIFS($F$5:$F1058,$C$5:$C1058,$C1058,$B$5:$B1058,"Entrada")-SUMIFS($F$5:$F1058,$C$5:$C1058,$C1058,$B$5:$B1058,"Salida"))</f>
        <v/>
      </c>
      <c r="J1058" s="20"/>
      <c r="K1058" s="20"/>
      <c r="L1058" s="20"/>
      <c r="M1058" s="14" t="str">
        <f>IF(AND($C1058&lt;&gt;"",$C1058=Kardex!$C$4),COUNTIF($C$5:$C1058,Kardex!$C$4),"")</f>
        <v/>
      </c>
    </row>
    <row r="1059" spans="1:13" x14ac:dyDescent="0.25">
      <c r="A1059" s="24"/>
      <c r="B1059" s="20"/>
      <c r="C1059" s="20"/>
      <c r="D1059" s="14" t="str">
        <f>IF($C1059="","",IFERROR(INDEX(Productos!$B$5:$B$504,MATCH($C1059,Productos!$A$5:$A$504,0)),"Clave no existe"))</f>
        <v/>
      </c>
      <c r="E1059" s="14" t="str">
        <f>IF($C1059="","",IFERROR(INDEX(Productos!$D$5:$D$504,MATCH($C1059,Productos!$A$5:$A$504,0)),""))</f>
        <v/>
      </c>
      <c r="F1059" s="20"/>
      <c r="G1059" s="22" t="str">
        <f>IF($C1059="","",IFERROR(INDEX(Productos!$F$5:$F$504,MATCH($C1059,Productos!$A$5:$A$504,0)),0))</f>
        <v/>
      </c>
      <c r="H1059" s="22" t="str">
        <f t="shared" si="16"/>
        <v/>
      </c>
      <c r="I1059" s="14" t="str">
        <f>IF(OR($C1059="",$F1059=""),"",IFERROR(INDEX(Productos!$I$5:$I$504,MATCH($C1059,Productos!$A$5:$A$504,0)),0)+SUMIFS($F$5:$F1059,$C$5:$C1059,$C1059,$B$5:$B1059,"Entrada")-SUMIFS($F$5:$F1059,$C$5:$C1059,$C1059,$B$5:$B1059,"Salida"))</f>
        <v/>
      </c>
      <c r="J1059" s="20"/>
      <c r="K1059" s="20"/>
      <c r="L1059" s="20"/>
      <c r="M1059" s="14" t="str">
        <f>IF(AND($C1059&lt;&gt;"",$C1059=Kardex!$C$4),COUNTIF($C$5:$C1059,Kardex!$C$4),"")</f>
        <v/>
      </c>
    </row>
    <row r="1060" spans="1:13" x14ac:dyDescent="0.25">
      <c r="A1060" s="24"/>
      <c r="B1060" s="20"/>
      <c r="C1060" s="20"/>
      <c r="D1060" s="14" t="str">
        <f>IF($C1060="","",IFERROR(INDEX(Productos!$B$5:$B$504,MATCH($C1060,Productos!$A$5:$A$504,0)),"Clave no existe"))</f>
        <v/>
      </c>
      <c r="E1060" s="14" t="str">
        <f>IF($C1060="","",IFERROR(INDEX(Productos!$D$5:$D$504,MATCH($C1060,Productos!$A$5:$A$504,0)),""))</f>
        <v/>
      </c>
      <c r="F1060" s="20"/>
      <c r="G1060" s="22" t="str">
        <f>IF($C1060="","",IFERROR(INDEX(Productos!$F$5:$F$504,MATCH($C1060,Productos!$A$5:$A$504,0)),0))</f>
        <v/>
      </c>
      <c r="H1060" s="22" t="str">
        <f t="shared" si="16"/>
        <v/>
      </c>
      <c r="I1060" s="14" t="str">
        <f>IF(OR($C1060="",$F1060=""),"",IFERROR(INDEX(Productos!$I$5:$I$504,MATCH($C1060,Productos!$A$5:$A$504,0)),0)+SUMIFS($F$5:$F1060,$C$5:$C1060,$C1060,$B$5:$B1060,"Entrada")-SUMIFS($F$5:$F1060,$C$5:$C1060,$C1060,$B$5:$B1060,"Salida"))</f>
        <v/>
      </c>
      <c r="J1060" s="20"/>
      <c r="K1060" s="20"/>
      <c r="L1060" s="20"/>
      <c r="M1060" s="14" t="str">
        <f>IF(AND($C1060&lt;&gt;"",$C1060=Kardex!$C$4),COUNTIF($C$5:$C1060,Kardex!$C$4),"")</f>
        <v/>
      </c>
    </row>
    <row r="1061" spans="1:13" x14ac:dyDescent="0.25">
      <c r="A1061" s="24"/>
      <c r="B1061" s="20"/>
      <c r="C1061" s="20"/>
      <c r="D1061" s="14" t="str">
        <f>IF($C1061="","",IFERROR(INDEX(Productos!$B$5:$B$504,MATCH($C1061,Productos!$A$5:$A$504,0)),"Clave no existe"))</f>
        <v/>
      </c>
      <c r="E1061" s="14" t="str">
        <f>IF($C1061="","",IFERROR(INDEX(Productos!$D$5:$D$504,MATCH($C1061,Productos!$A$5:$A$504,0)),""))</f>
        <v/>
      </c>
      <c r="F1061" s="20"/>
      <c r="G1061" s="22" t="str">
        <f>IF($C1061="","",IFERROR(INDEX(Productos!$F$5:$F$504,MATCH($C1061,Productos!$A$5:$A$504,0)),0))</f>
        <v/>
      </c>
      <c r="H1061" s="22" t="str">
        <f t="shared" si="16"/>
        <v/>
      </c>
      <c r="I1061" s="14" t="str">
        <f>IF(OR($C1061="",$F1061=""),"",IFERROR(INDEX(Productos!$I$5:$I$504,MATCH($C1061,Productos!$A$5:$A$504,0)),0)+SUMIFS($F$5:$F1061,$C$5:$C1061,$C1061,$B$5:$B1061,"Entrada")-SUMIFS($F$5:$F1061,$C$5:$C1061,$C1061,$B$5:$B1061,"Salida"))</f>
        <v/>
      </c>
      <c r="J1061" s="20"/>
      <c r="K1061" s="20"/>
      <c r="L1061" s="20"/>
      <c r="M1061" s="14" t="str">
        <f>IF(AND($C1061&lt;&gt;"",$C1061=Kardex!$C$4),COUNTIF($C$5:$C1061,Kardex!$C$4),"")</f>
        <v/>
      </c>
    </row>
    <row r="1062" spans="1:13" x14ac:dyDescent="0.25">
      <c r="A1062" s="24"/>
      <c r="B1062" s="20"/>
      <c r="C1062" s="20"/>
      <c r="D1062" s="14" t="str">
        <f>IF($C1062="","",IFERROR(INDEX(Productos!$B$5:$B$504,MATCH($C1062,Productos!$A$5:$A$504,0)),"Clave no existe"))</f>
        <v/>
      </c>
      <c r="E1062" s="14" t="str">
        <f>IF($C1062="","",IFERROR(INDEX(Productos!$D$5:$D$504,MATCH($C1062,Productos!$A$5:$A$504,0)),""))</f>
        <v/>
      </c>
      <c r="F1062" s="20"/>
      <c r="G1062" s="22" t="str">
        <f>IF($C1062="","",IFERROR(INDEX(Productos!$F$5:$F$504,MATCH($C1062,Productos!$A$5:$A$504,0)),0))</f>
        <v/>
      </c>
      <c r="H1062" s="22" t="str">
        <f t="shared" si="16"/>
        <v/>
      </c>
      <c r="I1062" s="14" t="str">
        <f>IF(OR($C1062="",$F1062=""),"",IFERROR(INDEX(Productos!$I$5:$I$504,MATCH($C1062,Productos!$A$5:$A$504,0)),0)+SUMIFS($F$5:$F1062,$C$5:$C1062,$C1062,$B$5:$B1062,"Entrada")-SUMIFS($F$5:$F1062,$C$5:$C1062,$C1062,$B$5:$B1062,"Salida"))</f>
        <v/>
      </c>
      <c r="J1062" s="20"/>
      <c r="K1062" s="20"/>
      <c r="L1062" s="20"/>
      <c r="M1062" s="14" t="str">
        <f>IF(AND($C1062&lt;&gt;"",$C1062=Kardex!$C$4),COUNTIF($C$5:$C1062,Kardex!$C$4),"")</f>
        <v/>
      </c>
    </row>
    <row r="1063" spans="1:13" x14ac:dyDescent="0.25">
      <c r="A1063" s="24"/>
      <c r="B1063" s="20"/>
      <c r="C1063" s="20"/>
      <c r="D1063" s="14" t="str">
        <f>IF($C1063="","",IFERROR(INDEX(Productos!$B$5:$B$504,MATCH($C1063,Productos!$A$5:$A$504,0)),"Clave no existe"))</f>
        <v/>
      </c>
      <c r="E1063" s="14" t="str">
        <f>IF($C1063="","",IFERROR(INDEX(Productos!$D$5:$D$504,MATCH($C1063,Productos!$A$5:$A$504,0)),""))</f>
        <v/>
      </c>
      <c r="F1063" s="20"/>
      <c r="G1063" s="22" t="str">
        <f>IF($C1063="","",IFERROR(INDEX(Productos!$F$5:$F$504,MATCH($C1063,Productos!$A$5:$A$504,0)),0))</f>
        <v/>
      </c>
      <c r="H1063" s="22" t="str">
        <f t="shared" si="16"/>
        <v/>
      </c>
      <c r="I1063" s="14" t="str">
        <f>IF(OR($C1063="",$F1063=""),"",IFERROR(INDEX(Productos!$I$5:$I$504,MATCH($C1063,Productos!$A$5:$A$504,0)),0)+SUMIFS($F$5:$F1063,$C$5:$C1063,$C1063,$B$5:$B1063,"Entrada")-SUMIFS($F$5:$F1063,$C$5:$C1063,$C1063,$B$5:$B1063,"Salida"))</f>
        <v/>
      </c>
      <c r="J1063" s="20"/>
      <c r="K1063" s="20"/>
      <c r="L1063" s="20"/>
      <c r="M1063" s="14" t="str">
        <f>IF(AND($C1063&lt;&gt;"",$C1063=Kardex!$C$4),COUNTIF($C$5:$C1063,Kardex!$C$4),"")</f>
        <v/>
      </c>
    </row>
    <row r="1064" spans="1:13" x14ac:dyDescent="0.25">
      <c r="A1064" s="24"/>
      <c r="B1064" s="20"/>
      <c r="C1064" s="20"/>
      <c r="D1064" s="14" t="str">
        <f>IF($C1064="","",IFERROR(INDEX(Productos!$B$5:$B$504,MATCH($C1064,Productos!$A$5:$A$504,0)),"Clave no existe"))</f>
        <v/>
      </c>
      <c r="E1064" s="14" t="str">
        <f>IF($C1064="","",IFERROR(INDEX(Productos!$D$5:$D$504,MATCH($C1064,Productos!$A$5:$A$504,0)),""))</f>
        <v/>
      </c>
      <c r="F1064" s="20"/>
      <c r="G1064" s="22" t="str">
        <f>IF($C1064="","",IFERROR(INDEX(Productos!$F$5:$F$504,MATCH($C1064,Productos!$A$5:$A$504,0)),0))</f>
        <v/>
      </c>
      <c r="H1064" s="22" t="str">
        <f t="shared" si="16"/>
        <v/>
      </c>
      <c r="I1064" s="14" t="str">
        <f>IF(OR($C1064="",$F1064=""),"",IFERROR(INDEX(Productos!$I$5:$I$504,MATCH($C1064,Productos!$A$5:$A$504,0)),0)+SUMIFS($F$5:$F1064,$C$5:$C1064,$C1064,$B$5:$B1064,"Entrada")-SUMIFS($F$5:$F1064,$C$5:$C1064,$C1064,$B$5:$B1064,"Salida"))</f>
        <v/>
      </c>
      <c r="J1064" s="20"/>
      <c r="K1064" s="20"/>
      <c r="L1064" s="20"/>
      <c r="M1064" s="14" t="str">
        <f>IF(AND($C1064&lt;&gt;"",$C1064=Kardex!$C$4),COUNTIF($C$5:$C1064,Kardex!$C$4),"")</f>
        <v/>
      </c>
    </row>
    <row r="1065" spans="1:13" x14ac:dyDescent="0.25">
      <c r="A1065" s="24"/>
      <c r="B1065" s="20"/>
      <c r="C1065" s="20"/>
      <c r="D1065" s="14" t="str">
        <f>IF($C1065="","",IFERROR(INDEX(Productos!$B$5:$B$504,MATCH($C1065,Productos!$A$5:$A$504,0)),"Clave no existe"))</f>
        <v/>
      </c>
      <c r="E1065" s="14" t="str">
        <f>IF($C1065="","",IFERROR(INDEX(Productos!$D$5:$D$504,MATCH($C1065,Productos!$A$5:$A$504,0)),""))</f>
        <v/>
      </c>
      <c r="F1065" s="20"/>
      <c r="G1065" s="22" t="str">
        <f>IF($C1065="","",IFERROR(INDEX(Productos!$F$5:$F$504,MATCH($C1065,Productos!$A$5:$A$504,0)),0))</f>
        <v/>
      </c>
      <c r="H1065" s="22" t="str">
        <f t="shared" si="16"/>
        <v/>
      </c>
      <c r="I1065" s="14" t="str">
        <f>IF(OR($C1065="",$F1065=""),"",IFERROR(INDEX(Productos!$I$5:$I$504,MATCH($C1065,Productos!$A$5:$A$504,0)),0)+SUMIFS($F$5:$F1065,$C$5:$C1065,$C1065,$B$5:$B1065,"Entrada")-SUMIFS($F$5:$F1065,$C$5:$C1065,$C1065,$B$5:$B1065,"Salida"))</f>
        <v/>
      </c>
      <c r="J1065" s="20"/>
      <c r="K1065" s="20"/>
      <c r="L1065" s="20"/>
      <c r="M1065" s="14" t="str">
        <f>IF(AND($C1065&lt;&gt;"",$C1065=Kardex!$C$4),COUNTIF($C$5:$C1065,Kardex!$C$4),"")</f>
        <v/>
      </c>
    </row>
    <row r="1066" spans="1:13" x14ac:dyDescent="0.25">
      <c r="A1066" s="24"/>
      <c r="B1066" s="20"/>
      <c r="C1066" s="20"/>
      <c r="D1066" s="14" t="str">
        <f>IF($C1066="","",IFERROR(INDEX(Productos!$B$5:$B$504,MATCH($C1066,Productos!$A$5:$A$504,0)),"Clave no existe"))</f>
        <v/>
      </c>
      <c r="E1066" s="14" t="str">
        <f>IF($C1066="","",IFERROR(INDEX(Productos!$D$5:$D$504,MATCH($C1066,Productos!$A$5:$A$504,0)),""))</f>
        <v/>
      </c>
      <c r="F1066" s="20"/>
      <c r="G1066" s="22" t="str">
        <f>IF($C1066="","",IFERROR(INDEX(Productos!$F$5:$F$504,MATCH($C1066,Productos!$A$5:$A$504,0)),0))</f>
        <v/>
      </c>
      <c r="H1066" s="22" t="str">
        <f t="shared" si="16"/>
        <v/>
      </c>
      <c r="I1066" s="14" t="str">
        <f>IF(OR($C1066="",$F1066=""),"",IFERROR(INDEX(Productos!$I$5:$I$504,MATCH($C1066,Productos!$A$5:$A$504,0)),0)+SUMIFS($F$5:$F1066,$C$5:$C1066,$C1066,$B$5:$B1066,"Entrada")-SUMIFS($F$5:$F1066,$C$5:$C1066,$C1066,$B$5:$B1066,"Salida"))</f>
        <v/>
      </c>
      <c r="J1066" s="20"/>
      <c r="K1066" s="20"/>
      <c r="L1066" s="20"/>
      <c r="M1066" s="14" t="str">
        <f>IF(AND($C1066&lt;&gt;"",$C1066=Kardex!$C$4),COUNTIF($C$5:$C1066,Kardex!$C$4),"")</f>
        <v/>
      </c>
    </row>
    <row r="1067" spans="1:13" x14ac:dyDescent="0.25">
      <c r="A1067" s="24"/>
      <c r="B1067" s="20"/>
      <c r="C1067" s="20"/>
      <c r="D1067" s="14" t="str">
        <f>IF($C1067="","",IFERROR(INDEX(Productos!$B$5:$B$504,MATCH($C1067,Productos!$A$5:$A$504,0)),"Clave no existe"))</f>
        <v/>
      </c>
      <c r="E1067" s="14" t="str">
        <f>IF($C1067="","",IFERROR(INDEX(Productos!$D$5:$D$504,MATCH($C1067,Productos!$A$5:$A$504,0)),""))</f>
        <v/>
      </c>
      <c r="F1067" s="20"/>
      <c r="G1067" s="22" t="str">
        <f>IF($C1067="","",IFERROR(INDEX(Productos!$F$5:$F$504,MATCH($C1067,Productos!$A$5:$A$504,0)),0))</f>
        <v/>
      </c>
      <c r="H1067" s="22" t="str">
        <f t="shared" si="16"/>
        <v/>
      </c>
      <c r="I1067" s="14" t="str">
        <f>IF(OR($C1067="",$F1067=""),"",IFERROR(INDEX(Productos!$I$5:$I$504,MATCH($C1067,Productos!$A$5:$A$504,0)),0)+SUMIFS($F$5:$F1067,$C$5:$C1067,$C1067,$B$5:$B1067,"Entrada")-SUMIFS($F$5:$F1067,$C$5:$C1067,$C1067,$B$5:$B1067,"Salida"))</f>
        <v/>
      </c>
      <c r="J1067" s="20"/>
      <c r="K1067" s="20"/>
      <c r="L1067" s="20"/>
      <c r="M1067" s="14" t="str">
        <f>IF(AND($C1067&lt;&gt;"",$C1067=Kardex!$C$4),COUNTIF($C$5:$C1067,Kardex!$C$4),"")</f>
        <v/>
      </c>
    </row>
    <row r="1068" spans="1:13" x14ac:dyDescent="0.25">
      <c r="A1068" s="24"/>
      <c r="B1068" s="20"/>
      <c r="C1068" s="20"/>
      <c r="D1068" s="14" t="str">
        <f>IF($C1068="","",IFERROR(INDEX(Productos!$B$5:$B$504,MATCH($C1068,Productos!$A$5:$A$504,0)),"Clave no existe"))</f>
        <v/>
      </c>
      <c r="E1068" s="14" t="str">
        <f>IF($C1068="","",IFERROR(INDEX(Productos!$D$5:$D$504,MATCH($C1068,Productos!$A$5:$A$504,0)),""))</f>
        <v/>
      </c>
      <c r="F1068" s="20"/>
      <c r="G1068" s="22" t="str">
        <f>IF($C1068="","",IFERROR(INDEX(Productos!$F$5:$F$504,MATCH($C1068,Productos!$A$5:$A$504,0)),0))</f>
        <v/>
      </c>
      <c r="H1068" s="22" t="str">
        <f t="shared" si="16"/>
        <v/>
      </c>
      <c r="I1068" s="14" t="str">
        <f>IF(OR($C1068="",$F1068=""),"",IFERROR(INDEX(Productos!$I$5:$I$504,MATCH($C1068,Productos!$A$5:$A$504,0)),0)+SUMIFS($F$5:$F1068,$C$5:$C1068,$C1068,$B$5:$B1068,"Entrada")-SUMIFS($F$5:$F1068,$C$5:$C1068,$C1068,$B$5:$B1068,"Salida"))</f>
        <v/>
      </c>
      <c r="J1068" s="20"/>
      <c r="K1068" s="20"/>
      <c r="L1068" s="20"/>
      <c r="M1068" s="14" t="str">
        <f>IF(AND($C1068&lt;&gt;"",$C1068=Kardex!$C$4),COUNTIF($C$5:$C1068,Kardex!$C$4),"")</f>
        <v/>
      </c>
    </row>
    <row r="1069" spans="1:13" x14ac:dyDescent="0.25">
      <c r="A1069" s="24"/>
      <c r="B1069" s="20"/>
      <c r="C1069" s="20"/>
      <c r="D1069" s="14" t="str">
        <f>IF($C1069="","",IFERROR(INDEX(Productos!$B$5:$B$504,MATCH($C1069,Productos!$A$5:$A$504,0)),"Clave no existe"))</f>
        <v/>
      </c>
      <c r="E1069" s="14" t="str">
        <f>IF($C1069="","",IFERROR(INDEX(Productos!$D$5:$D$504,MATCH($C1069,Productos!$A$5:$A$504,0)),""))</f>
        <v/>
      </c>
      <c r="F1069" s="20"/>
      <c r="G1069" s="22" t="str">
        <f>IF($C1069="","",IFERROR(INDEX(Productos!$F$5:$F$504,MATCH($C1069,Productos!$A$5:$A$504,0)),0))</f>
        <v/>
      </c>
      <c r="H1069" s="22" t="str">
        <f t="shared" si="16"/>
        <v/>
      </c>
      <c r="I1069" s="14" t="str">
        <f>IF(OR($C1069="",$F1069=""),"",IFERROR(INDEX(Productos!$I$5:$I$504,MATCH($C1069,Productos!$A$5:$A$504,0)),0)+SUMIFS($F$5:$F1069,$C$5:$C1069,$C1069,$B$5:$B1069,"Entrada")-SUMIFS($F$5:$F1069,$C$5:$C1069,$C1069,$B$5:$B1069,"Salida"))</f>
        <v/>
      </c>
      <c r="J1069" s="20"/>
      <c r="K1069" s="20"/>
      <c r="L1069" s="20"/>
      <c r="M1069" s="14" t="str">
        <f>IF(AND($C1069&lt;&gt;"",$C1069=Kardex!$C$4),COUNTIF($C$5:$C1069,Kardex!$C$4),"")</f>
        <v/>
      </c>
    </row>
    <row r="1070" spans="1:13" x14ac:dyDescent="0.25">
      <c r="A1070" s="24"/>
      <c r="B1070" s="20"/>
      <c r="C1070" s="20"/>
      <c r="D1070" s="14" t="str">
        <f>IF($C1070="","",IFERROR(INDEX(Productos!$B$5:$B$504,MATCH($C1070,Productos!$A$5:$A$504,0)),"Clave no existe"))</f>
        <v/>
      </c>
      <c r="E1070" s="14" t="str">
        <f>IF($C1070="","",IFERROR(INDEX(Productos!$D$5:$D$504,MATCH($C1070,Productos!$A$5:$A$504,0)),""))</f>
        <v/>
      </c>
      <c r="F1070" s="20"/>
      <c r="G1070" s="22" t="str">
        <f>IF($C1070="","",IFERROR(INDEX(Productos!$F$5:$F$504,MATCH($C1070,Productos!$A$5:$A$504,0)),0))</f>
        <v/>
      </c>
      <c r="H1070" s="22" t="str">
        <f t="shared" si="16"/>
        <v/>
      </c>
      <c r="I1070" s="14" t="str">
        <f>IF(OR($C1070="",$F1070=""),"",IFERROR(INDEX(Productos!$I$5:$I$504,MATCH($C1070,Productos!$A$5:$A$504,0)),0)+SUMIFS($F$5:$F1070,$C$5:$C1070,$C1070,$B$5:$B1070,"Entrada")-SUMIFS($F$5:$F1070,$C$5:$C1070,$C1070,$B$5:$B1070,"Salida"))</f>
        <v/>
      </c>
      <c r="J1070" s="20"/>
      <c r="K1070" s="20"/>
      <c r="L1070" s="20"/>
      <c r="M1070" s="14" t="str">
        <f>IF(AND($C1070&lt;&gt;"",$C1070=Kardex!$C$4),COUNTIF($C$5:$C1070,Kardex!$C$4),"")</f>
        <v/>
      </c>
    </row>
    <row r="1071" spans="1:13" x14ac:dyDescent="0.25">
      <c r="A1071" s="24"/>
      <c r="B1071" s="20"/>
      <c r="C1071" s="20"/>
      <c r="D1071" s="14" t="str">
        <f>IF($C1071="","",IFERROR(INDEX(Productos!$B$5:$B$504,MATCH($C1071,Productos!$A$5:$A$504,0)),"Clave no existe"))</f>
        <v/>
      </c>
      <c r="E1071" s="14" t="str">
        <f>IF($C1071="","",IFERROR(INDEX(Productos!$D$5:$D$504,MATCH($C1071,Productos!$A$5:$A$504,0)),""))</f>
        <v/>
      </c>
      <c r="F1071" s="20"/>
      <c r="G1071" s="22" t="str">
        <f>IF($C1071="","",IFERROR(INDEX(Productos!$F$5:$F$504,MATCH($C1071,Productos!$A$5:$A$504,0)),0))</f>
        <v/>
      </c>
      <c r="H1071" s="22" t="str">
        <f t="shared" si="16"/>
        <v/>
      </c>
      <c r="I1071" s="14" t="str">
        <f>IF(OR($C1071="",$F1071=""),"",IFERROR(INDEX(Productos!$I$5:$I$504,MATCH($C1071,Productos!$A$5:$A$504,0)),0)+SUMIFS($F$5:$F1071,$C$5:$C1071,$C1071,$B$5:$B1071,"Entrada")-SUMIFS($F$5:$F1071,$C$5:$C1071,$C1071,$B$5:$B1071,"Salida"))</f>
        <v/>
      </c>
      <c r="J1071" s="20"/>
      <c r="K1071" s="20"/>
      <c r="L1071" s="20"/>
      <c r="M1071" s="14" t="str">
        <f>IF(AND($C1071&lt;&gt;"",$C1071=Kardex!$C$4),COUNTIF($C$5:$C1071,Kardex!$C$4),"")</f>
        <v/>
      </c>
    </row>
    <row r="1072" spans="1:13" x14ac:dyDescent="0.25">
      <c r="A1072" s="24"/>
      <c r="B1072" s="20"/>
      <c r="C1072" s="20"/>
      <c r="D1072" s="14" t="str">
        <f>IF($C1072="","",IFERROR(INDEX(Productos!$B$5:$B$504,MATCH($C1072,Productos!$A$5:$A$504,0)),"Clave no existe"))</f>
        <v/>
      </c>
      <c r="E1072" s="14" t="str">
        <f>IF($C1072="","",IFERROR(INDEX(Productos!$D$5:$D$504,MATCH($C1072,Productos!$A$5:$A$504,0)),""))</f>
        <v/>
      </c>
      <c r="F1072" s="20"/>
      <c r="G1072" s="22" t="str">
        <f>IF($C1072="","",IFERROR(INDEX(Productos!$F$5:$F$504,MATCH($C1072,Productos!$A$5:$A$504,0)),0))</f>
        <v/>
      </c>
      <c r="H1072" s="22" t="str">
        <f t="shared" si="16"/>
        <v/>
      </c>
      <c r="I1072" s="14" t="str">
        <f>IF(OR($C1072="",$F1072=""),"",IFERROR(INDEX(Productos!$I$5:$I$504,MATCH($C1072,Productos!$A$5:$A$504,0)),0)+SUMIFS($F$5:$F1072,$C$5:$C1072,$C1072,$B$5:$B1072,"Entrada")-SUMIFS($F$5:$F1072,$C$5:$C1072,$C1072,$B$5:$B1072,"Salida"))</f>
        <v/>
      </c>
      <c r="J1072" s="20"/>
      <c r="K1072" s="20"/>
      <c r="L1072" s="20"/>
      <c r="M1072" s="14" t="str">
        <f>IF(AND($C1072&lt;&gt;"",$C1072=Kardex!$C$4),COUNTIF($C$5:$C1072,Kardex!$C$4),"")</f>
        <v/>
      </c>
    </row>
    <row r="1073" spans="1:13" x14ac:dyDescent="0.25">
      <c r="A1073" s="24"/>
      <c r="B1073" s="20"/>
      <c r="C1073" s="20"/>
      <c r="D1073" s="14" t="str">
        <f>IF($C1073="","",IFERROR(INDEX(Productos!$B$5:$B$504,MATCH($C1073,Productos!$A$5:$A$504,0)),"Clave no existe"))</f>
        <v/>
      </c>
      <c r="E1073" s="14" t="str">
        <f>IF($C1073="","",IFERROR(INDEX(Productos!$D$5:$D$504,MATCH($C1073,Productos!$A$5:$A$504,0)),""))</f>
        <v/>
      </c>
      <c r="F1073" s="20"/>
      <c r="G1073" s="22" t="str">
        <f>IF($C1073="","",IFERROR(INDEX(Productos!$F$5:$F$504,MATCH($C1073,Productos!$A$5:$A$504,0)),0))</f>
        <v/>
      </c>
      <c r="H1073" s="22" t="str">
        <f t="shared" si="16"/>
        <v/>
      </c>
      <c r="I1073" s="14" t="str">
        <f>IF(OR($C1073="",$F1073=""),"",IFERROR(INDEX(Productos!$I$5:$I$504,MATCH($C1073,Productos!$A$5:$A$504,0)),0)+SUMIFS($F$5:$F1073,$C$5:$C1073,$C1073,$B$5:$B1073,"Entrada")-SUMIFS($F$5:$F1073,$C$5:$C1073,$C1073,$B$5:$B1073,"Salida"))</f>
        <v/>
      </c>
      <c r="J1073" s="20"/>
      <c r="K1073" s="20"/>
      <c r="L1073" s="20"/>
      <c r="M1073" s="14" t="str">
        <f>IF(AND($C1073&lt;&gt;"",$C1073=Kardex!$C$4),COUNTIF($C$5:$C1073,Kardex!$C$4),"")</f>
        <v/>
      </c>
    </row>
    <row r="1074" spans="1:13" x14ac:dyDescent="0.25">
      <c r="A1074" s="24"/>
      <c r="B1074" s="20"/>
      <c r="C1074" s="20"/>
      <c r="D1074" s="14" t="str">
        <f>IF($C1074="","",IFERROR(INDEX(Productos!$B$5:$B$504,MATCH($C1074,Productos!$A$5:$A$504,0)),"Clave no existe"))</f>
        <v/>
      </c>
      <c r="E1074" s="14" t="str">
        <f>IF($C1074="","",IFERROR(INDEX(Productos!$D$5:$D$504,MATCH($C1074,Productos!$A$5:$A$504,0)),""))</f>
        <v/>
      </c>
      <c r="F1074" s="20"/>
      <c r="G1074" s="22" t="str">
        <f>IF($C1074="","",IFERROR(INDEX(Productos!$F$5:$F$504,MATCH($C1074,Productos!$A$5:$A$504,0)),0))</f>
        <v/>
      </c>
      <c r="H1074" s="22" t="str">
        <f t="shared" si="16"/>
        <v/>
      </c>
      <c r="I1074" s="14" t="str">
        <f>IF(OR($C1074="",$F1074=""),"",IFERROR(INDEX(Productos!$I$5:$I$504,MATCH($C1074,Productos!$A$5:$A$504,0)),0)+SUMIFS($F$5:$F1074,$C$5:$C1074,$C1074,$B$5:$B1074,"Entrada")-SUMIFS($F$5:$F1074,$C$5:$C1074,$C1074,$B$5:$B1074,"Salida"))</f>
        <v/>
      </c>
      <c r="J1074" s="20"/>
      <c r="K1074" s="20"/>
      <c r="L1074" s="20"/>
      <c r="M1074" s="14" t="str">
        <f>IF(AND($C1074&lt;&gt;"",$C1074=Kardex!$C$4),COUNTIF($C$5:$C1074,Kardex!$C$4),"")</f>
        <v/>
      </c>
    </row>
    <row r="1075" spans="1:13" x14ac:dyDescent="0.25">
      <c r="A1075" s="24"/>
      <c r="B1075" s="20"/>
      <c r="C1075" s="20"/>
      <c r="D1075" s="14" t="str">
        <f>IF($C1075="","",IFERROR(INDEX(Productos!$B$5:$B$504,MATCH($C1075,Productos!$A$5:$A$504,0)),"Clave no existe"))</f>
        <v/>
      </c>
      <c r="E1075" s="14" t="str">
        <f>IF($C1075="","",IFERROR(INDEX(Productos!$D$5:$D$504,MATCH($C1075,Productos!$A$5:$A$504,0)),""))</f>
        <v/>
      </c>
      <c r="F1075" s="20"/>
      <c r="G1075" s="22" t="str">
        <f>IF($C1075="","",IFERROR(INDEX(Productos!$F$5:$F$504,MATCH($C1075,Productos!$A$5:$A$504,0)),0))</f>
        <v/>
      </c>
      <c r="H1075" s="22" t="str">
        <f t="shared" si="16"/>
        <v/>
      </c>
      <c r="I1075" s="14" t="str">
        <f>IF(OR($C1075="",$F1075=""),"",IFERROR(INDEX(Productos!$I$5:$I$504,MATCH($C1075,Productos!$A$5:$A$504,0)),0)+SUMIFS($F$5:$F1075,$C$5:$C1075,$C1075,$B$5:$B1075,"Entrada")-SUMIFS($F$5:$F1075,$C$5:$C1075,$C1075,$B$5:$B1075,"Salida"))</f>
        <v/>
      </c>
      <c r="J1075" s="20"/>
      <c r="K1075" s="20"/>
      <c r="L1075" s="20"/>
      <c r="M1075" s="14" t="str">
        <f>IF(AND($C1075&lt;&gt;"",$C1075=Kardex!$C$4),COUNTIF($C$5:$C1075,Kardex!$C$4),"")</f>
        <v/>
      </c>
    </row>
    <row r="1076" spans="1:13" x14ac:dyDescent="0.25">
      <c r="A1076" s="24"/>
      <c r="B1076" s="20"/>
      <c r="C1076" s="20"/>
      <c r="D1076" s="14" t="str">
        <f>IF($C1076="","",IFERROR(INDEX(Productos!$B$5:$B$504,MATCH($C1076,Productos!$A$5:$A$504,0)),"Clave no existe"))</f>
        <v/>
      </c>
      <c r="E1076" s="14" t="str">
        <f>IF($C1076="","",IFERROR(INDEX(Productos!$D$5:$D$504,MATCH($C1076,Productos!$A$5:$A$504,0)),""))</f>
        <v/>
      </c>
      <c r="F1076" s="20"/>
      <c r="G1076" s="22" t="str">
        <f>IF($C1076="","",IFERROR(INDEX(Productos!$F$5:$F$504,MATCH($C1076,Productos!$A$5:$A$504,0)),0))</f>
        <v/>
      </c>
      <c r="H1076" s="22" t="str">
        <f t="shared" si="16"/>
        <v/>
      </c>
      <c r="I1076" s="14" t="str">
        <f>IF(OR($C1076="",$F1076=""),"",IFERROR(INDEX(Productos!$I$5:$I$504,MATCH($C1076,Productos!$A$5:$A$504,0)),0)+SUMIFS($F$5:$F1076,$C$5:$C1076,$C1076,$B$5:$B1076,"Entrada")-SUMIFS($F$5:$F1076,$C$5:$C1076,$C1076,$B$5:$B1076,"Salida"))</f>
        <v/>
      </c>
      <c r="J1076" s="20"/>
      <c r="K1076" s="20"/>
      <c r="L1076" s="20"/>
      <c r="M1076" s="14" t="str">
        <f>IF(AND($C1076&lt;&gt;"",$C1076=Kardex!$C$4),COUNTIF($C$5:$C1076,Kardex!$C$4),"")</f>
        <v/>
      </c>
    </row>
    <row r="1077" spans="1:13" x14ac:dyDescent="0.25">
      <c r="A1077" s="24"/>
      <c r="B1077" s="20"/>
      <c r="C1077" s="20"/>
      <c r="D1077" s="14" t="str">
        <f>IF($C1077="","",IFERROR(INDEX(Productos!$B$5:$B$504,MATCH($C1077,Productos!$A$5:$A$504,0)),"Clave no existe"))</f>
        <v/>
      </c>
      <c r="E1077" s="14" t="str">
        <f>IF($C1077="","",IFERROR(INDEX(Productos!$D$5:$D$504,MATCH($C1077,Productos!$A$5:$A$504,0)),""))</f>
        <v/>
      </c>
      <c r="F1077" s="20"/>
      <c r="G1077" s="22" t="str">
        <f>IF($C1077="","",IFERROR(INDEX(Productos!$F$5:$F$504,MATCH($C1077,Productos!$A$5:$A$504,0)),0))</f>
        <v/>
      </c>
      <c r="H1077" s="22" t="str">
        <f t="shared" si="16"/>
        <v/>
      </c>
      <c r="I1077" s="14" t="str">
        <f>IF(OR($C1077="",$F1077=""),"",IFERROR(INDEX(Productos!$I$5:$I$504,MATCH($C1077,Productos!$A$5:$A$504,0)),0)+SUMIFS($F$5:$F1077,$C$5:$C1077,$C1077,$B$5:$B1077,"Entrada")-SUMIFS($F$5:$F1077,$C$5:$C1077,$C1077,$B$5:$B1077,"Salida"))</f>
        <v/>
      </c>
      <c r="J1077" s="20"/>
      <c r="K1077" s="20"/>
      <c r="L1077" s="20"/>
      <c r="M1077" s="14" t="str">
        <f>IF(AND($C1077&lt;&gt;"",$C1077=Kardex!$C$4),COUNTIF($C$5:$C1077,Kardex!$C$4),"")</f>
        <v/>
      </c>
    </row>
    <row r="1078" spans="1:13" x14ac:dyDescent="0.25">
      <c r="A1078" s="24"/>
      <c r="B1078" s="20"/>
      <c r="C1078" s="20"/>
      <c r="D1078" s="14" t="str">
        <f>IF($C1078="","",IFERROR(INDEX(Productos!$B$5:$B$504,MATCH($C1078,Productos!$A$5:$A$504,0)),"Clave no existe"))</f>
        <v/>
      </c>
      <c r="E1078" s="14" t="str">
        <f>IF($C1078="","",IFERROR(INDEX(Productos!$D$5:$D$504,MATCH($C1078,Productos!$A$5:$A$504,0)),""))</f>
        <v/>
      </c>
      <c r="F1078" s="20"/>
      <c r="G1078" s="22" t="str">
        <f>IF($C1078="","",IFERROR(INDEX(Productos!$F$5:$F$504,MATCH($C1078,Productos!$A$5:$A$504,0)),0))</f>
        <v/>
      </c>
      <c r="H1078" s="22" t="str">
        <f t="shared" si="16"/>
        <v/>
      </c>
      <c r="I1078" s="14" t="str">
        <f>IF(OR($C1078="",$F1078=""),"",IFERROR(INDEX(Productos!$I$5:$I$504,MATCH($C1078,Productos!$A$5:$A$504,0)),0)+SUMIFS($F$5:$F1078,$C$5:$C1078,$C1078,$B$5:$B1078,"Entrada")-SUMIFS($F$5:$F1078,$C$5:$C1078,$C1078,$B$5:$B1078,"Salida"))</f>
        <v/>
      </c>
      <c r="J1078" s="20"/>
      <c r="K1078" s="20"/>
      <c r="L1078" s="20"/>
      <c r="M1078" s="14" t="str">
        <f>IF(AND($C1078&lt;&gt;"",$C1078=Kardex!$C$4),COUNTIF($C$5:$C1078,Kardex!$C$4),"")</f>
        <v/>
      </c>
    </row>
    <row r="1079" spans="1:13" x14ac:dyDescent="0.25">
      <c r="A1079" s="24"/>
      <c r="B1079" s="20"/>
      <c r="C1079" s="20"/>
      <c r="D1079" s="14" t="str">
        <f>IF($C1079="","",IFERROR(INDEX(Productos!$B$5:$B$504,MATCH($C1079,Productos!$A$5:$A$504,0)),"Clave no existe"))</f>
        <v/>
      </c>
      <c r="E1079" s="14" t="str">
        <f>IF($C1079="","",IFERROR(INDEX(Productos!$D$5:$D$504,MATCH($C1079,Productos!$A$5:$A$504,0)),""))</f>
        <v/>
      </c>
      <c r="F1079" s="20"/>
      <c r="G1079" s="22" t="str">
        <f>IF($C1079="","",IFERROR(INDEX(Productos!$F$5:$F$504,MATCH($C1079,Productos!$A$5:$A$504,0)),0))</f>
        <v/>
      </c>
      <c r="H1079" s="22" t="str">
        <f t="shared" si="16"/>
        <v/>
      </c>
      <c r="I1079" s="14" t="str">
        <f>IF(OR($C1079="",$F1079=""),"",IFERROR(INDEX(Productos!$I$5:$I$504,MATCH($C1079,Productos!$A$5:$A$504,0)),0)+SUMIFS($F$5:$F1079,$C$5:$C1079,$C1079,$B$5:$B1079,"Entrada")-SUMIFS($F$5:$F1079,$C$5:$C1079,$C1079,$B$5:$B1079,"Salida"))</f>
        <v/>
      </c>
      <c r="J1079" s="20"/>
      <c r="K1079" s="20"/>
      <c r="L1079" s="20"/>
      <c r="M1079" s="14" t="str">
        <f>IF(AND($C1079&lt;&gt;"",$C1079=Kardex!$C$4),COUNTIF($C$5:$C1079,Kardex!$C$4),"")</f>
        <v/>
      </c>
    </row>
    <row r="1080" spans="1:13" x14ac:dyDescent="0.25">
      <c r="A1080" s="24"/>
      <c r="B1080" s="20"/>
      <c r="C1080" s="20"/>
      <c r="D1080" s="14" t="str">
        <f>IF($C1080="","",IFERROR(INDEX(Productos!$B$5:$B$504,MATCH($C1080,Productos!$A$5:$A$504,0)),"Clave no existe"))</f>
        <v/>
      </c>
      <c r="E1080" s="14" t="str">
        <f>IF($C1080="","",IFERROR(INDEX(Productos!$D$5:$D$504,MATCH($C1080,Productos!$A$5:$A$504,0)),""))</f>
        <v/>
      </c>
      <c r="F1080" s="20"/>
      <c r="G1080" s="22" t="str">
        <f>IF($C1080="","",IFERROR(INDEX(Productos!$F$5:$F$504,MATCH($C1080,Productos!$A$5:$A$504,0)),0))</f>
        <v/>
      </c>
      <c r="H1080" s="22" t="str">
        <f t="shared" si="16"/>
        <v/>
      </c>
      <c r="I1080" s="14" t="str">
        <f>IF(OR($C1080="",$F1080=""),"",IFERROR(INDEX(Productos!$I$5:$I$504,MATCH($C1080,Productos!$A$5:$A$504,0)),0)+SUMIFS($F$5:$F1080,$C$5:$C1080,$C1080,$B$5:$B1080,"Entrada")-SUMIFS($F$5:$F1080,$C$5:$C1080,$C1080,$B$5:$B1080,"Salida"))</f>
        <v/>
      </c>
      <c r="J1080" s="20"/>
      <c r="K1080" s="20"/>
      <c r="L1080" s="20"/>
      <c r="M1080" s="14" t="str">
        <f>IF(AND($C1080&lt;&gt;"",$C1080=Kardex!$C$4),COUNTIF($C$5:$C1080,Kardex!$C$4),"")</f>
        <v/>
      </c>
    </row>
    <row r="1081" spans="1:13" x14ac:dyDescent="0.25">
      <c r="A1081" s="24"/>
      <c r="B1081" s="20"/>
      <c r="C1081" s="20"/>
      <c r="D1081" s="14" t="str">
        <f>IF($C1081="","",IFERROR(INDEX(Productos!$B$5:$B$504,MATCH($C1081,Productos!$A$5:$A$504,0)),"Clave no existe"))</f>
        <v/>
      </c>
      <c r="E1081" s="14" t="str">
        <f>IF($C1081="","",IFERROR(INDEX(Productos!$D$5:$D$504,MATCH($C1081,Productos!$A$5:$A$504,0)),""))</f>
        <v/>
      </c>
      <c r="F1081" s="20"/>
      <c r="G1081" s="22" t="str">
        <f>IF($C1081="","",IFERROR(INDEX(Productos!$F$5:$F$504,MATCH($C1081,Productos!$A$5:$A$504,0)),0))</f>
        <v/>
      </c>
      <c r="H1081" s="22" t="str">
        <f t="shared" si="16"/>
        <v/>
      </c>
      <c r="I1081" s="14" t="str">
        <f>IF(OR($C1081="",$F1081=""),"",IFERROR(INDEX(Productos!$I$5:$I$504,MATCH($C1081,Productos!$A$5:$A$504,0)),0)+SUMIFS($F$5:$F1081,$C$5:$C1081,$C1081,$B$5:$B1081,"Entrada")-SUMIFS($F$5:$F1081,$C$5:$C1081,$C1081,$B$5:$B1081,"Salida"))</f>
        <v/>
      </c>
      <c r="J1081" s="20"/>
      <c r="K1081" s="20"/>
      <c r="L1081" s="20"/>
      <c r="M1081" s="14" t="str">
        <f>IF(AND($C1081&lt;&gt;"",$C1081=Kardex!$C$4),COUNTIF($C$5:$C1081,Kardex!$C$4),"")</f>
        <v/>
      </c>
    </row>
    <row r="1082" spans="1:13" x14ac:dyDescent="0.25">
      <c r="A1082" s="24"/>
      <c r="B1082" s="20"/>
      <c r="C1082" s="20"/>
      <c r="D1082" s="14" t="str">
        <f>IF($C1082="","",IFERROR(INDEX(Productos!$B$5:$B$504,MATCH($C1082,Productos!$A$5:$A$504,0)),"Clave no existe"))</f>
        <v/>
      </c>
      <c r="E1082" s="14" t="str">
        <f>IF($C1082="","",IFERROR(INDEX(Productos!$D$5:$D$504,MATCH($C1082,Productos!$A$5:$A$504,0)),""))</f>
        <v/>
      </c>
      <c r="F1082" s="20"/>
      <c r="G1082" s="22" t="str">
        <f>IF($C1082="","",IFERROR(INDEX(Productos!$F$5:$F$504,MATCH($C1082,Productos!$A$5:$A$504,0)),0))</f>
        <v/>
      </c>
      <c r="H1082" s="22" t="str">
        <f t="shared" si="16"/>
        <v/>
      </c>
      <c r="I1082" s="14" t="str">
        <f>IF(OR($C1082="",$F1082=""),"",IFERROR(INDEX(Productos!$I$5:$I$504,MATCH($C1082,Productos!$A$5:$A$504,0)),0)+SUMIFS($F$5:$F1082,$C$5:$C1082,$C1082,$B$5:$B1082,"Entrada")-SUMIFS($F$5:$F1082,$C$5:$C1082,$C1082,$B$5:$B1082,"Salida"))</f>
        <v/>
      </c>
      <c r="J1082" s="20"/>
      <c r="K1082" s="20"/>
      <c r="L1082" s="20"/>
      <c r="M1082" s="14" t="str">
        <f>IF(AND($C1082&lt;&gt;"",$C1082=Kardex!$C$4),COUNTIF($C$5:$C1082,Kardex!$C$4),"")</f>
        <v/>
      </c>
    </row>
    <row r="1083" spans="1:13" x14ac:dyDescent="0.25">
      <c r="A1083" s="24"/>
      <c r="B1083" s="20"/>
      <c r="C1083" s="20"/>
      <c r="D1083" s="14" t="str">
        <f>IF($C1083="","",IFERROR(INDEX(Productos!$B$5:$B$504,MATCH($C1083,Productos!$A$5:$A$504,0)),"Clave no existe"))</f>
        <v/>
      </c>
      <c r="E1083" s="14" t="str">
        <f>IF($C1083="","",IFERROR(INDEX(Productos!$D$5:$D$504,MATCH($C1083,Productos!$A$5:$A$504,0)),""))</f>
        <v/>
      </c>
      <c r="F1083" s="20"/>
      <c r="G1083" s="22" t="str">
        <f>IF($C1083="","",IFERROR(INDEX(Productos!$F$5:$F$504,MATCH($C1083,Productos!$A$5:$A$504,0)),0))</f>
        <v/>
      </c>
      <c r="H1083" s="22" t="str">
        <f t="shared" si="16"/>
        <v/>
      </c>
      <c r="I1083" s="14" t="str">
        <f>IF(OR($C1083="",$F1083=""),"",IFERROR(INDEX(Productos!$I$5:$I$504,MATCH($C1083,Productos!$A$5:$A$504,0)),0)+SUMIFS($F$5:$F1083,$C$5:$C1083,$C1083,$B$5:$B1083,"Entrada")-SUMIFS($F$5:$F1083,$C$5:$C1083,$C1083,$B$5:$B1083,"Salida"))</f>
        <v/>
      </c>
      <c r="J1083" s="20"/>
      <c r="K1083" s="20"/>
      <c r="L1083" s="20"/>
      <c r="M1083" s="14" t="str">
        <f>IF(AND($C1083&lt;&gt;"",$C1083=Kardex!$C$4),COUNTIF($C$5:$C1083,Kardex!$C$4),"")</f>
        <v/>
      </c>
    </row>
    <row r="1084" spans="1:13" x14ac:dyDescent="0.25">
      <c r="A1084" s="24"/>
      <c r="B1084" s="20"/>
      <c r="C1084" s="20"/>
      <c r="D1084" s="14" t="str">
        <f>IF($C1084="","",IFERROR(INDEX(Productos!$B$5:$B$504,MATCH($C1084,Productos!$A$5:$A$504,0)),"Clave no existe"))</f>
        <v/>
      </c>
      <c r="E1084" s="14" t="str">
        <f>IF($C1084="","",IFERROR(INDEX(Productos!$D$5:$D$504,MATCH($C1084,Productos!$A$5:$A$504,0)),""))</f>
        <v/>
      </c>
      <c r="F1084" s="20"/>
      <c r="G1084" s="22" t="str">
        <f>IF($C1084="","",IFERROR(INDEX(Productos!$F$5:$F$504,MATCH($C1084,Productos!$A$5:$A$504,0)),0))</f>
        <v/>
      </c>
      <c r="H1084" s="22" t="str">
        <f t="shared" si="16"/>
        <v/>
      </c>
      <c r="I1084" s="14" t="str">
        <f>IF(OR($C1084="",$F1084=""),"",IFERROR(INDEX(Productos!$I$5:$I$504,MATCH($C1084,Productos!$A$5:$A$504,0)),0)+SUMIFS($F$5:$F1084,$C$5:$C1084,$C1084,$B$5:$B1084,"Entrada")-SUMIFS($F$5:$F1084,$C$5:$C1084,$C1084,$B$5:$B1084,"Salida"))</f>
        <v/>
      </c>
      <c r="J1084" s="20"/>
      <c r="K1084" s="20"/>
      <c r="L1084" s="20"/>
      <c r="M1084" s="14" t="str">
        <f>IF(AND($C1084&lt;&gt;"",$C1084=Kardex!$C$4),COUNTIF($C$5:$C1084,Kardex!$C$4),"")</f>
        <v/>
      </c>
    </row>
    <row r="1085" spans="1:13" x14ac:dyDescent="0.25">
      <c r="A1085" s="24"/>
      <c r="B1085" s="20"/>
      <c r="C1085" s="20"/>
      <c r="D1085" s="14" t="str">
        <f>IF($C1085="","",IFERROR(INDEX(Productos!$B$5:$B$504,MATCH($C1085,Productos!$A$5:$A$504,0)),"Clave no existe"))</f>
        <v/>
      </c>
      <c r="E1085" s="14" t="str">
        <f>IF($C1085="","",IFERROR(INDEX(Productos!$D$5:$D$504,MATCH($C1085,Productos!$A$5:$A$504,0)),""))</f>
        <v/>
      </c>
      <c r="F1085" s="20"/>
      <c r="G1085" s="22" t="str">
        <f>IF($C1085="","",IFERROR(INDEX(Productos!$F$5:$F$504,MATCH($C1085,Productos!$A$5:$A$504,0)),0))</f>
        <v/>
      </c>
      <c r="H1085" s="22" t="str">
        <f t="shared" si="16"/>
        <v/>
      </c>
      <c r="I1085" s="14" t="str">
        <f>IF(OR($C1085="",$F1085=""),"",IFERROR(INDEX(Productos!$I$5:$I$504,MATCH($C1085,Productos!$A$5:$A$504,0)),0)+SUMIFS($F$5:$F1085,$C$5:$C1085,$C1085,$B$5:$B1085,"Entrada")-SUMIFS($F$5:$F1085,$C$5:$C1085,$C1085,$B$5:$B1085,"Salida"))</f>
        <v/>
      </c>
      <c r="J1085" s="20"/>
      <c r="K1085" s="20"/>
      <c r="L1085" s="20"/>
      <c r="M1085" s="14" t="str">
        <f>IF(AND($C1085&lt;&gt;"",$C1085=Kardex!$C$4),COUNTIF($C$5:$C1085,Kardex!$C$4),"")</f>
        <v/>
      </c>
    </row>
    <row r="1086" spans="1:13" x14ac:dyDescent="0.25">
      <c r="A1086" s="24"/>
      <c r="B1086" s="20"/>
      <c r="C1086" s="20"/>
      <c r="D1086" s="14" t="str">
        <f>IF($C1086="","",IFERROR(INDEX(Productos!$B$5:$B$504,MATCH($C1086,Productos!$A$5:$A$504,0)),"Clave no existe"))</f>
        <v/>
      </c>
      <c r="E1086" s="14" t="str">
        <f>IF($C1086="","",IFERROR(INDEX(Productos!$D$5:$D$504,MATCH($C1086,Productos!$A$5:$A$504,0)),""))</f>
        <v/>
      </c>
      <c r="F1086" s="20"/>
      <c r="G1086" s="22" t="str">
        <f>IF($C1086="","",IFERROR(INDEX(Productos!$F$5:$F$504,MATCH($C1086,Productos!$A$5:$A$504,0)),0))</f>
        <v/>
      </c>
      <c r="H1086" s="22" t="str">
        <f t="shared" si="16"/>
        <v/>
      </c>
      <c r="I1086" s="14" t="str">
        <f>IF(OR($C1086="",$F1086=""),"",IFERROR(INDEX(Productos!$I$5:$I$504,MATCH($C1086,Productos!$A$5:$A$504,0)),0)+SUMIFS($F$5:$F1086,$C$5:$C1086,$C1086,$B$5:$B1086,"Entrada")-SUMIFS($F$5:$F1086,$C$5:$C1086,$C1086,$B$5:$B1086,"Salida"))</f>
        <v/>
      </c>
      <c r="J1086" s="20"/>
      <c r="K1086" s="20"/>
      <c r="L1086" s="20"/>
      <c r="M1086" s="14" t="str">
        <f>IF(AND($C1086&lt;&gt;"",$C1086=Kardex!$C$4),COUNTIF($C$5:$C1086,Kardex!$C$4),"")</f>
        <v/>
      </c>
    </row>
    <row r="1087" spans="1:13" x14ac:dyDescent="0.25">
      <c r="A1087" s="24"/>
      <c r="B1087" s="20"/>
      <c r="C1087" s="20"/>
      <c r="D1087" s="14" t="str">
        <f>IF($C1087="","",IFERROR(INDEX(Productos!$B$5:$B$504,MATCH($C1087,Productos!$A$5:$A$504,0)),"Clave no existe"))</f>
        <v/>
      </c>
      <c r="E1087" s="14" t="str">
        <f>IF($C1087="","",IFERROR(INDEX(Productos!$D$5:$D$504,MATCH($C1087,Productos!$A$5:$A$504,0)),""))</f>
        <v/>
      </c>
      <c r="F1087" s="20"/>
      <c r="G1087" s="22" t="str">
        <f>IF($C1087="","",IFERROR(INDEX(Productos!$F$5:$F$504,MATCH($C1087,Productos!$A$5:$A$504,0)),0))</f>
        <v/>
      </c>
      <c r="H1087" s="22" t="str">
        <f t="shared" si="16"/>
        <v/>
      </c>
      <c r="I1087" s="14" t="str">
        <f>IF(OR($C1087="",$F1087=""),"",IFERROR(INDEX(Productos!$I$5:$I$504,MATCH($C1087,Productos!$A$5:$A$504,0)),0)+SUMIFS($F$5:$F1087,$C$5:$C1087,$C1087,$B$5:$B1087,"Entrada")-SUMIFS($F$5:$F1087,$C$5:$C1087,$C1087,$B$5:$B1087,"Salida"))</f>
        <v/>
      </c>
      <c r="J1087" s="20"/>
      <c r="K1087" s="20"/>
      <c r="L1087" s="20"/>
      <c r="M1087" s="14" t="str">
        <f>IF(AND($C1087&lt;&gt;"",$C1087=Kardex!$C$4),COUNTIF($C$5:$C1087,Kardex!$C$4),"")</f>
        <v/>
      </c>
    </row>
    <row r="1088" spans="1:13" x14ac:dyDescent="0.25">
      <c r="A1088" s="24"/>
      <c r="B1088" s="20"/>
      <c r="C1088" s="20"/>
      <c r="D1088" s="14" t="str">
        <f>IF($C1088="","",IFERROR(INDEX(Productos!$B$5:$B$504,MATCH($C1088,Productos!$A$5:$A$504,0)),"Clave no existe"))</f>
        <v/>
      </c>
      <c r="E1088" s="14" t="str">
        <f>IF($C1088="","",IFERROR(INDEX(Productos!$D$5:$D$504,MATCH($C1088,Productos!$A$5:$A$504,0)),""))</f>
        <v/>
      </c>
      <c r="F1088" s="20"/>
      <c r="G1088" s="22" t="str">
        <f>IF($C1088="","",IFERROR(INDEX(Productos!$F$5:$F$504,MATCH($C1088,Productos!$A$5:$A$504,0)),0))</f>
        <v/>
      </c>
      <c r="H1088" s="22" t="str">
        <f t="shared" si="16"/>
        <v/>
      </c>
      <c r="I1088" s="14" t="str">
        <f>IF(OR($C1088="",$F1088=""),"",IFERROR(INDEX(Productos!$I$5:$I$504,MATCH($C1088,Productos!$A$5:$A$504,0)),0)+SUMIFS($F$5:$F1088,$C$5:$C1088,$C1088,$B$5:$B1088,"Entrada")-SUMIFS($F$5:$F1088,$C$5:$C1088,$C1088,$B$5:$B1088,"Salida"))</f>
        <v/>
      </c>
      <c r="J1088" s="20"/>
      <c r="K1088" s="20"/>
      <c r="L1088" s="20"/>
      <c r="M1088" s="14" t="str">
        <f>IF(AND($C1088&lt;&gt;"",$C1088=Kardex!$C$4),COUNTIF($C$5:$C1088,Kardex!$C$4),"")</f>
        <v/>
      </c>
    </row>
    <row r="1089" spans="1:13" x14ac:dyDescent="0.25">
      <c r="A1089" s="24"/>
      <c r="B1089" s="20"/>
      <c r="C1089" s="20"/>
      <c r="D1089" s="14" t="str">
        <f>IF($C1089="","",IFERROR(INDEX(Productos!$B$5:$B$504,MATCH($C1089,Productos!$A$5:$A$504,0)),"Clave no existe"))</f>
        <v/>
      </c>
      <c r="E1089" s="14" t="str">
        <f>IF($C1089="","",IFERROR(INDEX(Productos!$D$5:$D$504,MATCH($C1089,Productos!$A$5:$A$504,0)),""))</f>
        <v/>
      </c>
      <c r="F1089" s="20"/>
      <c r="G1089" s="22" t="str">
        <f>IF($C1089="","",IFERROR(INDEX(Productos!$F$5:$F$504,MATCH($C1089,Productos!$A$5:$A$504,0)),0))</f>
        <v/>
      </c>
      <c r="H1089" s="22" t="str">
        <f t="shared" si="16"/>
        <v/>
      </c>
      <c r="I1089" s="14" t="str">
        <f>IF(OR($C1089="",$F1089=""),"",IFERROR(INDEX(Productos!$I$5:$I$504,MATCH($C1089,Productos!$A$5:$A$504,0)),0)+SUMIFS($F$5:$F1089,$C$5:$C1089,$C1089,$B$5:$B1089,"Entrada")-SUMIFS($F$5:$F1089,$C$5:$C1089,$C1089,$B$5:$B1089,"Salida"))</f>
        <v/>
      </c>
      <c r="J1089" s="20"/>
      <c r="K1089" s="20"/>
      <c r="L1089" s="20"/>
      <c r="M1089" s="14" t="str">
        <f>IF(AND($C1089&lt;&gt;"",$C1089=Kardex!$C$4),COUNTIF($C$5:$C1089,Kardex!$C$4),"")</f>
        <v/>
      </c>
    </row>
    <row r="1090" spans="1:13" x14ac:dyDescent="0.25">
      <c r="A1090" s="24"/>
      <c r="B1090" s="20"/>
      <c r="C1090" s="20"/>
      <c r="D1090" s="14" t="str">
        <f>IF($C1090="","",IFERROR(INDEX(Productos!$B$5:$B$504,MATCH($C1090,Productos!$A$5:$A$504,0)),"Clave no existe"))</f>
        <v/>
      </c>
      <c r="E1090" s="14" t="str">
        <f>IF($C1090="","",IFERROR(INDEX(Productos!$D$5:$D$504,MATCH($C1090,Productos!$A$5:$A$504,0)),""))</f>
        <v/>
      </c>
      <c r="F1090" s="20"/>
      <c r="G1090" s="22" t="str">
        <f>IF($C1090="","",IFERROR(INDEX(Productos!$F$5:$F$504,MATCH($C1090,Productos!$A$5:$A$504,0)),0))</f>
        <v/>
      </c>
      <c r="H1090" s="22" t="str">
        <f t="shared" si="16"/>
        <v/>
      </c>
      <c r="I1090" s="14" t="str">
        <f>IF(OR($C1090="",$F1090=""),"",IFERROR(INDEX(Productos!$I$5:$I$504,MATCH($C1090,Productos!$A$5:$A$504,0)),0)+SUMIFS($F$5:$F1090,$C$5:$C1090,$C1090,$B$5:$B1090,"Entrada")-SUMIFS($F$5:$F1090,$C$5:$C1090,$C1090,$B$5:$B1090,"Salida"))</f>
        <v/>
      </c>
      <c r="J1090" s="20"/>
      <c r="K1090" s="20"/>
      <c r="L1090" s="20"/>
      <c r="M1090" s="14" t="str">
        <f>IF(AND($C1090&lt;&gt;"",$C1090=Kardex!$C$4),COUNTIF($C$5:$C1090,Kardex!$C$4),"")</f>
        <v/>
      </c>
    </row>
    <row r="1091" spans="1:13" x14ac:dyDescent="0.25">
      <c r="A1091" s="24"/>
      <c r="B1091" s="20"/>
      <c r="C1091" s="20"/>
      <c r="D1091" s="14" t="str">
        <f>IF($C1091="","",IFERROR(INDEX(Productos!$B$5:$B$504,MATCH($C1091,Productos!$A$5:$A$504,0)),"Clave no existe"))</f>
        <v/>
      </c>
      <c r="E1091" s="14" t="str">
        <f>IF($C1091="","",IFERROR(INDEX(Productos!$D$5:$D$504,MATCH($C1091,Productos!$A$5:$A$504,0)),""))</f>
        <v/>
      </c>
      <c r="F1091" s="20"/>
      <c r="G1091" s="22" t="str">
        <f>IF($C1091="","",IFERROR(INDEX(Productos!$F$5:$F$504,MATCH($C1091,Productos!$A$5:$A$504,0)),0))</f>
        <v/>
      </c>
      <c r="H1091" s="22" t="str">
        <f t="shared" si="16"/>
        <v/>
      </c>
      <c r="I1091" s="14" t="str">
        <f>IF(OR($C1091="",$F1091=""),"",IFERROR(INDEX(Productos!$I$5:$I$504,MATCH($C1091,Productos!$A$5:$A$504,0)),0)+SUMIFS($F$5:$F1091,$C$5:$C1091,$C1091,$B$5:$B1091,"Entrada")-SUMIFS($F$5:$F1091,$C$5:$C1091,$C1091,$B$5:$B1091,"Salida"))</f>
        <v/>
      </c>
      <c r="J1091" s="20"/>
      <c r="K1091" s="20"/>
      <c r="L1091" s="20"/>
      <c r="M1091" s="14" t="str">
        <f>IF(AND($C1091&lt;&gt;"",$C1091=Kardex!$C$4),COUNTIF($C$5:$C1091,Kardex!$C$4),"")</f>
        <v/>
      </c>
    </row>
    <row r="1092" spans="1:13" x14ac:dyDescent="0.25">
      <c r="A1092" s="24"/>
      <c r="B1092" s="20"/>
      <c r="C1092" s="20"/>
      <c r="D1092" s="14" t="str">
        <f>IF($C1092="","",IFERROR(INDEX(Productos!$B$5:$B$504,MATCH($C1092,Productos!$A$5:$A$504,0)),"Clave no existe"))</f>
        <v/>
      </c>
      <c r="E1092" s="14" t="str">
        <f>IF($C1092="","",IFERROR(INDEX(Productos!$D$5:$D$504,MATCH($C1092,Productos!$A$5:$A$504,0)),""))</f>
        <v/>
      </c>
      <c r="F1092" s="20"/>
      <c r="G1092" s="22" t="str">
        <f>IF($C1092="","",IFERROR(INDEX(Productos!$F$5:$F$504,MATCH($C1092,Productos!$A$5:$A$504,0)),0))</f>
        <v/>
      </c>
      <c r="H1092" s="22" t="str">
        <f t="shared" si="16"/>
        <v/>
      </c>
      <c r="I1092" s="14" t="str">
        <f>IF(OR($C1092="",$F1092=""),"",IFERROR(INDEX(Productos!$I$5:$I$504,MATCH($C1092,Productos!$A$5:$A$504,0)),0)+SUMIFS($F$5:$F1092,$C$5:$C1092,$C1092,$B$5:$B1092,"Entrada")-SUMIFS($F$5:$F1092,$C$5:$C1092,$C1092,$B$5:$B1092,"Salida"))</f>
        <v/>
      </c>
      <c r="J1092" s="20"/>
      <c r="K1092" s="20"/>
      <c r="L1092" s="20"/>
      <c r="M1092" s="14" t="str">
        <f>IF(AND($C1092&lt;&gt;"",$C1092=Kardex!$C$4),COUNTIF($C$5:$C1092,Kardex!$C$4),"")</f>
        <v/>
      </c>
    </row>
    <row r="1093" spans="1:13" x14ac:dyDescent="0.25">
      <c r="A1093" s="24"/>
      <c r="B1093" s="20"/>
      <c r="C1093" s="20"/>
      <c r="D1093" s="14" t="str">
        <f>IF($C1093="","",IFERROR(INDEX(Productos!$B$5:$B$504,MATCH($C1093,Productos!$A$5:$A$504,0)),"Clave no existe"))</f>
        <v/>
      </c>
      <c r="E1093" s="14" t="str">
        <f>IF($C1093="","",IFERROR(INDEX(Productos!$D$5:$D$504,MATCH($C1093,Productos!$A$5:$A$504,0)),""))</f>
        <v/>
      </c>
      <c r="F1093" s="20"/>
      <c r="G1093" s="22" t="str">
        <f>IF($C1093="","",IFERROR(INDEX(Productos!$F$5:$F$504,MATCH($C1093,Productos!$A$5:$A$504,0)),0))</f>
        <v/>
      </c>
      <c r="H1093" s="22" t="str">
        <f t="shared" ref="H1093:H1156" si="17">IF(OR($C1093="",$F1093=""),"",F1093*G1093)</f>
        <v/>
      </c>
      <c r="I1093" s="14" t="str">
        <f>IF(OR($C1093="",$F1093=""),"",IFERROR(INDEX(Productos!$I$5:$I$504,MATCH($C1093,Productos!$A$5:$A$504,0)),0)+SUMIFS($F$5:$F1093,$C$5:$C1093,$C1093,$B$5:$B1093,"Entrada")-SUMIFS($F$5:$F1093,$C$5:$C1093,$C1093,$B$5:$B1093,"Salida"))</f>
        <v/>
      </c>
      <c r="J1093" s="20"/>
      <c r="K1093" s="20"/>
      <c r="L1093" s="20"/>
      <c r="M1093" s="14" t="str">
        <f>IF(AND($C1093&lt;&gt;"",$C1093=Kardex!$C$4),COUNTIF($C$5:$C1093,Kardex!$C$4),"")</f>
        <v/>
      </c>
    </row>
    <row r="1094" spans="1:13" x14ac:dyDescent="0.25">
      <c r="A1094" s="24"/>
      <c r="B1094" s="20"/>
      <c r="C1094" s="20"/>
      <c r="D1094" s="14" t="str">
        <f>IF($C1094="","",IFERROR(INDEX(Productos!$B$5:$B$504,MATCH($C1094,Productos!$A$5:$A$504,0)),"Clave no existe"))</f>
        <v/>
      </c>
      <c r="E1094" s="14" t="str">
        <f>IF($C1094="","",IFERROR(INDEX(Productos!$D$5:$D$504,MATCH($C1094,Productos!$A$5:$A$504,0)),""))</f>
        <v/>
      </c>
      <c r="F1094" s="20"/>
      <c r="G1094" s="22" t="str">
        <f>IF($C1094="","",IFERROR(INDEX(Productos!$F$5:$F$504,MATCH($C1094,Productos!$A$5:$A$504,0)),0))</f>
        <v/>
      </c>
      <c r="H1094" s="22" t="str">
        <f t="shared" si="17"/>
        <v/>
      </c>
      <c r="I1094" s="14" t="str">
        <f>IF(OR($C1094="",$F1094=""),"",IFERROR(INDEX(Productos!$I$5:$I$504,MATCH($C1094,Productos!$A$5:$A$504,0)),0)+SUMIFS($F$5:$F1094,$C$5:$C1094,$C1094,$B$5:$B1094,"Entrada")-SUMIFS($F$5:$F1094,$C$5:$C1094,$C1094,$B$5:$B1094,"Salida"))</f>
        <v/>
      </c>
      <c r="J1094" s="20"/>
      <c r="K1094" s="20"/>
      <c r="L1094" s="20"/>
      <c r="M1094" s="14" t="str">
        <f>IF(AND($C1094&lt;&gt;"",$C1094=Kardex!$C$4),COUNTIF($C$5:$C1094,Kardex!$C$4),"")</f>
        <v/>
      </c>
    </row>
    <row r="1095" spans="1:13" x14ac:dyDescent="0.25">
      <c r="A1095" s="24"/>
      <c r="B1095" s="20"/>
      <c r="C1095" s="20"/>
      <c r="D1095" s="14" t="str">
        <f>IF($C1095="","",IFERROR(INDEX(Productos!$B$5:$B$504,MATCH($C1095,Productos!$A$5:$A$504,0)),"Clave no existe"))</f>
        <v/>
      </c>
      <c r="E1095" s="14" t="str">
        <f>IF($C1095="","",IFERROR(INDEX(Productos!$D$5:$D$504,MATCH($C1095,Productos!$A$5:$A$504,0)),""))</f>
        <v/>
      </c>
      <c r="F1095" s="20"/>
      <c r="G1095" s="22" t="str">
        <f>IF($C1095="","",IFERROR(INDEX(Productos!$F$5:$F$504,MATCH($C1095,Productos!$A$5:$A$504,0)),0))</f>
        <v/>
      </c>
      <c r="H1095" s="22" t="str">
        <f t="shared" si="17"/>
        <v/>
      </c>
      <c r="I1095" s="14" t="str">
        <f>IF(OR($C1095="",$F1095=""),"",IFERROR(INDEX(Productos!$I$5:$I$504,MATCH($C1095,Productos!$A$5:$A$504,0)),0)+SUMIFS($F$5:$F1095,$C$5:$C1095,$C1095,$B$5:$B1095,"Entrada")-SUMIFS($F$5:$F1095,$C$5:$C1095,$C1095,$B$5:$B1095,"Salida"))</f>
        <v/>
      </c>
      <c r="J1095" s="20"/>
      <c r="K1095" s="20"/>
      <c r="L1095" s="20"/>
      <c r="M1095" s="14" t="str">
        <f>IF(AND($C1095&lt;&gt;"",$C1095=Kardex!$C$4),COUNTIF($C$5:$C1095,Kardex!$C$4),"")</f>
        <v/>
      </c>
    </row>
    <row r="1096" spans="1:13" x14ac:dyDescent="0.25">
      <c r="A1096" s="24"/>
      <c r="B1096" s="20"/>
      <c r="C1096" s="20"/>
      <c r="D1096" s="14" t="str">
        <f>IF($C1096="","",IFERROR(INDEX(Productos!$B$5:$B$504,MATCH($C1096,Productos!$A$5:$A$504,0)),"Clave no existe"))</f>
        <v/>
      </c>
      <c r="E1096" s="14" t="str">
        <f>IF($C1096="","",IFERROR(INDEX(Productos!$D$5:$D$504,MATCH($C1096,Productos!$A$5:$A$504,0)),""))</f>
        <v/>
      </c>
      <c r="F1096" s="20"/>
      <c r="G1096" s="22" t="str">
        <f>IF($C1096="","",IFERROR(INDEX(Productos!$F$5:$F$504,MATCH($C1096,Productos!$A$5:$A$504,0)),0))</f>
        <v/>
      </c>
      <c r="H1096" s="22" t="str">
        <f t="shared" si="17"/>
        <v/>
      </c>
      <c r="I1096" s="14" t="str">
        <f>IF(OR($C1096="",$F1096=""),"",IFERROR(INDEX(Productos!$I$5:$I$504,MATCH($C1096,Productos!$A$5:$A$504,0)),0)+SUMIFS($F$5:$F1096,$C$5:$C1096,$C1096,$B$5:$B1096,"Entrada")-SUMIFS($F$5:$F1096,$C$5:$C1096,$C1096,$B$5:$B1096,"Salida"))</f>
        <v/>
      </c>
      <c r="J1096" s="20"/>
      <c r="K1096" s="20"/>
      <c r="L1096" s="20"/>
      <c r="M1096" s="14" t="str">
        <f>IF(AND($C1096&lt;&gt;"",$C1096=Kardex!$C$4),COUNTIF($C$5:$C1096,Kardex!$C$4),"")</f>
        <v/>
      </c>
    </row>
    <row r="1097" spans="1:13" x14ac:dyDescent="0.25">
      <c r="A1097" s="24"/>
      <c r="B1097" s="20"/>
      <c r="C1097" s="20"/>
      <c r="D1097" s="14" t="str">
        <f>IF($C1097="","",IFERROR(INDEX(Productos!$B$5:$B$504,MATCH($C1097,Productos!$A$5:$A$504,0)),"Clave no existe"))</f>
        <v/>
      </c>
      <c r="E1097" s="14" t="str">
        <f>IF($C1097="","",IFERROR(INDEX(Productos!$D$5:$D$504,MATCH($C1097,Productos!$A$5:$A$504,0)),""))</f>
        <v/>
      </c>
      <c r="F1097" s="20"/>
      <c r="G1097" s="22" t="str">
        <f>IF($C1097="","",IFERROR(INDEX(Productos!$F$5:$F$504,MATCH($C1097,Productos!$A$5:$A$504,0)),0))</f>
        <v/>
      </c>
      <c r="H1097" s="22" t="str">
        <f t="shared" si="17"/>
        <v/>
      </c>
      <c r="I1097" s="14" t="str">
        <f>IF(OR($C1097="",$F1097=""),"",IFERROR(INDEX(Productos!$I$5:$I$504,MATCH($C1097,Productos!$A$5:$A$504,0)),0)+SUMIFS($F$5:$F1097,$C$5:$C1097,$C1097,$B$5:$B1097,"Entrada")-SUMIFS($F$5:$F1097,$C$5:$C1097,$C1097,$B$5:$B1097,"Salida"))</f>
        <v/>
      </c>
      <c r="J1097" s="20"/>
      <c r="K1097" s="20"/>
      <c r="L1097" s="20"/>
      <c r="M1097" s="14" t="str">
        <f>IF(AND($C1097&lt;&gt;"",$C1097=Kardex!$C$4),COUNTIF($C$5:$C1097,Kardex!$C$4),"")</f>
        <v/>
      </c>
    </row>
    <row r="1098" spans="1:13" x14ac:dyDescent="0.25">
      <c r="A1098" s="24"/>
      <c r="B1098" s="20"/>
      <c r="C1098" s="20"/>
      <c r="D1098" s="14" t="str">
        <f>IF($C1098="","",IFERROR(INDEX(Productos!$B$5:$B$504,MATCH($C1098,Productos!$A$5:$A$504,0)),"Clave no existe"))</f>
        <v/>
      </c>
      <c r="E1098" s="14" t="str">
        <f>IF($C1098="","",IFERROR(INDEX(Productos!$D$5:$D$504,MATCH($C1098,Productos!$A$5:$A$504,0)),""))</f>
        <v/>
      </c>
      <c r="F1098" s="20"/>
      <c r="G1098" s="22" t="str">
        <f>IF($C1098="","",IFERROR(INDEX(Productos!$F$5:$F$504,MATCH($C1098,Productos!$A$5:$A$504,0)),0))</f>
        <v/>
      </c>
      <c r="H1098" s="22" t="str">
        <f t="shared" si="17"/>
        <v/>
      </c>
      <c r="I1098" s="14" t="str">
        <f>IF(OR($C1098="",$F1098=""),"",IFERROR(INDEX(Productos!$I$5:$I$504,MATCH($C1098,Productos!$A$5:$A$504,0)),0)+SUMIFS($F$5:$F1098,$C$5:$C1098,$C1098,$B$5:$B1098,"Entrada")-SUMIFS($F$5:$F1098,$C$5:$C1098,$C1098,$B$5:$B1098,"Salida"))</f>
        <v/>
      </c>
      <c r="J1098" s="20"/>
      <c r="K1098" s="20"/>
      <c r="L1098" s="20"/>
      <c r="M1098" s="14" t="str">
        <f>IF(AND($C1098&lt;&gt;"",$C1098=Kardex!$C$4),COUNTIF($C$5:$C1098,Kardex!$C$4),"")</f>
        <v/>
      </c>
    </row>
    <row r="1099" spans="1:13" x14ac:dyDescent="0.25">
      <c r="A1099" s="24"/>
      <c r="B1099" s="20"/>
      <c r="C1099" s="20"/>
      <c r="D1099" s="14" t="str">
        <f>IF($C1099="","",IFERROR(INDEX(Productos!$B$5:$B$504,MATCH($C1099,Productos!$A$5:$A$504,0)),"Clave no existe"))</f>
        <v/>
      </c>
      <c r="E1099" s="14" t="str">
        <f>IF($C1099="","",IFERROR(INDEX(Productos!$D$5:$D$504,MATCH($C1099,Productos!$A$5:$A$504,0)),""))</f>
        <v/>
      </c>
      <c r="F1099" s="20"/>
      <c r="G1099" s="22" t="str">
        <f>IF($C1099="","",IFERROR(INDEX(Productos!$F$5:$F$504,MATCH($C1099,Productos!$A$5:$A$504,0)),0))</f>
        <v/>
      </c>
      <c r="H1099" s="22" t="str">
        <f t="shared" si="17"/>
        <v/>
      </c>
      <c r="I1099" s="14" t="str">
        <f>IF(OR($C1099="",$F1099=""),"",IFERROR(INDEX(Productos!$I$5:$I$504,MATCH($C1099,Productos!$A$5:$A$504,0)),0)+SUMIFS($F$5:$F1099,$C$5:$C1099,$C1099,$B$5:$B1099,"Entrada")-SUMIFS($F$5:$F1099,$C$5:$C1099,$C1099,$B$5:$B1099,"Salida"))</f>
        <v/>
      </c>
      <c r="J1099" s="20"/>
      <c r="K1099" s="20"/>
      <c r="L1099" s="20"/>
      <c r="M1099" s="14" t="str">
        <f>IF(AND($C1099&lt;&gt;"",$C1099=Kardex!$C$4),COUNTIF($C$5:$C1099,Kardex!$C$4),"")</f>
        <v/>
      </c>
    </row>
    <row r="1100" spans="1:13" x14ac:dyDescent="0.25">
      <c r="A1100" s="24"/>
      <c r="B1100" s="20"/>
      <c r="C1100" s="20"/>
      <c r="D1100" s="14" t="str">
        <f>IF($C1100="","",IFERROR(INDEX(Productos!$B$5:$B$504,MATCH($C1100,Productos!$A$5:$A$504,0)),"Clave no existe"))</f>
        <v/>
      </c>
      <c r="E1100" s="14" t="str">
        <f>IF($C1100="","",IFERROR(INDEX(Productos!$D$5:$D$504,MATCH($C1100,Productos!$A$5:$A$504,0)),""))</f>
        <v/>
      </c>
      <c r="F1100" s="20"/>
      <c r="G1100" s="22" t="str">
        <f>IF($C1100="","",IFERROR(INDEX(Productos!$F$5:$F$504,MATCH($C1100,Productos!$A$5:$A$504,0)),0))</f>
        <v/>
      </c>
      <c r="H1100" s="22" t="str">
        <f t="shared" si="17"/>
        <v/>
      </c>
      <c r="I1100" s="14" t="str">
        <f>IF(OR($C1100="",$F1100=""),"",IFERROR(INDEX(Productos!$I$5:$I$504,MATCH($C1100,Productos!$A$5:$A$504,0)),0)+SUMIFS($F$5:$F1100,$C$5:$C1100,$C1100,$B$5:$B1100,"Entrada")-SUMIFS($F$5:$F1100,$C$5:$C1100,$C1100,$B$5:$B1100,"Salida"))</f>
        <v/>
      </c>
      <c r="J1100" s="20"/>
      <c r="K1100" s="20"/>
      <c r="L1100" s="20"/>
      <c r="M1100" s="14" t="str">
        <f>IF(AND($C1100&lt;&gt;"",$C1100=Kardex!$C$4),COUNTIF($C$5:$C1100,Kardex!$C$4),"")</f>
        <v/>
      </c>
    </row>
    <row r="1101" spans="1:13" x14ac:dyDescent="0.25">
      <c r="A1101" s="24"/>
      <c r="B1101" s="20"/>
      <c r="C1101" s="20"/>
      <c r="D1101" s="14" t="str">
        <f>IF($C1101="","",IFERROR(INDEX(Productos!$B$5:$B$504,MATCH($C1101,Productos!$A$5:$A$504,0)),"Clave no existe"))</f>
        <v/>
      </c>
      <c r="E1101" s="14" t="str">
        <f>IF($C1101="","",IFERROR(INDEX(Productos!$D$5:$D$504,MATCH($C1101,Productos!$A$5:$A$504,0)),""))</f>
        <v/>
      </c>
      <c r="F1101" s="20"/>
      <c r="G1101" s="22" t="str">
        <f>IF($C1101="","",IFERROR(INDEX(Productos!$F$5:$F$504,MATCH($C1101,Productos!$A$5:$A$504,0)),0))</f>
        <v/>
      </c>
      <c r="H1101" s="22" t="str">
        <f t="shared" si="17"/>
        <v/>
      </c>
      <c r="I1101" s="14" t="str">
        <f>IF(OR($C1101="",$F1101=""),"",IFERROR(INDEX(Productos!$I$5:$I$504,MATCH($C1101,Productos!$A$5:$A$504,0)),0)+SUMIFS($F$5:$F1101,$C$5:$C1101,$C1101,$B$5:$B1101,"Entrada")-SUMIFS($F$5:$F1101,$C$5:$C1101,$C1101,$B$5:$B1101,"Salida"))</f>
        <v/>
      </c>
      <c r="J1101" s="20"/>
      <c r="K1101" s="20"/>
      <c r="L1101" s="20"/>
      <c r="M1101" s="14" t="str">
        <f>IF(AND($C1101&lt;&gt;"",$C1101=Kardex!$C$4),COUNTIF($C$5:$C1101,Kardex!$C$4),"")</f>
        <v/>
      </c>
    </row>
    <row r="1102" spans="1:13" x14ac:dyDescent="0.25">
      <c r="A1102" s="24"/>
      <c r="B1102" s="20"/>
      <c r="C1102" s="20"/>
      <c r="D1102" s="14" t="str">
        <f>IF($C1102="","",IFERROR(INDEX(Productos!$B$5:$B$504,MATCH($C1102,Productos!$A$5:$A$504,0)),"Clave no existe"))</f>
        <v/>
      </c>
      <c r="E1102" s="14" t="str">
        <f>IF($C1102="","",IFERROR(INDEX(Productos!$D$5:$D$504,MATCH($C1102,Productos!$A$5:$A$504,0)),""))</f>
        <v/>
      </c>
      <c r="F1102" s="20"/>
      <c r="G1102" s="22" t="str">
        <f>IF($C1102="","",IFERROR(INDEX(Productos!$F$5:$F$504,MATCH($C1102,Productos!$A$5:$A$504,0)),0))</f>
        <v/>
      </c>
      <c r="H1102" s="22" t="str">
        <f t="shared" si="17"/>
        <v/>
      </c>
      <c r="I1102" s="14" t="str">
        <f>IF(OR($C1102="",$F1102=""),"",IFERROR(INDEX(Productos!$I$5:$I$504,MATCH($C1102,Productos!$A$5:$A$504,0)),0)+SUMIFS($F$5:$F1102,$C$5:$C1102,$C1102,$B$5:$B1102,"Entrada")-SUMIFS($F$5:$F1102,$C$5:$C1102,$C1102,$B$5:$B1102,"Salida"))</f>
        <v/>
      </c>
      <c r="J1102" s="20"/>
      <c r="K1102" s="20"/>
      <c r="L1102" s="20"/>
      <c r="M1102" s="14" t="str">
        <f>IF(AND($C1102&lt;&gt;"",$C1102=Kardex!$C$4),COUNTIF($C$5:$C1102,Kardex!$C$4),"")</f>
        <v/>
      </c>
    </row>
    <row r="1103" spans="1:13" x14ac:dyDescent="0.25">
      <c r="A1103" s="24"/>
      <c r="B1103" s="20"/>
      <c r="C1103" s="20"/>
      <c r="D1103" s="14" t="str">
        <f>IF($C1103="","",IFERROR(INDEX(Productos!$B$5:$B$504,MATCH($C1103,Productos!$A$5:$A$504,0)),"Clave no existe"))</f>
        <v/>
      </c>
      <c r="E1103" s="14" t="str">
        <f>IF($C1103="","",IFERROR(INDEX(Productos!$D$5:$D$504,MATCH($C1103,Productos!$A$5:$A$504,0)),""))</f>
        <v/>
      </c>
      <c r="F1103" s="20"/>
      <c r="G1103" s="22" t="str">
        <f>IF($C1103="","",IFERROR(INDEX(Productos!$F$5:$F$504,MATCH($C1103,Productos!$A$5:$A$504,0)),0))</f>
        <v/>
      </c>
      <c r="H1103" s="22" t="str">
        <f t="shared" si="17"/>
        <v/>
      </c>
      <c r="I1103" s="14" t="str">
        <f>IF(OR($C1103="",$F1103=""),"",IFERROR(INDEX(Productos!$I$5:$I$504,MATCH($C1103,Productos!$A$5:$A$504,0)),0)+SUMIFS($F$5:$F1103,$C$5:$C1103,$C1103,$B$5:$B1103,"Entrada")-SUMIFS($F$5:$F1103,$C$5:$C1103,$C1103,$B$5:$B1103,"Salida"))</f>
        <v/>
      </c>
      <c r="J1103" s="20"/>
      <c r="K1103" s="20"/>
      <c r="L1103" s="20"/>
      <c r="M1103" s="14" t="str">
        <f>IF(AND($C1103&lt;&gt;"",$C1103=Kardex!$C$4),COUNTIF($C$5:$C1103,Kardex!$C$4),"")</f>
        <v/>
      </c>
    </row>
    <row r="1104" spans="1:13" x14ac:dyDescent="0.25">
      <c r="A1104" s="24"/>
      <c r="B1104" s="20"/>
      <c r="C1104" s="20"/>
      <c r="D1104" s="14" t="str">
        <f>IF($C1104="","",IFERROR(INDEX(Productos!$B$5:$B$504,MATCH($C1104,Productos!$A$5:$A$504,0)),"Clave no existe"))</f>
        <v/>
      </c>
      <c r="E1104" s="14" t="str">
        <f>IF($C1104="","",IFERROR(INDEX(Productos!$D$5:$D$504,MATCH($C1104,Productos!$A$5:$A$504,0)),""))</f>
        <v/>
      </c>
      <c r="F1104" s="20"/>
      <c r="G1104" s="22" t="str">
        <f>IF($C1104="","",IFERROR(INDEX(Productos!$F$5:$F$504,MATCH($C1104,Productos!$A$5:$A$504,0)),0))</f>
        <v/>
      </c>
      <c r="H1104" s="22" t="str">
        <f t="shared" si="17"/>
        <v/>
      </c>
      <c r="I1104" s="14" t="str">
        <f>IF(OR($C1104="",$F1104=""),"",IFERROR(INDEX(Productos!$I$5:$I$504,MATCH($C1104,Productos!$A$5:$A$504,0)),0)+SUMIFS($F$5:$F1104,$C$5:$C1104,$C1104,$B$5:$B1104,"Entrada")-SUMIFS($F$5:$F1104,$C$5:$C1104,$C1104,$B$5:$B1104,"Salida"))</f>
        <v/>
      </c>
      <c r="J1104" s="20"/>
      <c r="K1104" s="20"/>
      <c r="L1104" s="20"/>
      <c r="M1104" s="14" t="str">
        <f>IF(AND($C1104&lt;&gt;"",$C1104=Kardex!$C$4),COUNTIF($C$5:$C1104,Kardex!$C$4),"")</f>
        <v/>
      </c>
    </row>
    <row r="1105" spans="1:13" x14ac:dyDescent="0.25">
      <c r="A1105" s="24"/>
      <c r="B1105" s="20"/>
      <c r="C1105" s="20"/>
      <c r="D1105" s="14" t="str">
        <f>IF($C1105="","",IFERROR(INDEX(Productos!$B$5:$B$504,MATCH($C1105,Productos!$A$5:$A$504,0)),"Clave no existe"))</f>
        <v/>
      </c>
      <c r="E1105" s="14" t="str">
        <f>IF($C1105="","",IFERROR(INDEX(Productos!$D$5:$D$504,MATCH($C1105,Productos!$A$5:$A$504,0)),""))</f>
        <v/>
      </c>
      <c r="F1105" s="20"/>
      <c r="G1105" s="22" t="str">
        <f>IF($C1105="","",IFERROR(INDEX(Productos!$F$5:$F$504,MATCH($C1105,Productos!$A$5:$A$504,0)),0))</f>
        <v/>
      </c>
      <c r="H1105" s="22" t="str">
        <f t="shared" si="17"/>
        <v/>
      </c>
      <c r="I1105" s="14" t="str">
        <f>IF(OR($C1105="",$F1105=""),"",IFERROR(INDEX(Productos!$I$5:$I$504,MATCH($C1105,Productos!$A$5:$A$504,0)),0)+SUMIFS($F$5:$F1105,$C$5:$C1105,$C1105,$B$5:$B1105,"Entrada")-SUMIFS($F$5:$F1105,$C$5:$C1105,$C1105,$B$5:$B1105,"Salida"))</f>
        <v/>
      </c>
      <c r="J1105" s="20"/>
      <c r="K1105" s="20"/>
      <c r="L1105" s="20"/>
      <c r="M1105" s="14" t="str">
        <f>IF(AND($C1105&lt;&gt;"",$C1105=Kardex!$C$4),COUNTIF($C$5:$C1105,Kardex!$C$4),"")</f>
        <v/>
      </c>
    </row>
    <row r="1106" spans="1:13" x14ac:dyDescent="0.25">
      <c r="A1106" s="24"/>
      <c r="B1106" s="20"/>
      <c r="C1106" s="20"/>
      <c r="D1106" s="14" t="str">
        <f>IF($C1106="","",IFERROR(INDEX(Productos!$B$5:$B$504,MATCH($C1106,Productos!$A$5:$A$504,0)),"Clave no existe"))</f>
        <v/>
      </c>
      <c r="E1106" s="14" t="str">
        <f>IF($C1106="","",IFERROR(INDEX(Productos!$D$5:$D$504,MATCH($C1106,Productos!$A$5:$A$504,0)),""))</f>
        <v/>
      </c>
      <c r="F1106" s="20"/>
      <c r="G1106" s="22" t="str">
        <f>IF($C1106="","",IFERROR(INDEX(Productos!$F$5:$F$504,MATCH($C1106,Productos!$A$5:$A$504,0)),0))</f>
        <v/>
      </c>
      <c r="H1106" s="22" t="str">
        <f t="shared" si="17"/>
        <v/>
      </c>
      <c r="I1106" s="14" t="str">
        <f>IF(OR($C1106="",$F1106=""),"",IFERROR(INDEX(Productos!$I$5:$I$504,MATCH($C1106,Productos!$A$5:$A$504,0)),0)+SUMIFS($F$5:$F1106,$C$5:$C1106,$C1106,$B$5:$B1106,"Entrada")-SUMIFS($F$5:$F1106,$C$5:$C1106,$C1106,$B$5:$B1106,"Salida"))</f>
        <v/>
      </c>
      <c r="J1106" s="20"/>
      <c r="K1106" s="20"/>
      <c r="L1106" s="20"/>
      <c r="M1106" s="14" t="str">
        <f>IF(AND($C1106&lt;&gt;"",$C1106=Kardex!$C$4),COUNTIF($C$5:$C1106,Kardex!$C$4),"")</f>
        <v/>
      </c>
    </row>
    <row r="1107" spans="1:13" x14ac:dyDescent="0.25">
      <c r="A1107" s="24"/>
      <c r="B1107" s="20"/>
      <c r="C1107" s="20"/>
      <c r="D1107" s="14" t="str">
        <f>IF($C1107="","",IFERROR(INDEX(Productos!$B$5:$B$504,MATCH($C1107,Productos!$A$5:$A$504,0)),"Clave no existe"))</f>
        <v/>
      </c>
      <c r="E1107" s="14" t="str">
        <f>IF($C1107="","",IFERROR(INDEX(Productos!$D$5:$D$504,MATCH($C1107,Productos!$A$5:$A$504,0)),""))</f>
        <v/>
      </c>
      <c r="F1107" s="20"/>
      <c r="G1107" s="22" t="str">
        <f>IF($C1107="","",IFERROR(INDEX(Productos!$F$5:$F$504,MATCH($C1107,Productos!$A$5:$A$504,0)),0))</f>
        <v/>
      </c>
      <c r="H1107" s="22" t="str">
        <f t="shared" si="17"/>
        <v/>
      </c>
      <c r="I1107" s="14" t="str">
        <f>IF(OR($C1107="",$F1107=""),"",IFERROR(INDEX(Productos!$I$5:$I$504,MATCH($C1107,Productos!$A$5:$A$504,0)),0)+SUMIFS($F$5:$F1107,$C$5:$C1107,$C1107,$B$5:$B1107,"Entrada")-SUMIFS($F$5:$F1107,$C$5:$C1107,$C1107,$B$5:$B1107,"Salida"))</f>
        <v/>
      </c>
      <c r="J1107" s="20"/>
      <c r="K1107" s="20"/>
      <c r="L1107" s="20"/>
      <c r="M1107" s="14" t="str">
        <f>IF(AND($C1107&lt;&gt;"",$C1107=Kardex!$C$4),COUNTIF($C$5:$C1107,Kardex!$C$4),"")</f>
        <v/>
      </c>
    </row>
    <row r="1108" spans="1:13" x14ac:dyDescent="0.25">
      <c r="A1108" s="24"/>
      <c r="B1108" s="20"/>
      <c r="C1108" s="20"/>
      <c r="D1108" s="14" t="str">
        <f>IF($C1108="","",IFERROR(INDEX(Productos!$B$5:$B$504,MATCH($C1108,Productos!$A$5:$A$504,0)),"Clave no existe"))</f>
        <v/>
      </c>
      <c r="E1108" s="14" t="str">
        <f>IF($C1108="","",IFERROR(INDEX(Productos!$D$5:$D$504,MATCH($C1108,Productos!$A$5:$A$504,0)),""))</f>
        <v/>
      </c>
      <c r="F1108" s="20"/>
      <c r="G1108" s="22" t="str">
        <f>IF($C1108="","",IFERROR(INDEX(Productos!$F$5:$F$504,MATCH($C1108,Productos!$A$5:$A$504,0)),0))</f>
        <v/>
      </c>
      <c r="H1108" s="22" t="str">
        <f t="shared" si="17"/>
        <v/>
      </c>
      <c r="I1108" s="14" t="str">
        <f>IF(OR($C1108="",$F1108=""),"",IFERROR(INDEX(Productos!$I$5:$I$504,MATCH($C1108,Productos!$A$5:$A$504,0)),0)+SUMIFS($F$5:$F1108,$C$5:$C1108,$C1108,$B$5:$B1108,"Entrada")-SUMIFS($F$5:$F1108,$C$5:$C1108,$C1108,$B$5:$B1108,"Salida"))</f>
        <v/>
      </c>
      <c r="J1108" s="20"/>
      <c r="K1108" s="20"/>
      <c r="L1108" s="20"/>
      <c r="M1108" s="14" t="str">
        <f>IF(AND($C1108&lt;&gt;"",$C1108=Kardex!$C$4),COUNTIF($C$5:$C1108,Kardex!$C$4),"")</f>
        <v/>
      </c>
    </row>
    <row r="1109" spans="1:13" x14ac:dyDescent="0.25">
      <c r="A1109" s="24"/>
      <c r="B1109" s="20"/>
      <c r="C1109" s="20"/>
      <c r="D1109" s="14" t="str">
        <f>IF($C1109="","",IFERROR(INDEX(Productos!$B$5:$B$504,MATCH($C1109,Productos!$A$5:$A$504,0)),"Clave no existe"))</f>
        <v/>
      </c>
      <c r="E1109" s="14" t="str">
        <f>IF($C1109="","",IFERROR(INDEX(Productos!$D$5:$D$504,MATCH($C1109,Productos!$A$5:$A$504,0)),""))</f>
        <v/>
      </c>
      <c r="F1109" s="20"/>
      <c r="G1109" s="22" t="str">
        <f>IF($C1109="","",IFERROR(INDEX(Productos!$F$5:$F$504,MATCH($C1109,Productos!$A$5:$A$504,0)),0))</f>
        <v/>
      </c>
      <c r="H1109" s="22" t="str">
        <f t="shared" si="17"/>
        <v/>
      </c>
      <c r="I1109" s="14" t="str">
        <f>IF(OR($C1109="",$F1109=""),"",IFERROR(INDEX(Productos!$I$5:$I$504,MATCH($C1109,Productos!$A$5:$A$504,0)),0)+SUMIFS($F$5:$F1109,$C$5:$C1109,$C1109,$B$5:$B1109,"Entrada")-SUMIFS($F$5:$F1109,$C$5:$C1109,$C1109,$B$5:$B1109,"Salida"))</f>
        <v/>
      </c>
      <c r="J1109" s="20"/>
      <c r="K1109" s="20"/>
      <c r="L1109" s="20"/>
      <c r="M1109" s="14" t="str">
        <f>IF(AND($C1109&lt;&gt;"",$C1109=Kardex!$C$4),COUNTIF($C$5:$C1109,Kardex!$C$4),"")</f>
        <v/>
      </c>
    </row>
    <row r="1110" spans="1:13" x14ac:dyDescent="0.25">
      <c r="A1110" s="24"/>
      <c r="B1110" s="20"/>
      <c r="C1110" s="20"/>
      <c r="D1110" s="14" t="str">
        <f>IF($C1110="","",IFERROR(INDEX(Productos!$B$5:$B$504,MATCH($C1110,Productos!$A$5:$A$504,0)),"Clave no existe"))</f>
        <v/>
      </c>
      <c r="E1110" s="14" t="str">
        <f>IF($C1110="","",IFERROR(INDEX(Productos!$D$5:$D$504,MATCH($C1110,Productos!$A$5:$A$504,0)),""))</f>
        <v/>
      </c>
      <c r="F1110" s="20"/>
      <c r="G1110" s="22" t="str">
        <f>IF($C1110="","",IFERROR(INDEX(Productos!$F$5:$F$504,MATCH($C1110,Productos!$A$5:$A$504,0)),0))</f>
        <v/>
      </c>
      <c r="H1110" s="22" t="str">
        <f t="shared" si="17"/>
        <v/>
      </c>
      <c r="I1110" s="14" t="str">
        <f>IF(OR($C1110="",$F1110=""),"",IFERROR(INDEX(Productos!$I$5:$I$504,MATCH($C1110,Productos!$A$5:$A$504,0)),0)+SUMIFS($F$5:$F1110,$C$5:$C1110,$C1110,$B$5:$B1110,"Entrada")-SUMIFS($F$5:$F1110,$C$5:$C1110,$C1110,$B$5:$B1110,"Salida"))</f>
        <v/>
      </c>
      <c r="J1110" s="20"/>
      <c r="K1110" s="20"/>
      <c r="L1110" s="20"/>
      <c r="M1110" s="14" t="str">
        <f>IF(AND($C1110&lt;&gt;"",$C1110=Kardex!$C$4),COUNTIF($C$5:$C1110,Kardex!$C$4),"")</f>
        <v/>
      </c>
    </row>
    <row r="1111" spans="1:13" x14ac:dyDescent="0.25">
      <c r="A1111" s="24"/>
      <c r="B1111" s="20"/>
      <c r="C1111" s="20"/>
      <c r="D1111" s="14" t="str">
        <f>IF($C1111="","",IFERROR(INDEX(Productos!$B$5:$B$504,MATCH($C1111,Productos!$A$5:$A$504,0)),"Clave no existe"))</f>
        <v/>
      </c>
      <c r="E1111" s="14" t="str">
        <f>IF($C1111="","",IFERROR(INDEX(Productos!$D$5:$D$504,MATCH($C1111,Productos!$A$5:$A$504,0)),""))</f>
        <v/>
      </c>
      <c r="F1111" s="20"/>
      <c r="G1111" s="22" t="str">
        <f>IF($C1111="","",IFERROR(INDEX(Productos!$F$5:$F$504,MATCH($C1111,Productos!$A$5:$A$504,0)),0))</f>
        <v/>
      </c>
      <c r="H1111" s="22" t="str">
        <f t="shared" si="17"/>
        <v/>
      </c>
      <c r="I1111" s="14" t="str">
        <f>IF(OR($C1111="",$F1111=""),"",IFERROR(INDEX(Productos!$I$5:$I$504,MATCH($C1111,Productos!$A$5:$A$504,0)),0)+SUMIFS($F$5:$F1111,$C$5:$C1111,$C1111,$B$5:$B1111,"Entrada")-SUMIFS($F$5:$F1111,$C$5:$C1111,$C1111,$B$5:$B1111,"Salida"))</f>
        <v/>
      </c>
      <c r="J1111" s="20"/>
      <c r="K1111" s="20"/>
      <c r="L1111" s="20"/>
      <c r="M1111" s="14" t="str">
        <f>IF(AND($C1111&lt;&gt;"",$C1111=Kardex!$C$4),COUNTIF($C$5:$C1111,Kardex!$C$4),"")</f>
        <v/>
      </c>
    </row>
    <row r="1112" spans="1:13" x14ac:dyDescent="0.25">
      <c r="A1112" s="24"/>
      <c r="B1112" s="20"/>
      <c r="C1112" s="20"/>
      <c r="D1112" s="14" t="str">
        <f>IF($C1112="","",IFERROR(INDEX(Productos!$B$5:$B$504,MATCH($C1112,Productos!$A$5:$A$504,0)),"Clave no existe"))</f>
        <v/>
      </c>
      <c r="E1112" s="14" t="str">
        <f>IF($C1112="","",IFERROR(INDEX(Productos!$D$5:$D$504,MATCH($C1112,Productos!$A$5:$A$504,0)),""))</f>
        <v/>
      </c>
      <c r="F1112" s="20"/>
      <c r="G1112" s="22" t="str">
        <f>IF($C1112="","",IFERROR(INDEX(Productos!$F$5:$F$504,MATCH($C1112,Productos!$A$5:$A$504,0)),0))</f>
        <v/>
      </c>
      <c r="H1112" s="22" t="str">
        <f t="shared" si="17"/>
        <v/>
      </c>
      <c r="I1112" s="14" t="str">
        <f>IF(OR($C1112="",$F1112=""),"",IFERROR(INDEX(Productos!$I$5:$I$504,MATCH($C1112,Productos!$A$5:$A$504,0)),0)+SUMIFS($F$5:$F1112,$C$5:$C1112,$C1112,$B$5:$B1112,"Entrada")-SUMIFS($F$5:$F1112,$C$5:$C1112,$C1112,$B$5:$B1112,"Salida"))</f>
        <v/>
      </c>
      <c r="J1112" s="20"/>
      <c r="K1112" s="20"/>
      <c r="L1112" s="20"/>
      <c r="M1112" s="14" t="str">
        <f>IF(AND($C1112&lt;&gt;"",$C1112=Kardex!$C$4),COUNTIF($C$5:$C1112,Kardex!$C$4),"")</f>
        <v/>
      </c>
    </row>
    <row r="1113" spans="1:13" x14ac:dyDescent="0.25">
      <c r="A1113" s="24"/>
      <c r="B1113" s="20"/>
      <c r="C1113" s="20"/>
      <c r="D1113" s="14" t="str">
        <f>IF($C1113="","",IFERROR(INDEX(Productos!$B$5:$B$504,MATCH($C1113,Productos!$A$5:$A$504,0)),"Clave no existe"))</f>
        <v/>
      </c>
      <c r="E1113" s="14" t="str">
        <f>IF($C1113="","",IFERROR(INDEX(Productos!$D$5:$D$504,MATCH($C1113,Productos!$A$5:$A$504,0)),""))</f>
        <v/>
      </c>
      <c r="F1113" s="20"/>
      <c r="G1113" s="22" t="str">
        <f>IF($C1113="","",IFERROR(INDEX(Productos!$F$5:$F$504,MATCH($C1113,Productos!$A$5:$A$504,0)),0))</f>
        <v/>
      </c>
      <c r="H1113" s="22" t="str">
        <f t="shared" si="17"/>
        <v/>
      </c>
      <c r="I1113" s="14" t="str">
        <f>IF(OR($C1113="",$F1113=""),"",IFERROR(INDEX(Productos!$I$5:$I$504,MATCH($C1113,Productos!$A$5:$A$504,0)),0)+SUMIFS($F$5:$F1113,$C$5:$C1113,$C1113,$B$5:$B1113,"Entrada")-SUMIFS($F$5:$F1113,$C$5:$C1113,$C1113,$B$5:$B1113,"Salida"))</f>
        <v/>
      </c>
      <c r="J1113" s="20"/>
      <c r="K1113" s="20"/>
      <c r="L1113" s="20"/>
      <c r="M1113" s="14" t="str">
        <f>IF(AND($C1113&lt;&gt;"",$C1113=Kardex!$C$4),COUNTIF($C$5:$C1113,Kardex!$C$4),"")</f>
        <v/>
      </c>
    </row>
    <row r="1114" spans="1:13" x14ac:dyDescent="0.25">
      <c r="A1114" s="24"/>
      <c r="B1114" s="20"/>
      <c r="C1114" s="20"/>
      <c r="D1114" s="14" t="str">
        <f>IF($C1114="","",IFERROR(INDEX(Productos!$B$5:$B$504,MATCH($C1114,Productos!$A$5:$A$504,0)),"Clave no existe"))</f>
        <v/>
      </c>
      <c r="E1114" s="14" t="str">
        <f>IF($C1114="","",IFERROR(INDEX(Productos!$D$5:$D$504,MATCH($C1114,Productos!$A$5:$A$504,0)),""))</f>
        <v/>
      </c>
      <c r="F1114" s="20"/>
      <c r="G1114" s="22" t="str">
        <f>IF($C1114="","",IFERROR(INDEX(Productos!$F$5:$F$504,MATCH($C1114,Productos!$A$5:$A$504,0)),0))</f>
        <v/>
      </c>
      <c r="H1114" s="22" t="str">
        <f t="shared" si="17"/>
        <v/>
      </c>
      <c r="I1114" s="14" t="str">
        <f>IF(OR($C1114="",$F1114=""),"",IFERROR(INDEX(Productos!$I$5:$I$504,MATCH($C1114,Productos!$A$5:$A$504,0)),0)+SUMIFS($F$5:$F1114,$C$5:$C1114,$C1114,$B$5:$B1114,"Entrada")-SUMIFS($F$5:$F1114,$C$5:$C1114,$C1114,$B$5:$B1114,"Salida"))</f>
        <v/>
      </c>
      <c r="J1114" s="20"/>
      <c r="K1114" s="20"/>
      <c r="L1114" s="20"/>
      <c r="M1114" s="14" t="str">
        <f>IF(AND($C1114&lt;&gt;"",$C1114=Kardex!$C$4),COUNTIF($C$5:$C1114,Kardex!$C$4),"")</f>
        <v/>
      </c>
    </row>
    <row r="1115" spans="1:13" x14ac:dyDescent="0.25">
      <c r="A1115" s="24"/>
      <c r="B1115" s="20"/>
      <c r="C1115" s="20"/>
      <c r="D1115" s="14" t="str">
        <f>IF($C1115="","",IFERROR(INDEX(Productos!$B$5:$B$504,MATCH($C1115,Productos!$A$5:$A$504,0)),"Clave no existe"))</f>
        <v/>
      </c>
      <c r="E1115" s="14" t="str">
        <f>IF($C1115="","",IFERROR(INDEX(Productos!$D$5:$D$504,MATCH($C1115,Productos!$A$5:$A$504,0)),""))</f>
        <v/>
      </c>
      <c r="F1115" s="20"/>
      <c r="G1115" s="22" t="str">
        <f>IF($C1115="","",IFERROR(INDEX(Productos!$F$5:$F$504,MATCH($C1115,Productos!$A$5:$A$504,0)),0))</f>
        <v/>
      </c>
      <c r="H1115" s="22" t="str">
        <f t="shared" si="17"/>
        <v/>
      </c>
      <c r="I1115" s="14" t="str">
        <f>IF(OR($C1115="",$F1115=""),"",IFERROR(INDEX(Productos!$I$5:$I$504,MATCH($C1115,Productos!$A$5:$A$504,0)),0)+SUMIFS($F$5:$F1115,$C$5:$C1115,$C1115,$B$5:$B1115,"Entrada")-SUMIFS($F$5:$F1115,$C$5:$C1115,$C1115,$B$5:$B1115,"Salida"))</f>
        <v/>
      </c>
      <c r="J1115" s="20"/>
      <c r="K1115" s="20"/>
      <c r="L1115" s="20"/>
      <c r="M1115" s="14" t="str">
        <f>IF(AND($C1115&lt;&gt;"",$C1115=Kardex!$C$4),COUNTIF($C$5:$C1115,Kardex!$C$4),"")</f>
        <v/>
      </c>
    </row>
    <row r="1116" spans="1:13" x14ac:dyDescent="0.25">
      <c r="A1116" s="24"/>
      <c r="B1116" s="20"/>
      <c r="C1116" s="20"/>
      <c r="D1116" s="14" t="str">
        <f>IF($C1116="","",IFERROR(INDEX(Productos!$B$5:$B$504,MATCH($C1116,Productos!$A$5:$A$504,0)),"Clave no existe"))</f>
        <v/>
      </c>
      <c r="E1116" s="14" t="str">
        <f>IF($C1116="","",IFERROR(INDEX(Productos!$D$5:$D$504,MATCH($C1116,Productos!$A$5:$A$504,0)),""))</f>
        <v/>
      </c>
      <c r="F1116" s="20"/>
      <c r="G1116" s="22" t="str">
        <f>IF($C1116="","",IFERROR(INDEX(Productos!$F$5:$F$504,MATCH($C1116,Productos!$A$5:$A$504,0)),0))</f>
        <v/>
      </c>
      <c r="H1116" s="22" t="str">
        <f t="shared" si="17"/>
        <v/>
      </c>
      <c r="I1116" s="14" t="str">
        <f>IF(OR($C1116="",$F1116=""),"",IFERROR(INDEX(Productos!$I$5:$I$504,MATCH($C1116,Productos!$A$5:$A$504,0)),0)+SUMIFS($F$5:$F1116,$C$5:$C1116,$C1116,$B$5:$B1116,"Entrada")-SUMIFS($F$5:$F1116,$C$5:$C1116,$C1116,$B$5:$B1116,"Salida"))</f>
        <v/>
      </c>
      <c r="J1116" s="20"/>
      <c r="K1116" s="20"/>
      <c r="L1116" s="20"/>
      <c r="M1116" s="14" t="str">
        <f>IF(AND($C1116&lt;&gt;"",$C1116=Kardex!$C$4),COUNTIF($C$5:$C1116,Kardex!$C$4),"")</f>
        <v/>
      </c>
    </row>
    <row r="1117" spans="1:13" x14ac:dyDescent="0.25">
      <c r="A1117" s="24"/>
      <c r="B1117" s="20"/>
      <c r="C1117" s="20"/>
      <c r="D1117" s="14" t="str">
        <f>IF($C1117="","",IFERROR(INDEX(Productos!$B$5:$B$504,MATCH($C1117,Productos!$A$5:$A$504,0)),"Clave no existe"))</f>
        <v/>
      </c>
      <c r="E1117" s="14" t="str">
        <f>IF($C1117="","",IFERROR(INDEX(Productos!$D$5:$D$504,MATCH($C1117,Productos!$A$5:$A$504,0)),""))</f>
        <v/>
      </c>
      <c r="F1117" s="20"/>
      <c r="G1117" s="22" t="str">
        <f>IF($C1117="","",IFERROR(INDEX(Productos!$F$5:$F$504,MATCH($C1117,Productos!$A$5:$A$504,0)),0))</f>
        <v/>
      </c>
      <c r="H1117" s="22" t="str">
        <f t="shared" si="17"/>
        <v/>
      </c>
      <c r="I1117" s="14" t="str">
        <f>IF(OR($C1117="",$F1117=""),"",IFERROR(INDEX(Productos!$I$5:$I$504,MATCH($C1117,Productos!$A$5:$A$504,0)),0)+SUMIFS($F$5:$F1117,$C$5:$C1117,$C1117,$B$5:$B1117,"Entrada")-SUMIFS($F$5:$F1117,$C$5:$C1117,$C1117,$B$5:$B1117,"Salida"))</f>
        <v/>
      </c>
      <c r="J1117" s="20"/>
      <c r="K1117" s="20"/>
      <c r="L1117" s="20"/>
      <c r="M1117" s="14" t="str">
        <f>IF(AND($C1117&lt;&gt;"",$C1117=Kardex!$C$4),COUNTIF($C$5:$C1117,Kardex!$C$4),"")</f>
        <v/>
      </c>
    </row>
    <row r="1118" spans="1:13" x14ac:dyDescent="0.25">
      <c r="A1118" s="24"/>
      <c r="B1118" s="20"/>
      <c r="C1118" s="20"/>
      <c r="D1118" s="14" t="str">
        <f>IF($C1118="","",IFERROR(INDEX(Productos!$B$5:$B$504,MATCH($C1118,Productos!$A$5:$A$504,0)),"Clave no existe"))</f>
        <v/>
      </c>
      <c r="E1118" s="14" t="str">
        <f>IF($C1118="","",IFERROR(INDEX(Productos!$D$5:$D$504,MATCH($C1118,Productos!$A$5:$A$504,0)),""))</f>
        <v/>
      </c>
      <c r="F1118" s="20"/>
      <c r="G1118" s="22" t="str">
        <f>IF($C1118="","",IFERROR(INDEX(Productos!$F$5:$F$504,MATCH($C1118,Productos!$A$5:$A$504,0)),0))</f>
        <v/>
      </c>
      <c r="H1118" s="22" t="str">
        <f t="shared" si="17"/>
        <v/>
      </c>
      <c r="I1118" s="14" t="str">
        <f>IF(OR($C1118="",$F1118=""),"",IFERROR(INDEX(Productos!$I$5:$I$504,MATCH($C1118,Productos!$A$5:$A$504,0)),0)+SUMIFS($F$5:$F1118,$C$5:$C1118,$C1118,$B$5:$B1118,"Entrada")-SUMIFS($F$5:$F1118,$C$5:$C1118,$C1118,$B$5:$B1118,"Salida"))</f>
        <v/>
      </c>
      <c r="J1118" s="20"/>
      <c r="K1118" s="20"/>
      <c r="L1118" s="20"/>
      <c r="M1118" s="14" t="str">
        <f>IF(AND($C1118&lt;&gt;"",$C1118=Kardex!$C$4),COUNTIF($C$5:$C1118,Kardex!$C$4),"")</f>
        <v/>
      </c>
    </row>
    <row r="1119" spans="1:13" x14ac:dyDescent="0.25">
      <c r="A1119" s="24"/>
      <c r="B1119" s="20"/>
      <c r="C1119" s="20"/>
      <c r="D1119" s="14" t="str">
        <f>IF($C1119="","",IFERROR(INDEX(Productos!$B$5:$B$504,MATCH($C1119,Productos!$A$5:$A$504,0)),"Clave no existe"))</f>
        <v/>
      </c>
      <c r="E1119" s="14" t="str">
        <f>IF($C1119="","",IFERROR(INDEX(Productos!$D$5:$D$504,MATCH($C1119,Productos!$A$5:$A$504,0)),""))</f>
        <v/>
      </c>
      <c r="F1119" s="20"/>
      <c r="G1119" s="22" t="str">
        <f>IF($C1119="","",IFERROR(INDEX(Productos!$F$5:$F$504,MATCH($C1119,Productos!$A$5:$A$504,0)),0))</f>
        <v/>
      </c>
      <c r="H1119" s="22" t="str">
        <f t="shared" si="17"/>
        <v/>
      </c>
      <c r="I1119" s="14" t="str">
        <f>IF(OR($C1119="",$F1119=""),"",IFERROR(INDEX(Productos!$I$5:$I$504,MATCH($C1119,Productos!$A$5:$A$504,0)),0)+SUMIFS($F$5:$F1119,$C$5:$C1119,$C1119,$B$5:$B1119,"Entrada")-SUMIFS($F$5:$F1119,$C$5:$C1119,$C1119,$B$5:$B1119,"Salida"))</f>
        <v/>
      </c>
      <c r="J1119" s="20"/>
      <c r="K1119" s="20"/>
      <c r="L1119" s="20"/>
      <c r="M1119" s="14" t="str">
        <f>IF(AND($C1119&lt;&gt;"",$C1119=Kardex!$C$4),COUNTIF($C$5:$C1119,Kardex!$C$4),"")</f>
        <v/>
      </c>
    </row>
    <row r="1120" spans="1:13" x14ac:dyDescent="0.25">
      <c r="A1120" s="24"/>
      <c r="B1120" s="20"/>
      <c r="C1120" s="20"/>
      <c r="D1120" s="14" t="str">
        <f>IF($C1120="","",IFERROR(INDEX(Productos!$B$5:$B$504,MATCH($C1120,Productos!$A$5:$A$504,0)),"Clave no existe"))</f>
        <v/>
      </c>
      <c r="E1120" s="14" t="str">
        <f>IF($C1120="","",IFERROR(INDEX(Productos!$D$5:$D$504,MATCH($C1120,Productos!$A$5:$A$504,0)),""))</f>
        <v/>
      </c>
      <c r="F1120" s="20"/>
      <c r="G1120" s="22" t="str">
        <f>IF($C1120="","",IFERROR(INDEX(Productos!$F$5:$F$504,MATCH($C1120,Productos!$A$5:$A$504,0)),0))</f>
        <v/>
      </c>
      <c r="H1120" s="22" t="str">
        <f t="shared" si="17"/>
        <v/>
      </c>
      <c r="I1120" s="14" t="str">
        <f>IF(OR($C1120="",$F1120=""),"",IFERROR(INDEX(Productos!$I$5:$I$504,MATCH($C1120,Productos!$A$5:$A$504,0)),0)+SUMIFS($F$5:$F1120,$C$5:$C1120,$C1120,$B$5:$B1120,"Entrada")-SUMIFS($F$5:$F1120,$C$5:$C1120,$C1120,$B$5:$B1120,"Salida"))</f>
        <v/>
      </c>
      <c r="J1120" s="20"/>
      <c r="K1120" s="20"/>
      <c r="L1120" s="20"/>
      <c r="M1120" s="14" t="str">
        <f>IF(AND($C1120&lt;&gt;"",$C1120=Kardex!$C$4),COUNTIF($C$5:$C1120,Kardex!$C$4),"")</f>
        <v/>
      </c>
    </row>
    <row r="1121" spans="1:13" x14ac:dyDescent="0.25">
      <c r="A1121" s="24"/>
      <c r="B1121" s="20"/>
      <c r="C1121" s="20"/>
      <c r="D1121" s="14" t="str">
        <f>IF($C1121="","",IFERROR(INDEX(Productos!$B$5:$B$504,MATCH($C1121,Productos!$A$5:$A$504,0)),"Clave no existe"))</f>
        <v/>
      </c>
      <c r="E1121" s="14" t="str">
        <f>IF($C1121="","",IFERROR(INDEX(Productos!$D$5:$D$504,MATCH($C1121,Productos!$A$5:$A$504,0)),""))</f>
        <v/>
      </c>
      <c r="F1121" s="20"/>
      <c r="G1121" s="22" t="str">
        <f>IF($C1121="","",IFERROR(INDEX(Productos!$F$5:$F$504,MATCH($C1121,Productos!$A$5:$A$504,0)),0))</f>
        <v/>
      </c>
      <c r="H1121" s="22" t="str">
        <f t="shared" si="17"/>
        <v/>
      </c>
      <c r="I1121" s="14" t="str">
        <f>IF(OR($C1121="",$F1121=""),"",IFERROR(INDEX(Productos!$I$5:$I$504,MATCH($C1121,Productos!$A$5:$A$504,0)),0)+SUMIFS($F$5:$F1121,$C$5:$C1121,$C1121,$B$5:$B1121,"Entrada")-SUMIFS($F$5:$F1121,$C$5:$C1121,$C1121,$B$5:$B1121,"Salida"))</f>
        <v/>
      </c>
      <c r="J1121" s="20"/>
      <c r="K1121" s="20"/>
      <c r="L1121" s="20"/>
      <c r="M1121" s="14" t="str">
        <f>IF(AND($C1121&lt;&gt;"",$C1121=Kardex!$C$4),COUNTIF($C$5:$C1121,Kardex!$C$4),"")</f>
        <v/>
      </c>
    </row>
    <row r="1122" spans="1:13" x14ac:dyDescent="0.25">
      <c r="A1122" s="24"/>
      <c r="B1122" s="20"/>
      <c r="C1122" s="20"/>
      <c r="D1122" s="14" t="str">
        <f>IF($C1122="","",IFERROR(INDEX(Productos!$B$5:$B$504,MATCH($C1122,Productos!$A$5:$A$504,0)),"Clave no existe"))</f>
        <v/>
      </c>
      <c r="E1122" s="14" t="str">
        <f>IF($C1122="","",IFERROR(INDEX(Productos!$D$5:$D$504,MATCH($C1122,Productos!$A$5:$A$504,0)),""))</f>
        <v/>
      </c>
      <c r="F1122" s="20"/>
      <c r="G1122" s="22" t="str">
        <f>IF($C1122="","",IFERROR(INDEX(Productos!$F$5:$F$504,MATCH($C1122,Productos!$A$5:$A$504,0)),0))</f>
        <v/>
      </c>
      <c r="H1122" s="22" t="str">
        <f t="shared" si="17"/>
        <v/>
      </c>
      <c r="I1122" s="14" t="str">
        <f>IF(OR($C1122="",$F1122=""),"",IFERROR(INDEX(Productos!$I$5:$I$504,MATCH($C1122,Productos!$A$5:$A$504,0)),0)+SUMIFS($F$5:$F1122,$C$5:$C1122,$C1122,$B$5:$B1122,"Entrada")-SUMIFS($F$5:$F1122,$C$5:$C1122,$C1122,$B$5:$B1122,"Salida"))</f>
        <v/>
      </c>
      <c r="J1122" s="20"/>
      <c r="K1122" s="20"/>
      <c r="L1122" s="20"/>
      <c r="M1122" s="14" t="str">
        <f>IF(AND($C1122&lt;&gt;"",$C1122=Kardex!$C$4),COUNTIF($C$5:$C1122,Kardex!$C$4),"")</f>
        <v/>
      </c>
    </row>
    <row r="1123" spans="1:13" x14ac:dyDescent="0.25">
      <c r="A1123" s="24"/>
      <c r="B1123" s="20"/>
      <c r="C1123" s="20"/>
      <c r="D1123" s="14" t="str">
        <f>IF($C1123="","",IFERROR(INDEX(Productos!$B$5:$B$504,MATCH($C1123,Productos!$A$5:$A$504,0)),"Clave no existe"))</f>
        <v/>
      </c>
      <c r="E1123" s="14" t="str">
        <f>IF($C1123="","",IFERROR(INDEX(Productos!$D$5:$D$504,MATCH($C1123,Productos!$A$5:$A$504,0)),""))</f>
        <v/>
      </c>
      <c r="F1123" s="20"/>
      <c r="G1123" s="22" t="str">
        <f>IF($C1123="","",IFERROR(INDEX(Productos!$F$5:$F$504,MATCH($C1123,Productos!$A$5:$A$504,0)),0))</f>
        <v/>
      </c>
      <c r="H1123" s="22" t="str">
        <f t="shared" si="17"/>
        <v/>
      </c>
      <c r="I1123" s="14" t="str">
        <f>IF(OR($C1123="",$F1123=""),"",IFERROR(INDEX(Productos!$I$5:$I$504,MATCH($C1123,Productos!$A$5:$A$504,0)),0)+SUMIFS($F$5:$F1123,$C$5:$C1123,$C1123,$B$5:$B1123,"Entrada")-SUMIFS($F$5:$F1123,$C$5:$C1123,$C1123,$B$5:$B1123,"Salida"))</f>
        <v/>
      </c>
      <c r="J1123" s="20"/>
      <c r="K1123" s="20"/>
      <c r="L1123" s="20"/>
      <c r="M1123" s="14" t="str">
        <f>IF(AND($C1123&lt;&gt;"",$C1123=Kardex!$C$4),COUNTIF($C$5:$C1123,Kardex!$C$4),"")</f>
        <v/>
      </c>
    </row>
    <row r="1124" spans="1:13" x14ac:dyDescent="0.25">
      <c r="A1124" s="24"/>
      <c r="B1124" s="20"/>
      <c r="C1124" s="20"/>
      <c r="D1124" s="14" t="str">
        <f>IF($C1124="","",IFERROR(INDEX(Productos!$B$5:$B$504,MATCH($C1124,Productos!$A$5:$A$504,0)),"Clave no existe"))</f>
        <v/>
      </c>
      <c r="E1124" s="14" t="str">
        <f>IF($C1124="","",IFERROR(INDEX(Productos!$D$5:$D$504,MATCH($C1124,Productos!$A$5:$A$504,0)),""))</f>
        <v/>
      </c>
      <c r="F1124" s="20"/>
      <c r="G1124" s="22" t="str">
        <f>IF($C1124="","",IFERROR(INDEX(Productos!$F$5:$F$504,MATCH($C1124,Productos!$A$5:$A$504,0)),0))</f>
        <v/>
      </c>
      <c r="H1124" s="22" t="str">
        <f t="shared" si="17"/>
        <v/>
      </c>
      <c r="I1124" s="14" t="str">
        <f>IF(OR($C1124="",$F1124=""),"",IFERROR(INDEX(Productos!$I$5:$I$504,MATCH($C1124,Productos!$A$5:$A$504,0)),0)+SUMIFS($F$5:$F1124,$C$5:$C1124,$C1124,$B$5:$B1124,"Entrada")-SUMIFS($F$5:$F1124,$C$5:$C1124,$C1124,$B$5:$B1124,"Salida"))</f>
        <v/>
      </c>
      <c r="J1124" s="20"/>
      <c r="K1124" s="20"/>
      <c r="L1124" s="20"/>
      <c r="M1124" s="14" t="str">
        <f>IF(AND($C1124&lt;&gt;"",$C1124=Kardex!$C$4),COUNTIF($C$5:$C1124,Kardex!$C$4),"")</f>
        <v/>
      </c>
    </row>
    <row r="1125" spans="1:13" x14ac:dyDescent="0.25">
      <c r="A1125" s="24"/>
      <c r="B1125" s="20"/>
      <c r="C1125" s="20"/>
      <c r="D1125" s="14" t="str">
        <f>IF($C1125="","",IFERROR(INDEX(Productos!$B$5:$B$504,MATCH($C1125,Productos!$A$5:$A$504,0)),"Clave no existe"))</f>
        <v/>
      </c>
      <c r="E1125" s="14" t="str">
        <f>IF($C1125="","",IFERROR(INDEX(Productos!$D$5:$D$504,MATCH($C1125,Productos!$A$5:$A$504,0)),""))</f>
        <v/>
      </c>
      <c r="F1125" s="20"/>
      <c r="G1125" s="22" t="str">
        <f>IF($C1125="","",IFERROR(INDEX(Productos!$F$5:$F$504,MATCH($C1125,Productos!$A$5:$A$504,0)),0))</f>
        <v/>
      </c>
      <c r="H1125" s="22" t="str">
        <f t="shared" si="17"/>
        <v/>
      </c>
      <c r="I1125" s="14" t="str">
        <f>IF(OR($C1125="",$F1125=""),"",IFERROR(INDEX(Productos!$I$5:$I$504,MATCH($C1125,Productos!$A$5:$A$504,0)),0)+SUMIFS($F$5:$F1125,$C$5:$C1125,$C1125,$B$5:$B1125,"Entrada")-SUMIFS($F$5:$F1125,$C$5:$C1125,$C1125,$B$5:$B1125,"Salida"))</f>
        <v/>
      </c>
      <c r="J1125" s="20"/>
      <c r="K1125" s="20"/>
      <c r="L1125" s="20"/>
      <c r="M1125" s="14" t="str">
        <f>IF(AND($C1125&lt;&gt;"",$C1125=Kardex!$C$4),COUNTIF($C$5:$C1125,Kardex!$C$4),"")</f>
        <v/>
      </c>
    </row>
    <row r="1126" spans="1:13" x14ac:dyDescent="0.25">
      <c r="A1126" s="24"/>
      <c r="B1126" s="20"/>
      <c r="C1126" s="20"/>
      <c r="D1126" s="14" t="str">
        <f>IF($C1126="","",IFERROR(INDEX(Productos!$B$5:$B$504,MATCH($C1126,Productos!$A$5:$A$504,0)),"Clave no existe"))</f>
        <v/>
      </c>
      <c r="E1126" s="14" t="str">
        <f>IF($C1126="","",IFERROR(INDEX(Productos!$D$5:$D$504,MATCH($C1126,Productos!$A$5:$A$504,0)),""))</f>
        <v/>
      </c>
      <c r="F1126" s="20"/>
      <c r="G1126" s="22" t="str">
        <f>IF($C1126="","",IFERROR(INDEX(Productos!$F$5:$F$504,MATCH($C1126,Productos!$A$5:$A$504,0)),0))</f>
        <v/>
      </c>
      <c r="H1126" s="22" t="str">
        <f t="shared" si="17"/>
        <v/>
      </c>
      <c r="I1126" s="14" t="str">
        <f>IF(OR($C1126="",$F1126=""),"",IFERROR(INDEX(Productos!$I$5:$I$504,MATCH($C1126,Productos!$A$5:$A$504,0)),0)+SUMIFS($F$5:$F1126,$C$5:$C1126,$C1126,$B$5:$B1126,"Entrada")-SUMIFS($F$5:$F1126,$C$5:$C1126,$C1126,$B$5:$B1126,"Salida"))</f>
        <v/>
      </c>
      <c r="J1126" s="20"/>
      <c r="K1126" s="20"/>
      <c r="L1126" s="20"/>
      <c r="M1126" s="14" t="str">
        <f>IF(AND($C1126&lt;&gt;"",$C1126=Kardex!$C$4),COUNTIF($C$5:$C1126,Kardex!$C$4),"")</f>
        <v/>
      </c>
    </row>
    <row r="1127" spans="1:13" x14ac:dyDescent="0.25">
      <c r="A1127" s="24"/>
      <c r="B1127" s="20"/>
      <c r="C1127" s="20"/>
      <c r="D1127" s="14" t="str">
        <f>IF($C1127="","",IFERROR(INDEX(Productos!$B$5:$B$504,MATCH($C1127,Productos!$A$5:$A$504,0)),"Clave no existe"))</f>
        <v/>
      </c>
      <c r="E1127" s="14" t="str">
        <f>IF($C1127="","",IFERROR(INDEX(Productos!$D$5:$D$504,MATCH($C1127,Productos!$A$5:$A$504,0)),""))</f>
        <v/>
      </c>
      <c r="F1127" s="20"/>
      <c r="G1127" s="22" t="str">
        <f>IF($C1127="","",IFERROR(INDEX(Productos!$F$5:$F$504,MATCH($C1127,Productos!$A$5:$A$504,0)),0))</f>
        <v/>
      </c>
      <c r="H1127" s="22" t="str">
        <f t="shared" si="17"/>
        <v/>
      </c>
      <c r="I1127" s="14" t="str">
        <f>IF(OR($C1127="",$F1127=""),"",IFERROR(INDEX(Productos!$I$5:$I$504,MATCH($C1127,Productos!$A$5:$A$504,0)),0)+SUMIFS($F$5:$F1127,$C$5:$C1127,$C1127,$B$5:$B1127,"Entrada")-SUMIFS($F$5:$F1127,$C$5:$C1127,$C1127,$B$5:$B1127,"Salida"))</f>
        <v/>
      </c>
      <c r="J1127" s="20"/>
      <c r="K1127" s="20"/>
      <c r="L1127" s="20"/>
      <c r="M1127" s="14" t="str">
        <f>IF(AND($C1127&lt;&gt;"",$C1127=Kardex!$C$4),COUNTIF($C$5:$C1127,Kardex!$C$4),"")</f>
        <v/>
      </c>
    </row>
    <row r="1128" spans="1:13" x14ac:dyDescent="0.25">
      <c r="A1128" s="24"/>
      <c r="B1128" s="20"/>
      <c r="C1128" s="20"/>
      <c r="D1128" s="14" t="str">
        <f>IF($C1128="","",IFERROR(INDEX(Productos!$B$5:$B$504,MATCH($C1128,Productos!$A$5:$A$504,0)),"Clave no existe"))</f>
        <v/>
      </c>
      <c r="E1128" s="14" t="str">
        <f>IF($C1128="","",IFERROR(INDEX(Productos!$D$5:$D$504,MATCH($C1128,Productos!$A$5:$A$504,0)),""))</f>
        <v/>
      </c>
      <c r="F1128" s="20"/>
      <c r="G1128" s="22" t="str">
        <f>IF($C1128="","",IFERROR(INDEX(Productos!$F$5:$F$504,MATCH($C1128,Productos!$A$5:$A$504,0)),0))</f>
        <v/>
      </c>
      <c r="H1128" s="22" t="str">
        <f t="shared" si="17"/>
        <v/>
      </c>
      <c r="I1128" s="14" t="str">
        <f>IF(OR($C1128="",$F1128=""),"",IFERROR(INDEX(Productos!$I$5:$I$504,MATCH($C1128,Productos!$A$5:$A$504,0)),0)+SUMIFS($F$5:$F1128,$C$5:$C1128,$C1128,$B$5:$B1128,"Entrada")-SUMIFS($F$5:$F1128,$C$5:$C1128,$C1128,$B$5:$B1128,"Salida"))</f>
        <v/>
      </c>
      <c r="J1128" s="20"/>
      <c r="K1128" s="20"/>
      <c r="L1128" s="20"/>
      <c r="M1128" s="14" t="str">
        <f>IF(AND($C1128&lt;&gt;"",$C1128=Kardex!$C$4),COUNTIF($C$5:$C1128,Kardex!$C$4),"")</f>
        <v/>
      </c>
    </row>
    <row r="1129" spans="1:13" x14ac:dyDescent="0.25">
      <c r="A1129" s="24"/>
      <c r="B1129" s="20"/>
      <c r="C1129" s="20"/>
      <c r="D1129" s="14" t="str">
        <f>IF($C1129="","",IFERROR(INDEX(Productos!$B$5:$B$504,MATCH($C1129,Productos!$A$5:$A$504,0)),"Clave no existe"))</f>
        <v/>
      </c>
      <c r="E1129" s="14" t="str">
        <f>IF($C1129="","",IFERROR(INDEX(Productos!$D$5:$D$504,MATCH($C1129,Productos!$A$5:$A$504,0)),""))</f>
        <v/>
      </c>
      <c r="F1129" s="20"/>
      <c r="G1129" s="22" t="str">
        <f>IF($C1129="","",IFERROR(INDEX(Productos!$F$5:$F$504,MATCH($C1129,Productos!$A$5:$A$504,0)),0))</f>
        <v/>
      </c>
      <c r="H1129" s="22" t="str">
        <f t="shared" si="17"/>
        <v/>
      </c>
      <c r="I1129" s="14" t="str">
        <f>IF(OR($C1129="",$F1129=""),"",IFERROR(INDEX(Productos!$I$5:$I$504,MATCH($C1129,Productos!$A$5:$A$504,0)),0)+SUMIFS($F$5:$F1129,$C$5:$C1129,$C1129,$B$5:$B1129,"Entrada")-SUMIFS($F$5:$F1129,$C$5:$C1129,$C1129,$B$5:$B1129,"Salida"))</f>
        <v/>
      </c>
      <c r="J1129" s="20"/>
      <c r="K1129" s="20"/>
      <c r="L1129" s="20"/>
      <c r="M1129" s="14" t="str">
        <f>IF(AND($C1129&lt;&gt;"",$C1129=Kardex!$C$4),COUNTIF($C$5:$C1129,Kardex!$C$4),"")</f>
        <v/>
      </c>
    </row>
    <row r="1130" spans="1:13" x14ac:dyDescent="0.25">
      <c r="A1130" s="24"/>
      <c r="B1130" s="20"/>
      <c r="C1130" s="20"/>
      <c r="D1130" s="14" t="str">
        <f>IF($C1130="","",IFERROR(INDEX(Productos!$B$5:$B$504,MATCH($C1130,Productos!$A$5:$A$504,0)),"Clave no existe"))</f>
        <v/>
      </c>
      <c r="E1130" s="14" t="str">
        <f>IF($C1130="","",IFERROR(INDEX(Productos!$D$5:$D$504,MATCH($C1130,Productos!$A$5:$A$504,0)),""))</f>
        <v/>
      </c>
      <c r="F1130" s="20"/>
      <c r="G1130" s="22" t="str">
        <f>IF($C1130="","",IFERROR(INDEX(Productos!$F$5:$F$504,MATCH($C1130,Productos!$A$5:$A$504,0)),0))</f>
        <v/>
      </c>
      <c r="H1130" s="22" t="str">
        <f t="shared" si="17"/>
        <v/>
      </c>
      <c r="I1130" s="14" t="str">
        <f>IF(OR($C1130="",$F1130=""),"",IFERROR(INDEX(Productos!$I$5:$I$504,MATCH($C1130,Productos!$A$5:$A$504,0)),0)+SUMIFS($F$5:$F1130,$C$5:$C1130,$C1130,$B$5:$B1130,"Entrada")-SUMIFS($F$5:$F1130,$C$5:$C1130,$C1130,$B$5:$B1130,"Salida"))</f>
        <v/>
      </c>
      <c r="J1130" s="20"/>
      <c r="K1130" s="20"/>
      <c r="L1130" s="20"/>
      <c r="M1130" s="14" t="str">
        <f>IF(AND($C1130&lt;&gt;"",$C1130=Kardex!$C$4),COUNTIF($C$5:$C1130,Kardex!$C$4),"")</f>
        <v/>
      </c>
    </row>
    <row r="1131" spans="1:13" x14ac:dyDescent="0.25">
      <c r="A1131" s="24"/>
      <c r="B1131" s="20"/>
      <c r="C1131" s="20"/>
      <c r="D1131" s="14" t="str">
        <f>IF($C1131="","",IFERROR(INDEX(Productos!$B$5:$B$504,MATCH($C1131,Productos!$A$5:$A$504,0)),"Clave no existe"))</f>
        <v/>
      </c>
      <c r="E1131" s="14" t="str">
        <f>IF($C1131="","",IFERROR(INDEX(Productos!$D$5:$D$504,MATCH($C1131,Productos!$A$5:$A$504,0)),""))</f>
        <v/>
      </c>
      <c r="F1131" s="20"/>
      <c r="G1131" s="22" t="str">
        <f>IF($C1131="","",IFERROR(INDEX(Productos!$F$5:$F$504,MATCH($C1131,Productos!$A$5:$A$504,0)),0))</f>
        <v/>
      </c>
      <c r="H1131" s="22" t="str">
        <f t="shared" si="17"/>
        <v/>
      </c>
      <c r="I1131" s="14" t="str">
        <f>IF(OR($C1131="",$F1131=""),"",IFERROR(INDEX(Productos!$I$5:$I$504,MATCH($C1131,Productos!$A$5:$A$504,0)),0)+SUMIFS($F$5:$F1131,$C$5:$C1131,$C1131,$B$5:$B1131,"Entrada")-SUMIFS($F$5:$F1131,$C$5:$C1131,$C1131,$B$5:$B1131,"Salida"))</f>
        <v/>
      </c>
      <c r="J1131" s="20"/>
      <c r="K1131" s="20"/>
      <c r="L1131" s="20"/>
      <c r="M1131" s="14" t="str">
        <f>IF(AND($C1131&lt;&gt;"",$C1131=Kardex!$C$4),COUNTIF($C$5:$C1131,Kardex!$C$4),"")</f>
        <v/>
      </c>
    </row>
    <row r="1132" spans="1:13" x14ac:dyDescent="0.25">
      <c r="A1132" s="24"/>
      <c r="B1132" s="20"/>
      <c r="C1132" s="20"/>
      <c r="D1132" s="14" t="str">
        <f>IF($C1132="","",IFERROR(INDEX(Productos!$B$5:$B$504,MATCH($C1132,Productos!$A$5:$A$504,0)),"Clave no existe"))</f>
        <v/>
      </c>
      <c r="E1132" s="14" t="str">
        <f>IF($C1132="","",IFERROR(INDEX(Productos!$D$5:$D$504,MATCH($C1132,Productos!$A$5:$A$504,0)),""))</f>
        <v/>
      </c>
      <c r="F1132" s="20"/>
      <c r="G1132" s="22" t="str">
        <f>IF($C1132="","",IFERROR(INDEX(Productos!$F$5:$F$504,MATCH($C1132,Productos!$A$5:$A$504,0)),0))</f>
        <v/>
      </c>
      <c r="H1132" s="22" t="str">
        <f t="shared" si="17"/>
        <v/>
      </c>
      <c r="I1132" s="14" t="str">
        <f>IF(OR($C1132="",$F1132=""),"",IFERROR(INDEX(Productos!$I$5:$I$504,MATCH($C1132,Productos!$A$5:$A$504,0)),0)+SUMIFS($F$5:$F1132,$C$5:$C1132,$C1132,$B$5:$B1132,"Entrada")-SUMIFS($F$5:$F1132,$C$5:$C1132,$C1132,$B$5:$B1132,"Salida"))</f>
        <v/>
      </c>
      <c r="J1132" s="20"/>
      <c r="K1132" s="20"/>
      <c r="L1132" s="20"/>
      <c r="M1132" s="14" t="str">
        <f>IF(AND($C1132&lt;&gt;"",$C1132=Kardex!$C$4),COUNTIF($C$5:$C1132,Kardex!$C$4),"")</f>
        <v/>
      </c>
    </row>
    <row r="1133" spans="1:13" x14ac:dyDescent="0.25">
      <c r="A1133" s="24"/>
      <c r="B1133" s="20"/>
      <c r="C1133" s="20"/>
      <c r="D1133" s="14" t="str">
        <f>IF($C1133="","",IFERROR(INDEX(Productos!$B$5:$B$504,MATCH($C1133,Productos!$A$5:$A$504,0)),"Clave no existe"))</f>
        <v/>
      </c>
      <c r="E1133" s="14" t="str">
        <f>IF($C1133="","",IFERROR(INDEX(Productos!$D$5:$D$504,MATCH($C1133,Productos!$A$5:$A$504,0)),""))</f>
        <v/>
      </c>
      <c r="F1133" s="20"/>
      <c r="G1133" s="22" t="str">
        <f>IF($C1133="","",IFERROR(INDEX(Productos!$F$5:$F$504,MATCH($C1133,Productos!$A$5:$A$504,0)),0))</f>
        <v/>
      </c>
      <c r="H1133" s="22" t="str">
        <f t="shared" si="17"/>
        <v/>
      </c>
      <c r="I1133" s="14" t="str">
        <f>IF(OR($C1133="",$F1133=""),"",IFERROR(INDEX(Productos!$I$5:$I$504,MATCH($C1133,Productos!$A$5:$A$504,0)),0)+SUMIFS($F$5:$F1133,$C$5:$C1133,$C1133,$B$5:$B1133,"Entrada")-SUMIFS($F$5:$F1133,$C$5:$C1133,$C1133,$B$5:$B1133,"Salida"))</f>
        <v/>
      </c>
      <c r="J1133" s="20"/>
      <c r="K1133" s="20"/>
      <c r="L1133" s="20"/>
      <c r="M1133" s="14" t="str">
        <f>IF(AND($C1133&lt;&gt;"",$C1133=Kardex!$C$4),COUNTIF($C$5:$C1133,Kardex!$C$4),"")</f>
        <v/>
      </c>
    </row>
    <row r="1134" spans="1:13" x14ac:dyDescent="0.25">
      <c r="A1134" s="24"/>
      <c r="B1134" s="20"/>
      <c r="C1134" s="20"/>
      <c r="D1134" s="14" t="str">
        <f>IF($C1134="","",IFERROR(INDEX(Productos!$B$5:$B$504,MATCH($C1134,Productos!$A$5:$A$504,0)),"Clave no existe"))</f>
        <v/>
      </c>
      <c r="E1134" s="14" t="str">
        <f>IF($C1134="","",IFERROR(INDEX(Productos!$D$5:$D$504,MATCH($C1134,Productos!$A$5:$A$504,0)),""))</f>
        <v/>
      </c>
      <c r="F1134" s="20"/>
      <c r="G1134" s="22" t="str">
        <f>IF($C1134="","",IFERROR(INDEX(Productos!$F$5:$F$504,MATCH($C1134,Productos!$A$5:$A$504,0)),0))</f>
        <v/>
      </c>
      <c r="H1134" s="22" t="str">
        <f t="shared" si="17"/>
        <v/>
      </c>
      <c r="I1134" s="14" t="str">
        <f>IF(OR($C1134="",$F1134=""),"",IFERROR(INDEX(Productos!$I$5:$I$504,MATCH($C1134,Productos!$A$5:$A$504,0)),0)+SUMIFS($F$5:$F1134,$C$5:$C1134,$C1134,$B$5:$B1134,"Entrada")-SUMIFS($F$5:$F1134,$C$5:$C1134,$C1134,$B$5:$B1134,"Salida"))</f>
        <v/>
      </c>
      <c r="J1134" s="20"/>
      <c r="K1134" s="20"/>
      <c r="L1134" s="20"/>
      <c r="M1134" s="14" t="str">
        <f>IF(AND($C1134&lt;&gt;"",$C1134=Kardex!$C$4),COUNTIF($C$5:$C1134,Kardex!$C$4),"")</f>
        <v/>
      </c>
    </row>
    <row r="1135" spans="1:13" x14ac:dyDescent="0.25">
      <c r="A1135" s="24"/>
      <c r="B1135" s="20"/>
      <c r="C1135" s="20"/>
      <c r="D1135" s="14" t="str">
        <f>IF($C1135="","",IFERROR(INDEX(Productos!$B$5:$B$504,MATCH($C1135,Productos!$A$5:$A$504,0)),"Clave no existe"))</f>
        <v/>
      </c>
      <c r="E1135" s="14" t="str">
        <f>IF($C1135="","",IFERROR(INDEX(Productos!$D$5:$D$504,MATCH($C1135,Productos!$A$5:$A$504,0)),""))</f>
        <v/>
      </c>
      <c r="F1135" s="20"/>
      <c r="G1135" s="22" t="str">
        <f>IF($C1135="","",IFERROR(INDEX(Productos!$F$5:$F$504,MATCH($C1135,Productos!$A$5:$A$504,0)),0))</f>
        <v/>
      </c>
      <c r="H1135" s="22" t="str">
        <f t="shared" si="17"/>
        <v/>
      </c>
      <c r="I1135" s="14" t="str">
        <f>IF(OR($C1135="",$F1135=""),"",IFERROR(INDEX(Productos!$I$5:$I$504,MATCH($C1135,Productos!$A$5:$A$504,0)),0)+SUMIFS($F$5:$F1135,$C$5:$C1135,$C1135,$B$5:$B1135,"Entrada")-SUMIFS($F$5:$F1135,$C$5:$C1135,$C1135,$B$5:$B1135,"Salida"))</f>
        <v/>
      </c>
      <c r="J1135" s="20"/>
      <c r="K1135" s="20"/>
      <c r="L1135" s="20"/>
      <c r="M1135" s="14" t="str">
        <f>IF(AND($C1135&lt;&gt;"",$C1135=Kardex!$C$4),COUNTIF($C$5:$C1135,Kardex!$C$4),"")</f>
        <v/>
      </c>
    </row>
    <row r="1136" spans="1:13" x14ac:dyDescent="0.25">
      <c r="A1136" s="24"/>
      <c r="B1136" s="20"/>
      <c r="C1136" s="20"/>
      <c r="D1136" s="14" t="str">
        <f>IF($C1136="","",IFERROR(INDEX(Productos!$B$5:$B$504,MATCH($C1136,Productos!$A$5:$A$504,0)),"Clave no existe"))</f>
        <v/>
      </c>
      <c r="E1136" s="14" t="str">
        <f>IF($C1136="","",IFERROR(INDEX(Productos!$D$5:$D$504,MATCH($C1136,Productos!$A$5:$A$504,0)),""))</f>
        <v/>
      </c>
      <c r="F1136" s="20"/>
      <c r="G1136" s="22" t="str">
        <f>IF($C1136="","",IFERROR(INDEX(Productos!$F$5:$F$504,MATCH($C1136,Productos!$A$5:$A$504,0)),0))</f>
        <v/>
      </c>
      <c r="H1136" s="22" t="str">
        <f t="shared" si="17"/>
        <v/>
      </c>
      <c r="I1136" s="14" t="str">
        <f>IF(OR($C1136="",$F1136=""),"",IFERROR(INDEX(Productos!$I$5:$I$504,MATCH($C1136,Productos!$A$5:$A$504,0)),0)+SUMIFS($F$5:$F1136,$C$5:$C1136,$C1136,$B$5:$B1136,"Entrada")-SUMIFS($F$5:$F1136,$C$5:$C1136,$C1136,$B$5:$B1136,"Salida"))</f>
        <v/>
      </c>
      <c r="J1136" s="20"/>
      <c r="K1136" s="20"/>
      <c r="L1136" s="20"/>
      <c r="M1136" s="14" t="str">
        <f>IF(AND($C1136&lt;&gt;"",$C1136=Kardex!$C$4),COUNTIF($C$5:$C1136,Kardex!$C$4),"")</f>
        <v/>
      </c>
    </row>
    <row r="1137" spans="1:13" x14ac:dyDescent="0.25">
      <c r="A1137" s="24"/>
      <c r="B1137" s="20"/>
      <c r="C1137" s="20"/>
      <c r="D1137" s="14" t="str">
        <f>IF($C1137="","",IFERROR(INDEX(Productos!$B$5:$B$504,MATCH($C1137,Productos!$A$5:$A$504,0)),"Clave no existe"))</f>
        <v/>
      </c>
      <c r="E1137" s="14" t="str">
        <f>IF($C1137="","",IFERROR(INDEX(Productos!$D$5:$D$504,MATCH($C1137,Productos!$A$5:$A$504,0)),""))</f>
        <v/>
      </c>
      <c r="F1137" s="20"/>
      <c r="G1137" s="22" t="str">
        <f>IF($C1137="","",IFERROR(INDEX(Productos!$F$5:$F$504,MATCH($C1137,Productos!$A$5:$A$504,0)),0))</f>
        <v/>
      </c>
      <c r="H1137" s="22" t="str">
        <f t="shared" si="17"/>
        <v/>
      </c>
      <c r="I1137" s="14" t="str">
        <f>IF(OR($C1137="",$F1137=""),"",IFERROR(INDEX(Productos!$I$5:$I$504,MATCH($C1137,Productos!$A$5:$A$504,0)),0)+SUMIFS($F$5:$F1137,$C$5:$C1137,$C1137,$B$5:$B1137,"Entrada")-SUMIFS($F$5:$F1137,$C$5:$C1137,$C1137,$B$5:$B1137,"Salida"))</f>
        <v/>
      </c>
      <c r="J1137" s="20"/>
      <c r="K1137" s="20"/>
      <c r="L1137" s="20"/>
      <c r="M1137" s="14" t="str">
        <f>IF(AND($C1137&lt;&gt;"",$C1137=Kardex!$C$4),COUNTIF($C$5:$C1137,Kardex!$C$4),"")</f>
        <v/>
      </c>
    </row>
    <row r="1138" spans="1:13" x14ac:dyDescent="0.25">
      <c r="A1138" s="24"/>
      <c r="B1138" s="20"/>
      <c r="C1138" s="20"/>
      <c r="D1138" s="14" t="str">
        <f>IF($C1138="","",IFERROR(INDEX(Productos!$B$5:$B$504,MATCH($C1138,Productos!$A$5:$A$504,0)),"Clave no existe"))</f>
        <v/>
      </c>
      <c r="E1138" s="14" t="str">
        <f>IF($C1138="","",IFERROR(INDEX(Productos!$D$5:$D$504,MATCH($C1138,Productos!$A$5:$A$504,0)),""))</f>
        <v/>
      </c>
      <c r="F1138" s="20"/>
      <c r="G1138" s="22" t="str">
        <f>IF($C1138="","",IFERROR(INDEX(Productos!$F$5:$F$504,MATCH($C1138,Productos!$A$5:$A$504,0)),0))</f>
        <v/>
      </c>
      <c r="H1138" s="22" t="str">
        <f t="shared" si="17"/>
        <v/>
      </c>
      <c r="I1138" s="14" t="str">
        <f>IF(OR($C1138="",$F1138=""),"",IFERROR(INDEX(Productos!$I$5:$I$504,MATCH($C1138,Productos!$A$5:$A$504,0)),0)+SUMIFS($F$5:$F1138,$C$5:$C1138,$C1138,$B$5:$B1138,"Entrada")-SUMIFS($F$5:$F1138,$C$5:$C1138,$C1138,$B$5:$B1138,"Salida"))</f>
        <v/>
      </c>
      <c r="J1138" s="20"/>
      <c r="K1138" s="20"/>
      <c r="L1138" s="20"/>
      <c r="M1138" s="14" t="str">
        <f>IF(AND($C1138&lt;&gt;"",$C1138=Kardex!$C$4),COUNTIF($C$5:$C1138,Kardex!$C$4),"")</f>
        <v/>
      </c>
    </row>
    <row r="1139" spans="1:13" x14ac:dyDescent="0.25">
      <c r="A1139" s="24"/>
      <c r="B1139" s="20"/>
      <c r="C1139" s="20"/>
      <c r="D1139" s="14" t="str">
        <f>IF($C1139="","",IFERROR(INDEX(Productos!$B$5:$B$504,MATCH($C1139,Productos!$A$5:$A$504,0)),"Clave no existe"))</f>
        <v/>
      </c>
      <c r="E1139" s="14" t="str">
        <f>IF($C1139="","",IFERROR(INDEX(Productos!$D$5:$D$504,MATCH($C1139,Productos!$A$5:$A$504,0)),""))</f>
        <v/>
      </c>
      <c r="F1139" s="20"/>
      <c r="G1139" s="22" t="str">
        <f>IF($C1139="","",IFERROR(INDEX(Productos!$F$5:$F$504,MATCH($C1139,Productos!$A$5:$A$504,0)),0))</f>
        <v/>
      </c>
      <c r="H1139" s="22" t="str">
        <f t="shared" si="17"/>
        <v/>
      </c>
      <c r="I1139" s="14" t="str">
        <f>IF(OR($C1139="",$F1139=""),"",IFERROR(INDEX(Productos!$I$5:$I$504,MATCH($C1139,Productos!$A$5:$A$504,0)),0)+SUMIFS($F$5:$F1139,$C$5:$C1139,$C1139,$B$5:$B1139,"Entrada")-SUMIFS($F$5:$F1139,$C$5:$C1139,$C1139,$B$5:$B1139,"Salida"))</f>
        <v/>
      </c>
      <c r="J1139" s="20"/>
      <c r="K1139" s="20"/>
      <c r="L1139" s="20"/>
      <c r="M1139" s="14" t="str">
        <f>IF(AND($C1139&lt;&gt;"",$C1139=Kardex!$C$4),COUNTIF($C$5:$C1139,Kardex!$C$4),"")</f>
        <v/>
      </c>
    </row>
    <row r="1140" spans="1:13" x14ac:dyDescent="0.25">
      <c r="A1140" s="24"/>
      <c r="B1140" s="20"/>
      <c r="C1140" s="20"/>
      <c r="D1140" s="14" t="str">
        <f>IF($C1140="","",IFERROR(INDEX(Productos!$B$5:$B$504,MATCH($C1140,Productos!$A$5:$A$504,0)),"Clave no existe"))</f>
        <v/>
      </c>
      <c r="E1140" s="14" t="str">
        <f>IF($C1140="","",IFERROR(INDEX(Productos!$D$5:$D$504,MATCH($C1140,Productos!$A$5:$A$504,0)),""))</f>
        <v/>
      </c>
      <c r="F1140" s="20"/>
      <c r="G1140" s="22" t="str">
        <f>IF($C1140="","",IFERROR(INDEX(Productos!$F$5:$F$504,MATCH($C1140,Productos!$A$5:$A$504,0)),0))</f>
        <v/>
      </c>
      <c r="H1140" s="22" t="str">
        <f t="shared" si="17"/>
        <v/>
      </c>
      <c r="I1140" s="14" t="str">
        <f>IF(OR($C1140="",$F1140=""),"",IFERROR(INDEX(Productos!$I$5:$I$504,MATCH($C1140,Productos!$A$5:$A$504,0)),0)+SUMIFS($F$5:$F1140,$C$5:$C1140,$C1140,$B$5:$B1140,"Entrada")-SUMIFS($F$5:$F1140,$C$5:$C1140,$C1140,$B$5:$B1140,"Salida"))</f>
        <v/>
      </c>
      <c r="J1140" s="20"/>
      <c r="K1140" s="20"/>
      <c r="L1140" s="20"/>
      <c r="M1140" s="14" t="str">
        <f>IF(AND($C1140&lt;&gt;"",$C1140=Kardex!$C$4),COUNTIF($C$5:$C1140,Kardex!$C$4),"")</f>
        <v/>
      </c>
    </row>
    <row r="1141" spans="1:13" x14ac:dyDescent="0.25">
      <c r="A1141" s="24"/>
      <c r="B1141" s="20"/>
      <c r="C1141" s="20"/>
      <c r="D1141" s="14" t="str">
        <f>IF($C1141="","",IFERROR(INDEX(Productos!$B$5:$B$504,MATCH($C1141,Productos!$A$5:$A$504,0)),"Clave no existe"))</f>
        <v/>
      </c>
      <c r="E1141" s="14" t="str">
        <f>IF($C1141="","",IFERROR(INDEX(Productos!$D$5:$D$504,MATCH($C1141,Productos!$A$5:$A$504,0)),""))</f>
        <v/>
      </c>
      <c r="F1141" s="20"/>
      <c r="G1141" s="22" t="str">
        <f>IF($C1141="","",IFERROR(INDEX(Productos!$F$5:$F$504,MATCH($C1141,Productos!$A$5:$A$504,0)),0))</f>
        <v/>
      </c>
      <c r="H1141" s="22" t="str">
        <f t="shared" si="17"/>
        <v/>
      </c>
      <c r="I1141" s="14" t="str">
        <f>IF(OR($C1141="",$F1141=""),"",IFERROR(INDEX(Productos!$I$5:$I$504,MATCH($C1141,Productos!$A$5:$A$504,0)),0)+SUMIFS($F$5:$F1141,$C$5:$C1141,$C1141,$B$5:$B1141,"Entrada")-SUMIFS($F$5:$F1141,$C$5:$C1141,$C1141,$B$5:$B1141,"Salida"))</f>
        <v/>
      </c>
      <c r="J1141" s="20"/>
      <c r="K1141" s="20"/>
      <c r="L1141" s="20"/>
      <c r="M1141" s="14" t="str">
        <f>IF(AND($C1141&lt;&gt;"",$C1141=Kardex!$C$4),COUNTIF($C$5:$C1141,Kardex!$C$4),"")</f>
        <v/>
      </c>
    </row>
    <row r="1142" spans="1:13" x14ac:dyDescent="0.25">
      <c r="A1142" s="24"/>
      <c r="B1142" s="20"/>
      <c r="C1142" s="20"/>
      <c r="D1142" s="14" t="str">
        <f>IF($C1142="","",IFERROR(INDEX(Productos!$B$5:$B$504,MATCH($C1142,Productos!$A$5:$A$504,0)),"Clave no existe"))</f>
        <v/>
      </c>
      <c r="E1142" s="14" t="str">
        <f>IF($C1142="","",IFERROR(INDEX(Productos!$D$5:$D$504,MATCH($C1142,Productos!$A$5:$A$504,0)),""))</f>
        <v/>
      </c>
      <c r="F1142" s="20"/>
      <c r="G1142" s="22" t="str">
        <f>IF($C1142="","",IFERROR(INDEX(Productos!$F$5:$F$504,MATCH($C1142,Productos!$A$5:$A$504,0)),0))</f>
        <v/>
      </c>
      <c r="H1142" s="22" t="str">
        <f t="shared" si="17"/>
        <v/>
      </c>
      <c r="I1142" s="14" t="str">
        <f>IF(OR($C1142="",$F1142=""),"",IFERROR(INDEX(Productos!$I$5:$I$504,MATCH($C1142,Productos!$A$5:$A$504,0)),0)+SUMIFS($F$5:$F1142,$C$5:$C1142,$C1142,$B$5:$B1142,"Entrada")-SUMIFS($F$5:$F1142,$C$5:$C1142,$C1142,$B$5:$B1142,"Salida"))</f>
        <v/>
      </c>
      <c r="J1142" s="20"/>
      <c r="K1142" s="20"/>
      <c r="L1142" s="20"/>
      <c r="M1142" s="14" t="str">
        <f>IF(AND($C1142&lt;&gt;"",$C1142=Kardex!$C$4),COUNTIF($C$5:$C1142,Kardex!$C$4),"")</f>
        <v/>
      </c>
    </row>
    <row r="1143" spans="1:13" x14ac:dyDescent="0.25">
      <c r="A1143" s="24"/>
      <c r="B1143" s="20"/>
      <c r="C1143" s="20"/>
      <c r="D1143" s="14" t="str">
        <f>IF($C1143="","",IFERROR(INDEX(Productos!$B$5:$B$504,MATCH($C1143,Productos!$A$5:$A$504,0)),"Clave no existe"))</f>
        <v/>
      </c>
      <c r="E1143" s="14" t="str">
        <f>IF($C1143="","",IFERROR(INDEX(Productos!$D$5:$D$504,MATCH($C1143,Productos!$A$5:$A$504,0)),""))</f>
        <v/>
      </c>
      <c r="F1143" s="20"/>
      <c r="G1143" s="22" t="str">
        <f>IF($C1143="","",IFERROR(INDEX(Productos!$F$5:$F$504,MATCH($C1143,Productos!$A$5:$A$504,0)),0))</f>
        <v/>
      </c>
      <c r="H1143" s="22" t="str">
        <f t="shared" si="17"/>
        <v/>
      </c>
      <c r="I1143" s="14" t="str">
        <f>IF(OR($C1143="",$F1143=""),"",IFERROR(INDEX(Productos!$I$5:$I$504,MATCH($C1143,Productos!$A$5:$A$504,0)),0)+SUMIFS($F$5:$F1143,$C$5:$C1143,$C1143,$B$5:$B1143,"Entrada")-SUMIFS($F$5:$F1143,$C$5:$C1143,$C1143,$B$5:$B1143,"Salida"))</f>
        <v/>
      </c>
      <c r="J1143" s="20"/>
      <c r="K1143" s="20"/>
      <c r="L1143" s="20"/>
      <c r="M1143" s="14" t="str">
        <f>IF(AND($C1143&lt;&gt;"",$C1143=Kardex!$C$4),COUNTIF($C$5:$C1143,Kardex!$C$4),"")</f>
        <v/>
      </c>
    </row>
    <row r="1144" spans="1:13" x14ac:dyDescent="0.25">
      <c r="A1144" s="24"/>
      <c r="B1144" s="20"/>
      <c r="C1144" s="20"/>
      <c r="D1144" s="14" t="str">
        <f>IF($C1144="","",IFERROR(INDEX(Productos!$B$5:$B$504,MATCH($C1144,Productos!$A$5:$A$504,0)),"Clave no existe"))</f>
        <v/>
      </c>
      <c r="E1144" s="14" t="str">
        <f>IF($C1144="","",IFERROR(INDEX(Productos!$D$5:$D$504,MATCH($C1144,Productos!$A$5:$A$504,0)),""))</f>
        <v/>
      </c>
      <c r="F1144" s="20"/>
      <c r="G1144" s="22" t="str">
        <f>IF($C1144="","",IFERROR(INDEX(Productos!$F$5:$F$504,MATCH($C1144,Productos!$A$5:$A$504,0)),0))</f>
        <v/>
      </c>
      <c r="H1144" s="22" t="str">
        <f t="shared" si="17"/>
        <v/>
      </c>
      <c r="I1144" s="14" t="str">
        <f>IF(OR($C1144="",$F1144=""),"",IFERROR(INDEX(Productos!$I$5:$I$504,MATCH($C1144,Productos!$A$5:$A$504,0)),0)+SUMIFS($F$5:$F1144,$C$5:$C1144,$C1144,$B$5:$B1144,"Entrada")-SUMIFS($F$5:$F1144,$C$5:$C1144,$C1144,$B$5:$B1144,"Salida"))</f>
        <v/>
      </c>
      <c r="J1144" s="20"/>
      <c r="K1144" s="20"/>
      <c r="L1144" s="20"/>
      <c r="M1144" s="14" t="str">
        <f>IF(AND($C1144&lt;&gt;"",$C1144=Kardex!$C$4),COUNTIF($C$5:$C1144,Kardex!$C$4),"")</f>
        <v/>
      </c>
    </row>
    <row r="1145" spans="1:13" x14ac:dyDescent="0.25">
      <c r="A1145" s="24"/>
      <c r="B1145" s="20"/>
      <c r="C1145" s="20"/>
      <c r="D1145" s="14" t="str">
        <f>IF($C1145="","",IFERROR(INDEX(Productos!$B$5:$B$504,MATCH($C1145,Productos!$A$5:$A$504,0)),"Clave no existe"))</f>
        <v/>
      </c>
      <c r="E1145" s="14" t="str">
        <f>IF($C1145="","",IFERROR(INDEX(Productos!$D$5:$D$504,MATCH($C1145,Productos!$A$5:$A$504,0)),""))</f>
        <v/>
      </c>
      <c r="F1145" s="20"/>
      <c r="G1145" s="22" t="str">
        <f>IF($C1145="","",IFERROR(INDEX(Productos!$F$5:$F$504,MATCH($C1145,Productos!$A$5:$A$504,0)),0))</f>
        <v/>
      </c>
      <c r="H1145" s="22" t="str">
        <f t="shared" si="17"/>
        <v/>
      </c>
      <c r="I1145" s="14" t="str">
        <f>IF(OR($C1145="",$F1145=""),"",IFERROR(INDEX(Productos!$I$5:$I$504,MATCH($C1145,Productos!$A$5:$A$504,0)),0)+SUMIFS($F$5:$F1145,$C$5:$C1145,$C1145,$B$5:$B1145,"Entrada")-SUMIFS($F$5:$F1145,$C$5:$C1145,$C1145,$B$5:$B1145,"Salida"))</f>
        <v/>
      </c>
      <c r="J1145" s="20"/>
      <c r="K1145" s="20"/>
      <c r="L1145" s="20"/>
      <c r="M1145" s="14" t="str">
        <f>IF(AND($C1145&lt;&gt;"",$C1145=Kardex!$C$4),COUNTIF($C$5:$C1145,Kardex!$C$4),"")</f>
        <v/>
      </c>
    </row>
    <row r="1146" spans="1:13" x14ac:dyDescent="0.25">
      <c r="A1146" s="24"/>
      <c r="B1146" s="20"/>
      <c r="C1146" s="20"/>
      <c r="D1146" s="14" t="str">
        <f>IF($C1146="","",IFERROR(INDEX(Productos!$B$5:$B$504,MATCH($C1146,Productos!$A$5:$A$504,0)),"Clave no existe"))</f>
        <v/>
      </c>
      <c r="E1146" s="14" t="str">
        <f>IF($C1146="","",IFERROR(INDEX(Productos!$D$5:$D$504,MATCH($C1146,Productos!$A$5:$A$504,0)),""))</f>
        <v/>
      </c>
      <c r="F1146" s="20"/>
      <c r="G1146" s="22" t="str">
        <f>IF($C1146="","",IFERROR(INDEX(Productos!$F$5:$F$504,MATCH($C1146,Productos!$A$5:$A$504,0)),0))</f>
        <v/>
      </c>
      <c r="H1146" s="22" t="str">
        <f t="shared" si="17"/>
        <v/>
      </c>
      <c r="I1146" s="14" t="str">
        <f>IF(OR($C1146="",$F1146=""),"",IFERROR(INDEX(Productos!$I$5:$I$504,MATCH($C1146,Productos!$A$5:$A$504,0)),0)+SUMIFS($F$5:$F1146,$C$5:$C1146,$C1146,$B$5:$B1146,"Entrada")-SUMIFS($F$5:$F1146,$C$5:$C1146,$C1146,$B$5:$B1146,"Salida"))</f>
        <v/>
      </c>
      <c r="J1146" s="20"/>
      <c r="K1146" s="20"/>
      <c r="L1146" s="20"/>
      <c r="M1146" s="14" t="str">
        <f>IF(AND($C1146&lt;&gt;"",$C1146=Kardex!$C$4),COUNTIF($C$5:$C1146,Kardex!$C$4),"")</f>
        <v/>
      </c>
    </row>
    <row r="1147" spans="1:13" x14ac:dyDescent="0.25">
      <c r="A1147" s="24"/>
      <c r="B1147" s="20"/>
      <c r="C1147" s="20"/>
      <c r="D1147" s="14" t="str">
        <f>IF($C1147="","",IFERROR(INDEX(Productos!$B$5:$B$504,MATCH($C1147,Productos!$A$5:$A$504,0)),"Clave no existe"))</f>
        <v/>
      </c>
      <c r="E1147" s="14" t="str">
        <f>IF($C1147="","",IFERROR(INDEX(Productos!$D$5:$D$504,MATCH($C1147,Productos!$A$5:$A$504,0)),""))</f>
        <v/>
      </c>
      <c r="F1147" s="20"/>
      <c r="G1147" s="22" t="str">
        <f>IF($C1147="","",IFERROR(INDEX(Productos!$F$5:$F$504,MATCH($C1147,Productos!$A$5:$A$504,0)),0))</f>
        <v/>
      </c>
      <c r="H1147" s="22" t="str">
        <f t="shared" si="17"/>
        <v/>
      </c>
      <c r="I1147" s="14" t="str">
        <f>IF(OR($C1147="",$F1147=""),"",IFERROR(INDEX(Productos!$I$5:$I$504,MATCH($C1147,Productos!$A$5:$A$504,0)),0)+SUMIFS($F$5:$F1147,$C$5:$C1147,$C1147,$B$5:$B1147,"Entrada")-SUMIFS($F$5:$F1147,$C$5:$C1147,$C1147,$B$5:$B1147,"Salida"))</f>
        <v/>
      </c>
      <c r="J1147" s="20"/>
      <c r="K1147" s="20"/>
      <c r="L1147" s="20"/>
      <c r="M1147" s="14" t="str">
        <f>IF(AND($C1147&lt;&gt;"",$C1147=Kardex!$C$4),COUNTIF($C$5:$C1147,Kardex!$C$4),"")</f>
        <v/>
      </c>
    </row>
    <row r="1148" spans="1:13" x14ac:dyDescent="0.25">
      <c r="A1148" s="24"/>
      <c r="B1148" s="20"/>
      <c r="C1148" s="20"/>
      <c r="D1148" s="14" t="str">
        <f>IF($C1148="","",IFERROR(INDEX(Productos!$B$5:$B$504,MATCH($C1148,Productos!$A$5:$A$504,0)),"Clave no existe"))</f>
        <v/>
      </c>
      <c r="E1148" s="14" t="str">
        <f>IF($C1148="","",IFERROR(INDEX(Productos!$D$5:$D$504,MATCH($C1148,Productos!$A$5:$A$504,0)),""))</f>
        <v/>
      </c>
      <c r="F1148" s="20"/>
      <c r="G1148" s="22" t="str">
        <f>IF($C1148="","",IFERROR(INDEX(Productos!$F$5:$F$504,MATCH($C1148,Productos!$A$5:$A$504,0)),0))</f>
        <v/>
      </c>
      <c r="H1148" s="22" t="str">
        <f t="shared" si="17"/>
        <v/>
      </c>
      <c r="I1148" s="14" t="str">
        <f>IF(OR($C1148="",$F1148=""),"",IFERROR(INDEX(Productos!$I$5:$I$504,MATCH($C1148,Productos!$A$5:$A$504,0)),0)+SUMIFS($F$5:$F1148,$C$5:$C1148,$C1148,$B$5:$B1148,"Entrada")-SUMIFS($F$5:$F1148,$C$5:$C1148,$C1148,$B$5:$B1148,"Salida"))</f>
        <v/>
      </c>
      <c r="J1148" s="20"/>
      <c r="K1148" s="20"/>
      <c r="L1148" s="20"/>
      <c r="M1148" s="14" t="str">
        <f>IF(AND($C1148&lt;&gt;"",$C1148=Kardex!$C$4),COUNTIF($C$5:$C1148,Kardex!$C$4),"")</f>
        <v/>
      </c>
    </row>
    <row r="1149" spans="1:13" x14ac:dyDescent="0.25">
      <c r="A1149" s="24"/>
      <c r="B1149" s="20"/>
      <c r="C1149" s="20"/>
      <c r="D1149" s="14" t="str">
        <f>IF($C1149="","",IFERROR(INDEX(Productos!$B$5:$B$504,MATCH($C1149,Productos!$A$5:$A$504,0)),"Clave no existe"))</f>
        <v/>
      </c>
      <c r="E1149" s="14" t="str">
        <f>IF($C1149="","",IFERROR(INDEX(Productos!$D$5:$D$504,MATCH($C1149,Productos!$A$5:$A$504,0)),""))</f>
        <v/>
      </c>
      <c r="F1149" s="20"/>
      <c r="G1149" s="22" t="str">
        <f>IF($C1149="","",IFERROR(INDEX(Productos!$F$5:$F$504,MATCH($C1149,Productos!$A$5:$A$504,0)),0))</f>
        <v/>
      </c>
      <c r="H1149" s="22" t="str">
        <f t="shared" si="17"/>
        <v/>
      </c>
      <c r="I1149" s="14" t="str">
        <f>IF(OR($C1149="",$F1149=""),"",IFERROR(INDEX(Productos!$I$5:$I$504,MATCH($C1149,Productos!$A$5:$A$504,0)),0)+SUMIFS($F$5:$F1149,$C$5:$C1149,$C1149,$B$5:$B1149,"Entrada")-SUMIFS($F$5:$F1149,$C$5:$C1149,$C1149,$B$5:$B1149,"Salida"))</f>
        <v/>
      </c>
      <c r="J1149" s="20"/>
      <c r="K1149" s="20"/>
      <c r="L1149" s="20"/>
      <c r="M1149" s="14" t="str">
        <f>IF(AND($C1149&lt;&gt;"",$C1149=Kardex!$C$4),COUNTIF($C$5:$C1149,Kardex!$C$4),"")</f>
        <v/>
      </c>
    </row>
    <row r="1150" spans="1:13" x14ac:dyDescent="0.25">
      <c r="A1150" s="24"/>
      <c r="B1150" s="20"/>
      <c r="C1150" s="20"/>
      <c r="D1150" s="14" t="str">
        <f>IF($C1150="","",IFERROR(INDEX(Productos!$B$5:$B$504,MATCH($C1150,Productos!$A$5:$A$504,0)),"Clave no existe"))</f>
        <v/>
      </c>
      <c r="E1150" s="14" t="str">
        <f>IF($C1150="","",IFERROR(INDEX(Productos!$D$5:$D$504,MATCH($C1150,Productos!$A$5:$A$504,0)),""))</f>
        <v/>
      </c>
      <c r="F1150" s="20"/>
      <c r="G1150" s="22" t="str">
        <f>IF($C1150="","",IFERROR(INDEX(Productos!$F$5:$F$504,MATCH($C1150,Productos!$A$5:$A$504,0)),0))</f>
        <v/>
      </c>
      <c r="H1150" s="22" t="str">
        <f t="shared" si="17"/>
        <v/>
      </c>
      <c r="I1150" s="14" t="str">
        <f>IF(OR($C1150="",$F1150=""),"",IFERROR(INDEX(Productos!$I$5:$I$504,MATCH($C1150,Productos!$A$5:$A$504,0)),0)+SUMIFS($F$5:$F1150,$C$5:$C1150,$C1150,$B$5:$B1150,"Entrada")-SUMIFS($F$5:$F1150,$C$5:$C1150,$C1150,$B$5:$B1150,"Salida"))</f>
        <v/>
      </c>
      <c r="J1150" s="20"/>
      <c r="K1150" s="20"/>
      <c r="L1150" s="20"/>
      <c r="M1150" s="14" t="str">
        <f>IF(AND($C1150&lt;&gt;"",$C1150=Kardex!$C$4),COUNTIF($C$5:$C1150,Kardex!$C$4),"")</f>
        <v/>
      </c>
    </row>
    <row r="1151" spans="1:13" x14ac:dyDescent="0.25">
      <c r="A1151" s="24"/>
      <c r="B1151" s="20"/>
      <c r="C1151" s="20"/>
      <c r="D1151" s="14" t="str">
        <f>IF($C1151="","",IFERROR(INDEX(Productos!$B$5:$B$504,MATCH($C1151,Productos!$A$5:$A$504,0)),"Clave no existe"))</f>
        <v/>
      </c>
      <c r="E1151" s="14" t="str">
        <f>IF($C1151="","",IFERROR(INDEX(Productos!$D$5:$D$504,MATCH($C1151,Productos!$A$5:$A$504,0)),""))</f>
        <v/>
      </c>
      <c r="F1151" s="20"/>
      <c r="G1151" s="22" t="str">
        <f>IF($C1151="","",IFERROR(INDEX(Productos!$F$5:$F$504,MATCH($C1151,Productos!$A$5:$A$504,0)),0))</f>
        <v/>
      </c>
      <c r="H1151" s="22" t="str">
        <f t="shared" si="17"/>
        <v/>
      </c>
      <c r="I1151" s="14" t="str">
        <f>IF(OR($C1151="",$F1151=""),"",IFERROR(INDEX(Productos!$I$5:$I$504,MATCH($C1151,Productos!$A$5:$A$504,0)),0)+SUMIFS($F$5:$F1151,$C$5:$C1151,$C1151,$B$5:$B1151,"Entrada")-SUMIFS($F$5:$F1151,$C$5:$C1151,$C1151,$B$5:$B1151,"Salida"))</f>
        <v/>
      </c>
      <c r="J1151" s="20"/>
      <c r="K1151" s="20"/>
      <c r="L1151" s="20"/>
      <c r="M1151" s="14" t="str">
        <f>IF(AND($C1151&lt;&gt;"",$C1151=Kardex!$C$4),COUNTIF($C$5:$C1151,Kardex!$C$4),"")</f>
        <v/>
      </c>
    </row>
    <row r="1152" spans="1:13" x14ac:dyDescent="0.25">
      <c r="A1152" s="24"/>
      <c r="B1152" s="20"/>
      <c r="C1152" s="20"/>
      <c r="D1152" s="14" t="str">
        <f>IF($C1152="","",IFERROR(INDEX(Productos!$B$5:$B$504,MATCH($C1152,Productos!$A$5:$A$504,0)),"Clave no existe"))</f>
        <v/>
      </c>
      <c r="E1152" s="14" t="str">
        <f>IF($C1152="","",IFERROR(INDEX(Productos!$D$5:$D$504,MATCH($C1152,Productos!$A$5:$A$504,0)),""))</f>
        <v/>
      </c>
      <c r="F1152" s="20"/>
      <c r="G1152" s="22" t="str">
        <f>IF($C1152="","",IFERROR(INDEX(Productos!$F$5:$F$504,MATCH($C1152,Productos!$A$5:$A$504,0)),0))</f>
        <v/>
      </c>
      <c r="H1152" s="22" t="str">
        <f t="shared" si="17"/>
        <v/>
      </c>
      <c r="I1152" s="14" t="str">
        <f>IF(OR($C1152="",$F1152=""),"",IFERROR(INDEX(Productos!$I$5:$I$504,MATCH($C1152,Productos!$A$5:$A$504,0)),0)+SUMIFS($F$5:$F1152,$C$5:$C1152,$C1152,$B$5:$B1152,"Entrada")-SUMIFS($F$5:$F1152,$C$5:$C1152,$C1152,$B$5:$B1152,"Salida"))</f>
        <v/>
      </c>
      <c r="J1152" s="20"/>
      <c r="K1152" s="20"/>
      <c r="L1152" s="20"/>
      <c r="M1152" s="14" t="str">
        <f>IF(AND($C1152&lt;&gt;"",$C1152=Kardex!$C$4),COUNTIF($C$5:$C1152,Kardex!$C$4),"")</f>
        <v/>
      </c>
    </row>
    <row r="1153" spans="1:13" x14ac:dyDescent="0.25">
      <c r="A1153" s="24"/>
      <c r="B1153" s="20"/>
      <c r="C1153" s="20"/>
      <c r="D1153" s="14" t="str">
        <f>IF($C1153="","",IFERROR(INDEX(Productos!$B$5:$B$504,MATCH($C1153,Productos!$A$5:$A$504,0)),"Clave no existe"))</f>
        <v/>
      </c>
      <c r="E1153" s="14" t="str">
        <f>IF($C1153="","",IFERROR(INDEX(Productos!$D$5:$D$504,MATCH($C1153,Productos!$A$5:$A$504,0)),""))</f>
        <v/>
      </c>
      <c r="F1153" s="20"/>
      <c r="G1153" s="22" t="str">
        <f>IF($C1153="","",IFERROR(INDEX(Productos!$F$5:$F$504,MATCH($C1153,Productos!$A$5:$A$504,0)),0))</f>
        <v/>
      </c>
      <c r="H1153" s="22" t="str">
        <f t="shared" si="17"/>
        <v/>
      </c>
      <c r="I1153" s="14" t="str">
        <f>IF(OR($C1153="",$F1153=""),"",IFERROR(INDEX(Productos!$I$5:$I$504,MATCH($C1153,Productos!$A$5:$A$504,0)),0)+SUMIFS($F$5:$F1153,$C$5:$C1153,$C1153,$B$5:$B1153,"Entrada")-SUMIFS($F$5:$F1153,$C$5:$C1153,$C1153,$B$5:$B1153,"Salida"))</f>
        <v/>
      </c>
      <c r="J1153" s="20"/>
      <c r="K1153" s="20"/>
      <c r="L1153" s="20"/>
      <c r="M1153" s="14" t="str">
        <f>IF(AND($C1153&lt;&gt;"",$C1153=Kardex!$C$4),COUNTIF($C$5:$C1153,Kardex!$C$4),"")</f>
        <v/>
      </c>
    </row>
    <row r="1154" spans="1:13" x14ac:dyDescent="0.25">
      <c r="A1154" s="24"/>
      <c r="B1154" s="20"/>
      <c r="C1154" s="20"/>
      <c r="D1154" s="14" t="str">
        <f>IF($C1154="","",IFERROR(INDEX(Productos!$B$5:$B$504,MATCH($C1154,Productos!$A$5:$A$504,0)),"Clave no existe"))</f>
        <v/>
      </c>
      <c r="E1154" s="14" t="str">
        <f>IF($C1154="","",IFERROR(INDEX(Productos!$D$5:$D$504,MATCH($C1154,Productos!$A$5:$A$504,0)),""))</f>
        <v/>
      </c>
      <c r="F1154" s="20"/>
      <c r="G1154" s="22" t="str">
        <f>IF($C1154="","",IFERROR(INDEX(Productos!$F$5:$F$504,MATCH($C1154,Productos!$A$5:$A$504,0)),0))</f>
        <v/>
      </c>
      <c r="H1154" s="22" t="str">
        <f t="shared" si="17"/>
        <v/>
      </c>
      <c r="I1154" s="14" t="str">
        <f>IF(OR($C1154="",$F1154=""),"",IFERROR(INDEX(Productos!$I$5:$I$504,MATCH($C1154,Productos!$A$5:$A$504,0)),0)+SUMIFS($F$5:$F1154,$C$5:$C1154,$C1154,$B$5:$B1154,"Entrada")-SUMIFS($F$5:$F1154,$C$5:$C1154,$C1154,$B$5:$B1154,"Salida"))</f>
        <v/>
      </c>
      <c r="J1154" s="20"/>
      <c r="K1154" s="20"/>
      <c r="L1154" s="20"/>
      <c r="M1154" s="14" t="str">
        <f>IF(AND($C1154&lt;&gt;"",$C1154=Kardex!$C$4),COUNTIF($C$5:$C1154,Kardex!$C$4),"")</f>
        <v/>
      </c>
    </row>
    <row r="1155" spans="1:13" x14ac:dyDescent="0.25">
      <c r="A1155" s="24"/>
      <c r="B1155" s="20"/>
      <c r="C1155" s="20"/>
      <c r="D1155" s="14" t="str">
        <f>IF($C1155="","",IFERROR(INDEX(Productos!$B$5:$B$504,MATCH($C1155,Productos!$A$5:$A$504,0)),"Clave no existe"))</f>
        <v/>
      </c>
      <c r="E1155" s="14" t="str">
        <f>IF($C1155="","",IFERROR(INDEX(Productos!$D$5:$D$504,MATCH($C1155,Productos!$A$5:$A$504,0)),""))</f>
        <v/>
      </c>
      <c r="F1155" s="20"/>
      <c r="G1155" s="22" t="str">
        <f>IF($C1155="","",IFERROR(INDEX(Productos!$F$5:$F$504,MATCH($C1155,Productos!$A$5:$A$504,0)),0))</f>
        <v/>
      </c>
      <c r="H1155" s="22" t="str">
        <f t="shared" si="17"/>
        <v/>
      </c>
      <c r="I1155" s="14" t="str">
        <f>IF(OR($C1155="",$F1155=""),"",IFERROR(INDEX(Productos!$I$5:$I$504,MATCH($C1155,Productos!$A$5:$A$504,0)),0)+SUMIFS($F$5:$F1155,$C$5:$C1155,$C1155,$B$5:$B1155,"Entrada")-SUMIFS($F$5:$F1155,$C$5:$C1155,$C1155,$B$5:$B1155,"Salida"))</f>
        <v/>
      </c>
      <c r="J1155" s="20"/>
      <c r="K1155" s="20"/>
      <c r="L1155" s="20"/>
      <c r="M1155" s="14" t="str">
        <f>IF(AND($C1155&lt;&gt;"",$C1155=Kardex!$C$4),COUNTIF($C$5:$C1155,Kardex!$C$4),"")</f>
        <v/>
      </c>
    </row>
    <row r="1156" spans="1:13" x14ac:dyDescent="0.25">
      <c r="A1156" s="24"/>
      <c r="B1156" s="20"/>
      <c r="C1156" s="20"/>
      <c r="D1156" s="14" t="str">
        <f>IF($C1156="","",IFERROR(INDEX(Productos!$B$5:$B$504,MATCH($C1156,Productos!$A$5:$A$504,0)),"Clave no existe"))</f>
        <v/>
      </c>
      <c r="E1156" s="14" t="str">
        <f>IF($C1156="","",IFERROR(INDEX(Productos!$D$5:$D$504,MATCH($C1156,Productos!$A$5:$A$504,0)),""))</f>
        <v/>
      </c>
      <c r="F1156" s="20"/>
      <c r="G1156" s="22" t="str">
        <f>IF($C1156="","",IFERROR(INDEX(Productos!$F$5:$F$504,MATCH($C1156,Productos!$A$5:$A$504,0)),0))</f>
        <v/>
      </c>
      <c r="H1156" s="22" t="str">
        <f t="shared" si="17"/>
        <v/>
      </c>
      <c r="I1156" s="14" t="str">
        <f>IF(OR($C1156="",$F1156=""),"",IFERROR(INDEX(Productos!$I$5:$I$504,MATCH($C1156,Productos!$A$5:$A$504,0)),0)+SUMIFS($F$5:$F1156,$C$5:$C1156,$C1156,$B$5:$B1156,"Entrada")-SUMIFS($F$5:$F1156,$C$5:$C1156,$C1156,$B$5:$B1156,"Salida"))</f>
        <v/>
      </c>
      <c r="J1156" s="20"/>
      <c r="K1156" s="20"/>
      <c r="L1156" s="20"/>
      <c r="M1156" s="14" t="str">
        <f>IF(AND($C1156&lt;&gt;"",$C1156=Kardex!$C$4),COUNTIF($C$5:$C1156,Kardex!$C$4),"")</f>
        <v/>
      </c>
    </row>
    <row r="1157" spans="1:13" x14ac:dyDescent="0.25">
      <c r="A1157" s="24"/>
      <c r="B1157" s="20"/>
      <c r="C1157" s="20"/>
      <c r="D1157" s="14" t="str">
        <f>IF($C1157="","",IFERROR(INDEX(Productos!$B$5:$B$504,MATCH($C1157,Productos!$A$5:$A$504,0)),"Clave no existe"))</f>
        <v/>
      </c>
      <c r="E1157" s="14" t="str">
        <f>IF($C1157="","",IFERROR(INDEX(Productos!$D$5:$D$504,MATCH($C1157,Productos!$A$5:$A$504,0)),""))</f>
        <v/>
      </c>
      <c r="F1157" s="20"/>
      <c r="G1157" s="22" t="str">
        <f>IF($C1157="","",IFERROR(INDEX(Productos!$F$5:$F$504,MATCH($C1157,Productos!$A$5:$A$504,0)),0))</f>
        <v/>
      </c>
      <c r="H1157" s="22" t="str">
        <f t="shared" ref="H1157:H1220" si="18">IF(OR($C1157="",$F1157=""),"",F1157*G1157)</f>
        <v/>
      </c>
      <c r="I1157" s="14" t="str">
        <f>IF(OR($C1157="",$F1157=""),"",IFERROR(INDEX(Productos!$I$5:$I$504,MATCH($C1157,Productos!$A$5:$A$504,0)),0)+SUMIFS($F$5:$F1157,$C$5:$C1157,$C1157,$B$5:$B1157,"Entrada")-SUMIFS($F$5:$F1157,$C$5:$C1157,$C1157,$B$5:$B1157,"Salida"))</f>
        <v/>
      </c>
      <c r="J1157" s="20"/>
      <c r="K1157" s="20"/>
      <c r="L1157" s="20"/>
      <c r="M1157" s="14" t="str">
        <f>IF(AND($C1157&lt;&gt;"",$C1157=Kardex!$C$4),COUNTIF($C$5:$C1157,Kardex!$C$4),"")</f>
        <v/>
      </c>
    </row>
    <row r="1158" spans="1:13" x14ac:dyDescent="0.25">
      <c r="A1158" s="24"/>
      <c r="B1158" s="20"/>
      <c r="C1158" s="20"/>
      <c r="D1158" s="14" t="str">
        <f>IF($C1158="","",IFERROR(INDEX(Productos!$B$5:$B$504,MATCH($C1158,Productos!$A$5:$A$504,0)),"Clave no existe"))</f>
        <v/>
      </c>
      <c r="E1158" s="14" t="str">
        <f>IF($C1158="","",IFERROR(INDEX(Productos!$D$5:$D$504,MATCH($C1158,Productos!$A$5:$A$504,0)),""))</f>
        <v/>
      </c>
      <c r="F1158" s="20"/>
      <c r="G1158" s="22" t="str">
        <f>IF($C1158="","",IFERROR(INDEX(Productos!$F$5:$F$504,MATCH($C1158,Productos!$A$5:$A$504,0)),0))</f>
        <v/>
      </c>
      <c r="H1158" s="22" t="str">
        <f t="shared" si="18"/>
        <v/>
      </c>
      <c r="I1158" s="14" t="str">
        <f>IF(OR($C1158="",$F1158=""),"",IFERROR(INDEX(Productos!$I$5:$I$504,MATCH($C1158,Productos!$A$5:$A$504,0)),0)+SUMIFS($F$5:$F1158,$C$5:$C1158,$C1158,$B$5:$B1158,"Entrada")-SUMIFS($F$5:$F1158,$C$5:$C1158,$C1158,$B$5:$B1158,"Salida"))</f>
        <v/>
      </c>
      <c r="J1158" s="20"/>
      <c r="K1158" s="20"/>
      <c r="L1158" s="20"/>
      <c r="M1158" s="14" t="str">
        <f>IF(AND($C1158&lt;&gt;"",$C1158=Kardex!$C$4),COUNTIF($C$5:$C1158,Kardex!$C$4),"")</f>
        <v/>
      </c>
    </row>
    <row r="1159" spans="1:13" x14ac:dyDescent="0.25">
      <c r="A1159" s="24"/>
      <c r="B1159" s="20"/>
      <c r="C1159" s="20"/>
      <c r="D1159" s="14" t="str">
        <f>IF($C1159="","",IFERROR(INDEX(Productos!$B$5:$B$504,MATCH($C1159,Productos!$A$5:$A$504,0)),"Clave no existe"))</f>
        <v/>
      </c>
      <c r="E1159" s="14" t="str">
        <f>IF($C1159="","",IFERROR(INDEX(Productos!$D$5:$D$504,MATCH($C1159,Productos!$A$5:$A$504,0)),""))</f>
        <v/>
      </c>
      <c r="F1159" s="20"/>
      <c r="G1159" s="22" t="str">
        <f>IF($C1159="","",IFERROR(INDEX(Productos!$F$5:$F$504,MATCH($C1159,Productos!$A$5:$A$504,0)),0))</f>
        <v/>
      </c>
      <c r="H1159" s="22" t="str">
        <f t="shared" si="18"/>
        <v/>
      </c>
      <c r="I1159" s="14" t="str">
        <f>IF(OR($C1159="",$F1159=""),"",IFERROR(INDEX(Productos!$I$5:$I$504,MATCH($C1159,Productos!$A$5:$A$504,0)),0)+SUMIFS($F$5:$F1159,$C$5:$C1159,$C1159,$B$5:$B1159,"Entrada")-SUMIFS($F$5:$F1159,$C$5:$C1159,$C1159,$B$5:$B1159,"Salida"))</f>
        <v/>
      </c>
      <c r="J1159" s="20"/>
      <c r="K1159" s="20"/>
      <c r="L1159" s="20"/>
      <c r="M1159" s="14" t="str">
        <f>IF(AND($C1159&lt;&gt;"",$C1159=Kardex!$C$4),COUNTIF($C$5:$C1159,Kardex!$C$4),"")</f>
        <v/>
      </c>
    </row>
    <row r="1160" spans="1:13" x14ac:dyDescent="0.25">
      <c r="A1160" s="24"/>
      <c r="B1160" s="20"/>
      <c r="C1160" s="20"/>
      <c r="D1160" s="14" t="str">
        <f>IF($C1160="","",IFERROR(INDEX(Productos!$B$5:$B$504,MATCH($C1160,Productos!$A$5:$A$504,0)),"Clave no existe"))</f>
        <v/>
      </c>
      <c r="E1160" s="14" t="str">
        <f>IF($C1160="","",IFERROR(INDEX(Productos!$D$5:$D$504,MATCH($C1160,Productos!$A$5:$A$504,0)),""))</f>
        <v/>
      </c>
      <c r="F1160" s="20"/>
      <c r="G1160" s="22" t="str">
        <f>IF($C1160="","",IFERROR(INDEX(Productos!$F$5:$F$504,MATCH($C1160,Productos!$A$5:$A$504,0)),0))</f>
        <v/>
      </c>
      <c r="H1160" s="22" t="str">
        <f t="shared" si="18"/>
        <v/>
      </c>
      <c r="I1160" s="14" t="str">
        <f>IF(OR($C1160="",$F1160=""),"",IFERROR(INDEX(Productos!$I$5:$I$504,MATCH($C1160,Productos!$A$5:$A$504,0)),0)+SUMIFS($F$5:$F1160,$C$5:$C1160,$C1160,$B$5:$B1160,"Entrada")-SUMIFS($F$5:$F1160,$C$5:$C1160,$C1160,$B$5:$B1160,"Salida"))</f>
        <v/>
      </c>
      <c r="J1160" s="20"/>
      <c r="K1160" s="20"/>
      <c r="L1160" s="20"/>
      <c r="M1160" s="14" t="str">
        <f>IF(AND($C1160&lt;&gt;"",$C1160=Kardex!$C$4),COUNTIF($C$5:$C1160,Kardex!$C$4),"")</f>
        <v/>
      </c>
    </row>
    <row r="1161" spans="1:13" x14ac:dyDescent="0.25">
      <c r="A1161" s="24"/>
      <c r="B1161" s="20"/>
      <c r="C1161" s="20"/>
      <c r="D1161" s="14" t="str">
        <f>IF($C1161="","",IFERROR(INDEX(Productos!$B$5:$B$504,MATCH($C1161,Productos!$A$5:$A$504,0)),"Clave no existe"))</f>
        <v/>
      </c>
      <c r="E1161" s="14" t="str">
        <f>IF($C1161="","",IFERROR(INDEX(Productos!$D$5:$D$504,MATCH($C1161,Productos!$A$5:$A$504,0)),""))</f>
        <v/>
      </c>
      <c r="F1161" s="20"/>
      <c r="G1161" s="22" t="str">
        <f>IF($C1161="","",IFERROR(INDEX(Productos!$F$5:$F$504,MATCH($C1161,Productos!$A$5:$A$504,0)),0))</f>
        <v/>
      </c>
      <c r="H1161" s="22" t="str">
        <f t="shared" si="18"/>
        <v/>
      </c>
      <c r="I1161" s="14" t="str">
        <f>IF(OR($C1161="",$F1161=""),"",IFERROR(INDEX(Productos!$I$5:$I$504,MATCH($C1161,Productos!$A$5:$A$504,0)),0)+SUMIFS($F$5:$F1161,$C$5:$C1161,$C1161,$B$5:$B1161,"Entrada")-SUMIFS($F$5:$F1161,$C$5:$C1161,$C1161,$B$5:$B1161,"Salida"))</f>
        <v/>
      </c>
      <c r="J1161" s="20"/>
      <c r="K1161" s="20"/>
      <c r="L1161" s="20"/>
      <c r="M1161" s="14" t="str">
        <f>IF(AND($C1161&lt;&gt;"",$C1161=Kardex!$C$4),COUNTIF($C$5:$C1161,Kardex!$C$4),"")</f>
        <v/>
      </c>
    </row>
    <row r="1162" spans="1:13" x14ac:dyDescent="0.25">
      <c r="A1162" s="24"/>
      <c r="B1162" s="20"/>
      <c r="C1162" s="20"/>
      <c r="D1162" s="14" t="str">
        <f>IF($C1162="","",IFERROR(INDEX(Productos!$B$5:$B$504,MATCH($C1162,Productos!$A$5:$A$504,0)),"Clave no existe"))</f>
        <v/>
      </c>
      <c r="E1162" s="14" t="str">
        <f>IF($C1162="","",IFERROR(INDEX(Productos!$D$5:$D$504,MATCH($C1162,Productos!$A$5:$A$504,0)),""))</f>
        <v/>
      </c>
      <c r="F1162" s="20"/>
      <c r="G1162" s="22" t="str">
        <f>IF($C1162="","",IFERROR(INDEX(Productos!$F$5:$F$504,MATCH($C1162,Productos!$A$5:$A$504,0)),0))</f>
        <v/>
      </c>
      <c r="H1162" s="22" t="str">
        <f t="shared" si="18"/>
        <v/>
      </c>
      <c r="I1162" s="14" t="str">
        <f>IF(OR($C1162="",$F1162=""),"",IFERROR(INDEX(Productos!$I$5:$I$504,MATCH($C1162,Productos!$A$5:$A$504,0)),0)+SUMIFS($F$5:$F1162,$C$5:$C1162,$C1162,$B$5:$B1162,"Entrada")-SUMIFS($F$5:$F1162,$C$5:$C1162,$C1162,$B$5:$B1162,"Salida"))</f>
        <v/>
      </c>
      <c r="J1162" s="20"/>
      <c r="K1162" s="20"/>
      <c r="L1162" s="20"/>
      <c r="M1162" s="14" t="str">
        <f>IF(AND($C1162&lt;&gt;"",$C1162=Kardex!$C$4),COUNTIF($C$5:$C1162,Kardex!$C$4),"")</f>
        <v/>
      </c>
    </row>
    <row r="1163" spans="1:13" x14ac:dyDescent="0.25">
      <c r="A1163" s="24"/>
      <c r="B1163" s="20"/>
      <c r="C1163" s="20"/>
      <c r="D1163" s="14" t="str">
        <f>IF($C1163="","",IFERROR(INDEX(Productos!$B$5:$B$504,MATCH($C1163,Productos!$A$5:$A$504,0)),"Clave no existe"))</f>
        <v/>
      </c>
      <c r="E1163" s="14" t="str">
        <f>IF($C1163="","",IFERROR(INDEX(Productos!$D$5:$D$504,MATCH($C1163,Productos!$A$5:$A$504,0)),""))</f>
        <v/>
      </c>
      <c r="F1163" s="20"/>
      <c r="G1163" s="22" t="str">
        <f>IF($C1163="","",IFERROR(INDEX(Productos!$F$5:$F$504,MATCH($C1163,Productos!$A$5:$A$504,0)),0))</f>
        <v/>
      </c>
      <c r="H1163" s="22" t="str">
        <f t="shared" si="18"/>
        <v/>
      </c>
      <c r="I1163" s="14" t="str">
        <f>IF(OR($C1163="",$F1163=""),"",IFERROR(INDEX(Productos!$I$5:$I$504,MATCH($C1163,Productos!$A$5:$A$504,0)),0)+SUMIFS($F$5:$F1163,$C$5:$C1163,$C1163,$B$5:$B1163,"Entrada")-SUMIFS($F$5:$F1163,$C$5:$C1163,$C1163,$B$5:$B1163,"Salida"))</f>
        <v/>
      </c>
      <c r="J1163" s="20"/>
      <c r="K1163" s="20"/>
      <c r="L1163" s="20"/>
      <c r="M1163" s="14" t="str">
        <f>IF(AND($C1163&lt;&gt;"",$C1163=Kardex!$C$4),COUNTIF($C$5:$C1163,Kardex!$C$4),"")</f>
        <v/>
      </c>
    </row>
    <row r="1164" spans="1:13" x14ac:dyDescent="0.25">
      <c r="A1164" s="24"/>
      <c r="B1164" s="20"/>
      <c r="C1164" s="20"/>
      <c r="D1164" s="14" t="str">
        <f>IF($C1164="","",IFERROR(INDEX(Productos!$B$5:$B$504,MATCH($C1164,Productos!$A$5:$A$504,0)),"Clave no existe"))</f>
        <v/>
      </c>
      <c r="E1164" s="14" t="str">
        <f>IF($C1164="","",IFERROR(INDEX(Productos!$D$5:$D$504,MATCH($C1164,Productos!$A$5:$A$504,0)),""))</f>
        <v/>
      </c>
      <c r="F1164" s="20"/>
      <c r="G1164" s="22" t="str">
        <f>IF($C1164="","",IFERROR(INDEX(Productos!$F$5:$F$504,MATCH($C1164,Productos!$A$5:$A$504,0)),0))</f>
        <v/>
      </c>
      <c r="H1164" s="22" t="str">
        <f t="shared" si="18"/>
        <v/>
      </c>
      <c r="I1164" s="14" t="str">
        <f>IF(OR($C1164="",$F1164=""),"",IFERROR(INDEX(Productos!$I$5:$I$504,MATCH($C1164,Productos!$A$5:$A$504,0)),0)+SUMIFS($F$5:$F1164,$C$5:$C1164,$C1164,$B$5:$B1164,"Entrada")-SUMIFS($F$5:$F1164,$C$5:$C1164,$C1164,$B$5:$B1164,"Salida"))</f>
        <v/>
      </c>
      <c r="J1164" s="20"/>
      <c r="K1164" s="20"/>
      <c r="L1164" s="20"/>
      <c r="M1164" s="14" t="str">
        <f>IF(AND($C1164&lt;&gt;"",$C1164=Kardex!$C$4),COUNTIF($C$5:$C1164,Kardex!$C$4),"")</f>
        <v/>
      </c>
    </row>
    <row r="1165" spans="1:13" x14ac:dyDescent="0.25">
      <c r="A1165" s="24"/>
      <c r="B1165" s="20"/>
      <c r="C1165" s="20"/>
      <c r="D1165" s="14" t="str">
        <f>IF($C1165="","",IFERROR(INDEX(Productos!$B$5:$B$504,MATCH($C1165,Productos!$A$5:$A$504,0)),"Clave no existe"))</f>
        <v/>
      </c>
      <c r="E1165" s="14" t="str">
        <f>IF($C1165="","",IFERROR(INDEX(Productos!$D$5:$D$504,MATCH($C1165,Productos!$A$5:$A$504,0)),""))</f>
        <v/>
      </c>
      <c r="F1165" s="20"/>
      <c r="G1165" s="22" t="str">
        <f>IF($C1165="","",IFERROR(INDEX(Productos!$F$5:$F$504,MATCH($C1165,Productos!$A$5:$A$504,0)),0))</f>
        <v/>
      </c>
      <c r="H1165" s="22" t="str">
        <f t="shared" si="18"/>
        <v/>
      </c>
      <c r="I1165" s="14" t="str">
        <f>IF(OR($C1165="",$F1165=""),"",IFERROR(INDEX(Productos!$I$5:$I$504,MATCH($C1165,Productos!$A$5:$A$504,0)),0)+SUMIFS($F$5:$F1165,$C$5:$C1165,$C1165,$B$5:$B1165,"Entrada")-SUMIFS($F$5:$F1165,$C$5:$C1165,$C1165,$B$5:$B1165,"Salida"))</f>
        <v/>
      </c>
      <c r="J1165" s="20"/>
      <c r="K1165" s="20"/>
      <c r="L1165" s="20"/>
      <c r="M1165" s="14" t="str">
        <f>IF(AND($C1165&lt;&gt;"",$C1165=Kardex!$C$4),COUNTIF($C$5:$C1165,Kardex!$C$4),"")</f>
        <v/>
      </c>
    </row>
    <row r="1166" spans="1:13" x14ac:dyDescent="0.25">
      <c r="A1166" s="24"/>
      <c r="B1166" s="20"/>
      <c r="C1166" s="20"/>
      <c r="D1166" s="14" t="str">
        <f>IF($C1166="","",IFERROR(INDEX(Productos!$B$5:$B$504,MATCH($C1166,Productos!$A$5:$A$504,0)),"Clave no existe"))</f>
        <v/>
      </c>
      <c r="E1166" s="14" t="str">
        <f>IF($C1166="","",IFERROR(INDEX(Productos!$D$5:$D$504,MATCH($C1166,Productos!$A$5:$A$504,0)),""))</f>
        <v/>
      </c>
      <c r="F1166" s="20"/>
      <c r="G1166" s="22" t="str">
        <f>IF($C1166="","",IFERROR(INDEX(Productos!$F$5:$F$504,MATCH($C1166,Productos!$A$5:$A$504,0)),0))</f>
        <v/>
      </c>
      <c r="H1166" s="22" t="str">
        <f t="shared" si="18"/>
        <v/>
      </c>
      <c r="I1166" s="14" t="str">
        <f>IF(OR($C1166="",$F1166=""),"",IFERROR(INDEX(Productos!$I$5:$I$504,MATCH($C1166,Productos!$A$5:$A$504,0)),0)+SUMIFS($F$5:$F1166,$C$5:$C1166,$C1166,$B$5:$B1166,"Entrada")-SUMIFS($F$5:$F1166,$C$5:$C1166,$C1166,$B$5:$B1166,"Salida"))</f>
        <v/>
      </c>
      <c r="J1166" s="20"/>
      <c r="K1166" s="20"/>
      <c r="L1166" s="20"/>
      <c r="M1166" s="14" t="str">
        <f>IF(AND($C1166&lt;&gt;"",$C1166=Kardex!$C$4),COUNTIF($C$5:$C1166,Kardex!$C$4),"")</f>
        <v/>
      </c>
    </row>
    <row r="1167" spans="1:13" x14ac:dyDescent="0.25">
      <c r="A1167" s="24"/>
      <c r="B1167" s="20"/>
      <c r="C1167" s="20"/>
      <c r="D1167" s="14" t="str">
        <f>IF($C1167="","",IFERROR(INDEX(Productos!$B$5:$B$504,MATCH($C1167,Productos!$A$5:$A$504,0)),"Clave no existe"))</f>
        <v/>
      </c>
      <c r="E1167" s="14" t="str">
        <f>IF($C1167="","",IFERROR(INDEX(Productos!$D$5:$D$504,MATCH($C1167,Productos!$A$5:$A$504,0)),""))</f>
        <v/>
      </c>
      <c r="F1167" s="20"/>
      <c r="G1167" s="22" t="str">
        <f>IF($C1167="","",IFERROR(INDEX(Productos!$F$5:$F$504,MATCH($C1167,Productos!$A$5:$A$504,0)),0))</f>
        <v/>
      </c>
      <c r="H1167" s="22" t="str">
        <f t="shared" si="18"/>
        <v/>
      </c>
      <c r="I1167" s="14" t="str">
        <f>IF(OR($C1167="",$F1167=""),"",IFERROR(INDEX(Productos!$I$5:$I$504,MATCH($C1167,Productos!$A$5:$A$504,0)),0)+SUMIFS($F$5:$F1167,$C$5:$C1167,$C1167,$B$5:$B1167,"Entrada")-SUMIFS($F$5:$F1167,$C$5:$C1167,$C1167,$B$5:$B1167,"Salida"))</f>
        <v/>
      </c>
      <c r="J1167" s="20"/>
      <c r="K1167" s="20"/>
      <c r="L1167" s="20"/>
      <c r="M1167" s="14" t="str">
        <f>IF(AND($C1167&lt;&gt;"",$C1167=Kardex!$C$4),COUNTIF($C$5:$C1167,Kardex!$C$4),"")</f>
        <v/>
      </c>
    </row>
    <row r="1168" spans="1:13" x14ac:dyDescent="0.25">
      <c r="A1168" s="24"/>
      <c r="B1168" s="20"/>
      <c r="C1168" s="20"/>
      <c r="D1168" s="14" t="str">
        <f>IF($C1168="","",IFERROR(INDEX(Productos!$B$5:$B$504,MATCH($C1168,Productos!$A$5:$A$504,0)),"Clave no existe"))</f>
        <v/>
      </c>
      <c r="E1168" s="14" t="str">
        <f>IF($C1168="","",IFERROR(INDEX(Productos!$D$5:$D$504,MATCH($C1168,Productos!$A$5:$A$504,0)),""))</f>
        <v/>
      </c>
      <c r="F1168" s="20"/>
      <c r="G1168" s="22" t="str">
        <f>IF($C1168="","",IFERROR(INDEX(Productos!$F$5:$F$504,MATCH($C1168,Productos!$A$5:$A$504,0)),0))</f>
        <v/>
      </c>
      <c r="H1168" s="22" t="str">
        <f t="shared" si="18"/>
        <v/>
      </c>
      <c r="I1168" s="14" t="str">
        <f>IF(OR($C1168="",$F1168=""),"",IFERROR(INDEX(Productos!$I$5:$I$504,MATCH($C1168,Productos!$A$5:$A$504,0)),0)+SUMIFS($F$5:$F1168,$C$5:$C1168,$C1168,$B$5:$B1168,"Entrada")-SUMIFS($F$5:$F1168,$C$5:$C1168,$C1168,$B$5:$B1168,"Salida"))</f>
        <v/>
      </c>
      <c r="J1168" s="20"/>
      <c r="K1168" s="20"/>
      <c r="L1168" s="20"/>
      <c r="M1168" s="14" t="str">
        <f>IF(AND($C1168&lt;&gt;"",$C1168=Kardex!$C$4),COUNTIF($C$5:$C1168,Kardex!$C$4),"")</f>
        <v/>
      </c>
    </row>
    <row r="1169" spans="1:13" x14ac:dyDescent="0.25">
      <c r="A1169" s="24"/>
      <c r="B1169" s="20"/>
      <c r="C1169" s="20"/>
      <c r="D1169" s="14" t="str">
        <f>IF($C1169="","",IFERROR(INDEX(Productos!$B$5:$B$504,MATCH($C1169,Productos!$A$5:$A$504,0)),"Clave no existe"))</f>
        <v/>
      </c>
      <c r="E1169" s="14" t="str">
        <f>IF($C1169="","",IFERROR(INDEX(Productos!$D$5:$D$504,MATCH($C1169,Productos!$A$5:$A$504,0)),""))</f>
        <v/>
      </c>
      <c r="F1169" s="20"/>
      <c r="G1169" s="22" t="str">
        <f>IF($C1169="","",IFERROR(INDEX(Productos!$F$5:$F$504,MATCH($C1169,Productos!$A$5:$A$504,0)),0))</f>
        <v/>
      </c>
      <c r="H1169" s="22" t="str">
        <f t="shared" si="18"/>
        <v/>
      </c>
      <c r="I1169" s="14" t="str">
        <f>IF(OR($C1169="",$F1169=""),"",IFERROR(INDEX(Productos!$I$5:$I$504,MATCH($C1169,Productos!$A$5:$A$504,0)),0)+SUMIFS($F$5:$F1169,$C$5:$C1169,$C1169,$B$5:$B1169,"Entrada")-SUMIFS($F$5:$F1169,$C$5:$C1169,$C1169,$B$5:$B1169,"Salida"))</f>
        <v/>
      </c>
      <c r="J1169" s="20"/>
      <c r="K1169" s="20"/>
      <c r="L1169" s="20"/>
      <c r="M1169" s="14" t="str">
        <f>IF(AND($C1169&lt;&gt;"",$C1169=Kardex!$C$4),COUNTIF($C$5:$C1169,Kardex!$C$4),"")</f>
        <v/>
      </c>
    </row>
    <row r="1170" spans="1:13" x14ac:dyDescent="0.25">
      <c r="A1170" s="24"/>
      <c r="B1170" s="20"/>
      <c r="C1170" s="20"/>
      <c r="D1170" s="14" t="str">
        <f>IF($C1170="","",IFERROR(INDEX(Productos!$B$5:$B$504,MATCH($C1170,Productos!$A$5:$A$504,0)),"Clave no existe"))</f>
        <v/>
      </c>
      <c r="E1170" s="14" t="str">
        <f>IF($C1170="","",IFERROR(INDEX(Productos!$D$5:$D$504,MATCH($C1170,Productos!$A$5:$A$504,0)),""))</f>
        <v/>
      </c>
      <c r="F1170" s="20"/>
      <c r="G1170" s="22" t="str">
        <f>IF($C1170="","",IFERROR(INDEX(Productos!$F$5:$F$504,MATCH($C1170,Productos!$A$5:$A$504,0)),0))</f>
        <v/>
      </c>
      <c r="H1170" s="22" t="str">
        <f t="shared" si="18"/>
        <v/>
      </c>
      <c r="I1170" s="14" t="str">
        <f>IF(OR($C1170="",$F1170=""),"",IFERROR(INDEX(Productos!$I$5:$I$504,MATCH($C1170,Productos!$A$5:$A$504,0)),0)+SUMIFS($F$5:$F1170,$C$5:$C1170,$C1170,$B$5:$B1170,"Entrada")-SUMIFS($F$5:$F1170,$C$5:$C1170,$C1170,$B$5:$B1170,"Salida"))</f>
        <v/>
      </c>
      <c r="J1170" s="20"/>
      <c r="K1170" s="20"/>
      <c r="L1170" s="20"/>
      <c r="M1170" s="14" t="str">
        <f>IF(AND($C1170&lt;&gt;"",$C1170=Kardex!$C$4),COUNTIF($C$5:$C1170,Kardex!$C$4),"")</f>
        <v/>
      </c>
    </row>
    <row r="1171" spans="1:13" x14ac:dyDescent="0.25">
      <c r="A1171" s="24"/>
      <c r="B1171" s="20"/>
      <c r="C1171" s="20"/>
      <c r="D1171" s="14" t="str">
        <f>IF($C1171="","",IFERROR(INDEX(Productos!$B$5:$B$504,MATCH($C1171,Productos!$A$5:$A$504,0)),"Clave no existe"))</f>
        <v/>
      </c>
      <c r="E1171" s="14" t="str">
        <f>IF($C1171="","",IFERROR(INDEX(Productos!$D$5:$D$504,MATCH($C1171,Productos!$A$5:$A$504,0)),""))</f>
        <v/>
      </c>
      <c r="F1171" s="20"/>
      <c r="G1171" s="22" t="str">
        <f>IF($C1171="","",IFERROR(INDEX(Productos!$F$5:$F$504,MATCH($C1171,Productos!$A$5:$A$504,0)),0))</f>
        <v/>
      </c>
      <c r="H1171" s="22" t="str">
        <f t="shared" si="18"/>
        <v/>
      </c>
      <c r="I1171" s="14" t="str">
        <f>IF(OR($C1171="",$F1171=""),"",IFERROR(INDEX(Productos!$I$5:$I$504,MATCH($C1171,Productos!$A$5:$A$504,0)),0)+SUMIFS($F$5:$F1171,$C$5:$C1171,$C1171,$B$5:$B1171,"Entrada")-SUMIFS($F$5:$F1171,$C$5:$C1171,$C1171,$B$5:$B1171,"Salida"))</f>
        <v/>
      </c>
      <c r="J1171" s="20"/>
      <c r="K1171" s="20"/>
      <c r="L1171" s="20"/>
      <c r="M1171" s="14" t="str">
        <f>IF(AND($C1171&lt;&gt;"",$C1171=Kardex!$C$4),COUNTIF($C$5:$C1171,Kardex!$C$4),"")</f>
        <v/>
      </c>
    </row>
    <row r="1172" spans="1:13" x14ac:dyDescent="0.25">
      <c r="A1172" s="24"/>
      <c r="B1172" s="20"/>
      <c r="C1172" s="20"/>
      <c r="D1172" s="14" t="str">
        <f>IF($C1172="","",IFERROR(INDEX(Productos!$B$5:$B$504,MATCH($C1172,Productos!$A$5:$A$504,0)),"Clave no existe"))</f>
        <v/>
      </c>
      <c r="E1172" s="14" t="str">
        <f>IF($C1172="","",IFERROR(INDEX(Productos!$D$5:$D$504,MATCH($C1172,Productos!$A$5:$A$504,0)),""))</f>
        <v/>
      </c>
      <c r="F1172" s="20"/>
      <c r="G1172" s="22" t="str">
        <f>IF($C1172="","",IFERROR(INDEX(Productos!$F$5:$F$504,MATCH($C1172,Productos!$A$5:$A$504,0)),0))</f>
        <v/>
      </c>
      <c r="H1172" s="22" t="str">
        <f t="shared" si="18"/>
        <v/>
      </c>
      <c r="I1172" s="14" t="str">
        <f>IF(OR($C1172="",$F1172=""),"",IFERROR(INDEX(Productos!$I$5:$I$504,MATCH($C1172,Productos!$A$5:$A$504,0)),0)+SUMIFS($F$5:$F1172,$C$5:$C1172,$C1172,$B$5:$B1172,"Entrada")-SUMIFS($F$5:$F1172,$C$5:$C1172,$C1172,$B$5:$B1172,"Salida"))</f>
        <v/>
      </c>
      <c r="J1172" s="20"/>
      <c r="K1172" s="20"/>
      <c r="L1172" s="20"/>
      <c r="M1172" s="14" t="str">
        <f>IF(AND($C1172&lt;&gt;"",$C1172=Kardex!$C$4),COUNTIF($C$5:$C1172,Kardex!$C$4),"")</f>
        <v/>
      </c>
    </row>
    <row r="1173" spans="1:13" x14ac:dyDescent="0.25">
      <c r="A1173" s="24"/>
      <c r="B1173" s="20"/>
      <c r="C1173" s="20"/>
      <c r="D1173" s="14" t="str">
        <f>IF($C1173="","",IFERROR(INDEX(Productos!$B$5:$B$504,MATCH($C1173,Productos!$A$5:$A$504,0)),"Clave no existe"))</f>
        <v/>
      </c>
      <c r="E1173" s="14" t="str">
        <f>IF($C1173="","",IFERROR(INDEX(Productos!$D$5:$D$504,MATCH($C1173,Productos!$A$5:$A$504,0)),""))</f>
        <v/>
      </c>
      <c r="F1173" s="20"/>
      <c r="G1173" s="22" t="str">
        <f>IF($C1173="","",IFERROR(INDEX(Productos!$F$5:$F$504,MATCH($C1173,Productos!$A$5:$A$504,0)),0))</f>
        <v/>
      </c>
      <c r="H1173" s="22" t="str">
        <f t="shared" si="18"/>
        <v/>
      </c>
      <c r="I1173" s="14" t="str">
        <f>IF(OR($C1173="",$F1173=""),"",IFERROR(INDEX(Productos!$I$5:$I$504,MATCH($C1173,Productos!$A$5:$A$504,0)),0)+SUMIFS($F$5:$F1173,$C$5:$C1173,$C1173,$B$5:$B1173,"Entrada")-SUMIFS($F$5:$F1173,$C$5:$C1173,$C1173,$B$5:$B1173,"Salida"))</f>
        <v/>
      </c>
      <c r="J1173" s="20"/>
      <c r="K1173" s="20"/>
      <c r="L1173" s="20"/>
      <c r="M1173" s="14" t="str">
        <f>IF(AND($C1173&lt;&gt;"",$C1173=Kardex!$C$4),COUNTIF($C$5:$C1173,Kardex!$C$4),"")</f>
        <v/>
      </c>
    </row>
    <row r="1174" spans="1:13" x14ac:dyDescent="0.25">
      <c r="A1174" s="24"/>
      <c r="B1174" s="20"/>
      <c r="C1174" s="20"/>
      <c r="D1174" s="14" t="str">
        <f>IF($C1174="","",IFERROR(INDEX(Productos!$B$5:$B$504,MATCH($C1174,Productos!$A$5:$A$504,0)),"Clave no existe"))</f>
        <v/>
      </c>
      <c r="E1174" s="14" t="str">
        <f>IF($C1174="","",IFERROR(INDEX(Productos!$D$5:$D$504,MATCH($C1174,Productos!$A$5:$A$504,0)),""))</f>
        <v/>
      </c>
      <c r="F1174" s="20"/>
      <c r="G1174" s="22" t="str">
        <f>IF($C1174="","",IFERROR(INDEX(Productos!$F$5:$F$504,MATCH($C1174,Productos!$A$5:$A$504,0)),0))</f>
        <v/>
      </c>
      <c r="H1174" s="22" t="str">
        <f t="shared" si="18"/>
        <v/>
      </c>
      <c r="I1174" s="14" t="str">
        <f>IF(OR($C1174="",$F1174=""),"",IFERROR(INDEX(Productos!$I$5:$I$504,MATCH($C1174,Productos!$A$5:$A$504,0)),0)+SUMIFS($F$5:$F1174,$C$5:$C1174,$C1174,$B$5:$B1174,"Entrada")-SUMIFS($F$5:$F1174,$C$5:$C1174,$C1174,$B$5:$B1174,"Salida"))</f>
        <v/>
      </c>
      <c r="J1174" s="20"/>
      <c r="K1174" s="20"/>
      <c r="L1174" s="20"/>
      <c r="M1174" s="14" t="str">
        <f>IF(AND($C1174&lt;&gt;"",$C1174=Kardex!$C$4),COUNTIF($C$5:$C1174,Kardex!$C$4),"")</f>
        <v/>
      </c>
    </row>
    <row r="1175" spans="1:13" x14ac:dyDescent="0.25">
      <c r="A1175" s="24"/>
      <c r="B1175" s="20"/>
      <c r="C1175" s="20"/>
      <c r="D1175" s="14" t="str">
        <f>IF($C1175="","",IFERROR(INDEX(Productos!$B$5:$B$504,MATCH($C1175,Productos!$A$5:$A$504,0)),"Clave no existe"))</f>
        <v/>
      </c>
      <c r="E1175" s="14" t="str">
        <f>IF($C1175="","",IFERROR(INDEX(Productos!$D$5:$D$504,MATCH($C1175,Productos!$A$5:$A$504,0)),""))</f>
        <v/>
      </c>
      <c r="F1175" s="20"/>
      <c r="G1175" s="22" t="str">
        <f>IF($C1175="","",IFERROR(INDEX(Productos!$F$5:$F$504,MATCH($C1175,Productos!$A$5:$A$504,0)),0))</f>
        <v/>
      </c>
      <c r="H1175" s="22" t="str">
        <f t="shared" si="18"/>
        <v/>
      </c>
      <c r="I1175" s="14" t="str">
        <f>IF(OR($C1175="",$F1175=""),"",IFERROR(INDEX(Productos!$I$5:$I$504,MATCH($C1175,Productos!$A$5:$A$504,0)),0)+SUMIFS($F$5:$F1175,$C$5:$C1175,$C1175,$B$5:$B1175,"Entrada")-SUMIFS($F$5:$F1175,$C$5:$C1175,$C1175,$B$5:$B1175,"Salida"))</f>
        <v/>
      </c>
      <c r="J1175" s="20"/>
      <c r="K1175" s="20"/>
      <c r="L1175" s="20"/>
      <c r="M1175" s="14" t="str">
        <f>IF(AND($C1175&lt;&gt;"",$C1175=Kardex!$C$4),COUNTIF($C$5:$C1175,Kardex!$C$4),"")</f>
        <v/>
      </c>
    </row>
    <row r="1176" spans="1:13" x14ac:dyDescent="0.25">
      <c r="A1176" s="24"/>
      <c r="B1176" s="20"/>
      <c r="C1176" s="20"/>
      <c r="D1176" s="14" t="str">
        <f>IF($C1176="","",IFERROR(INDEX(Productos!$B$5:$B$504,MATCH($C1176,Productos!$A$5:$A$504,0)),"Clave no existe"))</f>
        <v/>
      </c>
      <c r="E1176" s="14" t="str">
        <f>IF($C1176="","",IFERROR(INDEX(Productos!$D$5:$D$504,MATCH($C1176,Productos!$A$5:$A$504,0)),""))</f>
        <v/>
      </c>
      <c r="F1176" s="20"/>
      <c r="G1176" s="22" t="str">
        <f>IF($C1176="","",IFERROR(INDEX(Productos!$F$5:$F$504,MATCH($C1176,Productos!$A$5:$A$504,0)),0))</f>
        <v/>
      </c>
      <c r="H1176" s="22" t="str">
        <f t="shared" si="18"/>
        <v/>
      </c>
      <c r="I1176" s="14" t="str">
        <f>IF(OR($C1176="",$F1176=""),"",IFERROR(INDEX(Productos!$I$5:$I$504,MATCH($C1176,Productos!$A$5:$A$504,0)),0)+SUMIFS($F$5:$F1176,$C$5:$C1176,$C1176,$B$5:$B1176,"Entrada")-SUMIFS($F$5:$F1176,$C$5:$C1176,$C1176,$B$5:$B1176,"Salida"))</f>
        <v/>
      </c>
      <c r="J1176" s="20"/>
      <c r="K1176" s="20"/>
      <c r="L1176" s="20"/>
      <c r="M1176" s="14" t="str">
        <f>IF(AND($C1176&lt;&gt;"",$C1176=Kardex!$C$4),COUNTIF($C$5:$C1176,Kardex!$C$4),"")</f>
        <v/>
      </c>
    </row>
    <row r="1177" spans="1:13" x14ac:dyDescent="0.25">
      <c r="A1177" s="24"/>
      <c r="B1177" s="20"/>
      <c r="C1177" s="20"/>
      <c r="D1177" s="14" t="str">
        <f>IF($C1177="","",IFERROR(INDEX(Productos!$B$5:$B$504,MATCH($C1177,Productos!$A$5:$A$504,0)),"Clave no existe"))</f>
        <v/>
      </c>
      <c r="E1177" s="14" t="str">
        <f>IF($C1177="","",IFERROR(INDEX(Productos!$D$5:$D$504,MATCH($C1177,Productos!$A$5:$A$504,0)),""))</f>
        <v/>
      </c>
      <c r="F1177" s="20"/>
      <c r="G1177" s="22" t="str">
        <f>IF($C1177="","",IFERROR(INDEX(Productos!$F$5:$F$504,MATCH($C1177,Productos!$A$5:$A$504,0)),0))</f>
        <v/>
      </c>
      <c r="H1177" s="22" t="str">
        <f t="shared" si="18"/>
        <v/>
      </c>
      <c r="I1177" s="14" t="str">
        <f>IF(OR($C1177="",$F1177=""),"",IFERROR(INDEX(Productos!$I$5:$I$504,MATCH($C1177,Productos!$A$5:$A$504,0)),0)+SUMIFS($F$5:$F1177,$C$5:$C1177,$C1177,$B$5:$B1177,"Entrada")-SUMIFS($F$5:$F1177,$C$5:$C1177,$C1177,$B$5:$B1177,"Salida"))</f>
        <v/>
      </c>
      <c r="J1177" s="20"/>
      <c r="K1177" s="20"/>
      <c r="L1177" s="20"/>
      <c r="M1177" s="14" t="str">
        <f>IF(AND($C1177&lt;&gt;"",$C1177=Kardex!$C$4),COUNTIF($C$5:$C1177,Kardex!$C$4),"")</f>
        <v/>
      </c>
    </row>
    <row r="1178" spans="1:13" x14ac:dyDescent="0.25">
      <c r="A1178" s="24"/>
      <c r="B1178" s="20"/>
      <c r="C1178" s="20"/>
      <c r="D1178" s="14" t="str">
        <f>IF($C1178="","",IFERROR(INDEX(Productos!$B$5:$B$504,MATCH($C1178,Productos!$A$5:$A$504,0)),"Clave no existe"))</f>
        <v/>
      </c>
      <c r="E1178" s="14" t="str">
        <f>IF($C1178="","",IFERROR(INDEX(Productos!$D$5:$D$504,MATCH($C1178,Productos!$A$5:$A$504,0)),""))</f>
        <v/>
      </c>
      <c r="F1178" s="20"/>
      <c r="G1178" s="22" t="str">
        <f>IF($C1178="","",IFERROR(INDEX(Productos!$F$5:$F$504,MATCH($C1178,Productos!$A$5:$A$504,0)),0))</f>
        <v/>
      </c>
      <c r="H1178" s="22" t="str">
        <f t="shared" si="18"/>
        <v/>
      </c>
      <c r="I1178" s="14" t="str">
        <f>IF(OR($C1178="",$F1178=""),"",IFERROR(INDEX(Productos!$I$5:$I$504,MATCH($C1178,Productos!$A$5:$A$504,0)),0)+SUMIFS($F$5:$F1178,$C$5:$C1178,$C1178,$B$5:$B1178,"Entrada")-SUMIFS($F$5:$F1178,$C$5:$C1178,$C1178,$B$5:$B1178,"Salida"))</f>
        <v/>
      </c>
      <c r="J1178" s="20"/>
      <c r="K1178" s="20"/>
      <c r="L1178" s="20"/>
      <c r="M1178" s="14" t="str">
        <f>IF(AND($C1178&lt;&gt;"",$C1178=Kardex!$C$4),COUNTIF($C$5:$C1178,Kardex!$C$4),"")</f>
        <v/>
      </c>
    </row>
    <row r="1179" spans="1:13" x14ac:dyDescent="0.25">
      <c r="A1179" s="24"/>
      <c r="B1179" s="20"/>
      <c r="C1179" s="20"/>
      <c r="D1179" s="14" t="str">
        <f>IF($C1179="","",IFERROR(INDEX(Productos!$B$5:$B$504,MATCH($C1179,Productos!$A$5:$A$504,0)),"Clave no existe"))</f>
        <v/>
      </c>
      <c r="E1179" s="14" t="str">
        <f>IF($C1179="","",IFERROR(INDEX(Productos!$D$5:$D$504,MATCH($C1179,Productos!$A$5:$A$504,0)),""))</f>
        <v/>
      </c>
      <c r="F1179" s="20"/>
      <c r="G1179" s="22" t="str">
        <f>IF($C1179="","",IFERROR(INDEX(Productos!$F$5:$F$504,MATCH($C1179,Productos!$A$5:$A$504,0)),0))</f>
        <v/>
      </c>
      <c r="H1179" s="22" t="str">
        <f t="shared" si="18"/>
        <v/>
      </c>
      <c r="I1179" s="14" t="str">
        <f>IF(OR($C1179="",$F1179=""),"",IFERROR(INDEX(Productos!$I$5:$I$504,MATCH($C1179,Productos!$A$5:$A$504,0)),0)+SUMIFS($F$5:$F1179,$C$5:$C1179,$C1179,$B$5:$B1179,"Entrada")-SUMIFS($F$5:$F1179,$C$5:$C1179,$C1179,$B$5:$B1179,"Salida"))</f>
        <v/>
      </c>
      <c r="J1179" s="20"/>
      <c r="K1179" s="20"/>
      <c r="L1179" s="20"/>
      <c r="M1179" s="14" t="str">
        <f>IF(AND($C1179&lt;&gt;"",$C1179=Kardex!$C$4),COUNTIF($C$5:$C1179,Kardex!$C$4),"")</f>
        <v/>
      </c>
    </row>
    <row r="1180" spans="1:13" x14ac:dyDescent="0.25">
      <c r="A1180" s="24"/>
      <c r="B1180" s="20"/>
      <c r="C1180" s="20"/>
      <c r="D1180" s="14" t="str">
        <f>IF($C1180="","",IFERROR(INDEX(Productos!$B$5:$B$504,MATCH($C1180,Productos!$A$5:$A$504,0)),"Clave no existe"))</f>
        <v/>
      </c>
      <c r="E1180" s="14" t="str">
        <f>IF($C1180="","",IFERROR(INDEX(Productos!$D$5:$D$504,MATCH($C1180,Productos!$A$5:$A$504,0)),""))</f>
        <v/>
      </c>
      <c r="F1180" s="20"/>
      <c r="G1180" s="22" t="str">
        <f>IF($C1180="","",IFERROR(INDEX(Productos!$F$5:$F$504,MATCH($C1180,Productos!$A$5:$A$504,0)),0))</f>
        <v/>
      </c>
      <c r="H1180" s="22" t="str">
        <f t="shared" si="18"/>
        <v/>
      </c>
      <c r="I1180" s="14" t="str">
        <f>IF(OR($C1180="",$F1180=""),"",IFERROR(INDEX(Productos!$I$5:$I$504,MATCH($C1180,Productos!$A$5:$A$504,0)),0)+SUMIFS($F$5:$F1180,$C$5:$C1180,$C1180,$B$5:$B1180,"Entrada")-SUMIFS($F$5:$F1180,$C$5:$C1180,$C1180,$B$5:$B1180,"Salida"))</f>
        <v/>
      </c>
      <c r="J1180" s="20"/>
      <c r="K1180" s="20"/>
      <c r="L1180" s="20"/>
      <c r="M1180" s="14" t="str">
        <f>IF(AND($C1180&lt;&gt;"",$C1180=Kardex!$C$4),COUNTIF($C$5:$C1180,Kardex!$C$4),"")</f>
        <v/>
      </c>
    </row>
    <row r="1181" spans="1:13" x14ac:dyDescent="0.25">
      <c r="A1181" s="24"/>
      <c r="B1181" s="20"/>
      <c r="C1181" s="20"/>
      <c r="D1181" s="14" t="str">
        <f>IF($C1181="","",IFERROR(INDEX(Productos!$B$5:$B$504,MATCH($C1181,Productos!$A$5:$A$504,0)),"Clave no existe"))</f>
        <v/>
      </c>
      <c r="E1181" s="14" t="str">
        <f>IF($C1181="","",IFERROR(INDEX(Productos!$D$5:$D$504,MATCH($C1181,Productos!$A$5:$A$504,0)),""))</f>
        <v/>
      </c>
      <c r="F1181" s="20"/>
      <c r="G1181" s="22" t="str">
        <f>IF($C1181="","",IFERROR(INDEX(Productos!$F$5:$F$504,MATCH($C1181,Productos!$A$5:$A$504,0)),0))</f>
        <v/>
      </c>
      <c r="H1181" s="22" t="str">
        <f t="shared" si="18"/>
        <v/>
      </c>
      <c r="I1181" s="14" t="str">
        <f>IF(OR($C1181="",$F1181=""),"",IFERROR(INDEX(Productos!$I$5:$I$504,MATCH($C1181,Productos!$A$5:$A$504,0)),0)+SUMIFS($F$5:$F1181,$C$5:$C1181,$C1181,$B$5:$B1181,"Entrada")-SUMIFS($F$5:$F1181,$C$5:$C1181,$C1181,$B$5:$B1181,"Salida"))</f>
        <v/>
      </c>
      <c r="J1181" s="20"/>
      <c r="K1181" s="20"/>
      <c r="L1181" s="20"/>
      <c r="M1181" s="14" t="str">
        <f>IF(AND($C1181&lt;&gt;"",$C1181=Kardex!$C$4),COUNTIF($C$5:$C1181,Kardex!$C$4),"")</f>
        <v/>
      </c>
    </row>
    <row r="1182" spans="1:13" x14ac:dyDescent="0.25">
      <c r="A1182" s="24"/>
      <c r="B1182" s="20"/>
      <c r="C1182" s="20"/>
      <c r="D1182" s="14" t="str">
        <f>IF($C1182="","",IFERROR(INDEX(Productos!$B$5:$B$504,MATCH($C1182,Productos!$A$5:$A$504,0)),"Clave no existe"))</f>
        <v/>
      </c>
      <c r="E1182" s="14" t="str">
        <f>IF($C1182="","",IFERROR(INDEX(Productos!$D$5:$D$504,MATCH($C1182,Productos!$A$5:$A$504,0)),""))</f>
        <v/>
      </c>
      <c r="F1182" s="20"/>
      <c r="G1182" s="22" t="str">
        <f>IF($C1182="","",IFERROR(INDEX(Productos!$F$5:$F$504,MATCH($C1182,Productos!$A$5:$A$504,0)),0))</f>
        <v/>
      </c>
      <c r="H1182" s="22" t="str">
        <f t="shared" si="18"/>
        <v/>
      </c>
      <c r="I1182" s="14" t="str">
        <f>IF(OR($C1182="",$F1182=""),"",IFERROR(INDEX(Productos!$I$5:$I$504,MATCH($C1182,Productos!$A$5:$A$504,0)),0)+SUMIFS($F$5:$F1182,$C$5:$C1182,$C1182,$B$5:$B1182,"Entrada")-SUMIFS($F$5:$F1182,$C$5:$C1182,$C1182,$B$5:$B1182,"Salida"))</f>
        <v/>
      </c>
      <c r="J1182" s="20"/>
      <c r="K1182" s="20"/>
      <c r="L1182" s="20"/>
      <c r="M1182" s="14" t="str">
        <f>IF(AND($C1182&lt;&gt;"",$C1182=Kardex!$C$4),COUNTIF($C$5:$C1182,Kardex!$C$4),"")</f>
        <v/>
      </c>
    </row>
    <row r="1183" spans="1:13" x14ac:dyDescent="0.25">
      <c r="A1183" s="24"/>
      <c r="B1183" s="20"/>
      <c r="C1183" s="20"/>
      <c r="D1183" s="14" t="str">
        <f>IF($C1183="","",IFERROR(INDEX(Productos!$B$5:$B$504,MATCH($C1183,Productos!$A$5:$A$504,0)),"Clave no existe"))</f>
        <v/>
      </c>
      <c r="E1183" s="14" t="str">
        <f>IF($C1183="","",IFERROR(INDEX(Productos!$D$5:$D$504,MATCH($C1183,Productos!$A$5:$A$504,0)),""))</f>
        <v/>
      </c>
      <c r="F1183" s="20"/>
      <c r="G1183" s="22" t="str">
        <f>IF($C1183="","",IFERROR(INDEX(Productos!$F$5:$F$504,MATCH($C1183,Productos!$A$5:$A$504,0)),0))</f>
        <v/>
      </c>
      <c r="H1183" s="22" t="str">
        <f t="shared" si="18"/>
        <v/>
      </c>
      <c r="I1183" s="14" t="str">
        <f>IF(OR($C1183="",$F1183=""),"",IFERROR(INDEX(Productos!$I$5:$I$504,MATCH($C1183,Productos!$A$5:$A$504,0)),0)+SUMIFS($F$5:$F1183,$C$5:$C1183,$C1183,$B$5:$B1183,"Entrada")-SUMIFS($F$5:$F1183,$C$5:$C1183,$C1183,$B$5:$B1183,"Salida"))</f>
        <v/>
      </c>
      <c r="J1183" s="20"/>
      <c r="K1183" s="20"/>
      <c r="L1183" s="20"/>
      <c r="M1183" s="14" t="str">
        <f>IF(AND($C1183&lt;&gt;"",$C1183=Kardex!$C$4),COUNTIF($C$5:$C1183,Kardex!$C$4),"")</f>
        <v/>
      </c>
    </row>
    <row r="1184" spans="1:13" x14ac:dyDescent="0.25">
      <c r="A1184" s="24"/>
      <c r="B1184" s="20"/>
      <c r="C1184" s="20"/>
      <c r="D1184" s="14" t="str">
        <f>IF($C1184="","",IFERROR(INDEX(Productos!$B$5:$B$504,MATCH($C1184,Productos!$A$5:$A$504,0)),"Clave no existe"))</f>
        <v/>
      </c>
      <c r="E1184" s="14" t="str">
        <f>IF($C1184="","",IFERROR(INDEX(Productos!$D$5:$D$504,MATCH($C1184,Productos!$A$5:$A$504,0)),""))</f>
        <v/>
      </c>
      <c r="F1184" s="20"/>
      <c r="G1184" s="22" t="str">
        <f>IF($C1184="","",IFERROR(INDEX(Productos!$F$5:$F$504,MATCH($C1184,Productos!$A$5:$A$504,0)),0))</f>
        <v/>
      </c>
      <c r="H1184" s="22" t="str">
        <f t="shared" si="18"/>
        <v/>
      </c>
      <c r="I1184" s="14" t="str">
        <f>IF(OR($C1184="",$F1184=""),"",IFERROR(INDEX(Productos!$I$5:$I$504,MATCH($C1184,Productos!$A$5:$A$504,0)),0)+SUMIFS($F$5:$F1184,$C$5:$C1184,$C1184,$B$5:$B1184,"Entrada")-SUMIFS($F$5:$F1184,$C$5:$C1184,$C1184,$B$5:$B1184,"Salida"))</f>
        <v/>
      </c>
      <c r="J1184" s="20"/>
      <c r="K1184" s="20"/>
      <c r="L1184" s="20"/>
      <c r="M1184" s="14" t="str">
        <f>IF(AND($C1184&lt;&gt;"",$C1184=Kardex!$C$4),COUNTIF($C$5:$C1184,Kardex!$C$4),"")</f>
        <v/>
      </c>
    </row>
    <row r="1185" spans="1:13" x14ac:dyDescent="0.25">
      <c r="A1185" s="24"/>
      <c r="B1185" s="20"/>
      <c r="C1185" s="20"/>
      <c r="D1185" s="14" t="str">
        <f>IF($C1185="","",IFERROR(INDEX(Productos!$B$5:$B$504,MATCH($C1185,Productos!$A$5:$A$504,0)),"Clave no existe"))</f>
        <v/>
      </c>
      <c r="E1185" s="14" t="str">
        <f>IF($C1185="","",IFERROR(INDEX(Productos!$D$5:$D$504,MATCH($C1185,Productos!$A$5:$A$504,0)),""))</f>
        <v/>
      </c>
      <c r="F1185" s="20"/>
      <c r="G1185" s="22" t="str">
        <f>IF($C1185="","",IFERROR(INDEX(Productos!$F$5:$F$504,MATCH($C1185,Productos!$A$5:$A$504,0)),0))</f>
        <v/>
      </c>
      <c r="H1185" s="22" t="str">
        <f t="shared" si="18"/>
        <v/>
      </c>
      <c r="I1185" s="14" t="str">
        <f>IF(OR($C1185="",$F1185=""),"",IFERROR(INDEX(Productos!$I$5:$I$504,MATCH($C1185,Productos!$A$5:$A$504,0)),0)+SUMIFS($F$5:$F1185,$C$5:$C1185,$C1185,$B$5:$B1185,"Entrada")-SUMIFS($F$5:$F1185,$C$5:$C1185,$C1185,$B$5:$B1185,"Salida"))</f>
        <v/>
      </c>
      <c r="J1185" s="20"/>
      <c r="K1185" s="20"/>
      <c r="L1185" s="20"/>
      <c r="M1185" s="14" t="str">
        <f>IF(AND($C1185&lt;&gt;"",$C1185=Kardex!$C$4),COUNTIF($C$5:$C1185,Kardex!$C$4),"")</f>
        <v/>
      </c>
    </row>
    <row r="1186" spans="1:13" x14ac:dyDescent="0.25">
      <c r="A1186" s="24"/>
      <c r="B1186" s="20"/>
      <c r="C1186" s="20"/>
      <c r="D1186" s="14" t="str">
        <f>IF($C1186="","",IFERROR(INDEX(Productos!$B$5:$B$504,MATCH($C1186,Productos!$A$5:$A$504,0)),"Clave no existe"))</f>
        <v/>
      </c>
      <c r="E1186" s="14" t="str">
        <f>IF($C1186="","",IFERROR(INDEX(Productos!$D$5:$D$504,MATCH($C1186,Productos!$A$5:$A$504,0)),""))</f>
        <v/>
      </c>
      <c r="F1186" s="20"/>
      <c r="G1186" s="22" t="str">
        <f>IF($C1186="","",IFERROR(INDEX(Productos!$F$5:$F$504,MATCH($C1186,Productos!$A$5:$A$504,0)),0))</f>
        <v/>
      </c>
      <c r="H1186" s="22" t="str">
        <f t="shared" si="18"/>
        <v/>
      </c>
      <c r="I1186" s="14" t="str">
        <f>IF(OR($C1186="",$F1186=""),"",IFERROR(INDEX(Productos!$I$5:$I$504,MATCH($C1186,Productos!$A$5:$A$504,0)),0)+SUMIFS($F$5:$F1186,$C$5:$C1186,$C1186,$B$5:$B1186,"Entrada")-SUMIFS($F$5:$F1186,$C$5:$C1186,$C1186,$B$5:$B1186,"Salida"))</f>
        <v/>
      </c>
      <c r="J1186" s="20"/>
      <c r="K1186" s="20"/>
      <c r="L1186" s="20"/>
      <c r="M1186" s="14" t="str">
        <f>IF(AND($C1186&lt;&gt;"",$C1186=Kardex!$C$4),COUNTIF($C$5:$C1186,Kardex!$C$4),"")</f>
        <v/>
      </c>
    </row>
    <row r="1187" spans="1:13" x14ac:dyDescent="0.25">
      <c r="A1187" s="24"/>
      <c r="B1187" s="20"/>
      <c r="C1187" s="20"/>
      <c r="D1187" s="14" t="str">
        <f>IF($C1187="","",IFERROR(INDEX(Productos!$B$5:$B$504,MATCH($C1187,Productos!$A$5:$A$504,0)),"Clave no existe"))</f>
        <v/>
      </c>
      <c r="E1187" s="14" t="str">
        <f>IF($C1187="","",IFERROR(INDEX(Productos!$D$5:$D$504,MATCH($C1187,Productos!$A$5:$A$504,0)),""))</f>
        <v/>
      </c>
      <c r="F1187" s="20"/>
      <c r="G1187" s="22" t="str">
        <f>IF($C1187="","",IFERROR(INDEX(Productos!$F$5:$F$504,MATCH($C1187,Productos!$A$5:$A$504,0)),0))</f>
        <v/>
      </c>
      <c r="H1187" s="22" t="str">
        <f t="shared" si="18"/>
        <v/>
      </c>
      <c r="I1187" s="14" t="str">
        <f>IF(OR($C1187="",$F1187=""),"",IFERROR(INDEX(Productos!$I$5:$I$504,MATCH($C1187,Productos!$A$5:$A$504,0)),0)+SUMIFS($F$5:$F1187,$C$5:$C1187,$C1187,$B$5:$B1187,"Entrada")-SUMIFS($F$5:$F1187,$C$5:$C1187,$C1187,$B$5:$B1187,"Salida"))</f>
        <v/>
      </c>
      <c r="J1187" s="20"/>
      <c r="K1187" s="20"/>
      <c r="L1187" s="20"/>
      <c r="M1187" s="14" t="str">
        <f>IF(AND($C1187&lt;&gt;"",$C1187=Kardex!$C$4),COUNTIF($C$5:$C1187,Kardex!$C$4),"")</f>
        <v/>
      </c>
    </row>
    <row r="1188" spans="1:13" x14ac:dyDescent="0.25">
      <c r="A1188" s="24"/>
      <c r="B1188" s="20"/>
      <c r="C1188" s="20"/>
      <c r="D1188" s="14" t="str">
        <f>IF($C1188="","",IFERROR(INDEX(Productos!$B$5:$B$504,MATCH($C1188,Productos!$A$5:$A$504,0)),"Clave no existe"))</f>
        <v/>
      </c>
      <c r="E1188" s="14" t="str">
        <f>IF($C1188="","",IFERROR(INDEX(Productos!$D$5:$D$504,MATCH($C1188,Productos!$A$5:$A$504,0)),""))</f>
        <v/>
      </c>
      <c r="F1188" s="20"/>
      <c r="G1188" s="22" t="str">
        <f>IF($C1188="","",IFERROR(INDEX(Productos!$F$5:$F$504,MATCH($C1188,Productos!$A$5:$A$504,0)),0))</f>
        <v/>
      </c>
      <c r="H1188" s="22" t="str">
        <f t="shared" si="18"/>
        <v/>
      </c>
      <c r="I1188" s="14" t="str">
        <f>IF(OR($C1188="",$F1188=""),"",IFERROR(INDEX(Productos!$I$5:$I$504,MATCH($C1188,Productos!$A$5:$A$504,0)),0)+SUMIFS($F$5:$F1188,$C$5:$C1188,$C1188,$B$5:$B1188,"Entrada")-SUMIFS($F$5:$F1188,$C$5:$C1188,$C1188,$B$5:$B1188,"Salida"))</f>
        <v/>
      </c>
      <c r="J1188" s="20"/>
      <c r="K1188" s="20"/>
      <c r="L1188" s="20"/>
      <c r="M1188" s="14" t="str">
        <f>IF(AND($C1188&lt;&gt;"",$C1188=Kardex!$C$4),COUNTIF($C$5:$C1188,Kardex!$C$4),"")</f>
        <v/>
      </c>
    </row>
    <row r="1189" spans="1:13" x14ac:dyDescent="0.25">
      <c r="A1189" s="24"/>
      <c r="B1189" s="20"/>
      <c r="C1189" s="20"/>
      <c r="D1189" s="14" t="str">
        <f>IF($C1189="","",IFERROR(INDEX(Productos!$B$5:$B$504,MATCH($C1189,Productos!$A$5:$A$504,0)),"Clave no existe"))</f>
        <v/>
      </c>
      <c r="E1189" s="14" t="str">
        <f>IF($C1189="","",IFERROR(INDEX(Productos!$D$5:$D$504,MATCH($C1189,Productos!$A$5:$A$504,0)),""))</f>
        <v/>
      </c>
      <c r="F1189" s="20"/>
      <c r="G1189" s="22" t="str">
        <f>IF($C1189="","",IFERROR(INDEX(Productos!$F$5:$F$504,MATCH($C1189,Productos!$A$5:$A$504,0)),0))</f>
        <v/>
      </c>
      <c r="H1189" s="22" t="str">
        <f t="shared" si="18"/>
        <v/>
      </c>
      <c r="I1189" s="14" t="str">
        <f>IF(OR($C1189="",$F1189=""),"",IFERROR(INDEX(Productos!$I$5:$I$504,MATCH($C1189,Productos!$A$5:$A$504,0)),0)+SUMIFS($F$5:$F1189,$C$5:$C1189,$C1189,$B$5:$B1189,"Entrada")-SUMIFS($F$5:$F1189,$C$5:$C1189,$C1189,$B$5:$B1189,"Salida"))</f>
        <v/>
      </c>
      <c r="J1189" s="20"/>
      <c r="K1189" s="20"/>
      <c r="L1189" s="20"/>
      <c r="M1189" s="14" t="str">
        <f>IF(AND($C1189&lt;&gt;"",$C1189=Kardex!$C$4),COUNTIF($C$5:$C1189,Kardex!$C$4),"")</f>
        <v/>
      </c>
    </row>
    <row r="1190" spans="1:13" x14ac:dyDescent="0.25">
      <c r="A1190" s="24"/>
      <c r="B1190" s="20"/>
      <c r="C1190" s="20"/>
      <c r="D1190" s="14" t="str">
        <f>IF($C1190="","",IFERROR(INDEX(Productos!$B$5:$B$504,MATCH($C1190,Productos!$A$5:$A$504,0)),"Clave no existe"))</f>
        <v/>
      </c>
      <c r="E1190" s="14" t="str">
        <f>IF($C1190="","",IFERROR(INDEX(Productos!$D$5:$D$504,MATCH($C1190,Productos!$A$5:$A$504,0)),""))</f>
        <v/>
      </c>
      <c r="F1190" s="20"/>
      <c r="G1190" s="22" t="str">
        <f>IF($C1190="","",IFERROR(INDEX(Productos!$F$5:$F$504,MATCH($C1190,Productos!$A$5:$A$504,0)),0))</f>
        <v/>
      </c>
      <c r="H1190" s="22" t="str">
        <f t="shared" si="18"/>
        <v/>
      </c>
      <c r="I1190" s="14" t="str">
        <f>IF(OR($C1190="",$F1190=""),"",IFERROR(INDEX(Productos!$I$5:$I$504,MATCH($C1190,Productos!$A$5:$A$504,0)),0)+SUMIFS($F$5:$F1190,$C$5:$C1190,$C1190,$B$5:$B1190,"Entrada")-SUMIFS($F$5:$F1190,$C$5:$C1190,$C1190,$B$5:$B1190,"Salida"))</f>
        <v/>
      </c>
      <c r="J1190" s="20"/>
      <c r="K1190" s="20"/>
      <c r="L1190" s="20"/>
      <c r="M1190" s="14" t="str">
        <f>IF(AND($C1190&lt;&gt;"",$C1190=Kardex!$C$4),COUNTIF($C$5:$C1190,Kardex!$C$4),"")</f>
        <v/>
      </c>
    </row>
    <row r="1191" spans="1:13" x14ac:dyDescent="0.25">
      <c r="A1191" s="24"/>
      <c r="B1191" s="20"/>
      <c r="C1191" s="20"/>
      <c r="D1191" s="14" t="str">
        <f>IF($C1191="","",IFERROR(INDEX(Productos!$B$5:$B$504,MATCH($C1191,Productos!$A$5:$A$504,0)),"Clave no existe"))</f>
        <v/>
      </c>
      <c r="E1191" s="14" t="str">
        <f>IF($C1191="","",IFERROR(INDEX(Productos!$D$5:$D$504,MATCH($C1191,Productos!$A$5:$A$504,0)),""))</f>
        <v/>
      </c>
      <c r="F1191" s="20"/>
      <c r="G1191" s="22" t="str">
        <f>IF($C1191="","",IFERROR(INDEX(Productos!$F$5:$F$504,MATCH($C1191,Productos!$A$5:$A$504,0)),0))</f>
        <v/>
      </c>
      <c r="H1191" s="22" t="str">
        <f t="shared" si="18"/>
        <v/>
      </c>
      <c r="I1191" s="14" t="str">
        <f>IF(OR($C1191="",$F1191=""),"",IFERROR(INDEX(Productos!$I$5:$I$504,MATCH($C1191,Productos!$A$5:$A$504,0)),0)+SUMIFS($F$5:$F1191,$C$5:$C1191,$C1191,$B$5:$B1191,"Entrada")-SUMIFS($F$5:$F1191,$C$5:$C1191,$C1191,$B$5:$B1191,"Salida"))</f>
        <v/>
      </c>
      <c r="J1191" s="20"/>
      <c r="K1191" s="20"/>
      <c r="L1191" s="20"/>
      <c r="M1191" s="14" t="str">
        <f>IF(AND($C1191&lt;&gt;"",$C1191=Kardex!$C$4),COUNTIF($C$5:$C1191,Kardex!$C$4),"")</f>
        <v/>
      </c>
    </row>
    <row r="1192" spans="1:13" x14ac:dyDescent="0.25">
      <c r="A1192" s="24"/>
      <c r="B1192" s="20"/>
      <c r="C1192" s="20"/>
      <c r="D1192" s="14" t="str">
        <f>IF($C1192="","",IFERROR(INDEX(Productos!$B$5:$B$504,MATCH($C1192,Productos!$A$5:$A$504,0)),"Clave no existe"))</f>
        <v/>
      </c>
      <c r="E1192" s="14" t="str">
        <f>IF($C1192="","",IFERROR(INDEX(Productos!$D$5:$D$504,MATCH($C1192,Productos!$A$5:$A$504,0)),""))</f>
        <v/>
      </c>
      <c r="F1192" s="20"/>
      <c r="G1192" s="22" t="str">
        <f>IF($C1192="","",IFERROR(INDEX(Productos!$F$5:$F$504,MATCH($C1192,Productos!$A$5:$A$504,0)),0))</f>
        <v/>
      </c>
      <c r="H1192" s="22" t="str">
        <f t="shared" si="18"/>
        <v/>
      </c>
      <c r="I1192" s="14" t="str">
        <f>IF(OR($C1192="",$F1192=""),"",IFERROR(INDEX(Productos!$I$5:$I$504,MATCH($C1192,Productos!$A$5:$A$504,0)),0)+SUMIFS($F$5:$F1192,$C$5:$C1192,$C1192,$B$5:$B1192,"Entrada")-SUMIFS($F$5:$F1192,$C$5:$C1192,$C1192,$B$5:$B1192,"Salida"))</f>
        <v/>
      </c>
      <c r="J1192" s="20"/>
      <c r="K1192" s="20"/>
      <c r="L1192" s="20"/>
      <c r="M1192" s="14" t="str">
        <f>IF(AND($C1192&lt;&gt;"",$C1192=Kardex!$C$4),COUNTIF($C$5:$C1192,Kardex!$C$4),"")</f>
        <v/>
      </c>
    </row>
    <row r="1193" spans="1:13" x14ac:dyDescent="0.25">
      <c r="A1193" s="24"/>
      <c r="B1193" s="20"/>
      <c r="C1193" s="20"/>
      <c r="D1193" s="14" t="str">
        <f>IF($C1193="","",IFERROR(INDEX(Productos!$B$5:$B$504,MATCH($C1193,Productos!$A$5:$A$504,0)),"Clave no existe"))</f>
        <v/>
      </c>
      <c r="E1193" s="14" t="str">
        <f>IF($C1193="","",IFERROR(INDEX(Productos!$D$5:$D$504,MATCH($C1193,Productos!$A$5:$A$504,0)),""))</f>
        <v/>
      </c>
      <c r="F1193" s="20"/>
      <c r="G1193" s="22" t="str">
        <f>IF($C1193="","",IFERROR(INDEX(Productos!$F$5:$F$504,MATCH($C1193,Productos!$A$5:$A$504,0)),0))</f>
        <v/>
      </c>
      <c r="H1193" s="22" t="str">
        <f t="shared" si="18"/>
        <v/>
      </c>
      <c r="I1193" s="14" t="str">
        <f>IF(OR($C1193="",$F1193=""),"",IFERROR(INDEX(Productos!$I$5:$I$504,MATCH($C1193,Productos!$A$5:$A$504,0)),0)+SUMIFS($F$5:$F1193,$C$5:$C1193,$C1193,$B$5:$B1193,"Entrada")-SUMIFS($F$5:$F1193,$C$5:$C1193,$C1193,$B$5:$B1193,"Salida"))</f>
        <v/>
      </c>
      <c r="J1193" s="20"/>
      <c r="K1193" s="20"/>
      <c r="L1193" s="20"/>
      <c r="M1193" s="14" t="str">
        <f>IF(AND($C1193&lt;&gt;"",$C1193=Kardex!$C$4),COUNTIF($C$5:$C1193,Kardex!$C$4),"")</f>
        <v/>
      </c>
    </row>
    <row r="1194" spans="1:13" x14ac:dyDescent="0.25">
      <c r="A1194" s="24"/>
      <c r="B1194" s="20"/>
      <c r="C1194" s="20"/>
      <c r="D1194" s="14" t="str">
        <f>IF($C1194="","",IFERROR(INDEX(Productos!$B$5:$B$504,MATCH($C1194,Productos!$A$5:$A$504,0)),"Clave no existe"))</f>
        <v/>
      </c>
      <c r="E1194" s="14" t="str">
        <f>IF($C1194="","",IFERROR(INDEX(Productos!$D$5:$D$504,MATCH($C1194,Productos!$A$5:$A$504,0)),""))</f>
        <v/>
      </c>
      <c r="F1194" s="20"/>
      <c r="G1194" s="22" t="str">
        <f>IF($C1194="","",IFERROR(INDEX(Productos!$F$5:$F$504,MATCH($C1194,Productos!$A$5:$A$504,0)),0))</f>
        <v/>
      </c>
      <c r="H1194" s="22" t="str">
        <f t="shared" si="18"/>
        <v/>
      </c>
      <c r="I1194" s="14" t="str">
        <f>IF(OR($C1194="",$F1194=""),"",IFERROR(INDEX(Productos!$I$5:$I$504,MATCH($C1194,Productos!$A$5:$A$504,0)),0)+SUMIFS($F$5:$F1194,$C$5:$C1194,$C1194,$B$5:$B1194,"Entrada")-SUMIFS($F$5:$F1194,$C$5:$C1194,$C1194,$B$5:$B1194,"Salida"))</f>
        <v/>
      </c>
      <c r="J1194" s="20"/>
      <c r="K1194" s="20"/>
      <c r="L1194" s="20"/>
      <c r="M1194" s="14" t="str">
        <f>IF(AND($C1194&lt;&gt;"",$C1194=Kardex!$C$4),COUNTIF($C$5:$C1194,Kardex!$C$4),"")</f>
        <v/>
      </c>
    </row>
    <row r="1195" spans="1:13" x14ac:dyDescent="0.25">
      <c r="A1195" s="24"/>
      <c r="B1195" s="20"/>
      <c r="C1195" s="20"/>
      <c r="D1195" s="14" t="str">
        <f>IF($C1195="","",IFERROR(INDEX(Productos!$B$5:$B$504,MATCH($C1195,Productos!$A$5:$A$504,0)),"Clave no existe"))</f>
        <v/>
      </c>
      <c r="E1195" s="14" t="str">
        <f>IF($C1195="","",IFERROR(INDEX(Productos!$D$5:$D$504,MATCH($C1195,Productos!$A$5:$A$504,0)),""))</f>
        <v/>
      </c>
      <c r="F1195" s="20"/>
      <c r="G1195" s="22" t="str">
        <f>IF($C1195="","",IFERROR(INDEX(Productos!$F$5:$F$504,MATCH($C1195,Productos!$A$5:$A$504,0)),0))</f>
        <v/>
      </c>
      <c r="H1195" s="22" t="str">
        <f t="shared" si="18"/>
        <v/>
      </c>
      <c r="I1195" s="14" t="str">
        <f>IF(OR($C1195="",$F1195=""),"",IFERROR(INDEX(Productos!$I$5:$I$504,MATCH($C1195,Productos!$A$5:$A$504,0)),0)+SUMIFS($F$5:$F1195,$C$5:$C1195,$C1195,$B$5:$B1195,"Entrada")-SUMIFS($F$5:$F1195,$C$5:$C1195,$C1195,$B$5:$B1195,"Salida"))</f>
        <v/>
      </c>
      <c r="J1195" s="20"/>
      <c r="K1195" s="20"/>
      <c r="L1195" s="20"/>
      <c r="M1195" s="14" t="str">
        <f>IF(AND($C1195&lt;&gt;"",$C1195=Kardex!$C$4),COUNTIF($C$5:$C1195,Kardex!$C$4),"")</f>
        <v/>
      </c>
    </row>
    <row r="1196" spans="1:13" x14ac:dyDescent="0.25">
      <c r="A1196" s="24"/>
      <c r="B1196" s="20"/>
      <c r="C1196" s="20"/>
      <c r="D1196" s="14" t="str">
        <f>IF($C1196="","",IFERROR(INDEX(Productos!$B$5:$B$504,MATCH($C1196,Productos!$A$5:$A$504,0)),"Clave no existe"))</f>
        <v/>
      </c>
      <c r="E1196" s="14" t="str">
        <f>IF($C1196="","",IFERROR(INDEX(Productos!$D$5:$D$504,MATCH($C1196,Productos!$A$5:$A$504,0)),""))</f>
        <v/>
      </c>
      <c r="F1196" s="20"/>
      <c r="G1196" s="22" t="str">
        <f>IF($C1196="","",IFERROR(INDEX(Productos!$F$5:$F$504,MATCH($C1196,Productos!$A$5:$A$504,0)),0))</f>
        <v/>
      </c>
      <c r="H1196" s="22" t="str">
        <f t="shared" si="18"/>
        <v/>
      </c>
      <c r="I1196" s="14" t="str">
        <f>IF(OR($C1196="",$F1196=""),"",IFERROR(INDEX(Productos!$I$5:$I$504,MATCH($C1196,Productos!$A$5:$A$504,0)),0)+SUMIFS($F$5:$F1196,$C$5:$C1196,$C1196,$B$5:$B1196,"Entrada")-SUMIFS($F$5:$F1196,$C$5:$C1196,$C1196,$B$5:$B1196,"Salida"))</f>
        <v/>
      </c>
      <c r="J1196" s="20"/>
      <c r="K1196" s="20"/>
      <c r="L1196" s="20"/>
      <c r="M1196" s="14" t="str">
        <f>IF(AND($C1196&lt;&gt;"",$C1196=Kardex!$C$4),COUNTIF($C$5:$C1196,Kardex!$C$4),"")</f>
        <v/>
      </c>
    </row>
    <row r="1197" spans="1:13" x14ac:dyDescent="0.25">
      <c r="A1197" s="24"/>
      <c r="B1197" s="20"/>
      <c r="C1197" s="20"/>
      <c r="D1197" s="14" t="str">
        <f>IF($C1197="","",IFERROR(INDEX(Productos!$B$5:$B$504,MATCH($C1197,Productos!$A$5:$A$504,0)),"Clave no existe"))</f>
        <v/>
      </c>
      <c r="E1197" s="14" t="str">
        <f>IF($C1197="","",IFERROR(INDEX(Productos!$D$5:$D$504,MATCH($C1197,Productos!$A$5:$A$504,0)),""))</f>
        <v/>
      </c>
      <c r="F1197" s="20"/>
      <c r="G1197" s="22" t="str">
        <f>IF($C1197="","",IFERROR(INDEX(Productos!$F$5:$F$504,MATCH($C1197,Productos!$A$5:$A$504,0)),0))</f>
        <v/>
      </c>
      <c r="H1197" s="22" t="str">
        <f t="shared" si="18"/>
        <v/>
      </c>
      <c r="I1197" s="14" t="str">
        <f>IF(OR($C1197="",$F1197=""),"",IFERROR(INDEX(Productos!$I$5:$I$504,MATCH($C1197,Productos!$A$5:$A$504,0)),0)+SUMIFS($F$5:$F1197,$C$5:$C1197,$C1197,$B$5:$B1197,"Entrada")-SUMIFS($F$5:$F1197,$C$5:$C1197,$C1197,$B$5:$B1197,"Salida"))</f>
        <v/>
      </c>
      <c r="J1197" s="20"/>
      <c r="K1197" s="20"/>
      <c r="L1197" s="20"/>
      <c r="M1197" s="14" t="str">
        <f>IF(AND($C1197&lt;&gt;"",$C1197=Kardex!$C$4),COUNTIF($C$5:$C1197,Kardex!$C$4),"")</f>
        <v/>
      </c>
    </row>
    <row r="1198" spans="1:13" x14ac:dyDescent="0.25">
      <c r="A1198" s="24"/>
      <c r="B1198" s="20"/>
      <c r="C1198" s="20"/>
      <c r="D1198" s="14" t="str">
        <f>IF($C1198="","",IFERROR(INDEX(Productos!$B$5:$B$504,MATCH($C1198,Productos!$A$5:$A$504,0)),"Clave no existe"))</f>
        <v/>
      </c>
      <c r="E1198" s="14" t="str">
        <f>IF($C1198="","",IFERROR(INDEX(Productos!$D$5:$D$504,MATCH($C1198,Productos!$A$5:$A$504,0)),""))</f>
        <v/>
      </c>
      <c r="F1198" s="20"/>
      <c r="G1198" s="22" t="str">
        <f>IF($C1198="","",IFERROR(INDEX(Productos!$F$5:$F$504,MATCH($C1198,Productos!$A$5:$A$504,0)),0))</f>
        <v/>
      </c>
      <c r="H1198" s="22" t="str">
        <f t="shared" si="18"/>
        <v/>
      </c>
      <c r="I1198" s="14" t="str">
        <f>IF(OR($C1198="",$F1198=""),"",IFERROR(INDEX(Productos!$I$5:$I$504,MATCH($C1198,Productos!$A$5:$A$504,0)),0)+SUMIFS($F$5:$F1198,$C$5:$C1198,$C1198,$B$5:$B1198,"Entrada")-SUMIFS($F$5:$F1198,$C$5:$C1198,$C1198,$B$5:$B1198,"Salida"))</f>
        <v/>
      </c>
      <c r="J1198" s="20"/>
      <c r="K1198" s="20"/>
      <c r="L1198" s="20"/>
      <c r="M1198" s="14" t="str">
        <f>IF(AND($C1198&lt;&gt;"",$C1198=Kardex!$C$4),COUNTIF($C$5:$C1198,Kardex!$C$4),"")</f>
        <v/>
      </c>
    </row>
    <row r="1199" spans="1:13" x14ac:dyDescent="0.25">
      <c r="A1199" s="24"/>
      <c r="B1199" s="20"/>
      <c r="C1199" s="20"/>
      <c r="D1199" s="14" t="str">
        <f>IF($C1199="","",IFERROR(INDEX(Productos!$B$5:$B$504,MATCH($C1199,Productos!$A$5:$A$504,0)),"Clave no existe"))</f>
        <v/>
      </c>
      <c r="E1199" s="14" t="str">
        <f>IF($C1199="","",IFERROR(INDEX(Productos!$D$5:$D$504,MATCH($C1199,Productos!$A$5:$A$504,0)),""))</f>
        <v/>
      </c>
      <c r="F1199" s="20"/>
      <c r="G1199" s="22" t="str">
        <f>IF($C1199="","",IFERROR(INDEX(Productos!$F$5:$F$504,MATCH($C1199,Productos!$A$5:$A$504,0)),0))</f>
        <v/>
      </c>
      <c r="H1199" s="22" t="str">
        <f t="shared" si="18"/>
        <v/>
      </c>
      <c r="I1199" s="14" t="str">
        <f>IF(OR($C1199="",$F1199=""),"",IFERROR(INDEX(Productos!$I$5:$I$504,MATCH($C1199,Productos!$A$5:$A$504,0)),0)+SUMIFS($F$5:$F1199,$C$5:$C1199,$C1199,$B$5:$B1199,"Entrada")-SUMIFS($F$5:$F1199,$C$5:$C1199,$C1199,$B$5:$B1199,"Salida"))</f>
        <v/>
      </c>
      <c r="J1199" s="20"/>
      <c r="K1199" s="20"/>
      <c r="L1199" s="20"/>
      <c r="M1199" s="14" t="str">
        <f>IF(AND($C1199&lt;&gt;"",$C1199=Kardex!$C$4),COUNTIF($C$5:$C1199,Kardex!$C$4),"")</f>
        <v/>
      </c>
    </row>
    <row r="1200" spans="1:13" x14ac:dyDescent="0.25">
      <c r="A1200" s="24"/>
      <c r="B1200" s="20"/>
      <c r="C1200" s="20"/>
      <c r="D1200" s="14" t="str">
        <f>IF($C1200="","",IFERROR(INDEX(Productos!$B$5:$B$504,MATCH($C1200,Productos!$A$5:$A$504,0)),"Clave no existe"))</f>
        <v/>
      </c>
      <c r="E1200" s="14" t="str">
        <f>IF($C1200="","",IFERROR(INDEX(Productos!$D$5:$D$504,MATCH($C1200,Productos!$A$5:$A$504,0)),""))</f>
        <v/>
      </c>
      <c r="F1200" s="20"/>
      <c r="G1200" s="22" t="str">
        <f>IF($C1200="","",IFERROR(INDEX(Productos!$F$5:$F$504,MATCH($C1200,Productos!$A$5:$A$504,0)),0))</f>
        <v/>
      </c>
      <c r="H1200" s="22" t="str">
        <f t="shared" si="18"/>
        <v/>
      </c>
      <c r="I1200" s="14" t="str">
        <f>IF(OR($C1200="",$F1200=""),"",IFERROR(INDEX(Productos!$I$5:$I$504,MATCH($C1200,Productos!$A$5:$A$504,0)),0)+SUMIFS($F$5:$F1200,$C$5:$C1200,$C1200,$B$5:$B1200,"Entrada")-SUMIFS($F$5:$F1200,$C$5:$C1200,$C1200,$B$5:$B1200,"Salida"))</f>
        <v/>
      </c>
      <c r="J1200" s="20"/>
      <c r="K1200" s="20"/>
      <c r="L1200" s="20"/>
      <c r="M1200" s="14" t="str">
        <f>IF(AND($C1200&lt;&gt;"",$C1200=Kardex!$C$4),COUNTIF($C$5:$C1200,Kardex!$C$4),"")</f>
        <v/>
      </c>
    </row>
    <row r="1201" spans="1:13" x14ac:dyDescent="0.25">
      <c r="A1201" s="24"/>
      <c r="B1201" s="20"/>
      <c r="C1201" s="20"/>
      <c r="D1201" s="14" t="str">
        <f>IF($C1201="","",IFERROR(INDEX(Productos!$B$5:$B$504,MATCH($C1201,Productos!$A$5:$A$504,0)),"Clave no existe"))</f>
        <v/>
      </c>
      <c r="E1201" s="14" t="str">
        <f>IF($C1201="","",IFERROR(INDEX(Productos!$D$5:$D$504,MATCH($C1201,Productos!$A$5:$A$504,0)),""))</f>
        <v/>
      </c>
      <c r="F1201" s="20"/>
      <c r="G1201" s="22" t="str">
        <f>IF($C1201="","",IFERROR(INDEX(Productos!$F$5:$F$504,MATCH($C1201,Productos!$A$5:$A$504,0)),0))</f>
        <v/>
      </c>
      <c r="H1201" s="22" t="str">
        <f t="shared" si="18"/>
        <v/>
      </c>
      <c r="I1201" s="14" t="str">
        <f>IF(OR($C1201="",$F1201=""),"",IFERROR(INDEX(Productos!$I$5:$I$504,MATCH($C1201,Productos!$A$5:$A$504,0)),0)+SUMIFS($F$5:$F1201,$C$5:$C1201,$C1201,$B$5:$B1201,"Entrada")-SUMIFS($F$5:$F1201,$C$5:$C1201,$C1201,$B$5:$B1201,"Salida"))</f>
        <v/>
      </c>
      <c r="J1201" s="20"/>
      <c r="K1201" s="20"/>
      <c r="L1201" s="20"/>
      <c r="M1201" s="14" t="str">
        <f>IF(AND($C1201&lt;&gt;"",$C1201=Kardex!$C$4),COUNTIF($C$5:$C1201,Kardex!$C$4),"")</f>
        <v/>
      </c>
    </row>
    <row r="1202" spans="1:13" x14ac:dyDescent="0.25">
      <c r="A1202" s="24"/>
      <c r="B1202" s="20"/>
      <c r="C1202" s="20"/>
      <c r="D1202" s="14" t="str">
        <f>IF($C1202="","",IFERROR(INDEX(Productos!$B$5:$B$504,MATCH($C1202,Productos!$A$5:$A$504,0)),"Clave no existe"))</f>
        <v/>
      </c>
      <c r="E1202" s="14" t="str">
        <f>IF($C1202="","",IFERROR(INDEX(Productos!$D$5:$D$504,MATCH($C1202,Productos!$A$5:$A$504,0)),""))</f>
        <v/>
      </c>
      <c r="F1202" s="20"/>
      <c r="G1202" s="22" t="str">
        <f>IF($C1202="","",IFERROR(INDEX(Productos!$F$5:$F$504,MATCH($C1202,Productos!$A$5:$A$504,0)),0))</f>
        <v/>
      </c>
      <c r="H1202" s="22" t="str">
        <f t="shared" si="18"/>
        <v/>
      </c>
      <c r="I1202" s="14" t="str">
        <f>IF(OR($C1202="",$F1202=""),"",IFERROR(INDEX(Productos!$I$5:$I$504,MATCH($C1202,Productos!$A$5:$A$504,0)),0)+SUMIFS($F$5:$F1202,$C$5:$C1202,$C1202,$B$5:$B1202,"Entrada")-SUMIFS($F$5:$F1202,$C$5:$C1202,$C1202,$B$5:$B1202,"Salida"))</f>
        <v/>
      </c>
      <c r="J1202" s="20"/>
      <c r="K1202" s="20"/>
      <c r="L1202" s="20"/>
      <c r="M1202" s="14" t="str">
        <f>IF(AND($C1202&lt;&gt;"",$C1202=Kardex!$C$4),COUNTIF($C$5:$C1202,Kardex!$C$4),"")</f>
        <v/>
      </c>
    </row>
    <row r="1203" spans="1:13" x14ac:dyDescent="0.25">
      <c r="A1203" s="24"/>
      <c r="B1203" s="20"/>
      <c r="C1203" s="20"/>
      <c r="D1203" s="14" t="str">
        <f>IF($C1203="","",IFERROR(INDEX(Productos!$B$5:$B$504,MATCH($C1203,Productos!$A$5:$A$504,0)),"Clave no existe"))</f>
        <v/>
      </c>
      <c r="E1203" s="14" t="str">
        <f>IF($C1203="","",IFERROR(INDEX(Productos!$D$5:$D$504,MATCH($C1203,Productos!$A$5:$A$504,0)),""))</f>
        <v/>
      </c>
      <c r="F1203" s="20"/>
      <c r="G1203" s="22" t="str">
        <f>IF($C1203="","",IFERROR(INDEX(Productos!$F$5:$F$504,MATCH($C1203,Productos!$A$5:$A$504,0)),0))</f>
        <v/>
      </c>
      <c r="H1203" s="22" t="str">
        <f t="shared" si="18"/>
        <v/>
      </c>
      <c r="I1203" s="14" t="str">
        <f>IF(OR($C1203="",$F1203=""),"",IFERROR(INDEX(Productos!$I$5:$I$504,MATCH($C1203,Productos!$A$5:$A$504,0)),0)+SUMIFS($F$5:$F1203,$C$5:$C1203,$C1203,$B$5:$B1203,"Entrada")-SUMIFS($F$5:$F1203,$C$5:$C1203,$C1203,$B$5:$B1203,"Salida"))</f>
        <v/>
      </c>
      <c r="J1203" s="20"/>
      <c r="K1203" s="20"/>
      <c r="L1203" s="20"/>
      <c r="M1203" s="14" t="str">
        <f>IF(AND($C1203&lt;&gt;"",$C1203=Kardex!$C$4),COUNTIF($C$5:$C1203,Kardex!$C$4),"")</f>
        <v/>
      </c>
    </row>
    <row r="1204" spans="1:13" x14ac:dyDescent="0.25">
      <c r="A1204" s="24"/>
      <c r="B1204" s="20"/>
      <c r="C1204" s="20"/>
      <c r="D1204" s="14" t="str">
        <f>IF($C1204="","",IFERROR(INDEX(Productos!$B$5:$B$504,MATCH($C1204,Productos!$A$5:$A$504,0)),"Clave no existe"))</f>
        <v/>
      </c>
      <c r="E1204" s="14" t="str">
        <f>IF($C1204="","",IFERROR(INDEX(Productos!$D$5:$D$504,MATCH($C1204,Productos!$A$5:$A$504,0)),""))</f>
        <v/>
      </c>
      <c r="F1204" s="20"/>
      <c r="G1204" s="22" t="str">
        <f>IF($C1204="","",IFERROR(INDEX(Productos!$F$5:$F$504,MATCH($C1204,Productos!$A$5:$A$504,0)),0))</f>
        <v/>
      </c>
      <c r="H1204" s="22" t="str">
        <f t="shared" si="18"/>
        <v/>
      </c>
      <c r="I1204" s="14" t="str">
        <f>IF(OR($C1204="",$F1204=""),"",IFERROR(INDEX(Productos!$I$5:$I$504,MATCH($C1204,Productos!$A$5:$A$504,0)),0)+SUMIFS($F$5:$F1204,$C$5:$C1204,$C1204,$B$5:$B1204,"Entrada")-SUMIFS($F$5:$F1204,$C$5:$C1204,$C1204,$B$5:$B1204,"Salida"))</f>
        <v/>
      </c>
      <c r="J1204" s="20"/>
      <c r="K1204" s="20"/>
      <c r="L1204" s="20"/>
      <c r="M1204" s="14" t="str">
        <f>IF(AND($C1204&lt;&gt;"",$C1204=Kardex!$C$4),COUNTIF($C$5:$C1204,Kardex!$C$4),"")</f>
        <v/>
      </c>
    </row>
    <row r="1205" spans="1:13" x14ac:dyDescent="0.25">
      <c r="A1205" s="24"/>
      <c r="B1205" s="20"/>
      <c r="C1205" s="20"/>
      <c r="D1205" s="14" t="str">
        <f>IF($C1205="","",IFERROR(INDEX(Productos!$B$5:$B$504,MATCH($C1205,Productos!$A$5:$A$504,0)),"Clave no existe"))</f>
        <v/>
      </c>
      <c r="E1205" s="14" t="str">
        <f>IF($C1205="","",IFERROR(INDEX(Productos!$D$5:$D$504,MATCH($C1205,Productos!$A$5:$A$504,0)),""))</f>
        <v/>
      </c>
      <c r="F1205" s="20"/>
      <c r="G1205" s="22" t="str">
        <f>IF($C1205="","",IFERROR(INDEX(Productos!$F$5:$F$504,MATCH($C1205,Productos!$A$5:$A$504,0)),0))</f>
        <v/>
      </c>
      <c r="H1205" s="22" t="str">
        <f t="shared" si="18"/>
        <v/>
      </c>
      <c r="I1205" s="14" t="str">
        <f>IF(OR($C1205="",$F1205=""),"",IFERROR(INDEX(Productos!$I$5:$I$504,MATCH($C1205,Productos!$A$5:$A$504,0)),0)+SUMIFS($F$5:$F1205,$C$5:$C1205,$C1205,$B$5:$B1205,"Entrada")-SUMIFS($F$5:$F1205,$C$5:$C1205,$C1205,$B$5:$B1205,"Salida"))</f>
        <v/>
      </c>
      <c r="J1205" s="20"/>
      <c r="K1205" s="20"/>
      <c r="L1205" s="20"/>
      <c r="M1205" s="14" t="str">
        <f>IF(AND($C1205&lt;&gt;"",$C1205=Kardex!$C$4),COUNTIF($C$5:$C1205,Kardex!$C$4),"")</f>
        <v/>
      </c>
    </row>
    <row r="1206" spans="1:13" x14ac:dyDescent="0.25">
      <c r="A1206" s="24"/>
      <c r="B1206" s="20"/>
      <c r="C1206" s="20"/>
      <c r="D1206" s="14" t="str">
        <f>IF($C1206="","",IFERROR(INDEX(Productos!$B$5:$B$504,MATCH($C1206,Productos!$A$5:$A$504,0)),"Clave no existe"))</f>
        <v/>
      </c>
      <c r="E1206" s="14" t="str">
        <f>IF($C1206="","",IFERROR(INDEX(Productos!$D$5:$D$504,MATCH($C1206,Productos!$A$5:$A$504,0)),""))</f>
        <v/>
      </c>
      <c r="F1206" s="20"/>
      <c r="G1206" s="22" t="str">
        <f>IF($C1206="","",IFERROR(INDEX(Productos!$F$5:$F$504,MATCH($C1206,Productos!$A$5:$A$504,0)),0))</f>
        <v/>
      </c>
      <c r="H1206" s="22" t="str">
        <f t="shared" si="18"/>
        <v/>
      </c>
      <c r="I1206" s="14" t="str">
        <f>IF(OR($C1206="",$F1206=""),"",IFERROR(INDEX(Productos!$I$5:$I$504,MATCH($C1206,Productos!$A$5:$A$504,0)),0)+SUMIFS($F$5:$F1206,$C$5:$C1206,$C1206,$B$5:$B1206,"Entrada")-SUMIFS($F$5:$F1206,$C$5:$C1206,$C1206,$B$5:$B1206,"Salida"))</f>
        <v/>
      </c>
      <c r="J1206" s="20"/>
      <c r="K1206" s="20"/>
      <c r="L1206" s="20"/>
      <c r="M1206" s="14" t="str">
        <f>IF(AND($C1206&lt;&gt;"",$C1206=Kardex!$C$4),COUNTIF($C$5:$C1206,Kardex!$C$4),"")</f>
        <v/>
      </c>
    </row>
    <row r="1207" spans="1:13" x14ac:dyDescent="0.25">
      <c r="A1207" s="24"/>
      <c r="B1207" s="20"/>
      <c r="C1207" s="20"/>
      <c r="D1207" s="14" t="str">
        <f>IF($C1207="","",IFERROR(INDEX(Productos!$B$5:$B$504,MATCH($C1207,Productos!$A$5:$A$504,0)),"Clave no existe"))</f>
        <v/>
      </c>
      <c r="E1207" s="14" t="str">
        <f>IF($C1207="","",IFERROR(INDEX(Productos!$D$5:$D$504,MATCH($C1207,Productos!$A$5:$A$504,0)),""))</f>
        <v/>
      </c>
      <c r="F1207" s="20"/>
      <c r="G1207" s="22" t="str">
        <f>IF($C1207="","",IFERROR(INDEX(Productos!$F$5:$F$504,MATCH($C1207,Productos!$A$5:$A$504,0)),0))</f>
        <v/>
      </c>
      <c r="H1207" s="22" t="str">
        <f t="shared" si="18"/>
        <v/>
      </c>
      <c r="I1207" s="14" t="str">
        <f>IF(OR($C1207="",$F1207=""),"",IFERROR(INDEX(Productos!$I$5:$I$504,MATCH($C1207,Productos!$A$5:$A$504,0)),0)+SUMIFS($F$5:$F1207,$C$5:$C1207,$C1207,$B$5:$B1207,"Entrada")-SUMIFS($F$5:$F1207,$C$5:$C1207,$C1207,$B$5:$B1207,"Salida"))</f>
        <v/>
      </c>
      <c r="J1207" s="20"/>
      <c r="K1207" s="20"/>
      <c r="L1207" s="20"/>
      <c r="M1207" s="14" t="str">
        <f>IF(AND($C1207&lt;&gt;"",$C1207=Kardex!$C$4),COUNTIF($C$5:$C1207,Kardex!$C$4),"")</f>
        <v/>
      </c>
    </row>
    <row r="1208" spans="1:13" x14ac:dyDescent="0.25">
      <c r="A1208" s="24"/>
      <c r="B1208" s="20"/>
      <c r="C1208" s="20"/>
      <c r="D1208" s="14" t="str">
        <f>IF($C1208="","",IFERROR(INDEX(Productos!$B$5:$B$504,MATCH($C1208,Productos!$A$5:$A$504,0)),"Clave no existe"))</f>
        <v/>
      </c>
      <c r="E1208" s="14" t="str">
        <f>IF($C1208="","",IFERROR(INDEX(Productos!$D$5:$D$504,MATCH($C1208,Productos!$A$5:$A$504,0)),""))</f>
        <v/>
      </c>
      <c r="F1208" s="20"/>
      <c r="G1208" s="22" t="str">
        <f>IF($C1208="","",IFERROR(INDEX(Productos!$F$5:$F$504,MATCH($C1208,Productos!$A$5:$A$504,0)),0))</f>
        <v/>
      </c>
      <c r="H1208" s="22" t="str">
        <f t="shared" si="18"/>
        <v/>
      </c>
      <c r="I1208" s="14" t="str">
        <f>IF(OR($C1208="",$F1208=""),"",IFERROR(INDEX(Productos!$I$5:$I$504,MATCH($C1208,Productos!$A$5:$A$504,0)),0)+SUMIFS($F$5:$F1208,$C$5:$C1208,$C1208,$B$5:$B1208,"Entrada")-SUMIFS($F$5:$F1208,$C$5:$C1208,$C1208,$B$5:$B1208,"Salida"))</f>
        <v/>
      </c>
      <c r="J1208" s="20"/>
      <c r="K1208" s="20"/>
      <c r="L1208" s="20"/>
      <c r="M1208" s="14" t="str">
        <f>IF(AND($C1208&lt;&gt;"",$C1208=Kardex!$C$4),COUNTIF($C$5:$C1208,Kardex!$C$4),"")</f>
        <v/>
      </c>
    </row>
    <row r="1209" spans="1:13" x14ac:dyDescent="0.25">
      <c r="A1209" s="24"/>
      <c r="B1209" s="20"/>
      <c r="C1209" s="20"/>
      <c r="D1209" s="14" t="str">
        <f>IF($C1209="","",IFERROR(INDEX(Productos!$B$5:$B$504,MATCH($C1209,Productos!$A$5:$A$504,0)),"Clave no existe"))</f>
        <v/>
      </c>
      <c r="E1209" s="14" t="str">
        <f>IF($C1209="","",IFERROR(INDEX(Productos!$D$5:$D$504,MATCH($C1209,Productos!$A$5:$A$504,0)),""))</f>
        <v/>
      </c>
      <c r="F1209" s="20"/>
      <c r="G1209" s="22" t="str">
        <f>IF($C1209="","",IFERROR(INDEX(Productos!$F$5:$F$504,MATCH($C1209,Productos!$A$5:$A$504,0)),0))</f>
        <v/>
      </c>
      <c r="H1209" s="22" t="str">
        <f t="shared" si="18"/>
        <v/>
      </c>
      <c r="I1209" s="14" t="str">
        <f>IF(OR($C1209="",$F1209=""),"",IFERROR(INDEX(Productos!$I$5:$I$504,MATCH($C1209,Productos!$A$5:$A$504,0)),0)+SUMIFS($F$5:$F1209,$C$5:$C1209,$C1209,$B$5:$B1209,"Entrada")-SUMIFS($F$5:$F1209,$C$5:$C1209,$C1209,$B$5:$B1209,"Salida"))</f>
        <v/>
      </c>
      <c r="J1209" s="20"/>
      <c r="K1209" s="20"/>
      <c r="L1209" s="20"/>
      <c r="M1209" s="14" t="str">
        <f>IF(AND($C1209&lt;&gt;"",$C1209=Kardex!$C$4),COUNTIF($C$5:$C1209,Kardex!$C$4),"")</f>
        <v/>
      </c>
    </row>
    <row r="1210" spans="1:13" x14ac:dyDescent="0.25">
      <c r="A1210" s="24"/>
      <c r="B1210" s="20"/>
      <c r="C1210" s="20"/>
      <c r="D1210" s="14" t="str">
        <f>IF($C1210="","",IFERROR(INDEX(Productos!$B$5:$B$504,MATCH($C1210,Productos!$A$5:$A$504,0)),"Clave no existe"))</f>
        <v/>
      </c>
      <c r="E1210" s="14" t="str">
        <f>IF($C1210="","",IFERROR(INDEX(Productos!$D$5:$D$504,MATCH($C1210,Productos!$A$5:$A$504,0)),""))</f>
        <v/>
      </c>
      <c r="F1210" s="20"/>
      <c r="G1210" s="22" t="str">
        <f>IF($C1210="","",IFERROR(INDEX(Productos!$F$5:$F$504,MATCH($C1210,Productos!$A$5:$A$504,0)),0))</f>
        <v/>
      </c>
      <c r="H1210" s="22" t="str">
        <f t="shared" si="18"/>
        <v/>
      </c>
      <c r="I1210" s="14" t="str">
        <f>IF(OR($C1210="",$F1210=""),"",IFERROR(INDEX(Productos!$I$5:$I$504,MATCH($C1210,Productos!$A$5:$A$504,0)),0)+SUMIFS($F$5:$F1210,$C$5:$C1210,$C1210,$B$5:$B1210,"Entrada")-SUMIFS($F$5:$F1210,$C$5:$C1210,$C1210,$B$5:$B1210,"Salida"))</f>
        <v/>
      </c>
      <c r="J1210" s="20"/>
      <c r="K1210" s="20"/>
      <c r="L1210" s="20"/>
      <c r="M1210" s="14" t="str">
        <f>IF(AND($C1210&lt;&gt;"",$C1210=Kardex!$C$4),COUNTIF($C$5:$C1210,Kardex!$C$4),"")</f>
        <v/>
      </c>
    </row>
    <row r="1211" spans="1:13" x14ac:dyDescent="0.25">
      <c r="A1211" s="24"/>
      <c r="B1211" s="20"/>
      <c r="C1211" s="20"/>
      <c r="D1211" s="14" t="str">
        <f>IF($C1211="","",IFERROR(INDEX(Productos!$B$5:$B$504,MATCH($C1211,Productos!$A$5:$A$504,0)),"Clave no existe"))</f>
        <v/>
      </c>
      <c r="E1211" s="14" t="str">
        <f>IF($C1211="","",IFERROR(INDEX(Productos!$D$5:$D$504,MATCH($C1211,Productos!$A$5:$A$504,0)),""))</f>
        <v/>
      </c>
      <c r="F1211" s="20"/>
      <c r="G1211" s="22" t="str">
        <f>IF($C1211="","",IFERROR(INDEX(Productos!$F$5:$F$504,MATCH($C1211,Productos!$A$5:$A$504,0)),0))</f>
        <v/>
      </c>
      <c r="H1211" s="22" t="str">
        <f t="shared" si="18"/>
        <v/>
      </c>
      <c r="I1211" s="14" t="str">
        <f>IF(OR($C1211="",$F1211=""),"",IFERROR(INDEX(Productos!$I$5:$I$504,MATCH($C1211,Productos!$A$5:$A$504,0)),0)+SUMIFS($F$5:$F1211,$C$5:$C1211,$C1211,$B$5:$B1211,"Entrada")-SUMIFS($F$5:$F1211,$C$5:$C1211,$C1211,$B$5:$B1211,"Salida"))</f>
        <v/>
      </c>
      <c r="J1211" s="20"/>
      <c r="K1211" s="20"/>
      <c r="L1211" s="20"/>
      <c r="M1211" s="14" t="str">
        <f>IF(AND($C1211&lt;&gt;"",$C1211=Kardex!$C$4),COUNTIF($C$5:$C1211,Kardex!$C$4),"")</f>
        <v/>
      </c>
    </row>
    <row r="1212" spans="1:13" x14ac:dyDescent="0.25">
      <c r="A1212" s="24"/>
      <c r="B1212" s="20"/>
      <c r="C1212" s="20"/>
      <c r="D1212" s="14" t="str">
        <f>IF($C1212="","",IFERROR(INDEX(Productos!$B$5:$B$504,MATCH($C1212,Productos!$A$5:$A$504,0)),"Clave no existe"))</f>
        <v/>
      </c>
      <c r="E1212" s="14" t="str">
        <f>IF($C1212="","",IFERROR(INDEX(Productos!$D$5:$D$504,MATCH($C1212,Productos!$A$5:$A$504,0)),""))</f>
        <v/>
      </c>
      <c r="F1212" s="20"/>
      <c r="G1212" s="22" t="str">
        <f>IF($C1212="","",IFERROR(INDEX(Productos!$F$5:$F$504,MATCH($C1212,Productos!$A$5:$A$504,0)),0))</f>
        <v/>
      </c>
      <c r="H1212" s="22" t="str">
        <f t="shared" si="18"/>
        <v/>
      </c>
      <c r="I1212" s="14" t="str">
        <f>IF(OR($C1212="",$F1212=""),"",IFERROR(INDEX(Productos!$I$5:$I$504,MATCH($C1212,Productos!$A$5:$A$504,0)),0)+SUMIFS($F$5:$F1212,$C$5:$C1212,$C1212,$B$5:$B1212,"Entrada")-SUMIFS($F$5:$F1212,$C$5:$C1212,$C1212,$B$5:$B1212,"Salida"))</f>
        <v/>
      </c>
      <c r="J1212" s="20"/>
      <c r="K1212" s="20"/>
      <c r="L1212" s="20"/>
      <c r="M1212" s="14" t="str">
        <f>IF(AND($C1212&lt;&gt;"",$C1212=Kardex!$C$4),COUNTIF($C$5:$C1212,Kardex!$C$4),"")</f>
        <v/>
      </c>
    </row>
    <row r="1213" spans="1:13" x14ac:dyDescent="0.25">
      <c r="A1213" s="24"/>
      <c r="B1213" s="20"/>
      <c r="C1213" s="20"/>
      <c r="D1213" s="14" t="str">
        <f>IF($C1213="","",IFERROR(INDEX(Productos!$B$5:$B$504,MATCH($C1213,Productos!$A$5:$A$504,0)),"Clave no existe"))</f>
        <v/>
      </c>
      <c r="E1213" s="14" t="str">
        <f>IF($C1213="","",IFERROR(INDEX(Productos!$D$5:$D$504,MATCH($C1213,Productos!$A$5:$A$504,0)),""))</f>
        <v/>
      </c>
      <c r="F1213" s="20"/>
      <c r="G1213" s="22" t="str">
        <f>IF($C1213="","",IFERROR(INDEX(Productos!$F$5:$F$504,MATCH($C1213,Productos!$A$5:$A$504,0)),0))</f>
        <v/>
      </c>
      <c r="H1213" s="22" t="str">
        <f t="shared" si="18"/>
        <v/>
      </c>
      <c r="I1213" s="14" t="str">
        <f>IF(OR($C1213="",$F1213=""),"",IFERROR(INDEX(Productos!$I$5:$I$504,MATCH($C1213,Productos!$A$5:$A$504,0)),0)+SUMIFS($F$5:$F1213,$C$5:$C1213,$C1213,$B$5:$B1213,"Entrada")-SUMIFS($F$5:$F1213,$C$5:$C1213,$C1213,$B$5:$B1213,"Salida"))</f>
        <v/>
      </c>
      <c r="J1213" s="20"/>
      <c r="K1213" s="20"/>
      <c r="L1213" s="20"/>
      <c r="M1213" s="14" t="str">
        <f>IF(AND($C1213&lt;&gt;"",$C1213=Kardex!$C$4),COUNTIF($C$5:$C1213,Kardex!$C$4),"")</f>
        <v/>
      </c>
    </row>
    <row r="1214" spans="1:13" x14ac:dyDescent="0.25">
      <c r="A1214" s="24"/>
      <c r="B1214" s="20"/>
      <c r="C1214" s="20"/>
      <c r="D1214" s="14" t="str">
        <f>IF($C1214="","",IFERROR(INDEX(Productos!$B$5:$B$504,MATCH($C1214,Productos!$A$5:$A$504,0)),"Clave no existe"))</f>
        <v/>
      </c>
      <c r="E1214" s="14" t="str">
        <f>IF($C1214="","",IFERROR(INDEX(Productos!$D$5:$D$504,MATCH($C1214,Productos!$A$5:$A$504,0)),""))</f>
        <v/>
      </c>
      <c r="F1214" s="20"/>
      <c r="G1214" s="22" t="str">
        <f>IF($C1214="","",IFERROR(INDEX(Productos!$F$5:$F$504,MATCH($C1214,Productos!$A$5:$A$504,0)),0))</f>
        <v/>
      </c>
      <c r="H1214" s="22" t="str">
        <f t="shared" si="18"/>
        <v/>
      </c>
      <c r="I1214" s="14" t="str">
        <f>IF(OR($C1214="",$F1214=""),"",IFERROR(INDEX(Productos!$I$5:$I$504,MATCH($C1214,Productos!$A$5:$A$504,0)),0)+SUMIFS($F$5:$F1214,$C$5:$C1214,$C1214,$B$5:$B1214,"Entrada")-SUMIFS($F$5:$F1214,$C$5:$C1214,$C1214,$B$5:$B1214,"Salida"))</f>
        <v/>
      </c>
      <c r="J1214" s="20"/>
      <c r="K1214" s="20"/>
      <c r="L1214" s="20"/>
      <c r="M1214" s="14" t="str">
        <f>IF(AND($C1214&lt;&gt;"",$C1214=Kardex!$C$4),COUNTIF($C$5:$C1214,Kardex!$C$4),"")</f>
        <v/>
      </c>
    </row>
    <row r="1215" spans="1:13" x14ac:dyDescent="0.25">
      <c r="A1215" s="24"/>
      <c r="B1215" s="20"/>
      <c r="C1215" s="20"/>
      <c r="D1215" s="14" t="str">
        <f>IF($C1215="","",IFERROR(INDEX(Productos!$B$5:$B$504,MATCH($C1215,Productos!$A$5:$A$504,0)),"Clave no existe"))</f>
        <v/>
      </c>
      <c r="E1215" s="14" t="str">
        <f>IF($C1215="","",IFERROR(INDEX(Productos!$D$5:$D$504,MATCH($C1215,Productos!$A$5:$A$504,0)),""))</f>
        <v/>
      </c>
      <c r="F1215" s="20"/>
      <c r="G1215" s="22" t="str">
        <f>IF($C1215="","",IFERROR(INDEX(Productos!$F$5:$F$504,MATCH($C1215,Productos!$A$5:$A$504,0)),0))</f>
        <v/>
      </c>
      <c r="H1215" s="22" t="str">
        <f t="shared" si="18"/>
        <v/>
      </c>
      <c r="I1215" s="14" t="str">
        <f>IF(OR($C1215="",$F1215=""),"",IFERROR(INDEX(Productos!$I$5:$I$504,MATCH($C1215,Productos!$A$5:$A$504,0)),0)+SUMIFS($F$5:$F1215,$C$5:$C1215,$C1215,$B$5:$B1215,"Entrada")-SUMIFS($F$5:$F1215,$C$5:$C1215,$C1215,$B$5:$B1215,"Salida"))</f>
        <v/>
      </c>
      <c r="J1215" s="20"/>
      <c r="K1215" s="20"/>
      <c r="L1215" s="20"/>
      <c r="M1215" s="14" t="str">
        <f>IF(AND($C1215&lt;&gt;"",$C1215=Kardex!$C$4),COUNTIF($C$5:$C1215,Kardex!$C$4),"")</f>
        <v/>
      </c>
    </row>
    <row r="1216" spans="1:13" x14ac:dyDescent="0.25">
      <c r="A1216" s="24"/>
      <c r="B1216" s="20"/>
      <c r="C1216" s="20"/>
      <c r="D1216" s="14" t="str">
        <f>IF($C1216="","",IFERROR(INDEX(Productos!$B$5:$B$504,MATCH($C1216,Productos!$A$5:$A$504,0)),"Clave no existe"))</f>
        <v/>
      </c>
      <c r="E1216" s="14" t="str">
        <f>IF($C1216="","",IFERROR(INDEX(Productos!$D$5:$D$504,MATCH($C1216,Productos!$A$5:$A$504,0)),""))</f>
        <v/>
      </c>
      <c r="F1216" s="20"/>
      <c r="G1216" s="22" t="str">
        <f>IF($C1216="","",IFERROR(INDEX(Productos!$F$5:$F$504,MATCH($C1216,Productos!$A$5:$A$504,0)),0))</f>
        <v/>
      </c>
      <c r="H1216" s="22" t="str">
        <f t="shared" si="18"/>
        <v/>
      </c>
      <c r="I1216" s="14" t="str">
        <f>IF(OR($C1216="",$F1216=""),"",IFERROR(INDEX(Productos!$I$5:$I$504,MATCH($C1216,Productos!$A$5:$A$504,0)),0)+SUMIFS($F$5:$F1216,$C$5:$C1216,$C1216,$B$5:$B1216,"Entrada")-SUMIFS($F$5:$F1216,$C$5:$C1216,$C1216,$B$5:$B1216,"Salida"))</f>
        <v/>
      </c>
      <c r="J1216" s="20"/>
      <c r="K1216" s="20"/>
      <c r="L1216" s="20"/>
      <c r="M1216" s="14" t="str">
        <f>IF(AND($C1216&lt;&gt;"",$C1216=Kardex!$C$4),COUNTIF($C$5:$C1216,Kardex!$C$4),"")</f>
        <v/>
      </c>
    </row>
    <row r="1217" spans="1:13" x14ac:dyDescent="0.25">
      <c r="A1217" s="24"/>
      <c r="B1217" s="20"/>
      <c r="C1217" s="20"/>
      <c r="D1217" s="14" t="str">
        <f>IF($C1217="","",IFERROR(INDEX(Productos!$B$5:$B$504,MATCH($C1217,Productos!$A$5:$A$504,0)),"Clave no existe"))</f>
        <v/>
      </c>
      <c r="E1217" s="14" t="str">
        <f>IF($C1217="","",IFERROR(INDEX(Productos!$D$5:$D$504,MATCH($C1217,Productos!$A$5:$A$504,0)),""))</f>
        <v/>
      </c>
      <c r="F1217" s="20"/>
      <c r="G1217" s="22" t="str">
        <f>IF($C1217="","",IFERROR(INDEX(Productos!$F$5:$F$504,MATCH($C1217,Productos!$A$5:$A$504,0)),0))</f>
        <v/>
      </c>
      <c r="H1217" s="22" t="str">
        <f t="shared" si="18"/>
        <v/>
      </c>
      <c r="I1217" s="14" t="str">
        <f>IF(OR($C1217="",$F1217=""),"",IFERROR(INDEX(Productos!$I$5:$I$504,MATCH($C1217,Productos!$A$5:$A$504,0)),0)+SUMIFS($F$5:$F1217,$C$5:$C1217,$C1217,$B$5:$B1217,"Entrada")-SUMIFS($F$5:$F1217,$C$5:$C1217,$C1217,$B$5:$B1217,"Salida"))</f>
        <v/>
      </c>
      <c r="J1217" s="20"/>
      <c r="K1217" s="20"/>
      <c r="L1217" s="20"/>
      <c r="M1217" s="14" t="str">
        <f>IF(AND($C1217&lt;&gt;"",$C1217=Kardex!$C$4),COUNTIF($C$5:$C1217,Kardex!$C$4),"")</f>
        <v/>
      </c>
    </row>
    <row r="1218" spans="1:13" x14ac:dyDescent="0.25">
      <c r="A1218" s="24"/>
      <c r="B1218" s="20"/>
      <c r="C1218" s="20"/>
      <c r="D1218" s="14" t="str">
        <f>IF($C1218="","",IFERROR(INDEX(Productos!$B$5:$B$504,MATCH($C1218,Productos!$A$5:$A$504,0)),"Clave no existe"))</f>
        <v/>
      </c>
      <c r="E1218" s="14" t="str">
        <f>IF($C1218="","",IFERROR(INDEX(Productos!$D$5:$D$504,MATCH($C1218,Productos!$A$5:$A$504,0)),""))</f>
        <v/>
      </c>
      <c r="F1218" s="20"/>
      <c r="G1218" s="22" t="str">
        <f>IF($C1218="","",IFERROR(INDEX(Productos!$F$5:$F$504,MATCH($C1218,Productos!$A$5:$A$504,0)),0))</f>
        <v/>
      </c>
      <c r="H1218" s="22" t="str">
        <f t="shared" si="18"/>
        <v/>
      </c>
      <c r="I1218" s="14" t="str">
        <f>IF(OR($C1218="",$F1218=""),"",IFERROR(INDEX(Productos!$I$5:$I$504,MATCH($C1218,Productos!$A$5:$A$504,0)),0)+SUMIFS($F$5:$F1218,$C$5:$C1218,$C1218,$B$5:$B1218,"Entrada")-SUMIFS($F$5:$F1218,$C$5:$C1218,$C1218,$B$5:$B1218,"Salida"))</f>
        <v/>
      </c>
      <c r="J1218" s="20"/>
      <c r="K1218" s="20"/>
      <c r="L1218" s="20"/>
      <c r="M1218" s="14" t="str">
        <f>IF(AND($C1218&lt;&gt;"",$C1218=Kardex!$C$4),COUNTIF($C$5:$C1218,Kardex!$C$4),"")</f>
        <v/>
      </c>
    </row>
    <row r="1219" spans="1:13" x14ac:dyDescent="0.25">
      <c r="A1219" s="24"/>
      <c r="B1219" s="20"/>
      <c r="C1219" s="20"/>
      <c r="D1219" s="14" t="str">
        <f>IF($C1219="","",IFERROR(INDEX(Productos!$B$5:$B$504,MATCH($C1219,Productos!$A$5:$A$504,0)),"Clave no existe"))</f>
        <v/>
      </c>
      <c r="E1219" s="14" t="str">
        <f>IF($C1219="","",IFERROR(INDEX(Productos!$D$5:$D$504,MATCH($C1219,Productos!$A$5:$A$504,0)),""))</f>
        <v/>
      </c>
      <c r="F1219" s="20"/>
      <c r="G1219" s="22" t="str">
        <f>IF($C1219="","",IFERROR(INDEX(Productos!$F$5:$F$504,MATCH($C1219,Productos!$A$5:$A$504,0)),0))</f>
        <v/>
      </c>
      <c r="H1219" s="22" t="str">
        <f t="shared" si="18"/>
        <v/>
      </c>
      <c r="I1219" s="14" t="str">
        <f>IF(OR($C1219="",$F1219=""),"",IFERROR(INDEX(Productos!$I$5:$I$504,MATCH($C1219,Productos!$A$5:$A$504,0)),0)+SUMIFS($F$5:$F1219,$C$5:$C1219,$C1219,$B$5:$B1219,"Entrada")-SUMIFS($F$5:$F1219,$C$5:$C1219,$C1219,$B$5:$B1219,"Salida"))</f>
        <v/>
      </c>
      <c r="J1219" s="20"/>
      <c r="K1219" s="20"/>
      <c r="L1219" s="20"/>
      <c r="M1219" s="14" t="str">
        <f>IF(AND($C1219&lt;&gt;"",$C1219=Kardex!$C$4),COUNTIF($C$5:$C1219,Kardex!$C$4),"")</f>
        <v/>
      </c>
    </row>
    <row r="1220" spans="1:13" x14ac:dyDescent="0.25">
      <c r="A1220" s="24"/>
      <c r="B1220" s="20"/>
      <c r="C1220" s="20"/>
      <c r="D1220" s="14" t="str">
        <f>IF($C1220="","",IFERROR(INDEX(Productos!$B$5:$B$504,MATCH($C1220,Productos!$A$5:$A$504,0)),"Clave no existe"))</f>
        <v/>
      </c>
      <c r="E1220" s="14" t="str">
        <f>IF($C1220="","",IFERROR(INDEX(Productos!$D$5:$D$504,MATCH($C1220,Productos!$A$5:$A$504,0)),""))</f>
        <v/>
      </c>
      <c r="F1220" s="20"/>
      <c r="G1220" s="22" t="str">
        <f>IF($C1220="","",IFERROR(INDEX(Productos!$F$5:$F$504,MATCH($C1220,Productos!$A$5:$A$504,0)),0))</f>
        <v/>
      </c>
      <c r="H1220" s="22" t="str">
        <f t="shared" si="18"/>
        <v/>
      </c>
      <c r="I1220" s="14" t="str">
        <f>IF(OR($C1220="",$F1220=""),"",IFERROR(INDEX(Productos!$I$5:$I$504,MATCH($C1220,Productos!$A$5:$A$504,0)),0)+SUMIFS($F$5:$F1220,$C$5:$C1220,$C1220,$B$5:$B1220,"Entrada")-SUMIFS($F$5:$F1220,$C$5:$C1220,$C1220,$B$5:$B1220,"Salida"))</f>
        <v/>
      </c>
      <c r="J1220" s="20"/>
      <c r="K1220" s="20"/>
      <c r="L1220" s="20"/>
      <c r="M1220" s="14" t="str">
        <f>IF(AND($C1220&lt;&gt;"",$C1220=Kardex!$C$4),COUNTIF($C$5:$C1220,Kardex!$C$4),"")</f>
        <v/>
      </c>
    </row>
    <row r="1221" spans="1:13" x14ac:dyDescent="0.25">
      <c r="A1221" s="24"/>
      <c r="B1221" s="20"/>
      <c r="C1221" s="20"/>
      <c r="D1221" s="14" t="str">
        <f>IF($C1221="","",IFERROR(INDEX(Productos!$B$5:$B$504,MATCH($C1221,Productos!$A$5:$A$504,0)),"Clave no existe"))</f>
        <v/>
      </c>
      <c r="E1221" s="14" t="str">
        <f>IF($C1221="","",IFERROR(INDEX(Productos!$D$5:$D$504,MATCH($C1221,Productos!$A$5:$A$504,0)),""))</f>
        <v/>
      </c>
      <c r="F1221" s="20"/>
      <c r="G1221" s="22" t="str">
        <f>IF($C1221="","",IFERROR(INDEX(Productos!$F$5:$F$504,MATCH($C1221,Productos!$A$5:$A$504,0)),0))</f>
        <v/>
      </c>
      <c r="H1221" s="22" t="str">
        <f t="shared" ref="H1221:H1284" si="19">IF(OR($C1221="",$F1221=""),"",F1221*G1221)</f>
        <v/>
      </c>
      <c r="I1221" s="14" t="str">
        <f>IF(OR($C1221="",$F1221=""),"",IFERROR(INDEX(Productos!$I$5:$I$504,MATCH($C1221,Productos!$A$5:$A$504,0)),0)+SUMIFS($F$5:$F1221,$C$5:$C1221,$C1221,$B$5:$B1221,"Entrada")-SUMIFS($F$5:$F1221,$C$5:$C1221,$C1221,$B$5:$B1221,"Salida"))</f>
        <v/>
      </c>
      <c r="J1221" s="20"/>
      <c r="K1221" s="20"/>
      <c r="L1221" s="20"/>
      <c r="M1221" s="14" t="str">
        <f>IF(AND($C1221&lt;&gt;"",$C1221=Kardex!$C$4),COUNTIF($C$5:$C1221,Kardex!$C$4),"")</f>
        <v/>
      </c>
    </row>
    <row r="1222" spans="1:13" x14ac:dyDescent="0.25">
      <c r="A1222" s="24"/>
      <c r="B1222" s="20"/>
      <c r="C1222" s="20"/>
      <c r="D1222" s="14" t="str">
        <f>IF($C1222="","",IFERROR(INDEX(Productos!$B$5:$B$504,MATCH($C1222,Productos!$A$5:$A$504,0)),"Clave no existe"))</f>
        <v/>
      </c>
      <c r="E1222" s="14" t="str">
        <f>IF($C1222="","",IFERROR(INDEX(Productos!$D$5:$D$504,MATCH($C1222,Productos!$A$5:$A$504,0)),""))</f>
        <v/>
      </c>
      <c r="F1222" s="20"/>
      <c r="G1222" s="22" t="str">
        <f>IF($C1222="","",IFERROR(INDEX(Productos!$F$5:$F$504,MATCH($C1222,Productos!$A$5:$A$504,0)),0))</f>
        <v/>
      </c>
      <c r="H1222" s="22" t="str">
        <f t="shared" si="19"/>
        <v/>
      </c>
      <c r="I1222" s="14" t="str">
        <f>IF(OR($C1222="",$F1222=""),"",IFERROR(INDEX(Productos!$I$5:$I$504,MATCH($C1222,Productos!$A$5:$A$504,0)),0)+SUMIFS($F$5:$F1222,$C$5:$C1222,$C1222,$B$5:$B1222,"Entrada")-SUMIFS($F$5:$F1222,$C$5:$C1222,$C1222,$B$5:$B1222,"Salida"))</f>
        <v/>
      </c>
      <c r="J1222" s="20"/>
      <c r="K1222" s="20"/>
      <c r="L1222" s="20"/>
      <c r="M1222" s="14" t="str">
        <f>IF(AND($C1222&lt;&gt;"",$C1222=Kardex!$C$4),COUNTIF($C$5:$C1222,Kardex!$C$4),"")</f>
        <v/>
      </c>
    </row>
    <row r="1223" spans="1:13" x14ac:dyDescent="0.25">
      <c r="A1223" s="24"/>
      <c r="B1223" s="20"/>
      <c r="C1223" s="20"/>
      <c r="D1223" s="14" t="str">
        <f>IF($C1223="","",IFERROR(INDEX(Productos!$B$5:$B$504,MATCH($C1223,Productos!$A$5:$A$504,0)),"Clave no existe"))</f>
        <v/>
      </c>
      <c r="E1223" s="14" t="str">
        <f>IF($C1223="","",IFERROR(INDEX(Productos!$D$5:$D$504,MATCH($C1223,Productos!$A$5:$A$504,0)),""))</f>
        <v/>
      </c>
      <c r="F1223" s="20"/>
      <c r="G1223" s="22" t="str">
        <f>IF($C1223="","",IFERROR(INDEX(Productos!$F$5:$F$504,MATCH($C1223,Productos!$A$5:$A$504,0)),0))</f>
        <v/>
      </c>
      <c r="H1223" s="22" t="str">
        <f t="shared" si="19"/>
        <v/>
      </c>
      <c r="I1223" s="14" t="str">
        <f>IF(OR($C1223="",$F1223=""),"",IFERROR(INDEX(Productos!$I$5:$I$504,MATCH($C1223,Productos!$A$5:$A$504,0)),0)+SUMIFS($F$5:$F1223,$C$5:$C1223,$C1223,$B$5:$B1223,"Entrada")-SUMIFS($F$5:$F1223,$C$5:$C1223,$C1223,$B$5:$B1223,"Salida"))</f>
        <v/>
      </c>
      <c r="J1223" s="20"/>
      <c r="K1223" s="20"/>
      <c r="L1223" s="20"/>
      <c r="M1223" s="14" t="str">
        <f>IF(AND($C1223&lt;&gt;"",$C1223=Kardex!$C$4),COUNTIF($C$5:$C1223,Kardex!$C$4),"")</f>
        <v/>
      </c>
    </row>
    <row r="1224" spans="1:13" x14ac:dyDescent="0.25">
      <c r="A1224" s="24"/>
      <c r="B1224" s="20"/>
      <c r="C1224" s="20"/>
      <c r="D1224" s="14" t="str">
        <f>IF($C1224="","",IFERROR(INDEX(Productos!$B$5:$B$504,MATCH($C1224,Productos!$A$5:$A$504,0)),"Clave no existe"))</f>
        <v/>
      </c>
      <c r="E1224" s="14" t="str">
        <f>IF($C1224="","",IFERROR(INDEX(Productos!$D$5:$D$504,MATCH($C1224,Productos!$A$5:$A$504,0)),""))</f>
        <v/>
      </c>
      <c r="F1224" s="20"/>
      <c r="G1224" s="22" t="str">
        <f>IF($C1224="","",IFERROR(INDEX(Productos!$F$5:$F$504,MATCH($C1224,Productos!$A$5:$A$504,0)),0))</f>
        <v/>
      </c>
      <c r="H1224" s="22" t="str">
        <f t="shared" si="19"/>
        <v/>
      </c>
      <c r="I1224" s="14" t="str">
        <f>IF(OR($C1224="",$F1224=""),"",IFERROR(INDEX(Productos!$I$5:$I$504,MATCH($C1224,Productos!$A$5:$A$504,0)),0)+SUMIFS($F$5:$F1224,$C$5:$C1224,$C1224,$B$5:$B1224,"Entrada")-SUMIFS($F$5:$F1224,$C$5:$C1224,$C1224,$B$5:$B1224,"Salida"))</f>
        <v/>
      </c>
      <c r="J1224" s="20"/>
      <c r="K1224" s="20"/>
      <c r="L1224" s="20"/>
      <c r="M1224" s="14" t="str">
        <f>IF(AND($C1224&lt;&gt;"",$C1224=Kardex!$C$4),COUNTIF($C$5:$C1224,Kardex!$C$4),"")</f>
        <v/>
      </c>
    </row>
    <row r="1225" spans="1:13" x14ac:dyDescent="0.25">
      <c r="A1225" s="24"/>
      <c r="B1225" s="20"/>
      <c r="C1225" s="20"/>
      <c r="D1225" s="14" t="str">
        <f>IF($C1225="","",IFERROR(INDEX(Productos!$B$5:$B$504,MATCH($C1225,Productos!$A$5:$A$504,0)),"Clave no existe"))</f>
        <v/>
      </c>
      <c r="E1225" s="14" t="str">
        <f>IF($C1225="","",IFERROR(INDEX(Productos!$D$5:$D$504,MATCH($C1225,Productos!$A$5:$A$504,0)),""))</f>
        <v/>
      </c>
      <c r="F1225" s="20"/>
      <c r="G1225" s="22" t="str">
        <f>IF($C1225="","",IFERROR(INDEX(Productos!$F$5:$F$504,MATCH($C1225,Productos!$A$5:$A$504,0)),0))</f>
        <v/>
      </c>
      <c r="H1225" s="22" t="str">
        <f t="shared" si="19"/>
        <v/>
      </c>
      <c r="I1225" s="14" t="str">
        <f>IF(OR($C1225="",$F1225=""),"",IFERROR(INDEX(Productos!$I$5:$I$504,MATCH($C1225,Productos!$A$5:$A$504,0)),0)+SUMIFS($F$5:$F1225,$C$5:$C1225,$C1225,$B$5:$B1225,"Entrada")-SUMIFS($F$5:$F1225,$C$5:$C1225,$C1225,$B$5:$B1225,"Salida"))</f>
        <v/>
      </c>
      <c r="J1225" s="20"/>
      <c r="K1225" s="20"/>
      <c r="L1225" s="20"/>
      <c r="M1225" s="14" t="str">
        <f>IF(AND($C1225&lt;&gt;"",$C1225=Kardex!$C$4),COUNTIF($C$5:$C1225,Kardex!$C$4),"")</f>
        <v/>
      </c>
    </row>
    <row r="1226" spans="1:13" x14ac:dyDescent="0.25">
      <c r="A1226" s="24"/>
      <c r="B1226" s="20"/>
      <c r="C1226" s="20"/>
      <c r="D1226" s="14" t="str">
        <f>IF($C1226="","",IFERROR(INDEX(Productos!$B$5:$B$504,MATCH($C1226,Productos!$A$5:$A$504,0)),"Clave no existe"))</f>
        <v/>
      </c>
      <c r="E1226" s="14" t="str">
        <f>IF($C1226="","",IFERROR(INDEX(Productos!$D$5:$D$504,MATCH($C1226,Productos!$A$5:$A$504,0)),""))</f>
        <v/>
      </c>
      <c r="F1226" s="20"/>
      <c r="G1226" s="22" t="str">
        <f>IF($C1226="","",IFERROR(INDEX(Productos!$F$5:$F$504,MATCH($C1226,Productos!$A$5:$A$504,0)),0))</f>
        <v/>
      </c>
      <c r="H1226" s="22" t="str">
        <f t="shared" si="19"/>
        <v/>
      </c>
      <c r="I1226" s="14" t="str">
        <f>IF(OR($C1226="",$F1226=""),"",IFERROR(INDEX(Productos!$I$5:$I$504,MATCH($C1226,Productos!$A$5:$A$504,0)),0)+SUMIFS($F$5:$F1226,$C$5:$C1226,$C1226,$B$5:$B1226,"Entrada")-SUMIFS($F$5:$F1226,$C$5:$C1226,$C1226,$B$5:$B1226,"Salida"))</f>
        <v/>
      </c>
      <c r="J1226" s="20"/>
      <c r="K1226" s="20"/>
      <c r="L1226" s="20"/>
      <c r="M1226" s="14" t="str">
        <f>IF(AND($C1226&lt;&gt;"",$C1226=Kardex!$C$4),COUNTIF($C$5:$C1226,Kardex!$C$4),"")</f>
        <v/>
      </c>
    </row>
    <row r="1227" spans="1:13" x14ac:dyDescent="0.25">
      <c r="A1227" s="24"/>
      <c r="B1227" s="20"/>
      <c r="C1227" s="20"/>
      <c r="D1227" s="14" t="str">
        <f>IF($C1227="","",IFERROR(INDEX(Productos!$B$5:$B$504,MATCH($C1227,Productos!$A$5:$A$504,0)),"Clave no existe"))</f>
        <v/>
      </c>
      <c r="E1227" s="14" t="str">
        <f>IF($C1227="","",IFERROR(INDEX(Productos!$D$5:$D$504,MATCH($C1227,Productos!$A$5:$A$504,0)),""))</f>
        <v/>
      </c>
      <c r="F1227" s="20"/>
      <c r="G1227" s="22" t="str">
        <f>IF($C1227="","",IFERROR(INDEX(Productos!$F$5:$F$504,MATCH($C1227,Productos!$A$5:$A$504,0)),0))</f>
        <v/>
      </c>
      <c r="H1227" s="22" t="str">
        <f t="shared" si="19"/>
        <v/>
      </c>
      <c r="I1227" s="14" t="str">
        <f>IF(OR($C1227="",$F1227=""),"",IFERROR(INDEX(Productos!$I$5:$I$504,MATCH($C1227,Productos!$A$5:$A$504,0)),0)+SUMIFS($F$5:$F1227,$C$5:$C1227,$C1227,$B$5:$B1227,"Entrada")-SUMIFS($F$5:$F1227,$C$5:$C1227,$C1227,$B$5:$B1227,"Salida"))</f>
        <v/>
      </c>
      <c r="J1227" s="20"/>
      <c r="K1227" s="20"/>
      <c r="L1227" s="20"/>
      <c r="M1227" s="14" t="str">
        <f>IF(AND($C1227&lt;&gt;"",$C1227=Kardex!$C$4),COUNTIF($C$5:$C1227,Kardex!$C$4),"")</f>
        <v/>
      </c>
    </row>
    <row r="1228" spans="1:13" x14ac:dyDescent="0.25">
      <c r="A1228" s="24"/>
      <c r="B1228" s="20"/>
      <c r="C1228" s="20"/>
      <c r="D1228" s="14" t="str">
        <f>IF($C1228="","",IFERROR(INDEX(Productos!$B$5:$B$504,MATCH($C1228,Productos!$A$5:$A$504,0)),"Clave no existe"))</f>
        <v/>
      </c>
      <c r="E1228" s="14" t="str">
        <f>IF($C1228="","",IFERROR(INDEX(Productos!$D$5:$D$504,MATCH($C1228,Productos!$A$5:$A$504,0)),""))</f>
        <v/>
      </c>
      <c r="F1228" s="20"/>
      <c r="G1228" s="22" t="str">
        <f>IF($C1228="","",IFERROR(INDEX(Productos!$F$5:$F$504,MATCH($C1228,Productos!$A$5:$A$504,0)),0))</f>
        <v/>
      </c>
      <c r="H1228" s="22" t="str">
        <f t="shared" si="19"/>
        <v/>
      </c>
      <c r="I1228" s="14" t="str">
        <f>IF(OR($C1228="",$F1228=""),"",IFERROR(INDEX(Productos!$I$5:$I$504,MATCH($C1228,Productos!$A$5:$A$504,0)),0)+SUMIFS($F$5:$F1228,$C$5:$C1228,$C1228,$B$5:$B1228,"Entrada")-SUMIFS($F$5:$F1228,$C$5:$C1228,$C1228,$B$5:$B1228,"Salida"))</f>
        <v/>
      </c>
      <c r="J1228" s="20"/>
      <c r="K1228" s="20"/>
      <c r="L1228" s="20"/>
      <c r="M1228" s="14" t="str">
        <f>IF(AND($C1228&lt;&gt;"",$C1228=Kardex!$C$4),COUNTIF($C$5:$C1228,Kardex!$C$4),"")</f>
        <v/>
      </c>
    </row>
    <row r="1229" spans="1:13" x14ac:dyDescent="0.25">
      <c r="A1229" s="24"/>
      <c r="B1229" s="20"/>
      <c r="C1229" s="20"/>
      <c r="D1229" s="14" t="str">
        <f>IF($C1229="","",IFERROR(INDEX(Productos!$B$5:$B$504,MATCH($C1229,Productos!$A$5:$A$504,0)),"Clave no existe"))</f>
        <v/>
      </c>
      <c r="E1229" s="14" t="str">
        <f>IF($C1229="","",IFERROR(INDEX(Productos!$D$5:$D$504,MATCH($C1229,Productos!$A$5:$A$504,0)),""))</f>
        <v/>
      </c>
      <c r="F1229" s="20"/>
      <c r="G1229" s="22" t="str">
        <f>IF($C1229="","",IFERROR(INDEX(Productos!$F$5:$F$504,MATCH($C1229,Productos!$A$5:$A$504,0)),0))</f>
        <v/>
      </c>
      <c r="H1229" s="22" t="str">
        <f t="shared" si="19"/>
        <v/>
      </c>
      <c r="I1229" s="14" t="str">
        <f>IF(OR($C1229="",$F1229=""),"",IFERROR(INDEX(Productos!$I$5:$I$504,MATCH($C1229,Productos!$A$5:$A$504,0)),0)+SUMIFS($F$5:$F1229,$C$5:$C1229,$C1229,$B$5:$B1229,"Entrada")-SUMIFS($F$5:$F1229,$C$5:$C1229,$C1229,$B$5:$B1229,"Salida"))</f>
        <v/>
      </c>
      <c r="J1229" s="20"/>
      <c r="K1229" s="20"/>
      <c r="L1229" s="20"/>
      <c r="M1229" s="14" t="str">
        <f>IF(AND($C1229&lt;&gt;"",$C1229=Kardex!$C$4),COUNTIF($C$5:$C1229,Kardex!$C$4),"")</f>
        <v/>
      </c>
    </row>
    <row r="1230" spans="1:13" x14ac:dyDescent="0.25">
      <c r="A1230" s="24"/>
      <c r="B1230" s="20"/>
      <c r="C1230" s="20"/>
      <c r="D1230" s="14" t="str">
        <f>IF($C1230="","",IFERROR(INDEX(Productos!$B$5:$B$504,MATCH($C1230,Productos!$A$5:$A$504,0)),"Clave no existe"))</f>
        <v/>
      </c>
      <c r="E1230" s="14" t="str">
        <f>IF($C1230="","",IFERROR(INDEX(Productos!$D$5:$D$504,MATCH($C1230,Productos!$A$5:$A$504,0)),""))</f>
        <v/>
      </c>
      <c r="F1230" s="20"/>
      <c r="G1230" s="22" t="str">
        <f>IF($C1230="","",IFERROR(INDEX(Productos!$F$5:$F$504,MATCH($C1230,Productos!$A$5:$A$504,0)),0))</f>
        <v/>
      </c>
      <c r="H1230" s="22" t="str">
        <f t="shared" si="19"/>
        <v/>
      </c>
      <c r="I1230" s="14" t="str">
        <f>IF(OR($C1230="",$F1230=""),"",IFERROR(INDEX(Productos!$I$5:$I$504,MATCH($C1230,Productos!$A$5:$A$504,0)),0)+SUMIFS($F$5:$F1230,$C$5:$C1230,$C1230,$B$5:$B1230,"Entrada")-SUMIFS($F$5:$F1230,$C$5:$C1230,$C1230,$B$5:$B1230,"Salida"))</f>
        <v/>
      </c>
      <c r="J1230" s="20"/>
      <c r="K1230" s="20"/>
      <c r="L1230" s="20"/>
      <c r="M1230" s="14" t="str">
        <f>IF(AND($C1230&lt;&gt;"",$C1230=Kardex!$C$4),COUNTIF($C$5:$C1230,Kardex!$C$4),"")</f>
        <v/>
      </c>
    </row>
    <row r="1231" spans="1:13" x14ac:dyDescent="0.25">
      <c r="A1231" s="24"/>
      <c r="B1231" s="20"/>
      <c r="C1231" s="20"/>
      <c r="D1231" s="14" t="str">
        <f>IF($C1231="","",IFERROR(INDEX(Productos!$B$5:$B$504,MATCH($C1231,Productos!$A$5:$A$504,0)),"Clave no existe"))</f>
        <v/>
      </c>
      <c r="E1231" s="14" t="str">
        <f>IF($C1231="","",IFERROR(INDEX(Productos!$D$5:$D$504,MATCH($C1231,Productos!$A$5:$A$504,0)),""))</f>
        <v/>
      </c>
      <c r="F1231" s="20"/>
      <c r="G1231" s="22" t="str">
        <f>IF($C1231="","",IFERROR(INDEX(Productos!$F$5:$F$504,MATCH($C1231,Productos!$A$5:$A$504,0)),0))</f>
        <v/>
      </c>
      <c r="H1231" s="22" t="str">
        <f t="shared" si="19"/>
        <v/>
      </c>
      <c r="I1231" s="14" t="str">
        <f>IF(OR($C1231="",$F1231=""),"",IFERROR(INDEX(Productos!$I$5:$I$504,MATCH($C1231,Productos!$A$5:$A$504,0)),0)+SUMIFS($F$5:$F1231,$C$5:$C1231,$C1231,$B$5:$B1231,"Entrada")-SUMIFS($F$5:$F1231,$C$5:$C1231,$C1231,$B$5:$B1231,"Salida"))</f>
        <v/>
      </c>
      <c r="J1231" s="20"/>
      <c r="K1231" s="20"/>
      <c r="L1231" s="20"/>
      <c r="M1231" s="14" t="str">
        <f>IF(AND($C1231&lt;&gt;"",$C1231=Kardex!$C$4),COUNTIF($C$5:$C1231,Kardex!$C$4),"")</f>
        <v/>
      </c>
    </row>
    <row r="1232" spans="1:13" x14ac:dyDescent="0.25">
      <c r="A1232" s="24"/>
      <c r="B1232" s="20"/>
      <c r="C1232" s="20"/>
      <c r="D1232" s="14" t="str">
        <f>IF($C1232="","",IFERROR(INDEX(Productos!$B$5:$B$504,MATCH($C1232,Productos!$A$5:$A$504,0)),"Clave no existe"))</f>
        <v/>
      </c>
      <c r="E1232" s="14" t="str">
        <f>IF($C1232="","",IFERROR(INDEX(Productos!$D$5:$D$504,MATCH($C1232,Productos!$A$5:$A$504,0)),""))</f>
        <v/>
      </c>
      <c r="F1232" s="20"/>
      <c r="G1232" s="22" t="str">
        <f>IF($C1232="","",IFERROR(INDEX(Productos!$F$5:$F$504,MATCH($C1232,Productos!$A$5:$A$504,0)),0))</f>
        <v/>
      </c>
      <c r="H1232" s="22" t="str">
        <f t="shared" si="19"/>
        <v/>
      </c>
      <c r="I1232" s="14" t="str">
        <f>IF(OR($C1232="",$F1232=""),"",IFERROR(INDEX(Productos!$I$5:$I$504,MATCH($C1232,Productos!$A$5:$A$504,0)),0)+SUMIFS($F$5:$F1232,$C$5:$C1232,$C1232,$B$5:$B1232,"Entrada")-SUMIFS($F$5:$F1232,$C$5:$C1232,$C1232,$B$5:$B1232,"Salida"))</f>
        <v/>
      </c>
      <c r="J1232" s="20"/>
      <c r="K1232" s="20"/>
      <c r="L1232" s="20"/>
      <c r="M1232" s="14" t="str">
        <f>IF(AND($C1232&lt;&gt;"",$C1232=Kardex!$C$4),COUNTIF($C$5:$C1232,Kardex!$C$4),"")</f>
        <v/>
      </c>
    </row>
    <row r="1233" spans="1:13" x14ac:dyDescent="0.25">
      <c r="A1233" s="24"/>
      <c r="B1233" s="20"/>
      <c r="C1233" s="20"/>
      <c r="D1233" s="14" t="str">
        <f>IF($C1233="","",IFERROR(INDEX(Productos!$B$5:$B$504,MATCH($C1233,Productos!$A$5:$A$504,0)),"Clave no existe"))</f>
        <v/>
      </c>
      <c r="E1233" s="14" t="str">
        <f>IF($C1233="","",IFERROR(INDEX(Productos!$D$5:$D$504,MATCH($C1233,Productos!$A$5:$A$504,0)),""))</f>
        <v/>
      </c>
      <c r="F1233" s="20"/>
      <c r="G1233" s="22" t="str">
        <f>IF($C1233="","",IFERROR(INDEX(Productos!$F$5:$F$504,MATCH($C1233,Productos!$A$5:$A$504,0)),0))</f>
        <v/>
      </c>
      <c r="H1233" s="22" t="str">
        <f t="shared" si="19"/>
        <v/>
      </c>
      <c r="I1233" s="14" t="str">
        <f>IF(OR($C1233="",$F1233=""),"",IFERROR(INDEX(Productos!$I$5:$I$504,MATCH($C1233,Productos!$A$5:$A$504,0)),0)+SUMIFS($F$5:$F1233,$C$5:$C1233,$C1233,$B$5:$B1233,"Entrada")-SUMIFS($F$5:$F1233,$C$5:$C1233,$C1233,$B$5:$B1233,"Salida"))</f>
        <v/>
      </c>
      <c r="J1233" s="20"/>
      <c r="K1233" s="20"/>
      <c r="L1233" s="20"/>
      <c r="M1233" s="14" t="str">
        <f>IF(AND($C1233&lt;&gt;"",$C1233=Kardex!$C$4),COUNTIF($C$5:$C1233,Kardex!$C$4),"")</f>
        <v/>
      </c>
    </row>
    <row r="1234" spans="1:13" x14ac:dyDescent="0.25">
      <c r="A1234" s="24"/>
      <c r="B1234" s="20"/>
      <c r="C1234" s="20"/>
      <c r="D1234" s="14" t="str">
        <f>IF($C1234="","",IFERROR(INDEX(Productos!$B$5:$B$504,MATCH($C1234,Productos!$A$5:$A$504,0)),"Clave no existe"))</f>
        <v/>
      </c>
      <c r="E1234" s="14" t="str">
        <f>IF($C1234="","",IFERROR(INDEX(Productos!$D$5:$D$504,MATCH($C1234,Productos!$A$5:$A$504,0)),""))</f>
        <v/>
      </c>
      <c r="F1234" s="20"/>
      <c r="G1234" s="22" t="str">
        <f>IF($C1234="","",IFERROR(INDEX(Productos!$F$5:$F$504,MATCH($C1234,Productos!$A$5:$A$504,0)),0))</f>
        <v/>
      </c>
      <c r="H1234" s="22" t="str">
        <f t="shared" si="19"/>
        <v/>
      </c>
      <c r="I1234" s="14" t="str">
        <f>IF(OR($C1234="",$F1234=""),"",IFERROR(INDEX(Productos!$I$5:$I$504,MATCH($C1234,Productos!$A$5:$A$504,0)),0)+SUMIFS($F$5:$F1234,$C$5:$C1234,$C1234,$B$5:$B1234,"Entrada")-SUMIFS($F$5:$F1234,$C$5:$C1234,$C1234,$B$5:$B1234,"Salida"))</f>
        <v/>
      </c>
      <c r="J1234" s="20"/>
      <c r="K1234" s="20"/>
      <c r="L1234" s="20"/>
      <c r="M1234" s="14" t="str">
        <f>IF(AND($C1234&lt;&gt;"",$C1234=Kardex!$C$4),COUNTIF($C$5:$C1234,Kardex!$C$4),"")</f>
        <v/>
      </c>
    </row>
    <row r="1235" spans="1:13" x14ac:dyDescent="0.25">
      <c r="A1235" s="24"/>
      <c r="B1235" s="20"/>
      <c r="C1235" s="20"/>
      <c r="D1235" s="14" t="str">
        <f>IF($C1235="","",IFERROR(INDEX(Productos!$B$5:$B$504,MATCH($C1235,Productos!$A$5:$A$504,0)),"Clave no existe"))</f>
        <v/>
      </c>
      <c r="E1235" s="14" t="str">
        <f>IF($C1235="","",IFERROR(INDEX(Productos!$D$5:$D$504,MATCH($C1235,Productos!$A$5:$A$504,0)),""))</f>
        <v/>
      </c>
      <c r="F1235" s="20"/>
      <c r="G1235" s="22" t="str">
        <f>IF($C1235="","",IFERROR(INDEX(Productos!$F$5:$F$504,MATCH($C1235,Productos!$A$5:$A$504,0)),0))</f>
        <v/>
      </c>
      <c r="H1235" s="22" t="str">
        <f t="shared" si="19"/>
        <v/>
      </c>
      <c r="I1235" s="14" t="str">
        <f>IF(OR($C1235="",$F1235=""),"",IFERROR(INDEX(Productos!$I$5:$I$504,MATCH($C1235,Productos!$A$5:$A$504,0)),0)+SUMIFS($F$5:$F1235,$C$5:$C1235,$C1235,$B$5:$B1235,"Entrada")-SUMIFS($F$5:$F1235,$C$5:$C1235,$C1235,$B$5:$B1235,"Salida"))</f>
        <v/>
      </c>
      <c r="J1235" s="20"/>
      <c r="K1235" s="20"/>
      <c r="L1235" s="20"/>
      <c r="M1235" s="14" t="str">
        <f>IF(AND($C1235&lt;&gt;"",$C1235=Kardex!$C$4),COUNTIF($C$5:$C1235,Kardex!$C$4),"")</f>
        <v/>
      </c>
    </row>
    <row r="1236" spans="1:13" x14ac:dyDescent="0.25">
      <c r="A1236" s="24"/>
      <c r="B1236" s="20"/>
      <c r="C1236" s="20"/>
      <c r="D1236" s="14" t="str">
        <f>IF($C1236="","",IFERROR(INDEX(Productos!$B$5:$B$504,MATCH($C1236,Productos!$A$5:$A$504,0)),"Clave no existe"))</f>
        <v/>
      </c>
      <c r="E1236" s="14" t="str">
        <f>IF($C1236="","",IFERROR(INDEX(Productos!$D$5:$D$504,MATCH($C1236,Productos!$A$5:$A$504,0)),""))</f>
        <v/>
      </c>
      <c r="F1236" s="20"/>
      <c r="G1236" s="22" t="str">
        <f>IF($C1236="","",IFERROR(INDEX(Productos!$F$5:$F$504,MATCH($C1236,Productos!$A$5:$A$504,0)),0))</f>
        <v/>
      </c>
      <c r="H1236" s="22" t="str">
        <f t="shared" si="19"/>
        <v/>
      </c>
      <c r="I1236" s="14" t="str">
        <f>IF(OR($C1236="",$F1236=""),"",IFERROR(INDEX(Productos!$I$5:$I$504,MATCH($C1236,Productos!$A$5:$A$504,0)),0)+SUMIFS($F$5:$F1236,$C$5:$C1236,$C1236,$B$5:$B1236,"Entrada")-SUMIFS($F$5:$F1236,$C$5:$C1236,$C1236,$B$5:$B1236,"Salida"))</f>
        <v/>
      </c>
      <c r="J1236" s="20"/>
      <c r="K1236" s="20"/>
      <c r="L1236" s="20"/>
      <c r="M1236" s="14" t="str">
        <f>IF(AND($C1236&lt;&gt;"",$C1236=Kardex!$C$4),COUNTIF($C$5:$C1236,Kardex!$C$4),"")</f>
        <v/>
      </c>
    </row>
    <row r="1237" spans="1:13" x14ac:dyDescent="0.25">
      <c r="A1237" s="24"/>
      <c r="B1237" s="20"/>
      <c r="C1237" s="20"/>
      <c r="D1237" s="14" t="str">
        <f>IF($C1237="","",IFERROR(INDEX(Productos!$B$5:$B$504,MATCH($C1237,Productos!$A$5:$A$504,0)),"Clave no existe"))</f>
        <v/>
      </c>
      <c r="E1237" s="14" t="str">
        <f>IF($C1237="","",IFERROR(INDEX(Productos!$D$5:$D$504,MATCH($C1237,Productos!$A$5:$A$504,0)),""))</f>
        <v/>
      </c>
      <c r="F1237" s="20"/>
      <c r="G1237" s="22" t="str">
        <f>IF($C1237="","",IFERROR(INDEX(Productos!$F$5:$F$504,MATCH($C1237,Productos!$A$5:$A$504,0)),0))</f>
        <v/>
      </c>
      <c r="H1237" s="22" t="str">
        <f t="shared" si="19"/>
        <v/>
      </c>
      <c r="I1237" s="14" t="str">
        <f>IF(OR($C1237="",$F1237=""),"",IFERROR(INDEX(Productos!$I$5:$I$504,MATCH($C1237,Productos!$A$5:$A$504,0)),0)+SUMIFS($F$5:$F1237,$C$5:$C1237,$C1237,$B$5:$B1237,"Entrada")-SUMIFS($F$5:$F1237,$C$5:$C1237,$C1237,$B$5:$B1237,"Salida"))</f>
        <v/>
      </c>
      <c r="J1237" s="20"/>
      <c r="K1237" s="20"/>
      <c r="L1237" s="20"/>
      <c r="M1237" s="14" t="str">
        <f>IF(AND($C1237&lt;&gt;"",$C1237=Kardex!$C$4),COUNTIF($C$5:$C1237,Kardex!$C$4),"")</f>
        <v/>
      </c>
    </row>
    <row r="1238" spans="1:13" x14ac:dyDescent="0.25">
      <c r="A1238" s="24"/>
      <c r="B1238" s="20"/>
      <c r="C1238" s="20"/>
      <c r="D1238" s="14" t="str">
        <f>IF($C1238="","",IFERROR(INDEX(Productos!$B$5:$B$504,MATCH($C1238,Productos!$A$5:$A$504,0)),"Clave no existe"))</f>
        <v/>
      </c>
      <c r="E1238" s="14" t="str">
        <f>IF($C1238="","",IFERROR(INDEX(Productos!$D$5:$D$504,MATCH($C1238,Productos!$A$5:$A$504,0)),""))</f>
        <v/>
      </c>
      <c r="F1238" s="20"/>
      <c r="G1238" s="22" t="str">
        <f>IF($C1238="","",IFERROR(INDEX(Productos!$F$5:$F$504,MATCH($C1238,Productos!$A$5:$A$504,0)),0))</f>
        <v/>
      </c>
      <c r="H1238" s="22" t="str">
        <f t="shared" si="19"/>
        <v/>
      </c>
      <c r="I1238" s="14" t="str">
        <f>IF(OR($C1238="",$F1238=""),"",IFERROR(INDEX(Productos!$I$5:$I$504,MATCH($C1238,Productos!$A$5:$A$504,0)),0)+SUMIFS($F$5:$F1238,$C$5:$C1238,$C1238,$B$5:$B1238,"Entrada")-SUMIFS($F$5:$F1238,$C$5:$C1238,$C1238,$B$5:$B1238,"Salida"))</f>
        <v/>
      </c>
      <c r="J1238" s="20"/>
      <c r="K1238" s="20"/>
      <c r="L1238" s="20"/>
      <c r="M1238" s="14" t="str">
        <f>IF(AND($C1238&lt;&gt;"",$C1238=Kardex!$C$4),COUNTIF($C$5:$C1238,Kardex!$C$4),"")</f>
        <v/>
      </c>
    </row>
    <row r="1239" spans="1:13" x14ac:dyDescent="0.25">
      <c r="A1239" s="24"/>
      <c r="B1239" s="20"/>
      <c r="C1239" s="20"/>
      <c r="D1239" s="14" t="str">
        <f>IF($C1239="","",IFERROR(INDEX(Productos!$B$5:$B$504,MATCH($C1239,Productos!$A$5:$A$504,0)),"Clave no existe"))</f>
        <v/>
      </c>
      <c r="E1239" s="14" t="str">
        <f>IF($C1239="","",IFERROR(INDEX(Productos!$D$5:$D$504,MATCH($C1239,Productos!$A$5:$A$504,0)),""))</f>
        <v/>
      </c>
      <c r="F1239" s="20"/>
      <c r="G1239" s="22" t="str">
        <f>IF($C1239="","",IFERROR(INDEX(Productos!$F$5:$F$504,MATCH($C1239,Productos!$A$5:$A$504,0)),0))</f>
        <v/>
      </c>
      <c r="H1239" s="22" t="str">
        <f t="shared" si="19"/>
        <v/>
      </c>
      <c r="I1239" s="14" t="str">
        <f>IF(OR($C1239="",$F1239=""),"",IFERROR(INDEX(Productos!$I$5:$I$504,MATCH($C1239,Productos!$A$5:$A$504,0)),0)+SUMIFS($F$5:$F1239,$C$5:$C1239,$C1239,$B$5:$B1239,"Entrada")-SUMIFS($F$5:$F1239,$C$5:$C1239,$C1239,$B$5:$B1239,"Salida"))</f>
        <v/>
      </c>
      <c r="J1239" s="20"/>
      <c r="K1239" s="20"/>
      <c r="L1239" s="20"/>
      <c r="M1239" s="14" t="str">
        <f>IF(AND($C1239&lt;&gt;"",$C1239=Kardex!$C$4),COUNTIF($C$5:$C1239,Kardex!$C$4),"")</f>
        <v/>
      </c>
    </row>
    <row r="1240" spans="1:13" x14ac:dyDescent="0.25">
      <c r="A1240" s="24"/>
      <c r="B1240" s="20"/>
      <c r="C1240" s="20"/>
      <c r="D1240" s="14" t="str">
        <f>IF($C1240="","",IFERROR(INDEX(Productos!$B$5:$B$504,MATCH($C1240,Productos!$A$5:$A$504,0)),"Clave no existe"))</f>
        <v/>
      </c>
      <c r="E1240" s="14" t="str">
        <f>IF($C1240="","",IFERROR(INDEX(Productos!$D$5:$D$504,MATCH($C1240,Productos!$A$5:$A$504,0)),""))</f>
        <v/>
      </c>
      <c r="F1240" s="20"/>
      <c r="G1240" s="22" t="str">
        <f>IF($C1240="","",IFERROR(INDEX(Productos!$F$5:$F$504,MATCH($C1240,Productos!$A$5:$A$504,0)),0))</f>
        <v/>
      </c>
      <c r="H1240" s="22" t="str">
        <f t="shared" si="19"/>
        <v/>
      </c>
      <c r="I1240" s="14" t="str">
        <f>IF(OR($C1240="",$F1240=""),"",IFERROR(INDEX(Productos!$I$5:$I$504,MATCH($C1240,Productos!$A$5:$A$504,0)),0)+SUMIFS($F$5:$F1240,$C$5:$C1240,$C1240,$B$5:$B1240,"Entrada")-SUMIFS($F$5:$F1240,$C$5:$C1240,$C1240,$B$5:$B1240,"Salida"))</f>
        <v/>
      </c>
      <c r="J1240" s="20"/>
      <c r="K1240" s="20"/>
      <c r="L1240" s="20"/>
      <c r="M1240" s="14" t="str">
        <f>IF(AND($C1240&lt;&gt;"",$C1240=Kardex!$C$4),COUNTIF($C$5:$C1240,Kardex!$C$4),"")</f>
        <v/>
      </c>
    </row>
    <row r="1241" spans="1:13" x14ac:dyDescent="0.25">
      <c r="A1241" s="24"/>
      <c r="B1241" s="20"/>
      <c r="C1241" s="20"/>
      <c r="D1241" s="14" t="str">
        <f>IF($C1241="","",IFERROR(INDEX(Productos!$B$5:$B$504,MATCH($C1241,Productos!$A$5:$A$504,0)),"Clave no existe"))</f>
        <v/>
      </c>
      <c r="E1241" s="14" t="str">
        <f>IF($C1241="","",IFERROR(INDEX(Productos!$D$5:$D$504,MATCH($C1241,Productos!$A$5:$A$504,0)),""))</f>
        <v/>
      </c>
      <c r="F1241" s="20"/>
      <c r="G1241" s="22" t="str">
        <f>IF($C1241="","",IFERROR(INDEX(Productos!$F$5:$F$504,MATCH($C1241,Productos!$A$5:$A$504,0)),0))</f>
        <v/>
      </c>
      <c r="H1241" s="22" t="str">
        <f t="shared" si="19"/>
        <v/>
      </c>
      <c r="I1241" s="14" t="str">
        <f>IF(OR($C1241="",$F1241=""),"",IFERROR(INDEX(Productos!$I$5:$I$504,MATCH($C1241,Productos!$A$5:$A$504,0)),0)+SUMIFS($F$5:$F1241,$C$5:$C1241,$C1241,$B$5:$B1241,"Entrada")-SUMIFS($F$5:$F1241,$C$5:$C1241,$C1241,$B$5:$B1241,"Salida"))</f>
        <v/>
      </c>
      <c r="J1241" s="20"/>
      <c r="K1241" s="20"/>
      <c r="L1241" s="20"/>
      <c r="M1241" s="14" t="str">
        <f>IF(AND($C1241&lt;&gt;"",$C1241=Kardex!$C$4),COUNTIF($C$5:$C1241,Kardex!$C$4),"")</f>
        <v/>
      </c>
    </row>
    <row r="1242" spans="1:13" x14ac:dyDescent="0.25">
      <c r="A1242" s="24"/>
      <c r="B1242" s="20"/>
      <c r="C1242" s="20"/>
      <c r="D1242" s="14" t="str">
        <f>IF($C1242="","",IFERROR(INDEX(Productos!$B$5:$B$504,MATCH($C1242,Productos!$A$5:$A$504,0)),"Clave no existe"))</f>
        <v/>
      </c>
      <c r="E1242" s="14" t="str">
        <f>IF($C1242="","",IFERROR(INDEX(Productos!$D$5:$D$504,MATCH($C1242,Productos!$A$5:$A$504,0)),""))</f>
        <v/>
      </c>
      <c r="F1242" s="20"/>
      <c r="G1242" s="22" t="str">
        <f>IF($C1242="","",IFERROR(INDEX(Productos!$F$5:$F$504,MATCH($C1242,Productos!$A$5:$A$504,0)),0))</f>
        <v/>
      </c>
      <c r="H1242" s="22" t="str">
        <f t="shared" si="19"/>
        <v/>
      </c>
      <c r="I1242" s="14" t="str">
        <f>IF(OR($C1242="",$F1242=""),"",IFERROR(INDEX(Productos!$I$5:$I$504,MATCH($C1242,Productos!$A$5:$A$504,0)),0)+SUMIFS($F$5:$F1242,$C$5:$C1242,$C1242,$B$5:$B1242,"Entrada")-SUMIFS($F$5:$F1242,$C$5:$C1242,$C1242,$B$5:$B1242,"Salida"))</f>
        <v/>
      </c>
      <c r="J1242" s="20"/>
      <c r="K1242" s="20"/>
      <c r="L1242" s="20"/>
      <c r="M1242" s="14" t="str">
        <f>IF(AND($C1242&lt;&gt;"",$C1242=Kardex!$C$4),COUNTIF($C$5:$C1242,Kardex!$C$4),"")</f>
        <v/>
      </c>
    </row>
    <row r="1243" spans="1:13" x14ac:dyDescent="0.25">
      <c r="A1243" s="24"/>
      <c r="B1243" s="20"/>
      <c r="C1243" s="20"/>
      <c r="D1243" s="14" t="str">
        <f>IF($C1243="","",IFERROR(INDEX(Productos!$B$5:$B$504,MATCH($C1243,Productos!$A$5:$A$504,0)),"Clave no existe"))</f>
        <v/>
      </c>
      <c r="E1243" s="14" t="str">
        <f>IF($C1243="","",IFERROR(INDEX(Productos!$D$5:$D$504,MATCH($C1243,Productos!$A$5:$A$504,0)),""))</f>
        <v/>
      </c>
      <c r="F1243" s="20"/>
      <c r="G1243" s="22" t="str">
        <f>IF($C1243="","",IFERROR(INDEX(Productos!$F$5:$F$504,MATCH($C1243,Productos!$A$5:$A$504,0)),0))</f>
        <v/>
      </c>
      <c r="H1243" s="22" t="str">
        <f t="shared" si="19"/>
        <v/>
      </c>
      <c r="I1243" s="14" t="str">
        <f>IF(OR($C1243="",$F1243=""),"",IFERROR(INDEX(Productos!$I$5:$I$504,MATCH($C1243,Productos!$A$5:$A$504,0)),0)+SUMIFS($F$5:$F1243,$C$5:$C1243,$C1243,$B$5:$B1243,"Entrada")-SUMIFS($F$5:$F1243,$C$5:$C1243,$C1243,$B$5:$B1243,"Salida"))</f>
        <v/>
      </c>
      <c r="J1243" s="20"/>
      <c r="K1243" s="20"/>
      <c r="L1243" s="20"/>
      <c r="M1243" s="14" t="str">
        <f>IF(AND($C1243&lt;&gt;"",$C1243=Kardex!$C$4),COUNTIF($C$5:$C1243,Kardex!$C$4),"")</f>
        <v/>
      </c>
    </row>
    <row r="1244" spans="1:13" x14ac:dyDescent="0.25">
      <c r="A1244" s="24"/>
      <c r="B1244" s="20"/>
      <c r="C1244" s="20"/>
      <c r="D1244" s="14" t="str">
        <f>IF($C1244="","",IFERROR(INDEX(Productos!$B$5:$B$504,MATCH($C1244,Productos!$A$5:$A$504,0)),"Clave no existe"))</f>
        <v/>
      </c>
      <c r="E1244" s="14" t="str">
        <f>IF($C1244="","",IFERROR(INDEX(Productos!$D$5:$D$504,MATCH($C1244,Productos!$A$5:$A$504,0)),""))</f>
        <v/>
      </c>
      <c r="F1244" s="20"/>
      <c r="G1244" s="22" t="str">
        <f>IF($C1244="","",IFERROR(INDEX(Productos!$F$5:$F$504,MATCH($C1244,Productos!$A$5:$A$504,0)),0))</f>
        <v/>
      </c>
      <c r="H1244" s="22" t="str">
        <f t="shared" si="19"/>
        <v/>
      </c>
      <c r="I1244" s="14" t="str">
        <f>IF(OR($C1244="",$F1244=""),"",IFERROR(INDEX(Productos!$I$5:$I$504,MATCH($C1244,Productos!$A$5:$A$504,0)),0)+SUMIFS($F$5:$F1244,$C$5:$C1244,$C1244,$B$5:$B1244,"Entrada")-SUMIFS($F$5:$F1244,$C$5:$C1244,$C1244,$B$5:$B1244,"Salida"))</f>
        <v/>
      </c>
      <c r="J1244" s="20"/>
      <c r="K1244" s="20"/>
      <c r="L1244" s="20"/>
      <c r="M1244" s="14" t="str">
        <f>IF(AND($C1244&lt;&gt;"",$C1244=Kardex!$C$4),COUNTIF($C$5:$C1244,Kardex!$C$4),"")</f>
        <v/>
      </c>
    </row>
    <row r="1245" spans="1:13" x14ac:dyDescent="0.25">
      <c r="A1245" s="24"/>
      <c r="B1245" s="20"/>
      <c r="C1245" s="20"/>
      <c r="D1245" s="14" t="str">
        <f>IF($C1245="","",IFERROR(INDEX(Productos!$B$5:$B$504,MATCH($C1245,Productos!$A$5:$A$504,0)),"Clave no existe"))</f>
        <v/>
      </c>
      <c r="E1245" s="14" t="str">
        <f>IF($C1245="","",IFERROR(INDEX(Productos!$D$5:$D$504,MATCH($C1245,Productos!$A$5:$A$504,0)),""))</f>
        <v/>
      </c>
      <c r="F1245" s="20"/>
      <c r="G1245" s="22" t="str">
        <f>IF($C1245="","",IFERROR(INDEX(Productos!$F$5:$F$504,MATCH($C1245,Productos!$A$5:$A$504,0)),0))</f>
        <v/>
      </c>
      <c r="H1245" s="22" t="str">
        <f t="shared" si="19"/>
        <v/>
      </c>
      <c r="I1245" s="14" t="str">
        <f>IF(OR($C1245="",$F1245=""),"",IFERROR(INDEX(Productos!$I$5:$I$504,MATCH($C1245,Productos!$A$5:$A$504,0)),0)+SUMIFS($F$5:$F1245,$C$5:$C1245,$C1245,$B$5:$B1245,"Entrada")-SUMIFS($F$5:$F1245,$C$5:$C1245,$C1245,$B$5:$B1245,"Salida"))</f>
        <v/>
      </c>
      <c r="J1245" s="20"/>
      <c r="K1245" s="20"/>
      <c r="L1245" s="20"/>
      <c r="M1245" s="14" t="str">
        <f>IF(AND($C1245&lt;&gt;"",$C1245=Kardex!$C$4),COUNTIF($C$5:$C1245,Kardex!$C$4),"")</f>
        <v/>
      </c>
    </row>
    <row r="1246" spans="1:13" x14ac:dyDescent="0.25">
      <c r="A1246" s="24"/>
      <c r="B1246" s="20"/>
      <c r="C1246" s="20"/>
      <c r="D1246" s="14" t="str">
        <f>IF($C1246="","",IFERROR(INDEX(Productos!$B$5:$B$504,MATCH($C1246,Productos!$A$5:$A$504,0)),"Clave no existe"))</f>
        <v/>
      </c>
      <c r="E1246" s="14" t="str">
        <f>IF($C1246="","",IFERROR(INDEX(Productos!$D$5:$D$504,MATCH($C1246,Productos!$A$5:$A$504,0)),""))</f>
        <v/>
      </c>
      <c r="F1246" s="20"/>
      <c r="G1246" s="22" t="str">
        <f>IF($C1246="","",IFERROR(INDEX(Productos!$F$5:$F$504,MATCH($C1246,Productos!$A$5:$A$504,0)),0))</f>
        <v/>
      </c>
      <c r="H1246" s="22" t="str">
        <f t="shared" si="19"/>
        <v/>
      </c>
      <c r="I1246" s="14" t="str">
        <f>IF(OR($C1246="",$F1246=""),"",IFERROR(INDEX(Productos!$I$5:$I$504,MATCH($C1246,Productos!$A$5:$A$504,0)),0)+SUMIFS($F$5:$F1246,$C$5:$C1246,$C1246,$B$5:$B1246,"Entrada")-SUMIFS($F$5:$F1246,$C$5:$C1246,$C1246,$B$5:$B1246,"Salida"))</f>
        <v/>
      </c>
      <c r="J1246" s="20"/>
      <c r="K1246" s="20"/>
      <c r="L1246" s="20"/>
      <c r="M1246" s="14" t="str">
        <f>IF(AND($C1246&lt;&gt;"",$C1246=Kardex!$C$4),COUNTIF($C$5:$C1246,Kardex!$C$4),"")</f>
        <v/>
      </c>
    </row>
    <row r="1247" spans="1:13" x14ac:dyDescent="0.25">
      <c r="A1247" s="24"/>
      <c r="B1247" s="20"/>
      <c r="C1247" s="20"/>
      <c r="D1247" s="14" t="str">
        <f>IF($C1247="","",IFERROR(INDEX(Productos!$B$5:$B$504,MATCH($C1247,Productos!$A$5:$A$504,0)),"Clave no existe"))</f>
        <v/>
      </c>
      <c r="E1247" s="14" t="str">
        <f>IF($C1247="","",IFERROR(INDEX(Productos!$D$5:$D$504,MATCH($C1247,Productos!$A$5:$A$504,0)),""))</f>
        <v/>
      </c>
      <c r="F1247" s="20"/>
      <c r="G1247" s="22" t="str">
        <f>IF($C1247="","",IFERROR(INDEX(Productos!$F$5:$F$504,MATCH($C1247,Productos!$A$5:$A$504,0)),0))</f>
        <v/>
      </c>
      <c r="H1247" s="22" t="str">
        <f t="shared" si="19"/>
        <v/>
      </c>
      <c r="I1247" s="14" t="str">
        <f>IF(OR($C1247="",$F1247=""),"",IFERROR(INDEX(Productos!$I$5:$I$504,MATCH($C1247,Productos!$A$5:$A$504,0)),0)+SUMIFS($F$5:$F1247,$C$5:$C1247,$C1247,$B$5:$B1247,"Entrada")-SUMIFS($F$5:$F1247,$C$5:$C1247,$C1247,$B$5:$B1247,"Salida"))</f>
        <v/>
      </c>
      <c r="J1247" s="20"/>
      <c r="K1247" s="20"/>
      <c r="L1247" s="20"/>
      <c r="M1247" s="14" t="str">
        <f>IF(AND($C1247&lt;&gt;"",$C1247=Kardex!$C$4),COUNTIF($C$5:$C1247,Kardex!$C$4),"")</f>
        <v/>
      </c>
    </row>
    <row r="1248" spans="1:13" x14ac:dyDescent="0.25">
      <c r="A1248" s="24"/>
      <c r="B1248" s="20"/>
      <c r="C1248" s="20"/>
      <c r="D1248" s="14" t="str">
        <f>IF($C1248="","",IFERROR(INDEX(Productos!$B$5:$B$504,MATCH($C1248,Productos!$A$5:$A$504,0)),"Clave no existe"))</f>
        <v/>
      </c>
      <c r="E1248" s="14" t="str">
        <f>IF($C1248="","",IFERROR(INDEX(Productos!$D$5:$D$504,MATCH($C1248,Productos!$A$5:$A$504,0)),""))</f>
        <v/>
      </c>
      <c r="F1248" s="20"/>
      <c r="G1248" s="22" t="str">
        <f>IF($C1248="","",IFERROR(INDEX(Productos!$F$5:$F$504,MATCH($C1248,Productos!$A$5:$A$504,0)),0))</f>
        <v/>
      </c>
      <c r="H1248" s="22" t="str">
        <f t="shared" si="19"/>
        <v/>
      </c>
      <c r="I1248" s="14" t="str">
        <f>IF(OR($C1248="",$F1248=""),"",IFERROR(INDEX(Productos!$I$5:$I$504,MATCH($C1248,Productos!$A$5:$A$504,0)),0)+SUMIFS($F$5:$F1248,$C$5:$C1248,$C1248,$B$5:$B1248,"Entrada")-SUMIFS($F$5:$F1248,$C$5:$C1248,$C1248,$B$5:$B1248,"Salida"))</f>
        <v/>
      </c>
      <c r="J1248" s="20"/>
      <c r="K1248" s="20"/>
      <c r="L1248" s="20"/>
      <c r="M1248" s="14" t="str">
        <f>IF(AND($C1248&lt;&gt;"",$C1248=Kardex!$C$4),COUNTIF($C$5:$C1248,Kardex!$C$4),"")</f>
        <v/>
      </c>
    </row>
    <row r="1249" spans="1:13" x14ac:dyDescent="0.25">
      <c r="A1249" s="24"/>
      <c r="B1249" s="20"/>
      <c r="C1249" s="20"/>
      <c r="D1249" s="14" t="str">
        <f>IF($C1249="","",IFERROR(INDEX(Productos!$B$5:$B$504,MATCH($C1249,Productos!$A$5:$A$504,0)),"Clave no existe"))</f>
        <v/>
      </c>
      <c r="E1249" s="14" t="str">
        <f>IF($C1249="","",IFERROR(INDEX(Productos!$D$5:$D$504,MATCH($C1249,Productos!$A$5:$A$504,0)),""))</f>
        <v/>
      </c>
      <c r="F1249" s="20"/>
      <c r="G1249" s="22" t="str">
        <f>IF($C1249="","",IFERROR(INDEX(Productos!$F$5:$F$504,MATCH($C1249,Productos!$A$5:$A$504,0)),0))</f>
        <v/>
      </c>
      <c r="H1249" s="22" t="str">
        <f t="shared" si="19"/>
        <v/>
      </c>
      <c r="I1249" s="14" t="str">
        <f>IF(OR($C1249="",$F1249=""),"",IFERROR(INDEX(Productos!$I$5:$I$504,MATCH($C1249,Productos!$A$5:$A$504,0)),0)+SUMIFS($F$5:$F1249,$C$5:$C1249,$C1249,$B$5:$B1249,"Entrada")-SUMIFS($F$5:$F1249,$C$5:$C1249,$C1249,$B$5:$B1249,"Salida"))</f>
        <v/>
      </c>
      <c r="J1249" s="20"/>
      <c r="K1249" s="20"/>
      <c r="L1249" s="20"/>
      <c r="M1249" s="14" t="str">
        <f>IF(AND($C1249&lt;&gt;"",$C1249=Kardex!$C$4),COUNTIF($C$5:$C1249,Kardex!$C$4),"")</f>
        <v/>
      </c>
    </row>
    <row r="1250" spans="1:13" x14ac:dyDescent="0.25">
      <c r="A1250" s="24"/>
      <c r="B1250" s="20"/>
      <c r="C1250" s="20"/>
      <c r="D1250" s="14" t="str">
        <f>IF($C1250="","",IFERROR(INDEX(Productos!$B$5:$B$504,MATCH($C1250,Productos!$A$5:$A$504,0)),"Clave no existe"))</f>
        <v/>
      </c>
      <c r="E1250" s="14" t="str">
        <f>IF($C1250="","",IFERROR(INDEX(Productos!$D$5:$D$504,MATCH($C1250,Productos!$A$5:$A$504,0)),""))</f>
        <v/>
      </c>
      <c r="F1250" s="20"/>
      <c r="G1250" s="22" t="str">
        <f>IF($C1250="","",IFERROR(INDEX(Productos!$F$5:$F$504,MATCH($C1250,Productos!$A$5:$A$504,0)),0))</f>
        <v/>
      </c>
      <c r="H1250" s="22" t="str">
        <f t="shared" si="19"/>
        <v/>
      </c>
      <c r="I1250" s="14" t="str">
        <f>IF(OR($C1250="",$F1250=""),"",IFERROR(INDEX(Productos!$I$5:$I$504,MATCH($C1250,Productos!$A$5:$A$504,0)),0)+SUMIFS($F$5:$F1250,$C$5:$C1250,$C1250,$B$5:$B1250,"Entrada")-SUMIFS($F$5:$F1250,$C$5:$C1250,$C1250,$B$5:$B1250,"Salida"))</f>
        <v/>
      </c>
      <c r="J1250" s="20"/>
      <c r="K1250" s="20"/>
      <c r="L1250" s="20"/>
      <c r="M1250" s="14" t="str">
        <f>IF(AND($C1250&lt;&gt;"",$C1250=Kardex!$C$4),COUNTIF($C$5:$C1250,Kardex!$C$4),"")</f>
        <v/>
      </c>
    </row>
    <row r="1251" spans="1:13" x14ac:dyDescent="0.25">
      <c r="A1251" s="24"/>
      <c r="B1251" s="20"/>
      <c r="C1251" s="20"/>
      <c r="D1251" s="14" t="str">
        <f>IF($C1251="","",IFERROR(INDEX(Productos!$B$5:$B$504,MATCH($C1251,Productos!$A$5:$A$504,0)),"Clave no existe"))</f>
        <v/>
      </c>
      <c r="E1251" s="14" t="str">
        <f>IF($C1251="","",IFERROR(INDEX(Productos!$D$5:$D$504,MATCH($C1251,Productos!$A$5:$A$504,0)),""))</f>
        <v/>
      </c>
      <c r="F1251" s="20"/>
      <c r="G1251" s="22" t="str">
        <f>IF($C1251="","",IFERROR(INDEX(Productos!$F$5:$F$504,MATCH($C1251,Productos!$A$5:$A$504,0)),0))</f>
        <v/>
      </c>
      <c r="H1251" s="22" t="str">
        <f t="shared" si="19"/>
        <v/>
      </c>
      <c r="I1251" s="14" t="str">
        <f>IF(OR($C1251="",$F1251=""),"",IFERROR(INDEX(Productos!$I$5:$I$504,MATCH($C1251,Productos!$A$5:$A$504,0)),0)+SUMIFS($F$5:$F1251,$C$5:$C1251,$C1251,$B$5:$B1251,"Entrada")-SUMIFS($F$5:$F1251,$C$5:$C1251,$C1251,$B$5:$B1251,"Salida"))</f>
        <v/>
      </c>
      <c r="J1251" s="20"/>
      <c r="K1251" s="20"/>
      <c r="L1251" s="20"/>
      <c r="M1251" s="14" t="str">
        <f>IF(AND($C1251&lt;&gt;"",$C1251=Kardex!$C$4),COUNTIF($C$5:$C1251,Kardex!$C$4),"")</f>
        <v/>
      </c>
    </row>
    <row r="1252" spans="1:13" x14ac:dyDescent="0.25">
      <c r="A1252" s="24"/>
      <c r="B1252" s="20"/>
      <c r="C1252" s="20"/>
      <c r="D1252" s="14" t="str">
        <f>IF($C1252="","",IFERROR(INDEX(Productos!$B$5:$B$504,MATCH($C1252,Productos!$A$5:$A$504,0)),"Clave no existe"))</f>
        <v/>
      </c>
      <c r="E1252" s="14" t="str">
        <f>IF($C1252="","",IFERROR(INDEX(Productos!$D$5:$D$504,MATCH($C1252,Productos!$A$5:$A$504,0)),""))</f>
        <v/>
      </c>
      <c r="F1252" s="20"/>
      <c r="G1252" s="22" t="str">
        <f>IF($C1252="","",IFERROR(INDEX(Productos!$F$5:$F$504,MATCH($C1252,Productos!$A$5:$A$504,0)),0))</f>
        <v/>
      </c>
      <c r="H1252" s="22" t="str">
        <f t="shared" si="19"/>
        <v/>
      </c>
      <c r="I1252" s="14" t="str">
        <f>IF(OR($C1252="",$F1252=""),"",IFERROR(INDEX(Productos!$I$5:$I$504,MATCH($C1252,Productos!$A$5:$A$504,0)),0)+SUMIFS($F$5:$F1252,$C$5:$C1252,$C1252,$B$5:$B1252,"Entrada")-SUMIFS($F$5:$F1252,$C$5:$C1252,$C1252,$B$5:$B1252,"Salida"))</f>
        <v/>
      </c>
      <c r="J1252" s="20"/>
      <c r="K1252" s="20"/>
      <c r="L1252" s="20"/>
      <c r="M1252" s="14" t="str">
        <f>IF(AND($C1252&lt;&gt;"",$C1252=Kardex!$C$4),COUNTIF($C$5:$C1252,Kardex!$C$4),"")</f>
        <v/>
      </c>
    </row>
    <row r="1253" spans="1:13" x14ac:dyDescent="0.25">
      <c r="A1253" s="24"/>
      <c r="B1253" s="20"/>
      <c r="C1253" s="20"/>
      <c r="D1253" s="14" t="str">
        <f>IF($C1253="","",IFERROR(INDEX(Productos!$B$5:$B$504,MATCH($C1253,Productos!$A$5:$A$504,0)),"Clave no existe"))</f>
        <v/>
      </c>
      <c r="E1253" s="14" t="str">
        <f>IF($C1253="","",IFERROR(INDEX(Productos!$D$5:$D$504,MATCH($C1253,Productos!$A$5:$A$504,0)),""))</f>
        <v/>
      </c>
      <c r="F1253" s="20"/>
      <c r="G1253" s="22" t="str">
        <f>IF($C1253="","",IFERROR(INDEX(Productos!$F$5:$F$504,MATCH($C1253,Productos!$A$5:$A$504,0)),0))</f>
        <v/>
      </c>
      <c r="H1253" s="22" t="str">
        <f t="shared" si="19"/>
        <v/>
      </c>
      <c r="I1253" s="14" t="str">
        <f>IF(OR($C1253="",$F1253=""),"",IFERROR(INDEX(Productos!$I$5:$I$504,MATCH($C1253,Productos!$A$5:$A$504,0)),0)+SUMIFS($F$5:$F1253,$C$5:$C1253,$C1253,$B$5:$B1253,"Entrada")-SUMIFS($F$5:$F1253,$C$5:$C1253,$C1253,$B$5:$B1253,"Salida"))</f>
        <v/>
      </c>
      <c r="J1253" s="20"/>
      <c r="K1253" s="20"/>
      <c r="L1253" s="20"/>
      <c r="M1253" s="14" t="str">
        <f>IF(AND($C1253&lt;&gt;"",$C1253=Kardex!$C$4),COUNTIF($C$5:$C1253,Kardex!$C$4),"")</f>
        <v/>
      </c>
    </row>
    <row r="1254" spans="1:13" x14ac:dyDescent="0.25">
      <c r="A1254" s="24"/>
      <c r="B1254" s="20"/>
      <c r="C1254" s="20"/>
      <c r="D1254" s="14" t="str">
        <f>IF($C1254="","",IFERROR(INDEX(Productos!$B$5:$B$504,MATCH($C1254,Productos!$A$5:$A$504,0)),"Clave no existe"))</f>
        <v/>
      </c>
      <c r="E1254" s="14" t="str">
        <f>IF($C1254="","",IFERROR(INDEX(Productos!$D$5:$D$504,MATCH($C1254,Productos!$A$5:$A$504,0)),""))</f>
        <v/>
      </c>
      <c r="F1254" s="20"/>
      <c r="G1254" s="22" t="str">
        <f>IF($C1254="","",IFERROR(INDEX(Productos!$F$5:$F$504,MATCH($C1254,Productos!$A$5:$A$504,0)),0))</f>
        <v/>
      </c>
      <c r="H1254" s="22" t="str">
        <f t="shared" si="19"/>
        <v/>
      </c>
      <c r="I1254" s="14" t="str">
        <f>IF(OR($C1254="",$F1254=""),"",IFERROR(INDEX(Productos!$I$5:$I$504,MATCH($C1254,Productos!$A$5:$A$504,0)),0)+SUMIFS($F$5:$F1254,$C$5:$C1254,$C1254,$B$5:$B1254,"Entrada")-SUMIFS($F$5:$F1254,$C$5:$C1254,$C1254,$B$5:$B1254,"Salida"))</f>
        <v/>
      </c>
      <c r="J1254" s="20"/>
      <c r="K1254" s="20"/>
      <c r="L1254" s="20"/>
      <c r="M1254" s="14" t="str">
        <f>IF(AND($C1254&lt;&gt;"",$C1254=Kardex!$C$4),COUNTIF($C$5:$C1254,Kardex!$C$4),"")</f>
        <v/>
      </c>
    </row>
    <row r="1255" spans="1:13" x14ac:dyDescent="0.25">
      <c r="A1255" s="24"/>
      <c r="B1255" s="20"/>
      <c r="C1255" s="20"/>
      <c r="D1255" s="14" t="str">
        <f>IF($C1255="","",IFERROR(INDEX(Productos!$B$5:$B$504,MATCH($C1255,Productos!$A$5:$A$504,0)),"Clave no existe"))</f>
        <v/>
      </c>
      <c r="E1255" s="14" t="str">
        <f>IF($C1255="","",IFERROR(INDEX(Productos!$D$5:$D$504,MATCH($C1255,Productos!$A$5:$A$504,0)),""))</f>
        <v/>
      </c>
      <c r="F1255" s="20"/>
      <c r="G1255" s="22" t="str">
        <f>IF($C1255="","",IFERROR(INDEX(Productos!$F$5:$F$504,MATCH($C1255,Productos!$A$5:$A$504,0)),0))</f>
        <v/>
      </c>
      <c r="H1255" s="22" t="str">
        <f t="shared" si="19"/>
        <v/>
      </c>
      <c r="I1255" s="14" t="str">
        <f>IF(OR($C1255="",$F1255=""),"",IFERROR(INDEX(Productos!$I$5:$I$504,MATCH($C1255,Productos!$A$5:$A$504,0)),0)+SUMIFS($F$5:$F1255,$C$5:$C1255,$C1255,$B$5:$B1255,"Entrada")-SUMIFS($F$5:$F1255,$C$5:$C1255,$C1255,$B$5:$B1255,"Salida"))</f>
        <v/>
      </c>
      <c r="J1255" s="20"/>
      <c r="K1255" s="20"/>
      <c r="L1255" s="20"/>
      <c r="M1255" s="14" t="str">
        <f>IF(AND($C1255&lt;&gt;"",$C1255=Kardex!$C$4),COUNTIF($C$5:$C1255,Kardex!$C$4),"")</f>
        <v/>
      </c>
    </row>
    <row r="1256" spans="1:13" x14ac:dyDescent="0.25">
      <c r="A1256" s="24"/>
      <c r="B1256" s="20"/>
      <c r="C1256" s="20"/>
      <c r="D1256" s="14" t="str">
        <f>IF($C1256="","",IFERROR(INDEX(Productos!$B$5:$B$504,MATCH($C1256,Productos!$A$5:$A$504,0)),"Clave no existe"))</f>
        <v/>
      </c>
      <c r="E1256" s="14" t="str">
        <f>IF($C1256="","",IFERROR(INDEX(Productos!$D$5:$D$504,MATCH($C1256,Productos!$A$5:$A$504,0)),""))</f>
        <v/>
      </c>
      <c r="F1256" s="20"/>
      <c r="G1256" s="22" t="str">
        <f>IF($C1256="","",IFERROR(INDEX(Productos!$F$5:$F$504,MATCH($C1256,Productos!$A$5:$A$504,0)),0))</f>
        <v/>
      </c>
      <c r="H1256" s="22" t="str">
        <f t="shared" si="19"/>
        <v/>
      </c>
      <c r="I1256" s="14" t="str">
        <f>IF(OR($C1256="",$F1256=""),"",IFERROR(INDEX(Productos!$I$5:$I$504,MATCH($C1256,Productos!$A$5:$A$504,0)),0)+SUMIFS($F$5:$F1256,$C$5:$C1256,$C1256,$B$5:$B1256,"Entrada")-SUMIFS($F$5:$F1256,$C$5:$C1256,$C1256,$B$5:$B1256,"Salida"))</f>
        <v/>
      </c>
      <c r="J1256" s="20"/>
      <c r="K1256" s="20"/>
      <c r="L1256" s="20"/>
      <c r="M1256" s="14" t="str">
        <f>IF(AND($C1256&lt;&gt;"",$C1256=Kardex!$C$4),COUNTIF($C$5:$C1256,Kardex!$C$4),"")</f>
        <v/>
      </c>
    </row>
    <row r="1257" spans="1:13" x14ac:dyDescent="0.25">
      <c r="A1257" s="24"/>
      <c r="B1257" s="20"/>
      <c r="C1257" s="20"/>
      <c r="D1257" s="14" t="str">
        <f>IF($C1257="","",IFERROR(INDEX(Productos!$B$5:$B$504,MATCH($C1257,Productos!$A$5:$A$504,0)),"Clave no existe"))</f>
        <v/>
      </c>
      <c r="E1257" s="14" t="str">
        <f>IF($C1257="","",IFERROR(INDEX(Productos!$D$5:$D$504,MATCH($C1257,Productos!$A$5:$A$504,0)),""))</f>
        <v/>
      </c>
      <c r="F1257" s="20"/>
      <c r="G1257" s="22" t="str">
        <f>IF($C1257="","",IFERROR(INDEX(Productos!$F$5:$F$504,MATCH($C1257,Productos!$A$5:$A$504,0)),0))</f>
        <v/>
      </c>
      <c r="H1257" s="22" t="str">
        <f t="shared" si="19"/>
        <v/>
      </c>
      <c r="I1257" s="14" t="str">
        <f>IF(OR($C1257="",$F1257=""),"",IFERROR(INDEX(Productos!$I$5:$I$504,MATCH($C1257,Productos!$A$5:$A$504,0)),0)+SUMIFS($F$5:$F1257,$C$5:$C1257,$C1257,$B$5:$B1257,"Entrada")-SUMIFS($F$5:$F1257,$C$5:$C1257,$C1257,$B$5:$B1257,"Salida"))</f>
        <v/>
      </c>
      <c r="J1257" s="20"/>
      <c r="K1257" s="20"/>
      <c r="L1257" s="20"/>
      <c r="M1257" s="14" t="str">
        <f>IF(AND($C1257&lt;&gt;"",$C1257=Kardex!$C$4),COUNTIF($C$5:$C1257,Kardex!$C$4),"")</f>
        <v/>
      </c>
    </row>
    <row r="1258" spans="1:13" x14ac:dyDescent="0.25">
      <c r="A1258" s="24"/>
      <c r="B1258" s="20"/>
      <c r="C1258" s="20"/>
      <c r="D1258" s="14" t="str">
        <f>IF($C1258="","",IFERROR(INDEX(Productos!$B$5:$B$504,MATCH($C1258,Productos!$A$5:$A$504,0)),"Clave no existe"))</f>
        <v/>
      </c>
      <c r="E1258" s="14" t="str">
        <f>IF($C1258="","",IFERROR(INDEX(Productos!$D$5:$D$504,MATCH($C1258,Productos!$A$5:$A$504,0)),""))</f>
        <v/>
      </c>
      <c r="F1258" s="20"/>
      <c r="G1258" s="22" t="str">
        <f>IF($C1258="","",IFERROR(INDEX(Productos!$F$5:$F$504,MATCH($C1258,Productos!$A$5:$A$504,0)),0))</f>
        <v/>
      </c>
      <c r="H1258" s="22" t="str">
        <f t="shared" si="19"/>
        <v/>
      </c>
      <c r="I1258" s="14" t="str">
        <f>IF(OR($C1258="",$F1258=""),"",IFERROR(INDEX(Productos!$I$5:$I$504,MATCH($C1258,Productos!$A$5:$A$504,0)),0)+SUMIFS($F$5:$F1258,$C$5:$C1258,$C1258,$B$5:$B1258,"Entrada")-SUMIFS($F$5:$F1258,$C$5:$C1258,$C1258,$B$5:$B1258,"Salida"))</f>
        <v/>
      </c>
      <c r="J1258" s="20"/>
      <c r="K1258" s="20"/>
      <c r="L1258" s="20"/>
      <c r="M1258" s="14" t="str">
        <f>IF(AND($C1258&lt;&gt;"",$C1258=Kardex!$C$4),COUNTIF($C$5:$C1258,Kardex!$C$4),"")</f>
        <v/>
      </c>
    </row>
    <row r="1259" spans="1:13" x14ac:dyDescent="0.25">
      <c r="A1259" s="24"/>
      <c r="B1259" s="20"/>
      <c r="C1259" s="20"/>
      <c r="D1259" s="14" t="str">
        <f>IF($C1259="","",IFERROR(INDEX(Productos!$B$5:$B$504,MATCH($C1259,Productos!$A$5:$A$504,0)),"Clave no existe"))</f>
        <v/>
      </c>
      <c r="E1259" s="14" t="str">
        <f>IF($C1259="","",IFERROR(INDEX(Productos!$D$5:$D$504,MATCH($C1259,Productos!$A$5:$A$504,0)),""))</f>
        <v/>
      </c>
      <c r="F1259" s="20"/>
      <c r="G1259" s="22" t="str">
        <f>IF($C1259="","",IFERROR(INDEX(Productos!$F$5:$F$504,MATCH($C1259,Productos!$A$5:$A$504,0)),0))</f>
        <v/>
      </c>
      <c r="H1259" s="22" t="str">
        <f t="shared" si="19"/>
        <v/>
      </c>
      <c r="I1259" s="14" t="str">
        <f>IF(OR($C1259="",$F1259=""),"",IFERROR(INDEX(Productos!$I$5:$I$504,MATCH($C1259,Productos!$A$5:$A$504,0)),0)+SUMIFS($F$5:$F1259,$C$5:$C1259,$C1259,$B$5:$B1259,"Entrada")-SUMIFS($F$5:$F1259,$C$5:$C1259,$C1259,$B$5:$B1259,"Salida"))</f>
        <v/>
      </c>
      <c r="J1259" s="20"/>
      <c r="K1259" s="20"/>
      <c r="L1259" s="20"/>
      <c r="M1259" s="14" t="str">
        <f>IF(AND($C1259&lt;&gt;"",$C1259=Kardex!$C$4),COUNTIF($C$5:$C1259,Kardex!$C$4),"")</f>
        <v/>
      </c>
    </row>
    <row r="1260" spans="1:13" x14ac:dyDescent="0.25">
      <c r="A1260" s="24"/>
      <c r="B1260" s="20"/>
      <c r="C1260" s="20"/>
      <c r="D1260" s="14" t="str">
        <f>IF($C1260="","",IFERROR(INDEX(Productos!$B$5:$B$504,MATCH($C1260,Productos!$A$5:$A$504,0)),"Clave no existe"))</f>
        <v/>
      </c>
      <c r="E1260" s="14" t="str">
        <f>IF($C1260="","",IFERROR(INDEX(Productos!$D$5:$D$504,MATCH($C1260,Productos!$A$5:$A$504,0)),""))</f>
        <v/>
      </c>
      <c r="F1260" s="20"/>
      <c r="G1260" s="22" t="str">
        <f>IF($C1260="","",IFERROR(INDEX(Productos!$F$5:$F$504,MATCH($C1260,Productos!$A$5:$A$504,0)),0))</f>
        <v/>
      </c>
      <c r="H1260" s="22" t="str">
        <f t="shared" si="19"/>
        <v/>
      </c>
      <c r="I1260" s="14" t="str">
        <f>IF(OR($C1260="",$F1260=""),"",IFERROR(INDEX(Productos!$I$5:$I$504,MATCH($C1260,Productos!$A$5:$A$504,0)),0)+SUMIFS($F$5:$F1260,$C$5:$C1260,$C1260,$B$5:$B1260,"Entrada")-SUMIFS($F$5:$F1260,$C$5:$C1260,$C1260,$B$5:$B1260,"Salida"))</f>
        <v/>
      </c>
      <c r="J1260" s="20"/>
      <c r="K1260" s="20"/>
      <c r="L1260" s="20"/>
      <c r="M1260" s="14" t="str">
        <f>IF(AND($C1260&lt;&gt;"",$C1260=Kardex!$C$4),COUNTIF($C$5:$C1260,Kardex!$C$4),"")</f>
        <v/>
      </c>
    </row>
    <row r="1261" spans="1:13" x14ac:dyDescent="0.25">
      <c r="A1261" s="24"/>
      <c r="B1261" s="20"/>
      <c r="C1261" s="20"/>
      <c r="D1261" s="14" t="str">
        <f>IF($C1261="","",IFERROR(INDEX(Productos!$B$5:$B$504,MATCH($C1261,Productos!$A$5:$A$504,0)),"Clave no existe"))</f>
        <v/>
      </c>
      <c r="E1261" s="14" t="str">
        <f>IF($C1261="","",IFERROR(INDEX(Productos!$D$5:$D$504,MATCH($C1261,Productos!$A$5:$A$504,0)),""))</f>
        <v/>
      </c>
      <c r="F1261" s="20"/>
      <c r="G1261" s="22" t="str">
        <f>IF($C1261="","",IFERROR(INDEX(Productos!$F$5:$F$504,MATCH($C1261,Productos!$A$5:$A$504,0)),0))</f>
        <v/>
      </c>
      <c r="H1261" s="22" t="str">
        <f t="shared" si="19"/>
        <v/>
      </c>
      <c r="I1261" s="14" t="str">
        <f>IF(OR($C1261="",$F1261=""),"",IFERROR(INDEX(Productos!$I$5:$I$504,MATCH($C1261,Productos!$A$5:$A$504,0)),0)+SUMIFS($F$5:$F1261,$C$5:$C1261,$C1261,$B$5:$B1261,"Entrada")-SUMIFS($F$5:$F1261,$C$5:$C1261,$C1261,$B$5:$B1261,"Salida"))</f>
        <v/>
      </c>
      <c r="J1261" s="20"/>
      <c r="K1261" s="20"/>
      <c r="L1261" s="20"/>
      <c r="M1261" s="14" t="str">
        <f>IF(AND($C1261&lt;&gt;"",$C1261=Kardex!$C$4),COUNTIF($C$5:$C1261,Kardex!$C$4),"")</f>
        <v/>
      </c>
    </row>
    <row r="1262" spans="1:13" x14ac:dyDescent="0.25">
      <c r="A1262" s="24"/>
      <c r="B1262" s="20"/>
      <c r="C1262" s="20"/>
      <c r="D1262" s="14" t="str">
        <f>IF($C1262="","",IFERROR(INDEX(Productos!$B$5:$B$504,MATCH($C1262,Productos!$A$5:$A$504,0)),"Clave no existe"))</f>
        <v/>
      </c>
      <c r="E1262" s="14" t="str">
        <f>IF($C1262="","",IFERROR(INDEX(Productos!$D$5:$D$504,MATCH($C1262,Productos!$A$5:$A$504,0)),""))</f>
        <v/>
      </c>
      <c r="F1262" s="20"/>
      <c r="G1262" s="22" t="str">
        <f>IF($C1262="","",IFERROR(INDEX(Productos!$F$5:$F$504,MATCH($C1262,Productos!$A$5:$A$504,0)),0))</f>
        <v/>
      </c>
      <c r="H1262" s="22" t="str">
        <f t="shared" si="19"/>
        <v/>
      </c>
      <c r="I1262" s="14" t="str">
        <f>IF(OR($C1262="",$F1262=""),"",IFERROR(INDEX(Productos!$I$5:$I$504,MATCH($C1262,Productos!$A$5:$A$504,0)),0)+SUMIFS($F$5:$F1262,$C$5:$C1262,$C1262,$B$5:$B1262,"Entrada")-SUMIFS($F$5:$F1262,$C$5:$C1262,$C1262,$B$5:$B1262,"Salida"))</f>
        <v/>
      </c>
      <c r="J1262" s="20"/>
      <c r="K1262" s="20"/>
      <c r="L1262" s="20"/>
      <c r="M1262" s="14" t="str">
        <f>IF(AND($C1262&lt;&gt;"",$C1262=Kardex!$C$4),COUNTIF($C$5:$C1262,Kardex!$C$4),"")</f>
        <v/>
      </c>
    </row>
    <row r="1263" spans="1:13" x14ac:dyDescent="0.25">
      <c r="A1263" s="24"/>
      <c r="B1263" s="20"/>
      <c r="C1263" s="20"/>
      <c r="D1263" s="14" t="str">
        <f>IF($C1263="","",IFERROR(INDEX(Productos!$B$5:$B$504,MATCH($C1263,Productos!$A$5:$A$504,0)),"Clave no existe"))</f>
        <v/>
      </c>
      <c r="E1263" s="14" t="str">
        <f>IF($C1263="","",IFERROR(INDEX(Productos!$D$5:$D$504,MATCH($C1263,Productos!$A$5:$A$504,0)),""))</f>
        <v/>
      </c>
      <c r="F1263" s="20"/>
      <c r="G1263" s="22" t="str">
        <f>IF($C1263="","",IFERROR(INDEX(Productos!$F$5:$F$504,MATCH($C1263,Productos!$A$5:$A$504,0)),0))</f>
        <v/>
      </c>
      <c r="H1263" s="22" t="str">
        <f t="shared" si="19"/>
        <v/>
      </c>
      <c r="I1263" s="14" t="str">
        <f>IF(OR($C1263="",$F1263=""),"",IFERROR(INDEX(Productos!$I$5:$I$504,MATCH($C1263,Productos!$A$5:$A$504,0)),0)+SUMIFS($F$5:$F1263,$C$5:$C1263,$C1263,$B$5:$B1263,"Entrada")-SUMIFS($F$5:$F1263,$C$5:$C1263,$C1263,$B$5:$B1263,"Salida"))</f>
        <v/>
      </c>
      <c r="J1263" s="20"/>
      <c r="K1263" s="20"/>
      <c r="L1263" s="20"/>
      <c r="M1263" s="14" t="str">
        <f>IF(AND($C1263&lt;&gt;"",$C1263=Kardex!$C$4),COUNTIF($C$5:$C1263,Kardex!$C$4),"")</f>
        <v/>
      </c>
    </row>
    <row r="1264" spans="1:13" x14ac:dyDescent="0.25">
      <c r="A1264" s="24"/>
      <c r="B1264" s="20"/>
      <c r="C1264" s="20"/>
      <c r="D1264" s="14" t="str">
        <f>IF($C1264="","",IFERROR(INDEX(Productos!$B$5:$B$504,MATCH($C1264,Productos!$A$5:$A$504,0)),"Clave no existe"))</f>
        <v/>
      </c>
      <c r="E1264" s="14" t="str">
        <f>IF($C1264="","",IFERROR(INDEX(Productos!$D$5:$D$504,MATCH($C1264,Productos!$A$5:$A$504,0)),""))</f>
        <v/>
      </c>
      <c r="F1264" s="20"/>
      <c r="G1264" s="22" t="str">
        <f>IF($C1264="","",IFERROR(INDEX(Productos!$F$5:$F$504,MATCH($C1264,Productos!$A$5:$A$504,0)),0))</f>
        <v/>
      </c>
      <c r="H1264" s="22" t="str">
        <f t="shared" si="19"/>
        <v/>
      </c>
      <c r="I1264" s="14" t="str">
        <f>IF(OR($C1264="",$F1264=""),"",IFERROR(INDEX(Productos!$I$5:$I$504,MATCH($C1264,Productos!$A$5:$A$504,0)),0)+SUMIFS($F$5:$F1264,$C$5:$C1264,$C1264,$B$5:$B1264,"Entrada")-SUMIFS($F$5:$F1264,$C$5:$C1264,$C1264,$B$5:$B1264,"Salida"))</f>
        <v/>
      </c>
      <c r="J1264" s="20"/>
      <c r="K1264" s="20"/>
      <c r="L1264" s="20"/>
      <c r="M1264" s="14" t="str">
        <f>IF(AND($C1264&lt;&gt;"",$C1264=Kardex!$C$4),COUNTIF($C$5:$C1264,Kardex!$C$4),"")</f>
        <v/>
      </c>
    </row>
    <row r="1265" spans="1:13" x14ac:dyDescent="0.25">
      <c r="A1265" s="24"/>
      <c r="B1265" s="20"/>
      <c r="C1265" s="20"/>
      <c r="D1265" s="14" t="str">
        <f>IF($C1265="","",IFERROR(INDEX(Productos!$B$5:$B$504,MATCH($C1265,Productos!$A$5:$A$504,0)),"Clave no existe"))</f>
        <v/>
      </c>
      <c r="E1265" s="14" t="str">
        <f>IF($C1265="","",IFERROR(INDEX(Productos!$D$5:$D$504,MATCH($C1265,Productos!$A$5:$A$504,0)),""))</f>
        <v/>
      </c>
      <c r="F1265" s="20"/>
      <c r="G1265" s="22" t="str">
        <f>IF($C1265="","",IFERROR(INDEX(Productos!$F$5:$F$504,MATCH($C1265,Productos!$A$5:$A$504,0)),0))</f>
        <v/>
      </c>
      <c r="H1265" s="22" t="str">
        <f t="shared" si="19"/>
        <v/>
      </c>
      <c r="I1265" s="14" t="str">
        <f>IF(OR($C1265="",$F1265=""),"",IFERROR(INDEX(Productos!$I$5:$I$504,MATCH($C1265,Productos!$A$5:$A$504,0)),0)+SUMIFS($F$5:$F1265,$C$5:$C1265,$C1265,$B$5:$B1265,"Entrada")-SUMIFS($F$5:$F1265,$C$5:$C1265,$C1265,$B$5:$B1265,"Salida"))</f>
        <v/>
      </c>
      <c r="J1265" s="20"/>
      <c r="K1265" s="20"/>
      <c r="L1265" s="20"/>
      <c r="M1265" s="14" t="str">
        <f>IF(AND($C1265&lt;&gt;"",$C1265=Kardex!$C$4),COUNTIF($C$5:$C1265,Kardex!$C$4),"")</f>
        <v/>
      </c>
    </row>
    <row r="1266" spans="1:13" x14ac:dyDescent="0.25">
      <c r="A1266" s="24"/>
      <c r="B1266" s="20"/>
      <c r="C1266" s="20"/>
      <c r="D1266" s="14" t="str">
        <f>IF($C1266="","",IFERROR(INDEX(Productos!$B$5:$B$504,MATCH($C1266,Productos!$A$5:$A$504,0)),"Clave no existe"))</f>
        <v/>
      </c>
      <c r="E1266" s="14" t="str">
        <f>IF($C1266="","",IFERROR(INDEX(Productos!$D$5:$D$504,MATCH($C1266,Productos!$A$5:$A$504,0)),""))</f>
        <v/>
      </c>
      <c r="F1266" s="20"/>
      <c r="G1266" s="22" t="str">
        <f>IF($C1266="","",IFERROR(INDEX(Productos!$F$5:$F$504,MATCH($C1266,Productos!$A$5:$A$504,0)),0))</f>
        <v/>
      </c>
      <c r="H1266" s="22" t="str">
        <f t="shared" si="19"/>
        <v/>
      </c>
      <c r="I1266" s="14" t="str">
        <f>IF(OR($C1266="",$F1266=""),"",IFERROR(INDEX(Productos!$I$5:$I$504,MATCH($C1266,Productos!$A$5:$A$504,0)),0)+SUMIFS($F$5:$F1266,$C$5:$C1266,$C1266,$B$5:$B1266,"Entrada")-SUMIFS($F$5:$F1266,$C$5:$C1266,$C1266,$B$5:$B1266,"Salida"))</f>
        <v/>
      </c>
      <c r="J1266" s="20"/>
      <c r="K1266" s="20"/>
      <c r="L1266" s="20"/>
      <c r="M1266" s="14" t="str">
        <f>IF(AND($C1266&lt;&gt;"",$C1266=Kardex!$C$4),COUNTIF($C$5:$C1266,Kardex!$C$4),"")</f>
        <v/>
      </c>
    </row>
    <row r="1267" spans="1:13" x14ac:dyDescent="0.25">
      <c r="A1267" s="24"/>
      <c r="B1267" s="20"/>
      <c r="C1267" s="20"/>
      <c r="D1267" s="14" t="str">
        <f>IF($C1267="","",IFERROR(INDEX(Productos!$B$5:$B$504,MATCH($C1267,Productos!$A$5:$A$504,0)),"Clave no existe"))</f>
        <v/>
      </c>
      <c r="E1267" s="14" t="str">
        <f>IF($C1267="","",IFERROR(INDEX(Productos!$D$5:$D$504,MATCH($C1267,Productos!$A$5:$A$504,0)),""))</f>
        <v/>
      </c>
      <c r="F1267" s="20"/>
      <c r="G1267" s="22" t="str">
        <f>IF($C1267="","",IFERROR(INDEX(Productos!$F$5:$F$504,MATCH($C1267,Productos!$A$5:$A$504,0)),0))</f>
        <v/>
      </c>
      <c r="H1267" s="22" t="str">
        <f t="shared" si="19"/>
        <v/>
      </c>
      <c r="I1267" s="14" t="str">
        <f>IF(OR($C1267="",$F1267=""),"",IFERROR(INDEX(Productos!$I$5:$I$504,MATCH($C1267,Productos!$A$5:$A$504,0)),0)+SUMIFS($F$5:$F1267,$C$5:$C1267,$C1267,$B$5:$B1267,"Entrada")-SUMIFS($F$5:$F1267,$C$5:$C1267,$C1267,$B$5:$B1267,"Salida"))</f>
        <v/>
      </c>
      <c r="J1267" s="20"/>
      <c r="K1267" s="20"/>
      <c r="L1267" s="20"/>
      <c r="M1267" s="14" t="str">
        <f>IF(AND($C1267&lt;&gt;"",$C1267=Kardex!$C$4),COUNTIF($C$5:$C1267,Kardex!$C$4),"")</f>
        <v/>
      </c>
    </row>
    <row r="1268" spans="1:13" x14ac:dyDescent="0.25">
      <c r="A1268" s="24"/>
      <c r="B1268" s="20"/>
      <c r="C1268" s="20"/>
      <c r="D1268" s="14" t="str">
        <f>IF($C1268="","",IFERROR(INDEX(Productos!$B$5:$B$504,MATCH($C1268,Productos!$A$5:$A$504,0)),"Clave no existe"))</f>
        <v/>
      </c>
      <c r="E1268" s="14" t="str">
        <f>IF($C1268="","",IFERROR(INDEX(Productos!$D$5:$D$504,MATCH($C1268,Productos!$A$5:$A$504,0)),""))</f>
        <v/>
      </c>
      <c r="F1268" s="20"/>
      <c r="G1268" s="22" t="str">
        <f>IF($C1268="","",IFERROR(INDEX(Productos!$F$5:$F$504,MATCH($C1268,Productos!$A$5:$A$504,0)),0))</f>
        <v/>
      </c>
      <c r="H1268" s="22" t="str">
        <f t="shared" si="19"/>
        <v/>
      </c>
      <c r="I1268" s="14" t="str">
        <f>IF(OR($C1268="",$F1268=""),"",IFERROR(INDEX(Productos!$I$5:$I$504,MATCH($C1268,Productos!$A$5:$A$504,0)),0)+SUMIFS($F$5:$F1268,$C$5:$C1268,$C1268,$B$5:$B1268,"Entrada")-SUMIFS($F$5:$F1268,$C$5:$C1268,$C1268,$B$5:$B1268,"Salida"))</f>
        <v/>
      </c>
      <c r="J1268" s="20"/>
      <c r="K1268" s="20"/>
      <c r="L1268" s="20"/>
      <c r="M1268" s="14" t="str">
        <f>IF(AND($C1268&lt;&gt;"",$C1268=Kardex!$C$4),COUNTIF($C$5:$C1268,Kardex!$C$4),"")</f>
        <v/>
      </c>
    </row>
    <row r="1269" spans="1:13" x14ac:dyDescent="0.25">
      <c r="A1269" s="24"/>
      <c r="B1269" s="20"/>
      <c r="C1269" s="20"/>
      <c r="D1269" s="14" t="str">
        <f>IF($C1269="","",IFERROR(INDEX(Productos!$B$5:$B$504,MATCH($C1269,Productos!$A$5:$A$504,0)),"Clave no existe"))</f>
        <v/>
      </c>
      <c r="E1269" s="14" t="str">
        <f>IF($C1269="","",IFERROR(INDEX(Productos!$D$5:$D$504,MATCH($C1269,Productos!$A$5:$A$504,0)),""))</f>
        <v/>
      </c>
      <c r="F1269" s="20"/>
      <c r="G1269" s="22" t="str">
        <f>IF($C1269="","",IFERROR(INDEX(Productos!$F$5:$F$504,MATCH($C1269,Productos!$A$5:$A$504,0)),0))</f>
        <v/>
      </c>
      <c r="H1269" s="22" t="str">
        <f t="shared" si="19"/>
        <v/>
      </c>
      <c r="I1269" s="14" t="str">
        <f>IF(OR($C1269="",$F1269=""),"",IFERROR(INDEX(Productos!$I$5:$I$504,MATCH($C1269,Productos!$A$5:$A$504,0)),0)+SUMIFS($F$5:$F1269,$C$5:$C1269,$C1269,$B$5:$B1269,"Entrada")-SUMIFS($F$5:$F1269,$C$5:$C1269,$C1269,$B$5:$B1269,"Salida"))</f>
        <v/>
      </c>
      <c r="J1269" s="20"/>
      <c r="K1269" s="20"/>
      <c r="L1269" s="20"/>
      <c r="M1269" s="14" t="str">
        <f>IF(AND($C1269&lt;&gt;"",$C1269=Kardex!$C$4),COUNTIF($C$5:$C1269,Kardex!$C$4),"")</f>
        <v/>
      </c>
    </row>
    <row r="1270" spans="1:13" x14ac:dyDescent="0.25">
      <c r="A1270" s="24"/>
      <c r="B1270" s="20"/>
      <c r="C1270" s="20"/>
      <c r="D1270" s="14" t="str">
        <f>IF($C1270="","",IFERROR(INDEX(Productos!$B$5:$B$504,MATCH($C1270,Productos!$A$5:$A$504,0)),"Clave no existe"))</f>
        <v/>
      </c>
      <c r="E1270" s="14" t="str">
        <f>IF($C1270="","",IFERROR(INDEX(Productos!$D$5:$D$504,MATCH($C1270,Productos!$A$5:$A$504,0)),""))</f>
        <v/>
      </c>
      <c r="F1270" s="20"/>
      <c r="G1270" s="22" t="str">
        <f>IF($C1270="","",IFERROR(INDEX(Productos!$F$5:$F$504,MATCH($C1270,Productos!$A$5:$A$504,0)),0))</f>
        <v/>
      </c>
      <c r="H1270" s="22" t="str">
        <f t="shared" si="19"/>
        <v/>
      </c>
      <c r="I1270" s="14" t="str">
        <f>IF(OR($C1270="",$F1270=""),"",IFERROR(INDEX(Productos!$I$5:$I$504,MATCH($C1270,Productos!$A$5:$A$504,0)),0)+SUMIFS($F$5:$F1270,$C$5:$C1270,$C1270,$B$5:$B1270,"Entrada")-SUMIFS($F$5:$F1270,$C$5:$C1270,$C1270,$B$5:$B1270,"Salida"))</f>
        <v/>
      </c>
      <c r="J1270" s="20"/>
      <c r="K1270" s="20"/>
      <c r="L1270" s="20"/>
      <c r="M1270" s="14" t="str">
        <f>IF(AND($C1270&lt;&gt;"",$C1270=Kardex!$C$4),COUNTIF($C$5:$C1270,Kardex!$C$4),"")</f>
        <v/>
      </c>
    </row>
    <row r="1271" spans="1:13" x14ac:dyDescent="0.25">
      <c r="A1271" s="24"/>
      <c r="B1271" s="20"/>
      <c r="C1271" s="20"/>
      <c r="D1271" s="14" t="str">
        <f>IF($C1271="","",IFERROR(INDEX(Productos!$B$5:$B$504,MATCH($C1271,Productos!$A$5:$A$504,0)),"Clave no existe"))</f>
        <v/>
      </c>
      <c r="E1271" s="14" t="str">
        <f>IF($C1271="","",IFERROR(INDEX(Productos!$D$5:$D$504,MATCH($C1271,Productos!$A$5:$A$504,0)),""))</f>
        <v/>
      </c>
      <c r="F1271" s="20"/>
      <c r="G1271" s="22" t="str">
        <f>IF($C1271="","",IFERROR(INDEX(Productos!$F$5:$F$504,MATCH($C1271,Productos!$A$5:$A$504,0)),0))</f>
        <v/>
      </c>
      <c r="H1271" s="22" t="str">
        <f t="shared" si="19"/>
        <v/>
      </c>
      <c r="I1271" s="14" t="str">
        <f>IF(OR($C1271="",$F1271=""),"",IFERROR(INDEX(Productos!$I$5:$I$504,MATCH($C1271,Productos!$A$5:$A$504,0)),0)+SUMIFS($F$5:$F1271,$C$5:$C1271,$C1271,$B$5:$B1271,"Entrada")-SUMIFS($F$5:$F1271,$C$5:$C1271,$C1271,$B$5:$B1271,"Salida"))</f>
        <v/>
      </c>
      <c r="J1271" s="20"/>
      <c r="K1271" s="20"/>
      <c r="L1271" s="20"/>
      <c r="M1271" s="14" t="str">
        <f>IF(AND($C1271&lt;&gt;"",$C1271=Kardex!$C$4),COUNTIF($C$5:$C1271,Kardex!$C$4),"")</f>
        <v/>
      </c>
    </row>
    <row r="1272" spans="1:13" x14ac:dyDescent="0.25">
      <c r="A1272" s="24"/>
      <c r="B1272" s="20"/>
      <c r="C1272" s="20"/>
      <c r="D1272" s="14" t="str">
        <f>IF($C1272="","",IFERROR(INDEX(Productos!$B$5:$B$504,MATCH($C1272,Productos!$A$5:$A$504,0)),"Clave no existe"))</f>
        <v/>
      </c>
      <c r="E1272" s="14" t="str">
        <f>IF($C1272="","",IFERROR(INDEX(Productos!$D$5:$D$504,MATCH($C1272,Productos!$A$5:$A$504,0)),""))</f>
        <v/>
      </c>
      <c r="F1272" s="20"/>
      <c r="G1272" s="22" t="str">
        <f>IF($C1272="","",IFERROR(INDEX(Productos!$F$5:$F$504,MATCH($C1272,Productos!$A$5:$A$504,0)),0))</f>
        <v/>
      </c>
      <c r="H1272" s="22" t="str">
        <f t="shared" si="19"/>
        <v/>
      </c>
      <c r="I1272" s="14" t="str">
        <f>IF(OR($C1272="",$F1272=""),"",IFERROR(INDEX(Productos!$I$5:$I$504,MATCH($C1272,Productos!$A$5:$A$504,0)),0)+SUMIFS($F$5:$F1272,$C$5:$C1272,$C1272,$B$5:$B1272,"Entrada")-SUMIFS($F$5:$F1272,$C$5:$C1272,$C1272,$B$5:$B1272,"Salida"))</f>
        <v/>
      </c>
      <c r="J1272" s="20"/>
      <c r="K1272" s="20"/>
      <c r="L1272" s="20"/>
      <c r="M1272" s="14" t="str">
        <f>IF(AND($C1272&lt;&gt;"",$C1272=Kardex!$C$4),COUNTIF($C$5:$C1272,Kardex!$C$4),"")</f>
        <v/>
      </c>
    </row>
    <row r="1273" spans="1:13" x14ac:dyDescent="0.25">
      <c r="A1273" s="24"/>
      <c r="B1273" s="20"/>
      <c r="C1273" s="20"/>
      <c r="D1273" s="14" t="str">
        <f>IF($C1273="","",IFERROR(INDEX(Productos!$B$5:$B$504,MATCH($C1273,Productos!$A$5:$A$504,0)),"Clave no existe"))</f>
        <v/>
      </c>
      <c r="E1273" s="14" t="str">
        <f>IF($C1273="","",IFERROR(INDEX(Productos!$D$5:$D$504,MATCH($C1273,Productos!$A$5:$A$504,0)),""))</f>
        <v/>
      </c>
      <c r="F1273" s="20"/>
      <c r="G1273" s="22" t="str">
        <f>IF($C1273="","",IFERROR(INDEX(Productos!$F$5:$F$504,MATCH($C1273,Productos!$A$5:$A$504,0)),0))</f>
        <v/>
      </c>
      <c r="H1273" s="22" t="str">
        <f t="shared" si="19"/>
        <v/>
      </c>
      <c r="I1273" s="14" t="str">
        <f>IF(OR($C1273="",$F1273=""),"",IFERROR(INDEX(Productos!$I$5:$I$504,MATCH($C1273,Productos!$A$5:$A$504,0)),0)+SUMIFS($F$5:$F1273,$C$5:$C1273,$C1273,$B$5:$B1273,"Entrada")-SUMIFS($F$5:$F1273,$C$5:$C1273,$C1273,$B$5:$B1273,"Salida"))</f>
        <v/>
      </c>
      <c r="J1273" s="20"/>
      <c r="K1273" s="20"/>
      <c r="L1273" s="20"/>
      <c r="M1273" s="14" t="str">
        <f>IF(AND($C1273&lt;&gt;"",$C1273=Kardex!$C$4),COUNTIF($C$5:$C1273,Kardex!$C$4),"")</f>
        <v/>
      </c>
    </row>
    <row r="1274" spans="1:13" x14ac:dyDescent="0.25">
      <c r="A1274" s="24"/>
      <c r="B1274" s="20"/>
      <c r="C1274" s="20"/>
      <c r="D1274" s="14" t="str">
        <f>IF($C1274="","",IFERROR(INDEX(Productos!$B$5:$B$504,MATCH($C1274,Productos!$A$5:$A$504,0)),"Clave no existe"))</f>
        <v/>
      </c>
      <c r="E1274" s="14" t="str">
        <f>IF($C1274="","",IFERROR(INDEX(Productos!$D$5:$D$504,MATCH($C1274,Productos!$A$5:$A$504,0)),""))</f>
        <v/>
      </c>
      <c r="F1274" s="20"/>
      <c r="G1274" s="22" t="str">
        <f>IF($C1274="","",IFERROR(INDEX(Productos!$F$5:$F$504,MATCH($C1274,Productos!$A$5:$A$504,0)),0))</f>
        <v/>
      </c>
      <c r="H1274" s="22" t="str">
        <f t="shared" si="19"/>
        <v/>
      </c>
      <c r="I1274" s="14" t="str">
        <f>IF(OR($C1274="",$F1274=""),"",IFERROR(INDEX(Productos!$I$5:$I$504,MATCH($C1274,Productos!$A$5:$A$504,0)),0)+SUMIFS($F$5:$F1274,$C$5:$C1274,$C1274,$B$5:$B1274,"Entrada")-SUMIFS($F$5:$F1274,$C$5:$C1274,$C1274,$B$5:$B1274,"Salida"))</f>
        <v/>
      </c>
      <c r="J1274" s="20"/>
      <c r="K1274" s="20"/>
      <c r="L1274" s="20"/>
      <c r="M1274" s="14" t="str">
        <f>IF(AND($C1274&lt;&gt;"",$C1274=Kardex!$C$4),COUNTIF($C$5:$C1274,Kardex!$C$4),"")</f>
        <v/>
      </c>
    </row>
    <row r="1275" spans="1:13" x14ac:dyDescent="0.25">
      <c r="A1275" s="24"/>
      <c r="B1275" s="20"/>
      <c r="C1275" s="20"/>
      <c r="D1275" s="14" t="str">
        <f>IF($C1275="","",IFERROR(INDEX(Productos!$B$5:$B$504,MATCH($C1275,Productos!$A$5:$A$504,0)),"Clave no existe"))</f>
        <v/>
      </c>
      <c r="E1275" s="14" t="str">
        <f>IF($C1275="","",IFERROR(INDEX(Productos!$D$5:$D$504,MATCH($C1275,Productos!$A$5:$A$504,0)),""))</f>
        <v/>
      </c>
      <c r="F1275" s="20"/>
      <c r="G1275" s="22" t="str">
        <f>IF($C1275="","",IFERROR(INDEX(Productos!$F$5:$F$504,MATCH($C1275,Productos!$A$5:$A$504,0)),0))</f>
        <v/>
      </c>
      <c r="H1275" s="22" t="str">
        <f t="shared" si="19"/>
        <v/>
      </c>
      <c r="I1275" s="14" t="str">
        <f>IF(OR($C1275="",$F1275=""),"",IFERROR(INDEX(Productos!$I$5:$I$504,MATCH($C1275,Productos!$A$5:$A$504,0)),0)+SUMIFS($F$5:$F1275,$C$5:$C1275,$C1275,$B$5:$B1275,"Entrada")-SUMIFS($F$5:$F1275,$C$5:$C1275,$C1275,$B$5:$B1275,"Salida"))</f>
        <v/>
      </c>
      <c r="J1275" s="20"/>
      <c r="K1275" s="20"/>
      <c r="L1275" s="20"/>
      <c r="M1275" s="14" t="str">
        <f>IF(AND($C1275&lt;&gt;"",$C1275=Kardex!$C$4),COUNTIF($C$5:$C1275,Kardex!$C$4),"")</f>
        <v/>
      </c>
    </row>
    <row r="1276" spans="1:13" x14ac:dyDescent="0.25">
      <c r="A1276" s="24"/>
      <c r="B1276" s="20"/>
      <c r="C1276" s="20"/>
      <c r="D1276" s="14" t="str">
        <f>IF($C1276="","",IFERROR(INDEX(Productos!$B$5:$B$504,MATCH($C1276,Productos!$A$5:$A$504,0)),"Clave no existe"))</f>
        <v/>
      </c>
      <c r="E1276" s="14" t="str">
        <f>IF($C1276="","",IFERROR(INDEX(Productos!$D$5:$D$504,MATCH($C1276,Productos!$A$5:$A$504,0)),""))</f>
        <v/>
      </c>
      <c r="F1276" s="20"/>
      <c r="G1276" s="22" t="str">
        <f>IF($C1276="","",IFERROR(INDEX(Productos!$F$5:$F$504,MATCH($C1276,Productos!$A$5:$A$504,0)),0))</f>
        <v/>
      </c>
      <c r="H1276" s="22" t="str">
        <f t="shared" si="19"/>
        <v/>
      </c>
      <c r="I1276" s="14" t="str">
        <f>IF(OR($C1276="",$F1276=""),"",IFERROR(INDEX(Productos!$I$5:$I$504,MATCH($C1276,Productos!$A$5:$A$504,0)),0)+SUMIFS($F$5:$F1276,$C$5:$C1276,$C1276,$B$5:$B1276,"Entrada")-SUMIFS($F$5:$F1276,$C$5:$C1276,$C1276,$B$5:$B1276,"Salida"))</f>
        <v/>
      </c>
      <c r="J1276" s="20"/>
      <c r="K1276" s="20"/>
      <c r="L1276" s="20"/>
      <c r="M1276" s="14" t="str">
        <f>IF(AND($C1276&lt;&gt;"",$C1276=Kardex!$C$4),COUNTIF($C$5:$C1276,Kardex!$C$4),"")</f>
        <v/>
      </c>
    </row>
    <row r="1277" spans="1:13" x14ac:dyDescent="0.25">
      <c r="A1277" s="24"/>
      <c r="B1277" s="20"/>
      <c r="C1277" s="20"/>
      <c r="D1277" s="14" t="str">
        <f>IF($C1277="","",IFERROR(INDEX(Productos!$B$5:$B$504,MATCH($C1277,Productos!$A$5:$A$504,0)),"Clave no existe"))</f>
        <v/>
      </c>
      <c r="E1277" s="14" t="str">
        <f>IF($C1277="","",IFERROR(INDEX(Productos!$D$5:$D$504,MATCH($C1277,Productos!$A$5:$A$504,0)),""))</f>
        <v/>
      </c>
      <c r="F1277" s="20"/>
      <c r="G1277" s="22" t="str">
        <f>IF($C1277="","",IFERROR(INDEX(Productos!$F$5:$F$504,MATCH($C1277,Productos!$A$5:$A$504,0)),0))</f>
        <v/>
      </c>
      <c r="H1277" s="22" t="str">
        <f t="shared" si="19"/>
        <v/>
      </c>
      <c r="I1277" s="14" t="str">
        <f>IF(OR($C1277="",$F1277=""),"",IFERROR(INDEX(Productos!$I$5:$I$504,MATCH($C1277,Productos!$A$5:$A$504,0)),0)+SUMIFS($F$5:$F1277,$C$5:$C1277,$C1277,$B$5:$B1277,"Entrada")-SUMIFS($F$5:$F1277,$C$5:$C1277,$C1277,$B$5:$B1277,"Salida"))</f>
        <v/>
      </c>
      <c r="J1277" s="20"/>
      <c r="K1277" s="20"/>
      <c r="L1277" s="20"/>
      <c r="M1277" s="14" t="str">
        <f>IF(AND($C1277&lt;&gt;"",$C1277=Kardex!$C$4),COUNTIF($C$5:$C1277,Kardex!$C$4),"")</f>
        <v/>
      </c>
    </row>
    <row r="1278" spans="1:13" x14ac:dyDescent="0.25">
      <c r="A1278" s="24"/>
      <c r="B1278" s="20"/>
      <c r="C1278" s="20"/>
      <c r="D1278" s="14" t="str">
        <f>IF($C1278="","",IFERROR(INDEX(Productos!$B$5:$B$504,MATCH($C1278,Productos!$A$5:$A$504,0)),"Clave no existe"))</f>
        <v/>
      </c>
      <c r="E1278" s="14" t="str">
        <f>IF($C1278="","",IFERROR(INDEX(Productos!$D$5:$D$504,MATCH($C1278,Productos!$A$5:$A$504,0)),""))</f>
        <v/>
      </c>
      <c r="F1278" s="20"/>
      <c r="G1278" s="22" t="str">
        <f>IF($C1278="","",IFERROR(INDEX(Productos!$F$5:$F$504,MATCH($C1278,Productos!$A$5:$A$504,0)),0))</f>
        <v/>
      </c>
      <c r="H1278" s="22" t="str">
        <f t="shared" si="19"/>
        <v/>
      </c>
      <c r="I1278" s="14" t="str">
        <f>IF(OR($C1278="",$F1278=""),"",IFERROR(INDEX(Productos!$I$5:$I$504,MATCH($C1278,Productos!$A$5:$A$504,0)),0)+SUMIFS($F$5:$F1278,$C$5:$C1278,$C1278,$B$5:$B1278,"Entrada")-SUMIFS($F$5:$F1278,$C$5:$C1278,$C1278,$B$5:$B1278,"Salida"))</f>
        <v/>
      </c>
      <c r="J1278" s="20"/>
      <c r="K1278" s="20"/>
      <c r="L1278" s="20"/>
      <c r="M1278" s="14" t="str">
        <f>IF(AND($C1278&lt;&gt;"",$C1278=Kardex!$C$4),COUNTIF($C$5:$C1278,Kardex!$C$4),"")</f>
        <v/>
      </c>
    </row>
    <row r="1279" spans="1:13" x14ac:dyDescent="0.25">
      <c r="A1279" s="24"/>
      <c r="B1279" s="20"/>
      <c r="C1279" s="20"/>
      <c r="D1279" s="14" t="str">
        <f>IF($C1279="","",IFERROR(INDEX(Productos!$B$5:$B$504,MATCH($C1279,Productos!$A$5:$A$504,0)),"Clave no existe"))</f>
        <v/>
      </c>
      <c r="E1279" s="14" t="str">
        <f>IF($C1279="","",IFERROR(INDEX(Productos!$D$5:$D$504,MATCH($C1279,Productos!$A$5:$A$504,0)),""))</f>
        <v/>
      </c>
      <c r="F1279" s="20"/>
      <c r="G1279" s="22" t="str">
        <f>IF($C1279="","",IFERROR(INDEX(Productos!$F$5:$F$504,MATCH($C1279,Productos!$A$5:$A$504,0)),0))</f>
        <v/>
      </c>
      <c r="H1279" s="22" t="str">
        <f t="shared" si="19"/>
        <v/>
      </c>
      <c r="I1279" s="14" t="str">
        <f>IF(OR($C1279="",$F1279=""),"",IFERROR(INDEX(Productos!$I$5:$I$504,MATCH($C1279,Productos!$A$5:$A$504,0)),0)+SUMIFS($F$5:$F1279,$C$5:$C1279,$C1279,$B$5:$B1279,"Entrada")-SUMIFS($F$5:$F1279,$C$5:$C1279,$C1279,$B$5:$B1279,"Salida"))</f>
        <v/>
      </c>
      <c r="J1279" s="20"/>
      <c r="K1279" s="20"/>
      <c r="L1279" s="20"/>
      <c r="M1279" s="14" t="str">
        <f>IF(AND($C1279&lt;&gt;"",$C1279=Kardex!$C$4),COUNTIF($C$5:$C1279,Kardex!$C$4),"")</f>
        <v/>
      </c>
    </row>
    <row r="1280" spans="1:13" x14ac:dyDescent="0.25">
      <c r="A1280" s="24"/>
      <c r="B1280" s="20"/>
      <c r="C1280" s="20"/>
      <c r="D1280" s="14" t="str">
        <f>IF($C1280="","",IFERROR(INDEX(Productos!$B$5:$B$504,MATCH($C1280,Productos!$A$5:$A$504,0)),"Clave no existe"))</f>
        <v/>
      </c>
      <c r="E1280" s="14" t="str">
        <f>IF($C1280="","",IFERROR(INDEX(Productos!$D$5:$D$504,MATCH($C1280,Productos!$A$5:$A$504,0)),""))</f>
        <v/>
      </c>
      <c r="F1280" s="20"/>
      <c r="G1280" s="22" t="str">
        <f>IF($C1280="","",IFERROR(INDEX(Productos!$F$5:$F$504,MATCH($C1280,Productos!$A$5:$A$504,0)),0))</f>
        <v/>
      </c>
      <c r="H1280" s="22" t="str">
        <f t="shared" si="19"/>
        <v/>
      </c>
      <c r="I1280" s="14" t="str">
        <f>IF(OR($C1280="",$F1280=""),"",IFERROR(INDEX(Productos!$I$5:$I$504,MATCH($C1280,Productos!$A$5:$A$504,0)),0)+SUMIFS($F$5:$F1280,$C$5:$C1280,$C1280,$B$5:$B1280,"Entrada")-SUMIFS($F$5:$F1280,$C$5:$C1280,$C1280,$B$5:$B1280,"Salida"))</f>
        <v/>
      </c>
      <c r="J1280" s="20"/>
      <c r="K1280" s="20"/>
      <c r="L1280" s="20"/>
      <c r="M1280" s="14" t="str">
        <f>IF(AND($C1280&lt;&gt;"",$C1280=Kardex!$C$4),COUNTIF($C$5:$C1280,Kardex!$C$4),"")</f>
        <v/>
      </c>
    </row>
    <row r="1281" spans="1:13" x14ac:dyDescent="0.25">
      <c r="A1281" s="24"/>
      <c r="B1281" s="20"/>
      <c r="C1281" s="20"/>
      <c r="D1281" s="14" t="str">
        <f>IF($C1281="","",IFERROR(INDEX(Productos!$B$5:$B$504,MATCH($C1281,Productos!$A$5:$A$504,0)),"Clave no existe"))</f>
        <v/>
      </c>
      <c r="E1281" s="14" t="str">
        <f>IF($C1281="","",IFERROR(INDEX(Productos!$D$5:$D$504,MATCH($C1281,Productos!$A$5:$A$504,0)),""))</f>
        <v/>
      </c>
      <c r="F1281" s="20"/>
      <c r="G1281" s="22" t="str">
        <f>IF($C1281="","",IFERROR(INDEX(Productos!$F$5:$F$504,MATCH($C1281,Productos!$A$5:$A$504,0)),0))</f>
        <v/>
      </c>
      <c r="H1281" s="22" t="str">
        <f t="shared" si="19"/>
        <v/>
      </c>
      <c r="I1281" s="14" t="str">
        <f>IF(OR($C1281="",$F1281=""),"",IFERROR(INDEX(Productos!$I$5:$I$504,MATCH($C1281,Productos!$A$5:$A$504,0)),0)+SUMIFS($F$5:$F1281,$C$5:$C1281,$C1281,$B$5:$B1281,"Entrada")-SUMIFS($F$5:$F1281,$C$5:$C1281,$C1281,$B$5:$B1281,"Salida"))</f>
        <v/>
      </c>
      <c r="J1281" s="20"/>
      <c r="K1281" s="20"/>
      <c r="L1281" s="20"/>
      <c r="M1281" s="14" t="str">
        <f>IF(AND($C1281&lt;&gt;"",$C1281=Kardex!$C$4),COUNTIF($C$5:$C1281,Kardex!$C$4),"")</f>
        <v/>
      </c>
    </row>
    <row r="1282" spans="1:13" x14ac:dyDescent="0.25">
      <c r="A1282" s="24"/>
      <c r="B1282" s="20"/>
      <c r="C1282" s="20"/>
      <c r="D1282" s="14" t="str">
        <f>IF($C1282="","",IFERROR(INDEX(Productos!$B$5:$B$504,MATCH($C1282,Productos!$A$5:$A$504,0)),"Clave no existe"))</f>
        <v/>
      </c>
      <c r="E1282" s="14" t="str">
        <f>IF($C1282="","",IFERROR(INDEX(Productos!$D$5:$D$504,MATCH($C1282,Productos!$A$5:$A$504,0)),""))</f>
        <v/>
      </c>
      <c r="F1282" s="20"/>
      <c r="G1282" s="22" t="str">
        <f>IF($C1282="","",IFERROR(INDEX(Productos!$F$5:$F$504,MATCH($C1282,Productos!$A$5:$A$504,0)),0))</f>
        <v/>
      </c>
      <c r="H1282" s="22" t="str">
        <f t="shared" si="19"/>
        <v/>
      </c>
      <c r="I1282" s="14" t="str">
        <f>IF(OR($C1282="",$F1282=""),"",IFERROR(INDEX(Productos!$I$5:$I$504,MATCH($C1282,Productos!$A$5:$A$504,0)),0)+SUMIFS($F$5:$F1282,$C$5:$C1282,$C1282,$B$5:$B1282,"Entrada")-SUMIFS($F$5:$F1282,$C$5:$C1282,$C1282,$B$5:$B1282,"Salida"))</f>
        <v/>
      </c>
      <c r="J1282" s="20"/>
      <c r="K1282" s="20"/>
      <c r="L1282" s="20"/>
      <c r="M1282" s="14" t="str">
        <f>IF(AND($C1282&lt;&gt;"",$C1282=Kardex!$C$4),COUNTIF($C$5:$C1282,Kardex!$C$4),"")</f>
        <v/>
      </c>
    </row>
    <row r="1283" spans="1:13" x14ac:dyDescent="0.25">
      <c r="A1283" s="24"/>
      <c r="B1283" s="20"/>
      <c r="C1283" s="20"/>
      <c r="D1283" s="14" t="str">
        <f>IF($C1283="","",IFERROR(INDEX(Productos!$B$5:$B$504,MATCH($C1283,Productos!$A$5:$A$504,0)),"Clave no existe"))</f>
        <v/>
      </c>
      <c r="E1283" s="14" t="str">
        <f>IF($C1283="","",IFERROR(INDEX(Productos!$D$5:$D$504,MATCH($C1283,Productos!$A$5:$A$504,0)),""))</f>
        <v/>
      </c>
      <c r="F1283" s="20"/>
      <c r="G1283" s="22" t="str">
        <f>IF($C1283="","",IFERROR(INDEX(Productos!$F$5:$F$504,MATCH($C1283,Productos!$A$5:$A$504,0)),0))</f>
        <v/>
      </c>
      <c r="H1283" s="22" t="str">
        <f t="shared" si="19"/>
        <v/>
      </c>
      <c r="I1283" s="14" t="str">
        <f>IF(OR($C1283="",$F1283=""),"",IFERROR(INDEX(Productos!$I$5:$I$504,MATCH($C1283,Productos!$A$5:$A$504,0)),0)+SUMIFS($F$5:$F1283,$C$5:$C1283,$C1283,$B$5:$B1283,"Entrada")-SUMIFS($F$5:$F1283,$C$5:$C1283,$C1283,$B$5:$B1283,"Salida"))</f>
        <v/>
      </c>
      <c r="J1283" s="20"/>
      <c r="K1283" s="20"/>
      <c r="L1283" s="20"/>
      <c r="M1283" s="14" t="str">
        <f>IF(AND($C1283&lt;&gt;"",$C1283=Kardex!$C$4),COUNTIF($C$5:$C1283,Kardex!$C$4),"")</f>
        <v/>
      </c>
    </row>
    <row r="1284" spans="1:13" x14ac:dyDescent="0.25">
      <c r="A1284" s="24"/>
      <c r="B1284" s="20"/>
      <c r="C1284" s="20"/>
      <c r="D1284" s="14" t="str">
        <f>IF($C1284="","",IFERROR(INDEX(Productos!$B$5:$B$504,MATCH($C1284,Productos!$A$5:$A$504,0)),"Clave no existe"))</f>
        <v/>
      </c>
      <c r="E1284" s="14" t="str">
        <f>IF($C1284="","",IFERROR(INDEX(Productos!$D$5:$D$504,MATCH($C1284,Productos!$A$5:$A$504,0)),""))</f>
        <v/>
      </c>
      <c r="F1284" s="20"/>
      <c r="G1284" s="22" t="str">
        <f>IF($C1284="","",IFERROR(INDEX(Productos!$F$5:$F$504,MATCH($C1284,Productos!$A$5:$A$504,0)),0))</f>
        <v/>
      </c>
      <c r="H1284" s="22" t="str">
        <f t="shared" si="19"/>
        <v/>
      </c>
      <c r="I1284" s="14" t="str">
        <f>IF(OR($C1284="",$F1284=""),"",IFERROR(INDEX(Productos!$I$5:$I$504,MATCH($C1284,Productos!$A$5:$A$504,0)),0)+SUMIFS($F$5:$F1284,$C$5:$C1284,$C1284,$B$5:$B1284,"Entrada")-SUMIFS($F$5:$F1284,$C$5:$C1284,$C1284,$B$5:$B1284,"Salida"))</f>
        <v/>
      </c>
      <c r="J1284" s="20"/>
      <c r="K1284" s="20"/>
      <c r="L1284" s="20"/>
      <c r="M1284" s="14" t="str">
        <f>IF(AND($C1284&lt;&gt;"",$C1284=Kardex!$C$4),COUNTIF($C$5:$C1284,Kardex!$C$4),"")</f>
        <v/>
      </c>
    </row>
    <row r="1285" spans="1:13" x14ac:dyDescent="0.25">
      <c r="A1285" s="24"/>
      <c r="B1285" s="20"/>
      <c r="C1285" s="20"/>
      <c r="D1285" s="14" t="str">
        <f>IF($C1285="","",IFERROR(INDEX(Productos!$B$5:$B$504,MATCH($C1285,Productos!$A$5:$A$504,0)),"Clave no existe"))</f>
        <v/>
      </c>
      <c r="E1285" s="14" t="str">
        <f>IF($C1285="","",IFERROR(INDEX(Productos!$D$5:$D$504,MATCH($C1285,Productos!$A$5:$A$504,0)),""))</f>
        <v/>
      </c>
      <c r="F1285" s="20"/>
      <c r="G1285" s="22" t="str">
        <f>IF($C1285="","",IFERROR(INDEX(Productos!$F$5:$F$504,MATCH($C1285,Productos!$A$5:$A$504,0)),0))</f>
        <v/>
      </c>
      <c r="H1285" s="22" t="str">
        <f t="shared" ref="H1285:H1348" si="20">IF(OR($C1285="",$F1285=""),"",F1285*G1285)</f>
        <v/>
      </c>
      <c r="I1285" s="14" t="str">
        <f>IF(OR($C1285="",$F1285=""),"",IFERROR(INDEX(Productos!$I$5:$I$504,MATCH($C1285,Productos!$A$5:$A$504,0)),0)+SUMIFS($F$5:$F1285,$C$5:$C1285,$C1285,$B$5:$B1285,"Entrada")-SUMIFS($F$5:$F1285,$C$5:$C1285,$C1285,$B$5:$B1285,"Salida"))</f>
        <v/>
      </c>
      <c r="J1285" s="20"/>
      <c r="K1285" s="20"/>
      <c r="L1285" s="20"/>
      <c r="M1285" s="14" t="str">
        <f>IF(AND($C1285&lt;&gt;"",$C1285=Kardex!$C$4),COUNTIF($C$5:$C1285,Kardex!$C$4),"")</f>
        <v/>
      </c>
    </row>
    <row r="1286" spans="1:13" x14ac:dyDescent="0.25">
      <c r="A1286" s="24"/>
      <c r="B1286" s="20"/>
      <c r="C1286" s="20"/>
      <c r="D1286" s="14" t="str">
        <f>IF($C1286="","",IFERROR(INDEX(Productos!$B$5:$B$504,MATCH($C1286,Productos!$A$5:$A$504,0)),"Clave no existe"))</f>
        <v/>
      </c>
      <c r="E1286" s="14" t="str">
        <f>IF($C1286="","",IFERROR(INDEX(Productos!$D$5:$D$504,MATCH($C1286,Productos!$A$5:$A$504,0)),""))</f>
        <v/>
      </c>
      <c r="F1286" s="20"/>
      <c r="G1286" s="22" t="str">
        <f>IF($C1286="","",IFERROR(INDEX(Productos!$F$5:$F$504,MATCH($C1286,Productos!$A$5:$A$504,0)),0))</f>
        <v/>
      </c>
      <c r="H1286" s="22" t="str">
        <f t="shared" si="20"/>
        <v/>
      </c>
      <c r="I1286" s="14" t="str">
        <f>IF(OR($C1286="",$F1286=""),"",IFERROR(INDEX(Productos!$I$5:$I$504,MATCH($C1286,Productos!$A$5:$A$504,0)),0)+SUMIFS($F$5:$F1286,$C$5:$C1286,$C1286,$B$5:$B1286,"Entrada")-SUMIFS($F$5:$F1286,$C$5:$C1286,$C1286,$B$5:$B1286,"Salida"))</f>
        <v/>
      </c>
      <c r="J1286" s="20"/>
      <c r="K1286" s="20"/>
      <c r="L1286" s="20"/>
      <c r="M1286" s="14" t="str">
        <f>IF(AND($C1286&lt;&gt;"",$C1286=Kardex!$C$4),COUNTIF($C$5:$C1286,Kardex!$C$4),"")</f>
        <v/>
      </c>
    </row>
    <row r="1287" spans="1:13" x14ac:dyDescent="0.25">
      <c r="A1287" s="24"/>
      <c r="B1287" s="20"/>
      <c r="C1287" s="20"/>
      <c r="D1287" s="14" t="str">
        <f>IF($C1287="","",IFERROR(INDEX(Productos!$B$5:$B$504,MATCH($C1287,Productos!$A$5:$A$504,0)),"Clave no existe"))</f>
        <v/>
      </c>
      <c r="E1287" s="14" t="str">
        <f>IF($C1287="","",IFERROR(INDEX(Productos!$D$5:$D$504,MATCH($C1287,Productos!$A$5:$A$504,0)),""))</f>
        <v/>
      </c>
      <c r="F1287" s="20"/>
      <c r="G1287" s="22" t="str">
        <f>IF($C1287="","",IFERROR(INDEX(Productos!$F$5:$F$504,MATCH($C1287,Productos!$A$5:$A$504,0)),0))</f>
        <v/>
      </c>
      <c r="H1287" s="22" t="str">
        <f t="shared" si="20"/>
        <v/>
      </c>
      <c r="I1287" s="14" t="str">
        <f>IF(OR($C1287="",$F1287=""),"",IFERROR(INDEX(Productos!$I$5:$I$504,MATCH($C1287,Productos!$A$5:$A$504,0)),0)+SUMIFS($F$5:$F1287,$C$5:$C1287,$C1287,$B$5:$B1287,"Entrada")-SUMIFS($F$5:$F1287,$C$5:$C1287,$C1287,$B$5:$B1287,"Salida"))</f>
        <v/>
      </c>
      <c r="J1287" s="20"/>
      <c r="K1287" s="20"/>
      <c r="L1287" s="20"/>
      <c r="M1287" s="14" t="str">
        <f>IF(AND($C1287&lt;&gt;"",$C1287=Kardex!$C$4),COUNTIF($C$5:$C1287,Kardex!$C$4),"")</f>
        <v/>
      </c>
    </row>
    <row r="1288" spans="1:13" x14ac:dyDescent="0.25">
      <c r="A1288" s="24"/>
      <c r="B1288" s="20"/>
      <c r="C1288" s="20"/>
      <c r="D1288" s="14" t="str">
        <f>IF($C1288="","",IFERROR(INDEX(Productos!$B$5:$B$504,MATCH($C1288,Productos!$A$5:$A$504,0)),"Clave no existe"))</f>
        <v/>
      </c>
      <c r="E1288" s="14" t="str">
        <f>IF($C1288="","",IFERROR(INDEX(Productos!$D$5:$D$504,MATCH($C1288,Productos!$A$5:$A$504,0)),""))</f>
        <v/>
      </c>
      <c r="F1288" s="20"/>
      <c r="G1288" s="22" t="str">
        <f>IF($C1288="","",IFERROR(INDEX(Productos!$F$5:$F$504,MATCH($C1288,Productos!$A$5:$A$504,0)),0))</f>
        <v/>
      </c>
      <c r="H1288" s="22" t="str">
        <f t="shared" si="20"/>
        <v/>
      </c>
      <c r="I1288" s="14" t="str">
        <f>IF(OR($C1288="",$F1288=""),"",IFERROR(INDEX(Productos!$I$5:$I$504,MATCH($C1288,Productos!$A$5:$A$504,0)),0)+SUMIFS($F$5:$F1288,$C$5:$C1288,$C1288,$B$5:$B1288,"Entrada")-SUMIFS($F$5:$F1288,$C$5:$C1288,$C1288,$B$5:$B1288,"Salida"))</f>
        <v/>
      </c>
      <c r="J1288" s="20"/>
      <c r="K1288" s="20"/>
      <c r="L1288" s="20"/>
      <c r="M1288" s="14" t="str">
        <f>IF(AND($C1288&lt;&gt;"",$C1288=Kardex!$C$4),COUNTIF($C$5:$C1288,Kardex!$C$4),"")</f>
        <v/>
      </c>
    </row>
    <row r="1289" spans="1:13" x14ac:dyDescent="0.25">
      <c r="A1289" s="24"/>
      <c r="B1289" s="20"/>
      <c r="C1289" s="20"/>
      <c r="D1289" s="14" t="str">
        <f>IF($C1289="","",IFERROR(INDEX(Productos!$B$5:$B$504,MATCH($C1289,Productos!$A$5:$A$504,0)),"Clave no existe"))</f>
        <v/>
      </c>
      <c r="E1289" s="14" t="str">
        <f>IF($C1289="","",IFERROR(INDEX(Productos!$D$5:$D$504,MATCH($C1289,Productos!$A$5:$A$504,0)),""))</f>
        <v/>
      </c>
      <c r="F1289" s="20"/>
      <c r="G1289" s="22" t="str">
        <f>IF($C1289="","",IFERROR(INDEX(Productos!$F$5:$F$504,MATCH($C1289,Productos!$A$5:$A$504,0)),0))</f>
        <v/>
      </c>
      <c r="H1289" s="22" t="str">
        <f t="shared" si="20"/>
        <v/>
      </c>
      <c r="I1289" s="14" t="str">
        <f>IF(OR($C1289="",$F1289=""),"",IFERROR(INDEX(Productos!$I$5:$I$504,MATCH($C1289,Productos!$A$5:$A$504,0)),0)+SUMIFS($F$5:$F1289,$C$5:$C1289,$C1289,$B$5:$B1289,"Entrada")-SUMIFS($F$5:$F1289,$C$5:$C1289,$C1289,$B$5:$B1289,"Salida"))</f>
        <v/>
      </c>
      <c r="J1289" s="20"/>
      <c r="K1289" s="20"/>
      <c r="L1289" s="20"/>
      <c r="M1289" s="14" t="str">
        <f>IF(AND($C1289&lt;&gt;"",$C1289=Kardex!$C$4),COUNTIF($C$5:$C1289,Kardex!$C$4),"")</f>
        <v/>
      </c>
    </row>
    <row r="1290" spans="1:13" x14ac:dyDescent="0.25">
      <c r="A1290" s="24"/>
      <c r="B1290" s="20"/>
      <c r="C1290" s="20"/>
      <c r="D1290" s="14" t="str">
        <f>IF($C1290="","",IFERROR(INDEX(Productos!$B$5:$B$504,MATCH($C1290,Productos!$A$5:$A$504,0)),"Clave no existe"))</f>
        <v/>
      </c>
      <c r="E1290" s="14" t="str">
        <f>IF($C1290="","",IFERROR(INDEX(Productos!$D$5:$D$504,MATCH($C1290,Productos!$A$5:$A$504,0)),""))</f>
        <v/>
      </c>
      <c r="F1290" s="20"/>
      <c r="G1290" s="22" t="str">
        <f>IF($C1290="","",IFERROR(INDEX(Productos!$F$5:$F$504,MATCH($C1290,Productos!$A$5:$A$504,0)),0))</f>
        <v/>
      </c>
      <c r="H1290" s="22" t="str">
        <f t="shared" si="20"/>
        <v/>
      </c>
      <c r="I1290" s="14" t="str">
        <f>IF(OR($C1290="",$F1290=""),"",IFERROR(INDEX(Productos!$I$5:$I$504,MATCH($C1290,Productos!$A$5:$A$504,0)),0)+SUMIFS($F$5:$F1290,$C$5:$C1290,$C1290,$B$5:$B1290,"Entrada")-SUMIFS($F$5:$F1290,$C$5:$C1290,$C1290,$B$5:$B1290,"Salida"))</f>
        <v/>
      </c>
      <c r="J1290" s="20"/>
      <c r="K1290" s="20"/>
      <c r="L1290" s="20"/>
      <c r="M1290" s="14" t="str">
        <f>IF(AND($C1290&lt;&gt;"",$C1290=Kardex!$C$4),COUNTIF($C$5:$C1290,Kardex!$C$4),"")</f>
        <v/>
      </c>
    </row>
    <row r="1291" spans="1:13" x14ac:dyDescent="0.25">
      <c r="A1291" s="24"/>
      <c r="B1291" s="20"/>
      <c r="C1291" s="20"/>
      <c r="D1291" s="14" t="str">
        <f>IF($C1291="","",IFERROR(INDEX(Productos!$B$5:$B$504,MATCH($C1291,Productos!$A$5:$A$504,0)),"Clave no existe"))</f>
        <v/>
      </c>
      <c r="E1291" s="14" t="str">
        <f>IF($C1291="","",IFERROR(INDEX(Productos!$D$5:$D$504,MATCH($C1291,Productos!$A$5:$A$504,0)),""))</f>
        <v/>
      </c>
      <c r="F1291" s="20"/>
      <c r="G1291" s="22" t="str">
        <f>IF($C1291="","",IFERROR(INDEX(Productos!$F$5:$F$504,MATCH($C1291,Productos!$A$5:$A$504,0)),0))</f>
        <v/>
      </c>
      <c r="H1291" s="22" t="str">
        <f t="shared" si="20"/>
        <v/>
      </c>
      <c r="I1291" s="14" t="str">
        <f>IF(OR($C1291="",$F1291=""),"",IFERROR(INDEX(Productos!$I$5:$I$504,MATCH($C1291,Productos!$A$5:$A$504,0)),0)+SUMIFS($F$5:$F1291,$C$5:$C1291,$C1291,$B$5:$B1291,"Entrada")-SUMIFS($F$5:$F1291,$C$5:$C1291,$C1291,$B$5:$B1291,"Salida"))</f>
        <v/>
      </c>
      <c r="J1291" s="20"/>
      <c r="K1291" s="20"/>
      <c r="L1291" s="20"/>
      <c r="M1291" s="14" t="str">
        <f>IF(AND($C1291&lt;&gt;"",$C1291=Kardex!$C$4),COUNTIF($C$5:$C1291,Kardex!$C$4),"")</f>
        <v/>
      </c>
    </row>
    <row r="1292" spans="1:13" x14ac:dyDescent="0.25">
      <c r="A1292" s="24"/>
      <c r="B1292" s="20"/>
      <c r="C1292" s="20"/>
      <c r="D1292" s="14" t="str">
        <f>IF($C1292="","",IFERROR(INDEX(Productos!$B$5:$B$504,MATCH($C1292,Productos!$A$5:$A$504,0)),"Clave no existe"))</f>
        <v/>
      </c>
      <c r="E1292" s="14" t="str">
        <f>IF($C1292="","",IFERROR(INDEX(Productos!$D$5:$D$504,MATCH($C1292,Productos!$A$5:$A$504,0)),""))</f>
        <v/>
      </c>
      <c r="F1292" s="20"/>
      <c r="G1292" s="22" t="str">
        <f>IF($C1292="","",IFERROR(INDEX(Productos!$F$5:$F$504,MATCH($C1292,Productos!$A$5:$A$504,0)),0))</f>
        <v/>
      </c>
      <c r="H1292" s="22" t="str">
        <f t="shared" si="20"/>
        <v/>
      </c>
      <c r="I1292" s="14" t="str">
        <f>IF(OR($C1292="",$F1292=""),"",IFERROR(INDEX(Productos!$I$5:$I$504,MATCH($C1292,Productos!$A$5:$A$504,0)),0)+SUMIFS($F$5:$F1292,$C$5:$C1292,$C1292,$B$5:$B1292,"Entrada")-SUMIFS($F$5:$F1292,$C$5:$C1292,$C1292,$B$5:$B1292,"Salida"))</f>
        <v/>
      </c>
      <c r="J1292" s="20"/>
      <c r="K1292" s="20"/>
      <c r="L1292" s="20"/>
      <c r="M1292" s="14" t="str">
        <f>IF(AND($C1292&lt;&gt;"",$C1292=Kardex!$C$4),COUNTIF($C$5:$C1292,Kardex!$C$4),"")</f>
        <v/>
      </c>
    </row>
    <row r="1293" spans="1:13" x14ac:dyDescent="0.25">
      <c r="A1293" s="24"/>
      <c r="B1293" s="20"/>
      <c r="C1293" s="20"/>
      <c r="D1293" s="14" t="str">
        <f>IF($C1293="","",IFERROR(INDEX(Productos!$B$5:$B$504,MATCH($C1293,Productos!$A$5:$A$504,0)),"Clave no existe"))</f>
        <v/>
      </c>
      <c r="E1293" s="14" t="str">
        <f>IF($C1293="","",IFERROR(INDEX(Productos!$D$5:$D$504,MATCH($C1293,Productos!$A$5:$A$504,0)),""))</f>
        <v/>
      </c>
      <c r="F1293" s="20"/>
      <c r="G1293" s="22" t="str">
        <f>IF($C1293="","",IFERROR(INDEX(Productos!$F$5:$F$504,MATCH($C1293,Productos!$A$5:$A$504,0)),0))</f>
        <v/>
      </c>
      <c r="H1293" s="22" t="str">
        <f t="shared" si="20"/>
        <v/>
      </c>
      <c r="I1293" s="14" t="str">
        <f>IF(OR($C1293="",$F1293=""),"",IFERROR(INDEX(Productos!$I$5:$I$504,MATCH($C1293,Productos!$A$5:$A$504,0)),0)+SUMIFS($F$5:$F1293,$C$5:$C1293,$C1293,$B$5:$B1293,"Entrada")-SUMIFS($F$5:$F1293,$C$5:$C1293,$C1293,$B$5:$B1293,"Salida"))</f>
        <v/>
      </c>
      <c r="J1293" s="20"/>
      <c r="K1293" s="20"/>
      <c r="L1293" s="20"/>
      <c r="M1293" s="14" t="str">
        <f>IF(AND($C1293&lt;&gt;"",$C1293=Kardex!$C$4),COUNTIF($C$5:$C1293,Kardex!$C$4),"")</f>
        <v/>
      </c>
    </row>
    <row r="1294" spans="1:13" x14ac:dyDescent="0.25">
      <c r="A1294" s="24"/>
      <c r="B1294" s="20"/>
      <c r="C1294" s="20"/>
      <c r="D1294" s="14" t="str">
        <f>IF($C1294="","",IFERROR(INDEX(Productos!$B$5:$B$504,MATCH($C1294,Productos!$A$5:$A$504,0)),"Clave no existe"))</f>
        <v/>
      </c>
      <c r="E1294" s="14" t="str">
        <f>IF($C1294="","",IFERROR(INDEX(Productos!$D$5:$D$504,MATCH($C1294,Productos!$A$5:$A$504,0)),""))</f>
        <v/>
      </c>
      <c r="F1294" s="20"/>
      <c r="G1294" s="22" t="str">
        <f>IF($C1294="","",IFERROR(INDEX(Productos!$F$5:$F$504,MATCH($C1294,Productos!$A$5:$A$504,0)),0))</f>
        <v/>
      </c>
      <c r="H1294" s="22" t="str">
        <f t="shared" si="20"/>
        <v/>
      </c>
      <c r="I1294" s="14" t="str">
        <f>IF(OR($C1294="",$F1294=""),"",IFERROR(INDEX(Productos!$I$5:$I$504,MATCH($C1294,Productos!$A$5:$A$504,0)),0)+SUMIFS($F$5:$F1294,$C$5:$C1294,$C1294,$B$5:$B1294,"Entrada")-SUMIFS($F$5:$F1294,$C$5:$C1294,$C1294,$B$5:$B1294,"Salida"))</f>
        <v/>
      </c>
      <c r="J1294" s="20"/>
      <c r="K1294" s="20"/>
      <c r="L1294" s="20"/>
      <c r="M1294" s="14" t="str">
        <f>IF(AND($C1294&lt;&gt;"",$C1294=Kardex!$C$4),COUNTIF($C$5:$C1294,Kardex!$C$4),"")</f>
        <v/>
      </c>
    </row>
    <row r="1295" spans="1:13" x14ac:dyDescent="0.25">
      <c r="A1295" s="24"/>
      <c r="B1295" s="20"/>
      <c r="C1295" s="20"/>
      <c r="D1295" s="14" t="str">
        <f>IF($C1295="","",IFERROR(INDEX(Productos!$B$5:$B$504,MATCH($C1295,Productos!$A$5:$A$504,0)),"Clave no existe"))</f>
        <v/>
      </c>
      <c r="E1295" s="14" t="str">
        <f>IF($C1295="","",IFERROR(INDEX(Productos!$D$5:$D$504,MATCH($C1295,Productos!$A$5:$A$504,0)),""))</f>
        <v/>
      </c>
      <c r="F1295" s="20"/>
      <c r="G1295" s="22" t="str">
        <f>IF($C1295="","",IFERROR(INDEX(Productos!$F$5:$F$504,MATCH($C1295,Productos!$A$5:$A$504,0)),0))</f>
        <v/>
      </c>
      <c r="H1295" s="22" t="str">
        <f t="shared" si="20"/>
        <v/>
      </c>
      <c r="I1295" s="14" t="str">
        <f>IF(OR($C1295="",$F1295=""),"",IFERROR(INDEX(Productos!$I$5:$I$504,MATCH($C1295,Productos!$A$5:$A$504,0)),0)+SUMIFS($F$5:$F1295,$C$5:$C1295,$C1295,$B$5:$B1295,"Entrada")-SUMIFS($F$5:$F1295,$C$5:$C1295,$C1295,$B$5:$B1295,"Salida"))</f>
        <v/>
      </c>
      <c r="J1295" s="20"/>
      <c r="K1295" s="20"/>
      <c r="L1295" s="20"/>
      <c r="M1295" s="14" t="str">
        <f>IF(AND($C1295&lt;&gt;"",$C1295=Kardex!$C$4),COUNTIF($C$5:$C1295,Kardex!$C$4),"")</f>
        <v/>
      </c>
    </row>
    <row r="1296" spans="1:13" x14ac:dyDescent="0.25">
      <c r="A1296" s="24"/>
      <c r="B1296" s="20"/>
      <c r="C1296" s="20"/>
      <c r="D1296" s="14" t="str">
        <f>IF($C1296="","",IFERROR(INDEX(Productos!$B$5:$B$504,MATCH($C1296,Productos!$A$5:$A$504,0)),"Clave no existe"))</f>
        <v/>
      </c>
      <c r="E1296" s="14" t="str">
        <f>IF($C1296="","",IFERROR(INDEX(Productos!$D$5:$D$504,MATCH($C1296,Productos!$A$5:$A$504,0)),""))</f>
        <v/>
      </c>
      <c r="F1296" s="20"/>
      <c r="G1296" s="22" t="str">
        <f>IF($C1296="","",IFERROR(INDEX(Productos!$F$5:$F$504,MATCH($C1296,Productos!$A$5:$A$504,0)),0))</f>
        <v/>
      </c>
      <c r="H1296" s="22" t="str">
        <f t="shared" si="20"/>
        <v/>
      </c>
      <c r="I1296" s="14" t="str">
        <f>IF(OR($C1296="",$F1296=""),"",IFERROR(INDEX(Productos!$I$5:$I$504,MATCH($C1296,Productos!$A$5:$A$504,0)),0)+SUMIFS($F$5:$F1296,$C$5:$C1296,$C1296,$B$5:$B1296,"Entrada")-SUMIFS($F$5:$F1296,$C$5:$C1296,$C1296,$B$5:$B1296,"Salida"))</f>
        <v/>
      </c>
      <c r="J1296" s="20"/>
      <c r="K1296" s="20"/>
      <c r="L1296" s="20"/>
      <c r="M1296" s="14" t="str">
        <f>IF(AND($C1296&lt;&gt;"",$C1296=Kardex!$C$4),COUNTIF($C$5:$C1296,Kardex!$C$4),"")</f>
        <v/>
      </c>
    </row>
    <row r="1297" spans="1:13" x14ac:dyDescent="0.25">
      <c r="A1297" s="24"/>
      <c r="B1297" s="20"/>
      <c r="C1297" s="20"/>
      <c r="D1297" s="14" t="str">
        <f>IF($C1297="","",IFERROR(INDEX(Productos!$B$5:$B$504,MATCH($C1297,Productos!$A$5:$A$504,0)),"Clave no existe"))</f>
        <v/>
      </c>
      <c r="E1297" s="14" t="str">
        <f>IF($C1297="","",IFERROR(INDEX(Productos!$D$5:$D$504,MATCH($C1297,Productos!$A$5:$A$504,0)),""))</f>
        <v/>
      </c>
      <c r="F1297" s="20"/>
      <c r="G1297" s="22" t="str">
        <f>IF($C1297="","",IFERROR(INDEX(Productos!$F$5:$F$504,MATCH($C1297,Productos!$A$5:$A$504,0)),0))</f>
        <v/>
      </c>
      <c r="H1297" s="22" t="str">
        <f t="shared" si="20"/>
        <v/>
      </c>
      <c r="I1297" s="14" t="str">
        <f>IF(OR($C1297="",$F1297=""),"",IFERROR(INDEX(Productos!$I$5:$I$504,MATCH($C1297,Productos!$A$5:$A$504,0)),0)+SUMIFS($F$5:$F1297,$C$5:$C1297,$C1297,$B$5:$B1297,"Entrada")-SUMIFS($F$5:$F1297,$C$5:$C1297,$C1297,$B$5:$B1297,"Salida"))</f>
        <v/>
      </c>
      <c r="J1297" s="20"/>
      <c r="K1297" s="20"/>
      <c r="L1297" s="20"/>
      <c r="M1297" s="14" t="str">
        <f>IF(AND($C1297&lt;&gt;"",$C1297=Kardex!$C$4),COUNTIF($C$5:$C1297,Kardex!$C$4),"")</f>
        <v/>
      </c>
    </row>
    <row r="1298" spans="1:13" x14ac:dyDescent="0.25">
      <c r="A1298" s="24"/>
      <c r="B1298" s="20"/>
      <c r="C1298" s="20"/>
      <c r="D1298" s="14" t="str">
        <f>IF($C1298="","",IFERROR(INDEX(Productos!$B$5:$B$504,MATCH($C1298,Productos!$A$5:$A$504,0)),"Clave no existe"))</f>
        <v/>
      </c>
      <c r="E1298" s="14" t="str">
        <f>IF($C1298="","",IFERROR(INDEX(Productos!$D$5:$D$504,MATCH($C1298,Productos!$A$5:$A$504,0)),""))</f>
        <v/>
      </c>
      <c r="F1298" s="20"/>
      <c r="G1298" s="22" t="str">
        <f>IF($C1298="","",IFERROR(INDEX(Productos!$F$5:$F$504,MATCH($C1298,Productos!$A$5:$A$504,0)),0))</f>
        <v/>
      </c>
      <c r="H1298" s="22" t="str">
        <f t="shared" si="20"/>
        <v/>
      </c>
      <c r="I1298" s="14" t="str">
        <f>IF(OR($C1298="",$F1298=""),"",IFERROR(INDEX(Productos!$I$5:$I$504,MATCH($C1298,Productos!$A$5:$A$504,0)),0)+SUMIFS($F$5:$F1298,$C$5:$C1298,$C1298,$B$5:$B1298,"Entrada")-SUMIFS($F$5:$F1298,$C$5:$C1298,$C1298,$B$5:$B1298,"Salida"))</f>
        <v/>
      </c>
      <c r="J1298" s="20"/>
      <c r="K1298" s="20"/>
      <c r="L1298" s="20"/>
      <c r="M1298" s="14" t="str">
        <f>IF(AND($C1298&lt;&gt;"",$C1298=Kardex!$C$4),COUNTIF($C$5:$C1298,Kardex!$C$4),"")</f>
        <v/>
      </c>
    </row>
    <row r="1299" spans="1:13" x14ac:dyDescent="0.25">
      <c r="A1299" s="24"/>
      <c r="B1299" s="20"/>
      <c r="C1299" s="20"/>
      <c r="D1299" s="14" t="str">
        <f>IF($C1299="","",IFERROR(INDEX(Productos!$B$5:$B$504,MATCH($C1299,Productos!$A$5:$A$504,0)),"Clave no existe"))</f>
        <v/>
      </c>
      <c r="E1299" s="14" t="str">
        <f>IF($C1299="","",IFERROR(INDEX(Productos!$D$5:$D$504,MATCH($C1299,Productos!$A$5:$A$504,0)),""))</f>
        <v/>
      </c>
      <c r="F1299" s="20"/>
      <c r="G1299" s="22" t="str">
        <f>IF($C1299="","",IFERROR(INDEX(Productos!$F$5:$F$504,MATCH($C1299,Productos!$A$5:$A$504,0)),0))</f>
        <v/>
      </c>
      <c r="H1299" s="22" t="str">
        <f t="shared" si="20"/>
        <v/>
      </c>
      <c r="I1299" s="14" t="str">
        <f>IF(OR($C1299="",$F1299=""),"",IFERROR(INDEX(Productos!$I$5:$I$504,MATCH($C1299,Productos!$A$5:$A$504,0)),0)+SUMIFS($F$5:$F1299,$C$5:$C1299,$C1299,$B$5:$B1299,"Entrada")-SUMIFS($F$5:$F1299,$C$5:$C1299,$C1299,$B$5:$B1299,"Salida"))</f>
        <v/>
      </c>
      <c r="J1299" s="20"/>
      <c r="K1299" s="20"/>
      <c r="L1299" s="20"/>
      <c r="M1299" s="14" t="str">
        <f>IF(AND($C1299&lt;&gt;"",$C1299=Kardex!$C$4),COUNTIF($C$5:$C1299,Kardex!$C$4),"")</f>
        <v/>
      </c>
    </row>
    <row r="1300" spans="1:13" x14ac:dyDescent="0.25">
      <c r="A1300" s="24"/>
      <c r="B1300" s="20"/>
      <c r="C1300" s="20"/>
      <c r="D1300" s="14" t="str">
        <f>IF($C1300="","",IFERROR(INDEX(Productos!$B$5:$B$504,MATCH($C1300,Productos!$A$5:$A$504,0)),"Clave no existe"))</f>
        <v/>
      </c>
      <c r="E1300" s="14" t="str">
        <f>IF($C1300="","",IFERROR(INDEX(Productos!$D$5:$D$504,MATCH($C1300,Productos!$A$5:$A$504,0)),""))</f>
        <v/>
      </c>
      <c r="F1300" s="20"/>
      <c r="G1300" s="22" t="str">
        <f>IF($C1300="","",IFERROR(INDEX(Productos!$F$5:$F$504,MATCH($C1300,Productos!$A$5:$A$504,0)),0))</f>
        <v/>
      </c>
      <c r="H1300" s="22" t="str">
        <f t="shared" si="20"/>
        <v/>
      </c>
      <c r="I1300" s="14" t="str">
        <f>IF(OR($C1300="",$F1300=""),"",IFERROR(INDEX(Productos!$I$5:$I$504,MATCH($C1300,Productos!$A$5:$A$504,0)),0)+SUMIFS($F$5:$F1300,$C$5:$C1300,$C1300,$B$5:$B1300,"Entrada")-SUMIFS($F$5:$F1300,$C$5:$C1300,$C1300,$B$5:$B1300,"Salida"))</f>
        <v/>
      </c>
      <c r="J1300" s="20"/>
      <c r="K1300" s="20"/>
      <c r="L1300" s="20"/>
      <c r="M1300" s="14" t="str">
        <f>IF(AND($C1300&lt;&gt;"",$C1300=Kardex!$C$4),COUNTIF($C$5:$C1300,Kardex!$C$4),"")</f>
        <v/>
      </c>
    </row>
    <row r="1301" spans="1:13" x14ac:dyDescent="0.25">
      <c r="A1301" s="24"/>
      <c r="B1301" s="20"/>
      <c r="C1301" s="20"/>
      <c r="D1301" s="14" t="str">
        <f>IF($C1301="","",IFERROR(INDEX(Productos!$B$5:$B$504,MATCH($C1301,Productos!$A$5:$A$504,0)),"Clave no existe"))</f>
        <v/>
      </c>
      <c r="E1301" s="14" t="str">
        <f>IF($C1301="","",IFERROR(INDEX(Productos!$D$5:$D$504,MATCH($C1301,Productos!$A$5:$A$504,0)),""))</f>
        <v/>
      </c>
      <c r="F1301" s="20"/>
      <c r="G1301" s="22" t="str">
        <f>IF($C1301="","",IFERROR(INDEX(Productos!$F$5:$F$504,MATCH($C1301,Productos!$A$5:$A$504,0)),0))</f>
        <v/>
      </c>
      <c r="H1301" s="22" t="str">
        <f t="shared" si="20"/>
        <v/>
      </c>
      <c r="I1301" s="14" t="str">
        <f>IF(OR($C1301="",$F1301=""),"",IFERROR(INDEX(Productos!$I$5:$I$504,MATCH($C1301,Productos!$A$5:$A$504,0)),0)+SUMIFS($F$5:$F1301,$C$5:$C1301,$C1301,$B$5:$B1301,"Entrada")-SUMIFS($F$5:$F1301,$C$5:$C1301,$C1301,$B$5:$B1301,"Salida"))</f>
        <v/>
      </c>
      <c r="J1301" s="20"/>
      <c r="K1301" s="20"/>
      <c r="L1301" s="20"/>
      <c r="M1301" s="14" t="str">
        <f>IF(AND($C1301&lt;&gt;"",$C1301=Kardex!$C$4),COUNTIF($C$5:$C1301,Kardex!$C$4),"")</f>
        <v/>
      </c>
    </row>
    <row r="1302" spans="1:13" x14ac:dyDescent="0.25">
      <c r="A1302" s="24"/>
      <c r="B1302" s="20"/>
      <c r="C1302" s="20"/>
      <c r="D1302" s="14" t="str">
        <f>IF($C1302="","",IFERROR(INDEX(Productos!$B$5:$B$504,MATCH($C1302,Productos!$A$5:$A$504,0)),"Clave no existe"))</f>
        <v/>
      </c>
      <c r="E1302" s="14" t="str">
        <f>IF($C1302="","",IFERROR(INDEX(Productos!$D$5:$D$504,MATCH($C1302,Productos!$A$5:$A$504,0)),""))</f>
        <v/>
      </c>
      <c r="F1302" s="20"/>
      <c r="G1302" s="22" t="str">
        <f>IF($C1302="","",IFERROR(INDEX(Productos!$F$5:$F$504,MATCH($C1302,Productos!$A$5:$A$504,0)),0))</f>
        <v/>
      </c>
      <c r="H1302" s="22" t="str">
        <f t="shared" si="20"/>
        <v/>
      </c>
      <c r="I1302" s="14" t="str">
        <f>IF(OR($C1302="",$F1302=""),"",IFERROR(INDEX(Productos!$I$5:$I$504,MATCH($C1302,Productos!$A$5:$A$504,0)),0)+SUMIFS($F$5:$F1302,$C$5:$C1302,$C1302,$B$5:$B1302,"Entrada")-SUMIFS($F$5:$F1302,$C$5:$C1302,$C1302,$B$5:$B1302,"Salida"))</f>
        <v/>
      </c>
      <c r="J1302" s="20"/>
      <c r="K1302" s="20"/>
      <c r="L1302" s="20"/>
      <c r="M1302" s="14" t="str">
        <f>IF(AND($C1302&lt;&gt;"",$C1302=Kardex!$C$4),COUNTIF($C$5:$C1302,Kardex!$C$4),"")</f>
        <v/>
      </c>
    </row>
    <row r="1303" spans="1:13" x14ac:dyDescent="0.25">
      <c r="A1303" s="24"/>
      <c r="B1303" s="20"/>
      <c r="C1303" s="20"/>
      <c r="D1303" s="14" t="str">
        <f>IF($C1303="","",IFERROR(INDEX(Productos!$B$5:$B$504,MATCH($C1303,Productos!$A$5:$A$504,0)),"Clave no existe"))</f>
        <v/>
      </c>
      <c r="E1303" s="14" t="str">
        <f>IF($C1303="","",IFERROR(INDEX(Productos!$D$5:$D$504,MATCH($C1303,Productos!$A$5:$A$504,0)),""))</f>
        <v/>
      </c>
      <c r="F1303" s="20"/>
      <c r="G1303" s="22" t="str">
        <f>IF($C1303="","",IFERROR(INDEX(Productos!$F$5:$F$504,MATCH($C1303,Productos!$A$5:$A$504,0)),0))</f>
        <v/>
      </c>
      <c r="H1303" s="22" t="str">
        <f t="shared" si="20"/>
        <v/>
      </c>
      <c r="I1303" s="14" t="str">
        <f>IF(OR($C1303="",$F1303=""),"",IFERROR(INDEX(Productos!$I$5:$I$504,MATCH($C1303,Productos!$A$5:$A$504,0)),0)+SUMIFS($F$5:$F1303,$C$5:$C1303,$C1303,$B$5:$B1303,"Entrada")-SUMIFS($F$5:$F1303,$C$5:$C1303,$C1303,$B$5:$B1303,"Salida"))</f>
        <v/>
      </c>
      <c r="J1303" s="20"/>
      <c r="K1303" s="20"/>
      <c r="L1303" s="20"/>
      <c r="M1303" s="14" t="str">
        <f>IF(AND($C1303&lt;&gt;"",$C1303=Kardex!$C$4),COUNTIF($C$5:$C1303,Kardex!$C$4),"")</f>
        <v/>
      </c>
    </row>
    <row r="1304" spans="1:13" x14ac:dyDescent="0.25">
      <c r="A1304" s="24"/>
      <c r="B1304" s="20"/>
      <c r="C1304" s="20"/>
      <c r="D1304" s="14" t="str">
        <f>IF($C1304="","",IFERROR(INDEX(Productos!$B$5:$B$504,MATCH($C1304,Productos!$A$5:$A$504,0)),"Clave no existe"))</f>
        <v/>
      </c>
      <c r="E1304" s="14" t="str">
        <f>IF($C1304="","",IFERROR(INDEX(Productos!$D$5:$D$504,MATCH($C1304,Productos!$A$5:$A$504,0)),""))</f>
        <v/>
      </c>
      <c r="F1304" s="20"/>
      <c r="G1304" s="22" t="str">
        <f>IF($C1304="","",IFERROR(INDEX(Productos!$F$5:$F$504,MATCH($C1304,Productos!$A$5:$A$504,0)),0))</f>
        <v/>
      </c>
      <c r="H1304" s="22" t="str">
        <f t="shared" si="20"/>
        <v/>
      </c>
      <c r="I1304" s="14" t="str">
        <f>IF(OR($C1304="",$F1304=""),"",IFERROR(INDEX(Productos!$I$5:$I$504,MATCH($C1304,Productos!$A$5:$A$504,0)),0)+SUMIFS($F$5:$F1304,$C$5:$C1304,$C1304,$B$5:$B1304,"Entrada")-SUMIFS($F$5:$F1304,$C$5:$C1304,$C1304,$B$5:$B1304,"Salida"))</f>
        <v/>
      </c>
      <c r="J1304" s="20"/>
      <c r="K1304" s="20"/>
      <c r="L1304" s="20"/>
      <c r="M1304" s="14" t="str">
        <f>IF(AND($C1304&lt;&gt;"",$C1304=Kardex!$C$4),COUNTIF($C$5:$C1304,Kardex!$C$4),"")</f>
        <v/>
      </c>
    </row>
    <row r="1305" spans="1:13" x14ac:dyDescent="0.25">
      <c r="A1305" s="24"/>
      <c r="B1305" s="20"/>
      <c r="C1305" s="20"/>
      <c r="D1305" s="14" t="str">
        <f>IF($C1305="","",IFERROR(INDEX(Productos!$B$5:$B$504,MATCH($C1305,Productos!$A$5:$A$504,0)),"Clave no existe"))</f>
        <v/>
      </c>
      <c r="E1305" s="14" t="str">
        <f>IF($C1305="","",IFERROR(INDEX(Productos!$D$5:$D$504,MATCH($C1305,Productos!$A$5:$A$504,0)),""))</f>
        <v/>
      </c>
      <c r="F1305" s="20"/>
      <c r="G1305" s="22" t="str">
        <f>IF($C1305="","",IFERROR(INDEX(Productos!$F$5:$F$504,MATCH($C1305,Productos!$A$5:$A$504,0)),0))</f>
        <v/>
      </c>
      <c r="H1305" s="22" t="str">
        <f t="shared" si="20"/>
        <v/>
      </c>
      <c r="I1305" s="14" t="str">
        <f>IF(OR($C1305="",$F1305=""),"",IFERROR(INDEX(Productos!$I$5:$I$504,MATCH($C1305,Productos!$A$5:$A$504,0)),0)+SUMIFS($F$5:$F1305,$C$5:$C1305,$C1305,$B$5:$B1305,"Entrada")-SUMIFS($F$5:$F1305,$C$5:$C1305,$C1305,$B$5:$B1305,"Salida"))</f>
        <v/>
      </c>
      <c r="J1305" s="20"/>
      <c r="K1305" s="20"/>
      <c r="L1305" s="20"/>
      <c r="M1305" s="14" t="str">
        <f>IF(AND($C1305&lt;&gt;"",$C1305=Kardex!$C$4),COUNTIF($C$5:$C1305,Kardex!$C$4),"")</f>
        <v/>
      </c>
    </row>
    <row r="1306" spans="1:13" x14ac:dyDescent="0.25">
      <c r="A1306" s="24"/>
      <c r="B1306" s="20"/>
      <c r="C1306" s="20"/>
      <c r="D1306" s="14" t="str">
        <f>IF($C1306="","",IFERROR(INDEX(Productos!$B$5:$B$504,MATCH($C1306,Productos!$A$5:$A$504,0)),"Clave no existe"))</f>
        <v/>
      </c>
      <c r="E1306" s="14" t="str">
        <f>IF($C1306="","",IFERROR(INDEX(Productos!$D$5:$D$504,MATCH($C1306,Productos!$A$5:$A$504,0)),""))</f>
        <v/>
      </c>
      <c r="F1306" s="20"/>
      <c r="G1306" s="22" t="str">
        <f>IF($C1306="","",IFERROR(INDEX(Productos!$F$5:$F$504,MATCH($C1306,Productos!$A$5:$A$504,0)),0))</f>
        <v/>
      </c>
      <c r="H1306" s="22" t="str">
        <f t="shared" si="20"/>
        <v/>
      </c>
      <c r="I1306" s="14" t="str">
        <f>IF(OR($C1306="",$F1306=""),"",IFERROR(INDEX(Productos!$I$5:$I$504,MATCH($C1306,Productos!$A$5:$A$504,0)),0)+SUMIFS($F$5:$F1306,$C$5:$C1306,$C1306,$B$5:$B1306,"Entrada")-SUMIFS($F$5:$F1306,$C$5:$C1306,$C1306,$B$5:$B1306,"Salida"))</f>
        <v/>
      </c>
      <c r="J1306" s="20"/>
      <c r="K1306" s="20"/>
      <c r="L1306" s="20"/>
      <c r="M1306" s="14" t="str">
        <f>IF(AND($C1306&lt;&gt;"",$C1306=Kardex!$C$4),COUNTIF($C$5:$C1306,Kardex!$C$4),"")</f>
        <v/>
      </c>
    </row>
    <row r="1307" spans="1:13" x14ac:dyDescent="0.25">
      <c r="A1307" s="24"/>
      <c r="B1307" s="20"/>
      <c r="C1307" s="20"/>
      <c r="D1307" s="14" t="str">
        <f>IF($C1307="","",IFERROR(INDEX(Productos!$B$5:$B$504,MATCH($C1307,Productos!$A$5:$A$504,0)),"Clave no existe"))</f>
        <v/>
      </c>
      <c r="E1307" s="14" t="str">
        <f>IF($C1307="","",IFERROR(INDEX(Productos!$D$5:$D$504,MATCH($C1307,Productos!$A$5:$A$504,0)),""))</f>
        <v/>
      </c>
      <c r="F1307" s="20"/>
      <c r="G1307" s="22" t="str">
        <f>IF($C1307="","",IFERROR(INDEX(Productos!$F$5:$F$504,MATCH($C1307,Productos!$A$5:$A$504,0)),0))</f>
        <v/>
      </c>
      <c r="H1307" s="22" t="str">
        <f t="shared" si="20"/>
        <v/>
      </c>
      <c r="I1307" s="14" t="str">
        <f>IF(OR($C1307="",$F1307=""),"",IFERROR(INDEX(Productos!$I$5:$I$504,MATCH($C1307,Productos!$A$5:$A$504,0)),0)+SUMIFS($F$5:$F1307,$C$5:$C1307,$C1307,$B$5:$B1307,"Entrada")-SUMIFS($F$5:$F1307,$C$5:$C1307,$C1307,$B$5:$B1307,"Salida"))</f>
        <v/>
      </c>
      <c r="J1307" s="20"/>
      <c r="K1307" s="20"/>
      <c r="L1307" s="20"/>
      <c r="M1307" s="14" t="str">
        <f>IF(AND($C1307&lt;&gt;"",$C1307=Kardex!$C$4),COUNTIF($C$5:$C1307,Kardex!$C$4),"")</f>
        <v/>
      </c>
    </row>
    <row r="1308" spans="1:13" x14ac:dyDescent="0.25">
      <c r="A1308" s="24"/>
      <c r="B1308" s="20"/>
      <c r="C1308" s="20"/>
      <c r="D1308" s="14" t="str">
        <f>IF($C1308="","",IFERROR(INDEX(Productos!$B$5:$B$504,MATCH($C1308,Productos!$A$5:$A$504,0)),"Clave no existe"))</f>
        <v/>
      </c>
      <c r="E1308" s="14" t="str">
        <f>IF($C1308="","",IFERROR(INDEX(Productos!$D$5:$D$504,MATCH($C1308,Productos!$A$5:$A$504,0)),""))</f>
        <v/>
      </c>
      <c r="F1308" s="20"/>
      <c r="G1308" s="22" t="str">
        <f>IF($C1308="","",IFERROR(INDEX(Productos!$F$5:$F$504,MATCH($C1308,Productos!$A$5:$A$504,0)),0))</f>
        <v/>
      </c>
      <c r="H1308" s="22" t="str">
        <f t="shared" si="20"/>
        <v/>
      </c>
      <c r="I1308" s="14" t="str">
        <f>IF(OR($C1308="",$F1308=""),"",IFERROR(INDEX(Productos!$I$5:$I$504,MATCH($C1308,Productos!$A$5:$A$504,0)),0)+SUMIFS($F$5:$F1308,$C$5:$C1308,$C1308,$B$5:$B1308,"Entrada")-SUMIFS($F$5:$F1308,$C$5:$C1308,$C1308,$B$5:$B1308,"Salida"))</f>
        <v/>
      </c>
      <c r="J1308" s="20"/>
      <c r="K1308" s="20"/>
      <c r="L1308" s="20"/>
      <c r="M1308" s="14" t="str">
        <f>IF(AND($C1308&lt;&gt;"",$C1308=Kardex!$C$4),COUNTIF($C$5:$C1308,Kardex!$C$4),"")</f>
        <v/>
      </c>
    </row>
    <row r="1309" spans="1:13" x14ac:dyDescent="0.25">
      <c r="A1309" s="24"/>
      <c r="B1309" s="20"/>
      <c r="C1309" s="20"/>
      <c r="D1309" s="14" t="str">
        <f>IF($C1309="","",IFERROR(INDEX(Productos!$B$5:$B$504,MATCH($C1309,Productos!$A$5:$A$504,0)),"Clave no existe"))</f>
        <v/>
      </c>
      <c r="E1309" s="14" t="str">
        <f>IF($C1309="","",IFERROR(INDEX(Productos!$D$5:$D$504,MATCH($C1309,Productos!$A$5:$A$504,0)),""))</f>
        <v/>
      </c>
      <c r="F1309" s="20"/>
      <c r="G1309" s="22" t="str">
        <f>IF($C1309="","",IFERROR(INDEX(Productos!$F$5:$F$504,MATCH($C1309,Productos!$A$5:$A$504,0)),0))</f>
        <v/>
      </c>
      <c r="H1309" s="22" t="str">
        <f t="shared" si="20"/>
        <v/>
      </c>
      <c r="I1309" s="14" t="str">
        <f>IF(OR($C1309="",$F1309=""),"",IFERROR(INDEX(Productos!$I$5:$I$504,MATCH($C1309,Productos!$A$5:$A$504,0)),0)+SUMIFS($F$5:$F1309,$C$5:$C1309,$C1309,$B$5:$B1309,"Entrada")-SUMIFS($F$5:$F1309,$C$5:$C1309,$C1309,$B$5:$B1309,"Salida"))</f>
        <v/>
      </c>
      <c r="J1309" s="20"/>
      <c r="K1309" s="20"/>
      <c r="L1309" s="20"/>
      <c r="M1309" s="14" t="str">
        <f>IF(AND($C1309&lt;&gt;"",$C1309=Kardex!$C$4),COUNTIF($C$5:$C1309,Kardex!$C$4),"")</f>
        <v/>
      </c>
    </row>
    <row r="1310" spans="1:13" x14ac:dyDescent="0.25">
      <c r="A1310" s="24"/>
      <c r="B1310" s="20"/>
      <c r="C1310" s="20"/>
      <c r="D1310" s="14" t="str">
        <f>IF($C1310="","",IFERROR(INDEX(Productos!$B$5:$B$504,MATCH($C1310,Productos!$A$5:$A$504,0)),"Clave no existe"))</f>
        <v/>
      </c>
      <c r="E1310" s="14" t="str">
        <f>IF($C1310="","",IFERROR(INDEX(Productos!$D$5:$D$504,MATCH($C1310,Productos!$A$5:$A$504,0)),""))</f>
        <v/>
      </c>
      <c r="F1310" s="20"/>
      <c r="G1310" s="22" t="str">
        <f>IF($C1310="","",IFERROR(INDEX(Productos!$F$5:$F$504,MATCH($C1310,Productos!$A$5:$A$504,0)),0))</f>
        <v/>
      </c>
      <c r="H1310" s="22" t="str">
        <f t="shared" si="20"/>
        <v/>
      </c>
      <c r="I1310" s="14" t="str">
        <f>IF(OR($C1310="",$F1310=""),"",IFERROR(INDEX(Productos!$I$5:$I$504,MATCH($C1310,Productos!$A$5:$A$504,0)),0)+SUMIFS($F$5:$F1310,$C$5:$C1310,$C1310,$B$5:$B1310,"Entrada")-SUMIFS($F$5:$F1310,$C$5:$C1310,$C1310,$B$5:$B1310,"Salida"))</f>
        <v/>
      </c>
      <c r="J1310" s="20"/>
      <c r="K1310" s="20"/>
      <c r="L1310" s="20"/>
      <c r="M1310" s="14" t="str">
        <f>IF(AND($C1310&lt;&gt;"",$C1310=Kardex!$C$4),COUNTIF($C$5:$C1310,Kardex!$C$4),"")</f>
        <v/>
      </c>
    </row>
    <row r="1311" spans="1:13" x14ac:dyDescent="0.25">
      <c r="A1311" s="24"/>
      <c r="B1311" s="20"/>
      <c r="C1311" s="20"/>
      <c r="D1311" s="14" t="str">
        <f>IF($C1311="","",IFERROR(INDEX(Productos!$B$5:$B$504,MATCH($C1311,Productos!$A$5:$A$504,0)),"Clave no existe"))</f>
        <v/>
      </c>
      <c r="E1311" s="14" t="str">
        <f>IF($C1311="","",IFERROR(INDEX(Productos!$D$5:$D$504,MATCH($C1311,Productos!$A$5:$A$504,0)),""))</f>
        <v/>
      </c>
      <c r="F1311" s="20"/>
      <c r="G1311" s="22" t="str">
        <f>IF($C1311="","",IFERROR(INDEX(Productos!$F$5:$F$504,MATCH($C1311,Productos!$A$5:$A$504,0)),0))</f>
        <v/>
      </c>
      <c r="H1311" s="22" t="str">
        <f t="shared" si="20"/>
        <v/>
      </c>
      <c r="I1311" s="14" t="str">
        <f>IF(OR($C1311="",$F1311=""),"",IFERROR(INDEX(Productos!$I$5:$I$504,MATCH($C1311,Productos!$A$5:$A$504,0)),0)+SUMIFS($F$5:$F1311,$C$5:$C1311,$C1311,$B$5:$B1311,"Entrada")-SUMIFS($F$5:$F1311,$C$5:$C1311,$C1311,$B$5:$B1311,"Salida"))</f>
        <v/>
      </c>
      <c r="J1311" s="20"/>
      <c r="K1311" s="20"/>
      <c r="L1311" s="20"/>
      <c r="M1311" s="14" t="str">
        <f>IF(AND($C1311&lt;&gt;"",$C1311=Kardex!$C$4),COUNTIF($C$5:$C1311,Kardex!$C$4),"")</f>
        <v/>
      </c>
    </row>
    <row r="1312" spans="1:13" x14ac:dyDescent="0.25">
      <c r="A1312" s="24"/>
      <c r="B1312" s="20"/>
      <c r="C1312" s="20"/>
      <c r="D1312" s="14" t="str">
        <f>IF($C1312="","",IFERROR(INDEX(Productos!$B$5:$B$504,MATCH($C1312,Productos!$A$5:$A$504,0)),"Clave no existe"))</f>
        <v/>
      </c>
      <c r="E1312" s="14" t="str">
        <f>IF($C1312="","",IFERROR(INDEX(Productos!$D$5:$D$504,MATCH($C1312,Productos!$A$5:$A$504,0)),""))</f>
        <v/>
      </c>
      <c r="F1312" s="20"/>
      <c r="G1312" s="22" t="str">
        <f>IF($C1312="","",IFERROR(INDEX(Productos!$F$5:$F$504,MATCH($C1312,Productos!$A$5:$A$504,0)),0))</f>
        <v/>
      </c>
      <c r="H1312" s="22" t="str">
        <f t="shared" si="20"/>
        <v/>
      </c>
      <c r="I1312" s="14" t="str">
        <f>IF(OR($C1312="",$F1312=""),"",IFERROR(INDEX(Productos!$I$5:$I$504,MATCH($C1312,Productos!$A$5:$A$504,0)),0)+SUMIFS($F$5:$F1312,$C$5:$C1312,$C1312,$B$5:$B1312,"Entrada")-SUMIFS($F$5:$F1312,$C$5:$C1312,$C1312,$B$5:$B1312,"Salida"))</f>
        <v/>
      </c>
      <c r="J1312" s="20"/>
      <c r="K1312" s="20"/>
      <c r="L1312" s="20"/>
      <c r="M1312" s="14" t="str">
        <f>IF(AND($C1312&lt;&gt;"",$C1312=Kardex!$C$4),COUNTIF($C$5:$C1312,Kardex!$C$4),"")</f>
        <v/>
      </c>
    </row>
    <row r="1313" spans="1:13" x14ac:dyDescent="0.25">
      <c r="A1313" s="24"/>
      <c r="B1313" s="20"/>
      <c r="C1313" s="20"/>
      <c r="D1313" s="14" t="str">
        <f>IF($C1313="","",IFERROR(INDEX(Productos!$B$5:$B$504,MATCH($C1313,Productos!$A$5:$A$504,0)),"Clave no existe"))</f>
        <v/>
      </c>
      <c r="E1313" s="14" t="str">
        <f>IF($C1313="","",IFERROR(INDEX(Productos!$D$5:$D$504,MATCH($C1313,Productos!$A$5:$A$504,0)),""))</f>
        <v/>
      </c>
      <c r="F1313" s="20"/>
      <c r="G1313" s="22" t="str">
        <f>IF($C1313="","",IFERROR(INDEX(Productos!$F$5:$F$504,MATCH($C1313,Productos!$A$5:$A$504,0)),0))</f>
        <v/>
      </c>
      <c r="H1313" s="22" t="str">
        <f t="shared" si="20"/>
        <v/>
      </c>
      <c r="I1313" s="14" t="str">
        <f>IF(OR($C1313="",$F1313=""),"",IFERROR(INDEX(Productos!$I$5:$I$504,MATCH($C1313,Productos!$A$5:$A$504,0)),0)+SUMIFS($F$5:$F1313,$C$5:$C1313,$C1313,$B$5:$B1313,"Entrada")-SUMIFS($F$5:$F1313,$C$5:$C1313,$C1313,$B$5:$B1313,"Salida"))</f>
        <v/>
      </c>
      <c r="J1313" s="20"/>
      <c r="K1313" s="20"/>
      <c r="L1313" s="20"/>
      <c r="M1313" s="14" t="str">
        <f>IF(AND($C1313&lt;&gt;"",$C1313=Kardex!$C$4),COUNTIF($C$5:$C1313,Kardex!$C$4),"")</f>
        <v/>
      </c>
    </row>
    <row r="1314" spans="1:13" x14ac:dyDescent="0.25">
      <c r="A1314" s="24"/>
      <c r="B1314" s="20"/>
      <c r="C1314" s="20"/>
      <c r="D1314" s="14" t="str">
        <f>IF($C1314="","",IFERROR(INDEX(Productos!$B$5:$B$504,MATCH($C1314,Productos!$A$5:$A$504,0)),"Clave no existe"))</f>
        <v/>
      </c>
      <c r="E1314" s="14" t="str">
        <f>IF($C1314="","",IFERROR(INDEX(Productos!$D$5:$D$504,MATCH($C1314,Productos!$A$5:$A$504,0)),""))</f>
        <v/>
      </c>
      <c r="F1314" s="20"/>
      <c r="G1314" s="22" t="str">
        <f>IF($C1314="","",IFERROR(INDEX(Productos!$F$5:$F$504,MATCH($C1314,Productos!$A$5:$A$504,0)),0))</f>
        <v/>
      </c>
      <c r="H1314" s="22" t="str">
        <f t="shared" si="20"/>
        <v/>
      </c>
      <c r="I1314" s="14" t="str">
        <f>IF(OR($C1314="",$F1314=""),"",IFERROR(INDEX(Productos!$I$5:$I$504,MATCH($C1314,Productos!$A$5:$A$504,0)),0)+SUMIFS($F$5:$F1314,$C$5:$C1314,$C1314,$B$5:$B1314,"Entrada")-SUMIFS($F$5:$F1314,$C$5:$C1314,$C1314,$B$5:$B1314,"Salida"))</f>
        <v/>
      </c>
      <c r="J1314" s="20"/>
      <c r="K1314" s="20"/>
      <c r="L1314" s="20"/>
      <c r="M1314" s="14" t="str">
        <f>IF(AND($C1314&lt;&gt;"",$C1314=Kardex!$C$4),COUNTIF($C$5:$C1314,Kardex!$C$4),"")</f>
        <v/>
      </c>
    </row>
    <row r="1315" spans="1:13" x14ac:dyDescent="0.25">
      <c r="A1315" s="24"/>
      <c r="B1315" s="20"/>
      <c r="C1315" s="20"/>
      <c r="D1315" s="14" t="str">
        <f>IF($C1315="","",IFERROR(INDEX(Productos!$B$5:$B$504,MATCH($C1315,Productos!$A$5:$A$504,0)),"Clave no existe"))</f>
        <v/>
      </c>
      <c r="E1315" s="14" t="str">
        <f>IF($C1315="","",IFERROR(INDEX(Productos!$D$5:$D$504,MATCH($C1315,Productos!$A$5:$A$504,0)),""))</f>
        <v/>
      </c>
      <c r="F1315" s="20"/>
      <c r="G1315" s="22" t="str">
        <f>IF($C1315="","",IFERROR(INDEX(Productos!$F$5:$F$504,MATCH($C1315,Productos!$A$5:$A$504,0)),0))</f>
        <v/>
      </c>
      <c r="H1315" s="22" t="str">
        <f t="shared" si="20"/>
        <v/>
      </c>
      <c r="I1315" s="14" t="str">
        <f>IF(OR($C1315="",$F1315=""),"",IFERROR(INDEX(Productos!$I$5:$I$504,MATCH($C1315,Productos!$A$5:$A$504,0)),0)+SUMIFS($F$5:$F1315,$C$5:$C1315,$C1315,$B$5:$B1315,"Entrada")-SUMIFS($F$5:$F1315,$C$5:$C1315,$C1315,$B$5:$B1315,"Salida"))</f>
        <v/>
      </c>
      <c r="J1315" s="20"/>
      <c r="K1315" s="20"/>
      <c r="L1315" s="20"/>
      <c r="M1315" s="14" t="str">
        <f>IF(AND($C1315&lt;&gt;"",$C1315=Kardex!$C$4),COUNTIF($C$5:$C1315,Kardex!$C$4),"")</f>
        <v/>
      </c>
    </row>
    <row r="1316" spans="1:13" x14ac:dyDescent="0.25">
      <c r="A1316" s="24"/>
      <c r="B1316" s="20"/>
      <c r="C1316" s="20"/>
      <c r="D1316" s="14" t="str">
        <f>IF($C1316="","",IFERROR(INDEX(Productos!$B$5:$B$504,MATCH($C1316,Productos!$A$5:$A$504,0)),"Clave no existe"))</f>
        <v/>
      </c>
      <c r="E1316" s="14" t="str">
        <f>IF($C1316="","",IFERROR(INDEX(Productos!$D$5:$D$504,MATCH($C1316,Productos!$A$5:$A$504,0)),""))</f>
        <v/>
      </c>
      <c r="F1316" s="20"/>
      <c r="G1316" s="22" t="str">
        <f>IF($C1316="","",IFERROR(INDEX(Productos!$F$5:$F$504,MATCH($C1316,Productos!$A$5:$A$504,0)),0))</f>
        <v/>
      </c>
      <c r="H1316" s="22" t="str">
        <f t="shared" si="20"/>
        <v/>
      </c>
      <c r="I1316" s="14" t="str">
        <f>IF(OR($C1316="",$F1316=""),"",IFERROR(INDEX(Productos!$I$5:$I$504,MATCH($C1316,Productos!$A$5:$A$504,0)),0)+SUMIFS($F$5:$F1316,$C$5:$C1316,$C1316,$B$5:$B1316,"Entrada")-SUMIFS($F$5:$F1316,$C$5:$C1316,$C1316,$B$5:$B1316,"Salida"))</f>
        <v/>
      </c>
      <c r="J1316" s="20"/>
      <c r="K1316" s="20"/>
      <c r="L1316" s="20"/>
      <c r="M1316" s="14" t="str">
        <f>IF(AND($C1316&lt;&gt;"",$C1316=Kardex!$C$4),COUNTIF($C$5:$C1316,Kardex!$C$4),"")</f>
        <v/>
      </c>
    </row>
    <row r="1317" spans="1:13" x14ac:dyDescent="0.25">
      <c r="A1317" s="24"/>
      <c r="B1317" s="20"/>
      <c r="C1317" s="20"/>
      <c r="D1317" s="14" t="str">
        <f>IF($C1317="","",IFERROR(INDEX(Productos!$B$5:$B$504,MATCH($C1317,Productos!$A$5:$A$504,0)),"Clave no existe"))</f>
        <v/>
      </c>
      <c r="E1317" s="14" t="str">
        <f>IF($C1317="","",IFERROR(INDEX(Productos!$D$5:$D$504,MATCH($C1317,Productos!$A$5:$A$504,0)),""))</f>
        <v/>
      </c>
      <c r="F1317" s="20"/>
      <c r="G1317" s="22" t="str">
        <f>IF($C1317="","",IFERROR(INDEX(Productos!$F$5:$F$504,MATCH($C1317,Productos!$A$5:$A$504,0)),0))</f>
        <v/>
      </c>
      <c r="H1317" s="22" t="str">
        <f t="shared" si="20"/>
        <v/>
      </c>
      <c r="I1317" s="14" t="str">
        <f>IF(OR($C1317="",$F1317=""),"",IFERROR(INDEX(Productos!$I$5:$I$504,MATCH($C1317,Productos!$A$5:$A$504,0)),0)+SUMIFS($F$5:$F1317,$C$5:$C1317,$C1317,$B$5:$B1317,"Entrada")-SUMIFS($F$5:$F1317,$C$5:$C1317,$C1317,$B$5:$B1317,"Salida"))</f>
        <v/>
      </c>
      <c r="J1317" s="20"/>
      <c r="K1317" s="20"/>
      <c r="L1317" s="20"/>
      <c r="M1317" s="14" t="str">
        <f>IF(AND($C1317&lt;&gt;"",$C1317=Kardex!$C$4),COUNTIF($C$5:$C1317,Kardex!$C$4),"")</f>
        <v/>
      </c>
    </row>
    <row r="1318" spans="1:13" x14ac:dyDescent="0.25">
      <c r="A1318" s="24"/>
      <c r="B1318" s="20"/>
      <c r="C1318" s="20"/>
      <c r="D1318" s="14" t="str">
        <f>IF($C1318="","",IFERROR(INDEX(Productos!$B$5:$B$504,MATCH($C1318,Productos!$A$5:$A$504,0)),"Clave no existe"))</f>
        <v/>
      </c>
      <c r="E1318" s="14" t="str">
        <f>IF($C1318="","",IFERROR(INDEX(Productos!$D$5:$D$504,MATCH($C1318,Productos!$A$5:$A$504,0)),""))</f>
        <v/>
      </c>
      <c r="F1318" s="20"/>
      <c r="G1318" s="22" t="str">
        <f>IF($C1318="","",IFERROR(INDEX(Productos!$F$5:$F$504,MATCH($C1318,Productos!$A$5:$A$504,0)),0))</f>
        <v/>
      </c>
      <c r="H1318" s="22" t="str">
        <f t="shared" si="20"/>
        <v/>
      </c>
      <c r="I1318" s="14" t="str">
        <f>IF(OR($C1318="",$F1318=""),"",IFERROR(INDEX(Productos!$I$5:$I$504,MATCH($C1318,Productos!$A$5:$A$504,0)),0)+SUMIFS($F$5:$F1318,$C$5:$C1318,$C1318,$B$5:$B1318,"Entrada")-SUMIFS($F$5:$F1318,$C$5:$C1318,$C1318,$B$5:$B1318,"Salida"))</f>
        <v/>
      </c>
      <c r="J1318" s="20"/>
      <c r="K1318" s="20"/>
      <c r="L1318" s="20"/>
      <c r="M1318" s="14" t="str">
        <f>IF(AND($C1318&lt;&gt;"",$C1318=Kardex!$C$4),COUNTIF($C$5:$C1318,Kardex!$C$4),"")</f>
        <v/>
      </c>
    </row>
    <row r="1319" spans="1:13" x14ac:dyDescent="0.25">
      <c r="A1319" s="24"/>
      <c r="B1319" s="20"/>
      <c r="C1319" s="20"/>
      <c r="D1319" s="14" t="str">
        <f>IF($C1319="","",IFERROR(INDEX(Productos!$B$5:$B$504,MATCH($C1319,Productos!$A$5:$A$504,0)),"Clave no existe"))</f>
        <v/>
      </c>
      <c r="E1319" s="14" t="str">
        <f>IF($C1319="","",IFERROR(INDEX(Productos!$D$5:$D$504,MATCH($C1319,Productos!$A$5:$A$504,0)),""))</f>
        <v/>
      </c>
      <c r="F1319" s="20"/>
      <c r="G1319" s="22" t="str">
        <f>IF($C1319="","",IFERROR(INDEX(Productos!$F$5:$F$504,MATCH($C1319,Productos!$A$5:$A$504,0)),0))</f>
        <v/>
      </c>
      <c r="H1319" s="22" t="str">
        <f t="shared" si="20"/>
        <v/>
      </c>
      <c r="I1319" s="14" t="str">
        <f>IF(OR($C1319="",$F1319=""),"",IFERROR(INDEX(Productos!$I$5:$I$504,MATCH($C1319,Productos!$A$5:$A$504,0)),0)+SUMIFS($F$5:$F1319,$C$5:$C1319,$C1319,$B$5:$B1319,"Entrada")-SUMIFS($F$5:$F1319,$C$5:$C1319,$C1319,$B$5:$B1319,"Salida"))</f>
        <v/>
      </c>
      <c r="J1319" s="20"/>
      <c r="K1319" s="20"/>
      <c r="L1319" s="20"/>
      <c r="M1319" s="14" t="str">
        <f>IF(AND($C1319&lt;&gt;"",$C1319=Kardex!$C$4),COUNTIF($C$5:$C1319,Kardex!$C$4),"")</f>
        <v/>
      </c>
    </row>
    <row r="1320" spans="1:13" x14ac:dyDescent="0.25">
      <c r="A1320" s="24"/>
      <c r="B1320" s="20"/>
      <c r="C1320" s="20"/>
      <c r="D1320" s="14" t="str">
        <f>IF($C1320="","",IFERROR(INDEX(Productos!$B$5:$B$504,MATCH($C1320,Productos!$A$5:$A$504,0)),"Clave no existe"))</f>
        <v/>
      </c>
      <c r="E1320" s="14" t="str">
        <f>IF($C1320="","",IFERROR(INDEX(Productos!$D$5:$D$504,MATCH($C1320,Productos!$A$5:$A$504,0)),""))</f>
        <v/>
      </c>
      <c r="F1320" s="20"/>
      <c r="G1320" s="22" t="str">
        <f>IF($C1320="","",IFERROR(INDEX(Productos!$F$5:$F$504,MATCH($C1320,Productos!$A$5:$A$504,0)),0))</f>
        <v/>
      </c>
      <c r="H1320" s="22" t="str">
        <f t="shared" si="20"/>
        <v/>
      </c>
      <c r="I1320" s="14" t="str">
        <f>IF(OR($C1320="",$F1320=""),"",IFERROR(INDEX(Productos!$I$5:$I$504,MATCH($C1320,Productos!$A$5:$A$504,0)),0)+SUMIFS($F$5:$F1320,$C$5:$C1320,$C1320,$B$5:$B1320,"Entrada")-SUMIFS($F$5:$F1320,$C$5:$C1320,$C1320,$B$5:$B1320,"Salida"))</f>
        <v/>
      </c>
      <c r="J1320" s="20"/>
      <c r="K1320" s="20"/>
      <c r="L1320" s="20"/>
      <c r="M1320" s="14" t="str">
        <f>IF(AND($C1320&lt;&gt;"",$C1320=Kardex!$C$4),COUNTIF($C$5:$C1320,Kardex!$C$4),"")</f>
        <v/>
      </c>
    </row>
    <row r="1321" spans="1:13" x14ac:dyDescent="0.25">
      <c r="A1321" s="24"/>
      <c r="B1321" s="20"/>
      <c r="C1321" s="20"/>
      <c r="D1321" s="14" t="str">
        <f>IF($C1321="","",IFERROR(INDEX(Productos!$B$5:$B$504,MATCH($C1321,Productos!$A$5:$A$504,0)),"Clave no existe"))</f>
        <v/>
      </c>
      <c r="E1321" s="14" t="str">
        <f>IF($C1321="","",IFERROR(INDEX(Productos!$D$5:$D$504,MATCH($C1321,Productos!$A$5:$A$504,0)),""))</f>
        <v/>
      </c>
      <c r="F1321" s="20"/>
      <c r="G1321" s="22" t="str">
        <f>IF($C1321="","",IFERROR(INDEX(Productos!$F$5:$F$504,MATCH($C1321,Productos!$A$5:$A$504,0)),0))</f>
        <v/>
      </c>
      <c r="H1321" s="22" t="str">
        <f t="shared" si="20"/>
        <v/>
      </c>
      <c r="I1321" s="14" t="str">
        <f>IF(OR($C1321="",$F1321=""),"",IFERROR(INDEX(Productos!$I$5:$I$504,MATCH($C1321,Productos!$A$5:$A$504,0)),0)+SUMIFS($F$5:$F1321,$C$5:$C1321,$C1321,$B$5:$B1321,"Entrada")-SUMIFS($F$5:$F1321,$C$5:$C1321,$C1321,$B$5:$B1321,"Salida"))</f>
        <v/>
      </c>
      <c r="J1321" s="20"/>
      <c r="K1321" s="20"/>
      <c r="L1321" s="20"/>
      <c r="M1321" s="14" t="str">
        <f>IF(AND($C1321&lt;&gt;"",$C1321=Kardex!$C$4),COUNTIF($C$5:$C1321,Kardex!$C$4),"")</f>
        <v/>
      </c>
    </row>
    <row r="1322" spans="1:13" x14ac:dyDescent="0.25">
      <c r="A1322" s="24"/>
      <c r="B1322" s="20"/>
      <c r="C1322" s="20"/>
      <c r="D1322" s="14" t="str">
        <f>IF($C1322="","",IFERROR(INDEX(Productos!$B$5:$B$504,MATCH($C1322,Productos!$A$5:$A$504,0)),"Clave no existe"))</f>
        <v/>
      </c>
      <c r="E1322" s="14" t="str">
        <f>IF($C1322="","",IFERROR(INDEX(Productos!$D$5:$D$504,MATCH($C1322,Productos!$A$5:$A$504,0)),""))</f>
        <v/>
      </c>
      <c r="F1322" s="20"/>
      <c r="G1322" s="22" t="str">
        <f>IF($C1322="","",IFERROR(INDEX(Productos!$F$5:$F$504,MATCH($C1322,Productos!$A$5:$A$504,0)),0))</f>
        <v/>
      </c>
      <c r="H1322" s="22" t="str">
        <f t="shared" si="20"/>
        <v/>
      </c>
      <c r="I1322" s="14" t="str">
        <f>IF(OR($C1322="",$F1322=""),"",IFERROR(INDEX(Productos!$I$5:$I$504,MATCH($C1322,Productos!$A$5:$A$504,0)),0)+SUMIFS($F$5:$F1322,$C$5:$C1322,$C1322,$B$5:$B1322,"Entrada")-SUMIFS($F$5:$F1322,$C$5:$C1322,$C1322,$B$5:$B1322,"Salida"))</f>
        <v/>
      </c>
      <c r="J1322" s="20"/>
      <c r="K1322" s="20"/>
      <c r="L1322" s="20"/>
      <c r="M1322" s="14" t="str">
        <f>IF(AND($C1322&lt;&gt;"",$C1322=Kardex!$C$4),COUNTIF($C$5:$C1322,Kardex!$C$4),"")</f>
        <v/>
      </c>
    </row>
    <row r="1323" spans="1:13" x14ac:dyDescent="0.25">
      <c r="A1323" s="24"/>
      <c r="B1323" s="20"/>
      <c r="C1323" s="20"/>
      <c r="D1323" s="14" t="str">
        <f>IF($C1323="","",IFERROR(INDEX(Productos!$B$5:$B$504,MATCH($C1323,Productos!$A$5:$A$504,0)),"Clave no existe"))</f>
        <v/>
      </c>
      <c r="E1323" s="14" t="str">
        <f>IF($C1323="","",IFERROR(INDEX(Productos!$D$5:$D$504,MATCH($C1323,Productos!$A$5:$A$504,0)),""))</f>
        <v/>
      </c>
      <c r="F1323" s="20"/>
      <c r="G1323" s="22" t="str">
        <f>IF($C1323="","",IFERROR(INDEX(Productos!$F$5:$F$504,MATCH($C1323,Productos!$A$5:$A$504,0)),0))</f>
        <v/>
      </c>
      <c r="H1323" s="22" t="str">
        <f t="shared" si="20"/>
        <v/>
      </c>
      <c r="I1323" s="14" t="str">
        <f>IF(OR($C1323="",$F1323=""),"",IFERROR(INDEX(Productos!$I$5:$I$504,MATCH($C1323,Productos!$A$5:$A$504,0)),0)+SUMIFS($F$5:$F1323,$C$5:$C1323,$C1323,$B$5:$B1323,"Entrada")-SUMIFS($F$5:$F1323,$C$5:$C1323,$C1323,$B$5:$B1323,"Salida"))</f>
        <v/>
      </c>
      <c r="J1323" s="20"/>
      <c r="K1323" s="20"/>
      <c r="L1323" s="20"/>
      <c r="M1323" s="14" t="str">
        <f>IF(AND($C1323&lt;&gt;"",$C1323=Kardex!$C$4),COUNTIF($C$5:$C1323,Kardex!$C$4),"")</f>
        <v/>
      </c>
    </row>
    <row r="1324" spans="1:13" x14ac:dyDescent="0.25">
      <c r="A1324" s="24"/>
      <c r="B1324" s="20"/>
      <c r="C1324" s="20"/>
      <c r="D1324" s="14" t="str">
        <f>IF($C1324="","",IFERROR(INDEX(Productos!$B$5:$B$504,MATCH($C1324,Productos!$A$5:$A$504,0)),"Clave no existe"))</f>
        <v/>
      </c>
      <c r="E1324" s="14" t="str">
        <f>IF($C1324="","",IFERROR(INDEX(Productos!$D$5:$D$504,MATCH($C1324,Productos!$A$5:$A$504,0)),""))</f>
        <v/>
      </c>
      <c r="F1324" s="20"/>
      <c r="G1324" s="22" t="str">
        <f>IF($C1324="","",IFERROR(INDEX(Productos!$F$5:$F$504,MATCH($C1324,Productos!$A$5:$A$504,0)),0))</f>
        <v/>
      </c>
      <c r="H1324" s="22" t="str">
        <f t="shared" si="20"/>
        <v/>
      </c>
      <c r="I1324" s="14" t="str">
        <f>IF(OR($C1324="",$F1324=""),"",IFERROR(INDEX(Productos!$I$5:$I$504,MATCH($C1324,Productos!$A$5:$A$504,0)),0)+SUMIFS($F$5:$F1324,$C$5:$C1324,$C1324,$B$5:$B1324,"Entrada")-SUMIFS($F$5:$F1324,$C$5:$C1324,$C1324,$B$5:$B1324,"Salida"))</f>
        <v/>
      </c>
      <c r="J1324" s="20"/>
      <c r="K1324" s="20"/>
      <c r="L1324" s="20"/>
      <c r="M1324" s="14" t="str">
        <f>IF(AND($C1324&lt;&gt;"",$C1324=Kardex!$C$4),COUNTIF($C$5:$C1324,Kardex!$C$4),"")</f>
        <v/>
      </c>
    </row>
    <row r="1325" spans="1:13" x14ac:dyDescent="0.25">
      <c r="A1325" s="24"/>
      <c r="B1325" s="20"/>
      <c r="C1325" s="20"/>
      <c r="D1325" s="14" t="str">
        <f>IF($C1325="","",IFERROR(INDEX(Productos!$B$5:$B$504,MATCH($C1325,Productos!$A$5:$A$504,0)),"Clave no existe"))</f>
        <v/>
      </c>
      <c r="E1325" s="14" t="str">
        <f>IF($C1325="","",IFERROR(INDEX(Productos!$D$5:$D$504,MATCH($C1325,Productos!$A$5:$A$504,0)),""))</f>
        <v/>
      </c>
      <c r="F1325" s="20"/>
      <c r="G1325" s="22" t="str">
        <f>IF($C1325="","",IFERROR(INDEX(Productos!$F$5:$F$504,MATCH($C1325,Productos!$A$5:$A$504,0)),0))</f>
        <v/>
      </c>
      <c r="H1325" s="22" t="str">
        <f t="shared" si="20"/>
        <v/>
      </c>
      <c r="I1325" s="14" t="str">
        <f>IF(OR($C1325="",$F1325=""),"",IFERROR(INDEX(Productos!$I$5:$I$504,MATCH($C1325,Productos!$A$5:$A$504,0)),0)+SUMIFS($F$5:$F1325,$C$5:$C1325,$C1325,$B$5:$B1325,"Entrada")-SUMIFS($F$5:$F1325,$C$5:$C1325,$C1325,$B$5:$B1325,"Salida"))</f>
        <v/>
      </c>
      <c r="J1325" s="20"/>
      <c r="K1325" s="20"/>
      <c r="L1325" s="20"/>
      <c r="M1325" s="14" t="str">
        <f>IF(AND($C1325&lt;&gt;"",$C1325=Kardex!$C$4),COUNTIF($C$5:$C1325,Kardex!$C$4),"")</f>
        <v/>
      </c>
    </row>
    <row r="1326" spans="1:13" x14ac:dyDescent="0.25">
      <c r="A1326" s="24"/>
      <c r="B1326" s="20"/>
      <c r="C1326" s="20"/>
      <c r="D1326" s="14" t="str">
        <f>IF($C1326="","",IFERROR(INDEX(Productos!$B$5:$B$504,MATCH($C1326,Productos!$A$5:$A$504,0)),"Clave no existe"))</f>
        <v/>
      </c>
      <c r="E1326" s="14" t="str">
        <f>IF($C1326="","",IFERROR(INDEX(Productos!$D$5:$D$504,MATCH($C1326,Productos!$A$5:$A$504,0)),""))</f>
        <v/>
      </c>
      <c r="F1326" s="20"/>
      <c r="G1326" s="22" t="str">
        <f>IF($C1326="","",IFERROR(INDEX(Productos!$F$5:$F$504,MATCH($C1326,Productos!$A$5:$A$504,0)),0))</f>
        <v/>
      </c>
      <c r="H1326" s="22" t="str">
        <f t="shared" si="20"/>
        <v/>
      </c>
      <c r="I1326" s="14" t="str">
        <f>IF(OR($C1326="",$F1326=""),"",IFERROR(INDEX(Productos!$I$5:$I$504,MATCH($C1326,Productos!$A$5:$A$504,0)),0)+SUMIFS($F$5:$F1326,$C$5:$C1326,$C1326,$B$5:$B1326,"Entrada")-SUMIFS($F$5:$F1326,$C$5:$C1326,$C1326,$B$5:$B1326,"Salida"))</f>
        <v/>
      </c>
      <c r="J1326" s="20"/>
      <c r="K1326" s="20"/>
      <c r="L1326" s="20"/>
      <c r="M1326" s="14" t="str">
        <f>IF(AND($C1326&lt;&gt;"",$C1326=Kardex!$C$4),COUNTIF($C$5:$C1326,Kardex!$C$4),"")</f>
        <v/>
      </c>
    </row>
    <row r="1327" spans="1:13" x14ac:dyDescent="0.25">
      <c r="A1327" s="24"/>
      <c r="B1327" s="20"/>
      <c r="C1327" s="20"/>
      <c r="D1327" s="14" t="str">
        <f>IF($C1327="","",IFERROR(INDEX(Productos!$B$5:$B$504,MATCH($C1327,Productos!$A$5:$A$504,0)),"Clave no existe"))</f>
        <v/>
      </c>
      <c r="E1327" s="14" t="str">
        <f>IF($C1327="","",IFERROR(INDEX(Productos!$D$5:$D$504,MATCH($C1327,Productos!$A$5:$A$504,0)),""))</f>
        <v/>
      </c>
      <c r="F1327" s="20"/>
      <c r="G1327" s="22" t="str">
        <f>IF($C1327="","",IFERROR(INDEX(Productos!$F$5:$F$504,MATCH($C1327,Productos!$A$5:$A$504,0)),0))</f>
        <v/>
      </c>
      <c r="H1327" s="22" t="str">
        <f t="shared" si="20"/>
        <v/>
      </c>
      <c r="I1327" s="14" t="str">
        <f>IF(OR($C1327="",$F1327=""),"",IFERROR(INDEX(Productos!$I$5:$I$504,MATCH($C1327,Productos!$A$5:$A$504,0)),0)+SUMIFS($F$5:$F1327,$C$5:$C1327,$C1327,$B$5:$B1327,"Entrada")-SUMIFS($F$5:$F1327,$C$5:$C1327,$C1327,$B$5:$B1327,"Salida"))</f>
        <v/>
      </c>
      <c r="J1327" s="20"/>
      <c r="K1327" s="20"/>
      <c r="L1327" s="20"/>
      <c r="M1327" s="14" t="str">
        <f>IF(AND($C1327&lt;&gt;"",$C1327=Kardex!$C$4),COUNTIF($C$5:$C1327,Kardex!$C$4),"")</f>
        <v/>
      </c>
    </row>
    <row r="1328" spans="1:13" x14ac:dyDescent="0.25">
      <c r="A1328" s="24"/>
      <c r="B1328" s="20"/>
      <c r="C1328" s="20"/>
      <c r="D1328" s="14" t="str">
        <f>IF($C1328="","",IFERROR(INDEX(Productos!$B$5:$B$504,MATCH($C1328,Productos!$A$5:$A$504,0)),"Clave no existe"))</f>
        <v/>
      </c>
      <c r="E1328" s="14" t="str">
        <f>IF($C1328="","",IFERROR(INDEX(Productos!$D$5:$D$504,MATCH($C1328,Productos!$A$5:$A$504,0)),""))</f>
        <v/>
      </c>
      <c r="F1328" s="20"/>
      <c r="G1328" s="22" t="str">
        <f>IF($C1328="","",IFERROR(INDEX(Productos!$F$5:$F$504,MATCH($C1328,Productos!$A$5:$A$504,0)),0))</f>
        <v/>
      </c>
      <c r="H1328" s="22" t="str">
        <f t="shared" si="20"/>
        <v/>
      </c>
      <c r="I1328" s="14" t="str">
        <f>IF(OR($C1328="",$F1328=""),"",IFERROR(INDEX(Productos!$I$5:$I$504,MATCH($C1328,Productos!$A$5:$A$504,0)),0)+SUMIFS($F$5:$F1328,$C$5:$C1328,$C1328,$B$5:$B1328,"Entrada")-SUMIFS($F$5:$F1328,$C$5:$C1328,$C1328,$B$5:$B1328,"Salida"))</f>
        <v/>
      </c>
      <c r="J1328" s="20"/>
      <c r="K1328" s="20"/>
      <c r="L1328" s="20"/>
      <c r="M1328" s="14" t="str">
        <f>IF(AND($C1328&lt;&gt;"",$C1328=Kardex!$C$4),COUNTIF($C$5:$C1328,Kardex!$C$4),"")</f>
        <v/>
      </c>
    </row>
    <row r="1329" spans="1:13" x14ac:dyDescent="0.25">
      <c r="A1329" s="24"/>
      <c r="B1329" s="20"/>
      <c r="C1329" s="20"/>
      <c r="D1329" s="14" t="str">
        <f>IF($C1329="","",IFERROR(INDEX(Productos!$B$5:$B$504,MATCH($C1329,Productos!$A$5:$A$504,0)),"Clave no existe"))</f>
        <v/>
      </c>
      <c r="E1329" s="14" t="str">
        <f>IF($C1329="","",IFERROR(INDEX(Productos!$D$5:$D$504,MATCH($C1329,Productos!$A$5:$A$504,0)),""))</f>
        <v/>
      </c>
      <c r="F1329" s="20"/>
      <c r="G1329" s="22" t="str">
        <f>IF($C1329="","",IFERROR(INDEX(Productos!$F$5:$F$504,MATCH($C1329,Productos!$A$5:$A$504,0)),0))</f>
        <v/>
      </c>
      <c r="H1329" s="22" t="str">
        <f t="shared" si="20"/>
        <v/>
      </c>
      <c r="I1329" s="14" t="str">
        <f>IF(OR($C1329="",$F1329=""),"",IFERROR(INDEX(Productos!$I$5:$I$504,MATCH($C1329,Productos!$A$5:$A$504,0)),0)+SUMIFS($F$5:$F1329,$C$5:$C1329,$C1329,$B$5:$B1329,"Entrada")-SUMIFS($F$5:$F1329,$C$5:$C1329,$C1329,$B$5:$B1329,"Salida"))</f>
        <v/>
      </c>
      <c r="J1329" s="20"/>
      <c r="K1329" s="20"/>
      <c r="L1329" s="20"/>
      <c r="M1329" s="14" t="str">
        <f>IF(AND($C1329&lt;&gt;"",$C1329=Kardex!$C$4),COUNTIF($C$5:$C1329,Kardex!$C$4),"")</f>
        <v/>
      </c>
    </row>
    <row r="1330" spans="1:13" x14ac:dyDescent="0.25">
      <c r="A1330" s="24"/>
      <c r="B1330" s="20"/>
      <c r="C1330" s="20"/>
      <c r="D1330" s="14" t="str">
        <f>IF($C1330="","",IFERROR(INDEX(Productos!$B$5:$B$504,MATCH($C1330,Productos!$A$5:$A$504,0)),"Clave no existe"))</f>
        <v/>
      </c>
      <c r="E1330" s="14" t="str">
        <f>IF($C1330="","",IFERROR(INDEX(Productos!$D$5:$D$504,MATCH($C1330,Productos!$A$5:$A$504,0)),""))</f>
        <v/>
      </c>
      <c r="F1330" s="20"/>
      <c r="G1330" s="22" t="str">
        <f>IF($C1330="","",IFERROR(INDEX(Productos!$F$5:$F$504,MATCH($C1330,Productos!$A$5:$A$504,0)),0))</f>
        <v/>
      </c>
      <c r="H1330" s="22" t="str">
        <f t="shared" si="20"/>
        <v/>
      </c>
      <c r="I1330" s="14" t="str">
        <f>IF(OR($C1330="",$F1330=""),"",IFERROR(INDEX(Productos!$I$5:$I$504,MATCH($C1330,Productos!$A$5:$A$504,0)),0)+SUMIFS($F$5:$F1330,$C$5:$C1330,$C1330,$B$5:$B1330,"Entrada")-SUMIFS($F$5:$F1330,$C$5:$C1330,$C1330,$B$5:$B1330,"Salida"))</f>
        <v/>
      </c>
      <c r="J1330" s="20"/>
      <c r="K1330" s="20"/>
      <c r="L1330" s="20"/>
      <c r="M1330" s="14" t="str">
        <f>IF(AND($C1330&lt;&gt;"",$C1330=Kardex!$C$4),COUNTIF($C$5:$C1330,Kardex!$C$4),"")</f>
        <v/>
      </c>
    </row>
    <row r="1331" spans="1:13" x14ac:dyDescent="0.25">
      <c r="A1331" s="24"/>
      <c r="B1331" s="20"/>
      <c r="C1331" s="20"/>
      <c r="D1331" s="14" t="str">
        <f>IF($C1331="","",IFERROR(INDEX(Productos!$B$5:$B$504,MATCH($C1331,Productos!$A$5:$A$504,0)),"Clave no existe"))</f>
        <v/>
      </c>
      <c r="E1331" s="14" t="str">
        <f>IF($C1331="","",IFERROR(INDEX(Productos!$D$5:$D$504,MATCH($C1331,Productos!$A$5:$A$504,0)),""))</f>
        <v/>
      </c>
      <c r="F1331" s="20"/>
      <c r="G1331" s="22" t="str">
        <f>IF($C1331="","",IFERROR(INDEX(Productos!$F$5:$F$504,MATCH($C1331,Productos!$A$5:$A$504,0)),0))</f>
        <v/>
      </c>
      <c r="H1331" s="22" t="str">
        <f t="shared" si="20"/>
        <v/>
      </c>
      <c r="I1331" s="14" t="str">
        <f>IF(OR($C1331="",$F1331=""),"",IFERROR(INDEX(Productos!$I$5:$I$504,MATCH($C1331,Productos!$A$5:$A$504,0)),0)+SUMIFS($F$5:$F1331,$C$5:$C1331,$C1331,$B$5:$B1331,"Entrada")-SUMIFS($F$5:$F1331,$C$5:$C1331,$C1331,$B$5:$B1331,"Salida"))</f>
        <v/>
      </c>
      <c r="J1331" s="20"/>
      <c r="K1331" s="20"/>
      <c r="L1331" s="20"/>
      <c r="M1331" s="14" t="str">
        <f>IF(AND($C1331&lt;&gt;"",$C1331=Kardex!$C$4),COUNTIF($C$5:$C1331,Kardex!$C$4),"")</f>
        <v/>
      </c>
    </row>
    <row r="1332" spans="1:13" x14ac:dyDescent="0.25">
      <c r="A1332" s="24"/>
      <c r="B1332" s="20"/>
      <c r="C1332" s="20"/>
      <c r="D1332" s="14" t="str">
        <f>IF($C1332="","",IFERROR(INDEX(Productos!$B$5:$B$504,MATCH($C1332,Productos!$A$5:$A$504,0)),"Clave no existe"))</f>
        <v/>
      </c>
      <c r="E1332" s="14" t="str">
        <f>IF($C1332="","",IFERROR(INDEX(Productos!$D$5:$D$504,MATCH($C1332,Productos!$A$5:$A$504,0)),""))</f>
        <v/>
      </c>
      <c r="F1332" s="20"/>
      <c r="G1332" s="22" t="str">
        <f>IF($C1332="","",IFERROR(INDEX(Productos!$F$5:$F$504,MATCH($C1332,Productos!$A$5:$A$504,0)),0))</f>
        <v/>
      </c>
      <c r="H1332" s="22" t="str">
        <f t="shared" si="20"/>
        <v/>
      </c>
      <c r="I1332" s="14" t="str">
        <f>IF(OR($C1332="",$F1332=""),"",IFERROR(INDEX(Productos!$I$5:$I$504,MATCH($C1332,Productos!$A$5:$A$504,0)),0)+SUMIFS($F$5:$F1332,$C$5:$C1332,$C1332,$B$5:$B1332,"Entrada")-SUMIFS($F$5:$F1332,$C$5:$C1332,$C1332,$B$5:$B1332,"Salida"))</f>
        <v/>
      </c>
      <c r="J1332" s="20"/>
      <c r="K1332" s="20"/>
      <c r="L1332" s="20"/>
      <c r="M1332" s="14" t="str">
        <f>IF(AND($C1332&lt;&gt;"",$C1332=Kardex!$C$4),COUNTIF($C$5:$C1332,Kardex!$C$4),"")</f>
        <v/>
      </c>
    </row>
    <row r="1333" spans="1:13" x14ac:dyDescent="0.25">
      <c r="A1333" s="24"/>
      <c r="B1333" s="20"/>
      <c r="C1333" s="20"/>
      <c r="D1333" s="14" t="str">
        <f>IF($C1333="","",IFERROR(INDEX(Productos!$B$5:$B$504,MATCH($C1333,Productos!$A$5:$A$504,0)),"Clave no existe"))</f>
        <v/>
      </c>
      <c r="E1333" s="14" t="str">
        <f>IF($C1333="","",IFERROR(INDEX(Productos!$D$5:$D$504,MATCH($C1333,Productos!$A$5:$A$504,0)),""))</f>
        <v/>
      </c>
      <c r="F1333" s="20"/>
      <c r="G1333" s="22" t="str">
        <f>IF($C1333="","",IFERROR(INDEX(Productos!$F$5:$F$504,MATCH($C1333,Productos!$A$5:$A$504,0)),0))</f>
        <v/>
      </c>
      <c r="H1333" s="22" t="str">
        <f t="shared" si="20"/>
        <v/>
      </c>
      <c r="I1333" s="14" t="str">
        <f>IF(OR($C1333="",$F1333=""),"",IFERROR(INDEX(Productos!$I$5:$I$504,MATCH($C1333,Productos!$A$5:$A$504,0)),0)+SUMIFS($F$5:$F1333,$C$5:$C1333,$C1333,$B$5:$B1333,"Entrada")-SUMIFS($F$5:$F1333,$C$5:$C1333,$C1333,$B$5:$B1333,"Salida"))</f>
        <v/>
      </c>
      <c r="J1333" s="20"/>
      <c r="K1333" s="20"/>
      <c r="L1333" s="20"/>
      <c r="M1333" s="14" t="str">
        <f>IF(AND($C1333&lt;&gt;"",$C1333=Kardex!$C$4),COUNTIF($C$5:$C1333,Kardex!$C$4),"")</f>
        <v/>
      </c>
    </row>
    <row r="1334" spans="1:13" x14ac:dyDescent="0.25">
      <c r="A1334" s="24"/>
      <c r="B1334" s="20"/>
      <c r="C1334" s="20"/>
      <c r="D1334" s="14" t="str">
        <f>IF($C1334="","",IFERROR(INDEX(Productos!$B$5:$B$504,MATCH($C1334,Productos!$A$5:$A$504,0)),"Clave no existe"))</f>
        <v/>
      </c>
      <c r="E1334" s="14" t="str">
        <f>IF($C1334="","",IFERROR(INDEX(Productos!$D$5:$D$504,MATCH($C1334,Productos!$A$5:$A$504,0)),""))</f>
        <v/>
      </c>
      <c r="F1334" s="20"/>
      <c r="G1334" s="22" t="str">
        <f>IF($C1334="","",IFERROR(INDEX(Productos!$F$5:$F$504,MATCH($C1334,Productos!$A$5:$A$504,0)),0))</f>
        <v/>
      </c>
      <c r="H1334" s="22" t="str">
        <f t="shared" si="20"/>
        <v/>
      </c>
      <c r="I1334" s="14" t="str">
        <f>IF(OR($C1334="",$F1334=""),"",IFERROR(INDEX(Productos!$I$5:$I$504,MATCH($C1334,Productos!$A$5:$A$504,0)),0)+SUMIFS($F$5:$F1334,$C$5:$C1334,$C1334,$B$5:$B1334,"Entrada")-SUMIFS($F$5:$F1334,$C$5:$C1334,$C1334,$B$5:$B1334,"Salida"))</f>
        <v/>
      </c>
      <c r="J1334" s="20"/>
      <c r="K1334" s="20"/>
      <c r="L1334" s="20"/>
      <c r="M1334" s="14" t="str">
        <f>IF(AND($C1334&lt;&gt;"",$C1334=Kardex!$C$4),COUNTIF($C$5:$C1334,Kardex!$C$4),"")</f>
        <v/>
      </c>
    </row>
    <row r="1335" spans="1:13" x14ac:dyDescent="0.25">
      <c r="A1335" s="24"/>
      <c r="B1335" s="20"/>
      <c r="C1335" s="20"/>
      <c r="D1335" s="14" t="str">
        <f>IF($C1335="","",IFERROR(INDEX(Productos!$B$5:$B$504,MATCH($C1335,Productos!$A$5:$A$504,0)),"Clave no existe"))</f>
        <v/>
      </c>
      <c r="E1335" s="14" t="str">
        <f>IF($C1335="","",IFERROR(INDEX(Productos!$D$5:$D$504,MATCH($C1335,Productos!$A$5:$A$504,0)),""))</f>
        <v/>
      </c>
      <c r="F1335" s="20"/>
      <c r="G1335" s="22" t="str">
        <f>IF($C1335="","",IFERROR(INDEX(Productos!$F$5:$F$504,MATCH($C1335,Productos!$A$5:$A$504,0)),0))</f>
        <v/>
      </c>
      <c r="H1335" s="22" t="str">
        <f t="shared" si="20"/>
        <v/>
      </c>
      <c r="I1335" s="14" t="str">
        <f>IF(OR($C1335="",$F1335=""),"",IFERROR(INDEX(Productos!$I$5:$I$504,MATCH($C1335,Productos!$A$5:$A$504,0)),0)+SUMIFS($F$5:$F1335,$C$5:$C1335,$C1335,$B$5:$B1335,"Entrada")-SUMIFS($F$5:$F1335,$C$5:$C1335,$C1335,$B$5:$B1335,"Salida"))</f>
        <v/>
      </c>
      <c r="J1335" s="20"/>
      <c r="K1335" s="20"/>
      <c r="L1335" s="20"/>
      <c r="M1335" s="14" t="str">
        <f>IF(AND($C1335&lt;&gt;"",$C1335=Kardex!$C$4),COUNTIF($C$5:$C1335,Kardex!$C$4),"")</f>
        <v/>
      </c>
    </row>
    <row r="1336" spans="1:13" x14ac:dyDescent="0.25">
      <c r="A1336" s="24"/>
      <c r="B1336" s="20"/>
      <c r="C1336" s="20"/>
      <c r="D1336" s="14" t="str">
        <f>IF($C1336="","",IFERROR(INDEX(Productos!$B$5:$B$504,MATCH($C1336,Productos!$A$5:$A$504,0)),"Clave no existe"))</f>
        <v/>
      </c>
      <c r="E1336" s="14" t="str">
        <f>IF($C1336="","",IFERROR(INDEX(Productos!$D$5:$D$504,MATCH($C1336,Productos!$A$5:$A$504,0)),""))</f>
        <v/>
      </c>
      <c r="F1336" s="20"/>
      <c r="G1336" s="22" t="str">
        <f>IF($C1336="","",IFERROR(INDEX(Productos!$F$5:$F$504,MATCH($C1336,Productos!$A$5:$A$504,0)),0))</f>
        <v/>
      </c>
      <c r="H1336" s="22" t="str">
        <f t="shared" si="20"/>
        <v/>
      </c>
      <c r="I1336" s="14" t="str">
        <f>IF(OR($C1336="",$F1336=""),"",IFERROR(INDEX(Productos!$I$5:$I$504,MATCH($C1336,Productos!$A$5:$A$504,0)),0)+SUMIFS($F$5:$F1336,$C$5:$C1336,$C1336,$B$5:$B1336,"Entrada")-SUMIFS($F$5:$F1336,$C$5:$C1336,$C1336,$B$5:$B1336,"Salida"))</f>
        <v/>
      </c>
      <c r="J1336" s="20"/>
      <c r="K1336" s="20"/>
      <c r="L1336" s="20"/>
      <c r="M1336" s="14" t="str">
        <f>IF(AND($C1336&lt;&gt;"",$C1336=Kardex!$C$4),COUNTIF($C$5:$C1336,Kardex!$C$4),"")</f>
        <v/>
      </c>
    </row>
    <row r="1337" spans="1:13" x14ac:dyDescent="0.25">
      <c r="A1337" s="24"/>
      <c r="B1337" s="20"/>
      <c r="C1337" s="20"/>
      <c r="D1337" s="14" t="str">
        <f>IF($C1337="","",IFERROR(INDEX(Productos!$B$5:$B$504,MATCH($C1337,Productos!$A$5:$A$504,0)),"Clave no existe"))</f>
        <v/>
      </c>
      <c r="E1337" s="14" t="str">
        <f>IF($C1337="","",IFERROR(INDEX(Productos!$D$5:$D$504,MATCH($C1337,Productos!$A$5:$A$504,0)),""))</f>
        <v/>
      </c>
      <c r="F1337" s="20"/>
      <c r="G1337" s="22" t="str">
        <f>IF($C1337="","",IFERROR(INDEX(Productos!$F$5:$F$504,MATCH($C1337,Productos!$A$5:$A$504,0)),0))</f>
        <v/>
      </c>
      <c r="H1337" s="22" t="str">
        <f t="shared" si="20"/>
        <v/>
      </c>
      <c r="I1337" s="14" t="str">
        <f>IF(OR($C1337="",$F1337=""),"",IFERROR(INDEX(Productos!$I$5:$I$504,MATCH($C1337,Productos!$A$5:$A$504,0)),0)+SUMIFS($F$5:$F1337,$C$5:$C1337,$C1337,$B$5:$B1337,"Entrada")-SUMIFS($F$5:$F1337,$C$5:$C1337,$C1337,$B$5:$B1337,"Salida"))</f>
        <v/>
      </c>
      <c r="J1337" s="20"/>
      <c r="K1337" s="20"/>
      <c r="L1337" s="20"/>
      <c r="M1337" s="14" t="str">
        <f>IF(AND($C1337&lt;&gt;"",$C1337=Kardex!$C$4),COUNTIF($C$5:$C1337,Kardex!$C$4),"")</f>
        <v/>
      </c>
    </row>
    <row r="1338" spans="1:13" x14ac:dyDescent="0.25">
      <c r="A1338" s="24"/>
      <c r="B1338" s="20"/>
      <c r="C1338" s="20"/>
      <c r="D1338" s="14" t="str">
        <f>IF($C1338="","",IFERROR(INDEX(Productos!$B$5:$B$504,MATCH($C1338,Productos!$A$5:$A$504,0)),"Clave no existe"))</f>
        <v/>
      </c>
      <c r="E1338" s="14" t="str">
        <f>IF($C1338="","",IFERROR(INDEX(Productos!$D$5:$D$504,MATCH($C1338,Productos!$A$5:$A$504,0)),""))</f>
        <v/>
      </c>
      <c r="F1338" s="20"/>
      <c r="G1338" s="22" t="str">
        <f>IF($C1338="","",IFERROR(INDEX(Productos!$F$5:$F$504,MATCH($C1338,Productos!$A$5:$A$504,0)),0))</f>
        <v/>
      </c>
      <c r="H1338" s="22" t="str">
        <f t="shared" si="20"/>
        <v/>
      </c>
      <c r="I1338" s="14" t="str">
        <f>IF(OR($C1338="",$F1338=""),"",IFERROR(INDEX(Productos!$I$5:$I$504,MATCH($C1338,Productos!$A$5:$A$504,0)),0)+SUMIFS($F$5:$F1338,$C$5:$C1338,$C1338,$B$5:$B1338,"Entrada")-SUMIFS($F$5:$F1338,$C$5:$C1338,$C1338,$B$5:$B1338,"Salida"))</f>
        <v/>
      </c>
      <c r="J1338" s="20"/>
      <c r="K1338" s="20"/>
      <c r="L1338" s="20"/>
      <c r="M1338" s="14" t="str">
        <f>IF(AND($C1338&lt;&gt;"",$C1338=Kardex!$C$4),COUNTIF($C$5:$C1338,Kardex!$C$4),"")</f>
        <v/>
      </c>
    </row>
    <row r="1339" spans="1:13" x14ac:dyDescent="0.25">
      <c r="A1339" s="24"/>
      <c r="B1339" s="20"/>
      <c r="C1339" s="20"/>
      <c r="D1339" s="14" t="str">
        <f>IF($C1339="","",IFERROR(INDEX(Productos!$B$5:$B$504,MATCH($C1339,Productos!$A$5:$A$504,0)),"Clave no existe"))</f>
        <v/>
      </c>
      <c r="E1339" s="14" t="str">
        <f>IF($C1339="","",IFERROR(INDEX(Productos!$D$5:$D$504,MATCH($C1339,Productos!$A$5:$A$504,0)),""))</f>
        <v/>
      </c>
      <c r="F1339" s="20"/>
      <c r="G1339" s="22" t="str">
        <f>IF($C1339="","",IFERROR(INDEX(Productos!$F$5:$F$504,MATCH($C1339,Productos!$A$5:$A$504,0)),0))</f>
        <v/>
      </c>
      <c r="H1339" s="22" t="str">
        <f t="shared" si="20"/>
        <v/>
      </c>
      <c r="I1339" s="14" t="str">
        <f>IF(OR($C1339="",$F1339=""),"",IFERROR(INDEX(Productos!$I$5:$I$504,MATCH($C1339,Productos!$A$5:$A$504,0)),0)+SUMIFS($F$5:$F1339,$C$5:$C1339,$C1339,$B$5:$B1339,"Entrada")-SUMIFS($F$5:$F1339,$C$5:$C1339,$C1339,$B$5:$B1339,"Salida"))</f>
        <v/>
      </c>
      <c r="J1339" s="20"/>
      <c r="K1339" s="20"/>
      <c r="L1339" s="20"/>
      <c r="M1339" s="14" t="str">
        <f>IF(AND($C1339&lt;&gt;"",$C1339=Kardex!$C$4),COUNTIF($C$5:$C1339,Kardex!$C$4),"")</f>
        <v/>
      </c>
    </row>
    <row r="1340" spans="1:13" x14ac:dyDescent="0.25">
      <c r="A1340" s="24"/>
      <c r="B1340" s="20"/>
      <c r="C1340" s="20"/>
      <c r="D1340" s="14" t="str">
        <f>IF($C1340="","",IFERROR(INDEX(Productos!$B$5:$B$504,MATCH($C1340,Productos!$A$5:$A$504,0)),"Clave no existe"))</f>
        <v/>
      </c>
      <c r="E1340" s="14" t="str">
        <f>IF($C1340="","",IFERROR(INDEX(Productos!$D$5:$D$504,MATCH($C1340,Productos!$A$5:$A$504,0)),""))</f>
        <v/>
      </c>
      <c r="F1340" s="20"/>
      <c r="G1340" s="22" t="str">
        <f>IF($C1340="","",IFERROR(INDEX(Productos!$F$5:$F$504,MATCH($C1340,Productos!$A$5:$A$504,0)),0))</f>
        <v/>
      </c>
      <c r="H1340" s="22" t="str">
        <f t="shared" si="20"/>
        <v/>
      </c>
      <c r="I1340" s="14" t="str">
        <f>IF(OR($C1340="",$F1340=""),"",IFERROR(INDEX(Productos!$I$5:$I$504,MATCH($C1340,Productos!$A$5:$A$504,0)),0)+SUMIFS($F$5:$F1340,$C$5:$C1340,$C1340,$B$5:$B1340,"Entrada")-SUMIFS($F$5:$F1340,$C$5:$C1340,$C1340,$B$5:$B1340,"Salida"))</f>
        <v/>
      </c>
      <c r="J1340" s="20"/>
      <c r="K1340" s="20"/>
      <c r="L1340" s="20"/>
      <c r="M1340" s="14" t="str">
        <f>IF(AND($C1340&lt;&gt;"",$C1340=Kardex!$C$4),COUNTIF($C$5:$C1340,Kardex!$C$4),"")</f>
        <v/>
      </c>
    </row>
    <row r="1341" spans="1:13" x14ac:dyDescent="0.25">
      <c r="A1341" s="24"/>
      <c r="B1341" s="20"/>
      <c r="C1341" s="20"/>
      <c r="D1341" s="14" t="str">
        <f>IF($C1341="","",IFERROR(INDEX(Productos!$B$5:$B$504,MATCH($C1341,Productos!$A$5:$A$504,0)),"Clave no existe"))</f>
        <v/>
      </c>
      <c r="E1341" s="14" t="str">
        <f>IF($C1341="","",IFERROR(INDEX(Productos!$D$5:$D$504,MATCH($C1341,Productos!$A$5:$A$504,0)),""))</f>
        <v/>
      </c>
      <c r="F1341" s="20"/>
      <c r="G1341" s="22" t="str">
        <f>IF($C1341="","",IFERROR(INDEX(Productos!$F$5:$F$504,MATCH($C1341,Productos!$A$5:$A$504,0)),0))</f>
        <v/>
      </c>
      <c r="H1341" s="22" t="str">
        <f t="shared" si="20"/>
        <v/>
      </c>
      <c r="I1341" s="14" t="str">
        <f>IF(OR($C1341="",$F1341=""),"",IFERROR(INDEX(Productos!$I$5:$I$504,MATCH($C1341,Productos!$A$5:$A$504,0)),0)+SUMIFS($F$5:$F1341,$C$5:$C1341,$C1341,$B$5:$B1341,"Entrada")-SUMIFS($F$5:$F1341,$C$5:$C1341,$C1341,$B$5:$B1341,"Salida"))</f>
        <v/>
      </c>
      <c r="J1341" s="20"/>
      <c r="K1341" s="20"/>
      <c r="L1341" s="20"/>
      <c r="M1341" s="14" t="str">
        <f>IF(AND($C1341&lt;&gt;"",$C1341=Kardex!$C$4),COUNTIF($C$5:$C1341,Kardex!$C$4),"")</f>
        <v/>
      </c>
    </row>
    <row r="1342" spans="1:13" x14ac:dyDescent="0.25">
      <c r="A1342" s="24"/>
      <c r="B1342" s="20"/>
      <c r="C1342" s="20"/>
      <c r="D1342" s="14" t="str">
        <f>IF($C1342="","",IFERROR(INDEX(Productos!$B$5:$B$504,MATCH($C1342,Productos!$A$5:$A$504,0)),"Clave no existe"))</f>
        <v/>
      </c>
      <c r="E1342" s="14" t="str">
        <f>IF($C1342="","",IFERROR(INDEX(Productos!$D$5:$D$504,MATCH($C1342,Productos!$A$5:$A$504,0)),""))</f>
        <v/>
      </c>
      <c r="F1342" s="20"/>
      <c r="G1342" s="22" t="str">
        <f>IF($C1342="","",IFERROR(INDEX(Productos!$F$5:$F$504,MATCH($C1342,Productos!$A$5:$A$504,0)),0))</f>
        <v/>
      </c>
      <c r="H1342" s="22" t="str">
        <f t="shared" si="20"/>
        <v/>
      </c>
      <c r="I1342" s="14" t="str">
        <f>IF(OR($C1342="",$F1342=""),"",IFERROR(INDEX(Productos!$I$5:$I$504,MATCH($C1342,Productos!$A$5:$A$504,0)),0)+SUMIFS($F$5:$F1342,$C$5:$C1342,$C1342,$B$5:$B1342,"Entrada")-SUMIFS($F$5:$F1342,$C$5:$C1342,$C1342,$B$5:$B1342,"Salida"))</f>
        <v/>
      </c>
      <c r="J1342" s="20"/>
      <c r="K1342" s="20"/>
      <c r="L1342" s="20"/>
      <c r="M1342" s="14" t="str">
        <f>IF(AND($C1342&lt;&gt;"",$C1342=Kardex!$C$4),COUNTIF($C$5:$C1342,Kardex!$C$4),"")</f>
        <v/>
      </c>
    </row>
    <row r="1343" spans="1:13" x14ac:dyDescent="0.25">
      <c r="A1343" s="24"/>
      <c r="B1343" s="20"/>
      <c r="C1343" s="20"/>
      <c r="D1343" s="14" t="str">
        <f>IF($C1343="","",IFERROR(INDEX(Productos!$B$5:$B$504,MATCH($C1343,Productos!$A$5:$A$504,0)),"Clave no existe"))</f>
        <v/>
      </c>
      <c r="E1343" s="14" t="str">
        <f>IF($C1343="","",IFERROR(INDEX(Productos!$D$5:$D$504,MATCH($C1343,Productos!$A$5:$A$504,0)),""))</f>
        <v/>
      </c>
      <c r="F1343" s="20"/>
      <c r="G1343" s="22" t="str">
        <f>IF($C1343="","",IFERROR(INDEX(Productos!$F$5:$F$504,MATCH($C1343,Productos!$A$5:$A$504,0)),0))</f>
        <v/>
      </c>
      <c r="H1343" s="22" t="str">
        <f t="shared" si="20"/>
        <v/>
      </c>
      <c r="I1343" s="14" t="str">
        <f>IF(OR($C1343="",$F1343=""),"",IFERROR(INDEX(Productos!$I$5:$I$504,MATCH($C1343,Productos!$A$5:$A$504,0)),0)+SUMIFS($F$5:$F1343,$C$5:$C1343,$C1343,$B$5:$B1343,"Entrada")-SUMIFS($F$5:$F1343,$C$5:$C1343,$C1343,$B$5:$B1343,"Salida"))</f>
        <v/>
      </c>
      <c r="J1343" s="20"/>
      <c r="K1343" s="20"/>
      <c r="L1343" s="20"/>
      <c r="M1343" s="14" t="str">
        <f>IF(AND($C1343&lt;&gt;"",$C1343=Kardex!$C$4),COUNTIF($C$5:$C1343,Kardex!$C$4),"")</f>
        <v/>
      </c>
    </row>
    <row r="1344" spans="1:13" x14ac:dyDescent="0.25">
      <c r="A1344" s="24"/>
      <c r="B1344" s="20"/>
      <c r="C1344" s="20"/>
      <c r="D1344" s="14" t="str">
        <f>IF($C1344="","",IFERROR(INDEX(Productos!$B$5:$B$504,MATCH($C1344,Productos!$A$5:$A$504,0)),"Clave no existe"))</f>
        <v/>
      </c>
      <c r="E1344" s="14" t="str">
        <f>IF($C1344="","",IFERROR(INDEX(Productos!$D$5:$D$504,MATCH($C1344,Productos!$A$5:$A$504,0)),""))</f>
        <v/>
      </c>
      <c r="F1344" s="20"/>
      <c r="G1344" s="22" t="str">
        <f>IF($C1344="","",IFERROR(INDEX(Productos!$F$5:$F$504,MATCH($C1344,Productos!$A$5:$A$504,0)),0))</f>
        <v/>
      </c>
      <c r="H1344" s="22" t="str">
        <f t="shared" si="20"/>
        <v/>
      </c>
      <c r="I1344" s="14" t="str">
        <f>IF(OR($C1344="",$F1344=""),"",IFERROR(INDEX(Productos!$I$5:$I$504,MATCH($C1344,Productos!$A$5:$A$504,0)),0)+SUMIFS($F$5:$F1344,$C$5:$C1344,$C1344,$B$5:$B1344,"Entrada")-SUMIFS($F$5:$F1344,$C$5:$C1344,$C1344,$B$5:$B1344,"Salida"))</f>
        <v/>
      </c>
      <c r="J1344" s="20"/>
      <c r="K1344" s="20"/>
      <c r="L1344" s="20"/>
      <c r="M1344" s="14" t="str">
        <f>IF(AND($C1344&lt;&gt;"",$C1344=Kardex!$C$4),COUNTIF($C$5:$C1344,Kardex!$C$4),"")</f>
        <v/>
      </c>
    </row>
    <row r="1345" spans="1:13" x14ac:dyDescent="0.25">
      <c r="A1345" s="24"/>
      <c r="B1345" s="20"/>
      <c r="C1345" s="20"/>
      <c r="D1345" s="14" t="str">
        <f>IF($C1345="","",IFERROR(INDEX(Productos!$B$5:$B$504,MATCH($C1345,Productos!$A$5:$A$504,0)),"Clave no existe"))</f>
        <v/>
      </c>
      <c r="E1345" s="14" t="str">
        <f>IF($C1345="","",IFERROR(INDEX(Productos!$D$5:$D$504,MATCH($C1345,Productos!$A$5:$A$504,0)),""))</f>
        <v/>
      </c>
      <c r="F1345" s="20"/>
      <c r="G1345" s="22" t="str">
        <f>IF($C1345="","",IFERROR(INDEX(Productos!$F$5:$F$504,MATCH($C1345,Productos!$A$5:$A$504,0)),0))</f>
        <v/>
      </c>
      <c r="H1345" s="22" t="str">
        <f t="shared" si="20"/>
        <v/>
      </c>
      <c r="I1345" s="14" t="str">
        <f>IF(OR($C1345="",$F1345=""),"",IFERROR(INDEX(Productos!$I$5:$I$504,MATCH($C1345,Productos!$A$5:$A$504,0)),0)+SUMIFS($F$5:$F1345,$C$5:$C1345,$C1345,$B$5:$B1345,"Entrada")-SUMIFS($F$5:$F1345,$C$5:$C1345,$C1345,$B$5:$B1345,"Salida"))</f>
        <v/>
      </c>
      <c r="J1345" s="20"/>
      <c r="K1345" s="20"/>
      <c r="L1345" s="20"/>
      <c r="M1345" s="14" t="str">
        <f>IF(AND($C1345&lt;&gt;"",$C1345=Kardex!$C$4),COUNTIF($C$5:$C1345,Kardex!$C$4),"")</f>
        <v/>
      </c>
    </row>
    <row r="1346" spans="1:13" x14ac:dyDescent="0.25">
      <c r="A1346" s="24"/>
      <c r="B1346" s="20"/>
      <c r="C1346" s="20"/>
      <c r="D1346" s="14" t="str">
        <f>IF($C1346="","",IFERROR(INDEX(Productos!$B$5:$B$504,MATCH($C1346,Productos!$A$5:$A$504,0)),"Clave no existe"))</f>
        <v/>
      </c>
      <c r="E1346" s="14" t="str">
        <f>IF($C1346="","",IFERROR(INDEX(Productos!$D$5:$D$504,MATCH($C1346,Productos!$A$5:$A$504,0)),""))</f>
        <v/>
      </c>
      <c r="F1346" s="20"/>
      <c r="G1346" s="22" t="str">
        <f>IF($C1346="","",IFERROR(INDEX(Productos!$F$5:$F$504,MATCH($C1346,Productos!$A$5:$A$504,0)),0))</f>
        <v/>
      </c>
      <c r="H1346" s="22" t="str">
        <f t="shared" si="20"/>
        <v/>
      </c>
      <c r="I1346" s="14" t="str">
        <f>IF(OR($C1346="",$F1346=""),"",IFERROR(INDEX(Productos!$I$5:$I$504,MATCH($C1346,Productos!$A$5:$A$504,0)),0)+SUMIFS($F$5:$F1346,$C$5:$C1346,$C1346,$B$5:$B1346,"Entrada")-SUMIFS($F$5:$F1346,$C$5:$C1346,$C1346,$B$5:$B1346,"Salida"))</f>
        <v/>
      </c>
      <c r="J1346" s="20"/>
      <c r="K1346" s="20"/>
      <c r="L1346" s="20"/>
      <c r="M1346" s="14" t="str">
        <f>IF(AND($C1346&lt;&gt;"",$C1346=Kardex!$C$4),COUNTIF($C$5:$C1346,Kardex!$C$4),"")</f>
        <v/>
      </c>
    </row>
    <row r="1347" spans="1:13" x14ac:dyDescent="0.25">
      <c r="A1347" s="24"/>
      <c r="B1347" s="20"/>
      <c r="C1347" s="20"/>
      <c r="D1347" s="14" t="str">
        <f>IF($C1347="","",IFERROR(INDEX(Productos!$B$5:$B$504,MATCH($C1347,Productos!$A$5:$A$504,0)),"Clave no existe"))</f>
        <v/>
      </c>
      <c r="E1347" s="14" t="str">
        <f>IF($C1347="","",IFERROR(INDEX(Productos!$D$5:$D$504,MATCH($C1347,Productos!$A$5:$A$504,0)),""))</f>
        <v/>
      </c>
      <c r="F1347" s="20"/>
      <c r="G1347" s="22" t="str">
        <f>IF($C1347="","",IFERROR(INDEX(Productos!$F$5:$F$504,MATCH($C1347,Productos!$A$5:$A$504,0)),0))</f>
        <v/>
      </c>
      <c r="H1347" s="22" t="str">
        <f t="shared" si="20"/>
        <v/>
      </c>
      <c r="I1347" s="14" t="str">
        <f>IF(OR($C1347="",$F1347=""),"",IFERROR(INDEX(Productos!$I$5:$I$504,MATCH($C1347,Productos!$A$5:$A$504,0)),0)+SUMIFS($F$5:$F1347,$C$5:$C1347,$C1347,$B$5:$B1347,"Entrada")-SUMIFS($F$5:$F1347,$C$5:$C1347,$C1347,$B$5:$B1347,"Salida"))</f>
        <v/>
      </c>
      <c r="J1347" s="20"/>
      <c r="K1347" s="20"/>
      <c r="L1347" s="20"/>
      <c r="M1347" s="14" t="str">
        <f>IF(AND($C1347&lt;&gt;"",$C1347=Kardex!$C$4),COUNTIF($C$5:$C1347,Kardex!$C$4),"")</f>
        <v/>
      </c>
    </row>
    <row r="1348" spans="1:13" x14ac:dyDescent="0.25">
      <c r="A1348" s="24"/>
      <c r="B1348" s="20"/>
      <c r="C1348" s="20"/>
      <c r="D1348" s="14" t="str">
        <f>IF($C1348="","",IFERROR(INDEX(Productos!$B$5:$B$504,MATCH($C1348,Productos!$A$5:$A$504,0)),"Clave no existe"))</f>
        <v/>
      </c>
      <c r="E1348" s="14" t="str">
        <f>IF($C1348="","",IFERROR(INDEX(Productos!$D$5:$D$504,MATCH($C1348,Productos!$A$5:$A$504,0)),""))</f>
        <v/>
      </c>
      <c r="F1348" s="20"/>
      <c r="G1348" s="22" t="str">
        <f>IF($C1348="","",IFERROR(INDEX(Productos!$F$5:$F$504,MATCH($C1348,Productos!$A$5:$A$504,0)),0))</f>
        <v/>
      </c>
      <c r="H1348" s="22" t="str">
        <f t="shared" si="20"/>
        <v/>
      </c>
      <c r="I1348" s="14" t="str">
        <f>IF(OR($C1348="",$F1348=""),"",IFERROR(INDEX(Productos!$I$5:$I$504,MATCH($C1348,Productos!$A$5:$A$504,0)),0)+SUMIFS($F$5:$F1348,$C$5:$C1348,$C1348,$B$5:$B1348,"Entrada")-SUMIFS($F$5:$F1348,$C$5:$C1348,$C1348,$B$5:$B1348,"Salida"))</f>
        <v/>
      </c>
      <c r="J1348" s="20"/>
      <c r="K1348" s="20"/>
      <c r="L1348" s="20"/>
      <c r="M1348" s="14" t="str">
        <f>IF(AND($C1348&lt;&gt;"",$C1348=Kardex!$C$4),COUNTIF($C$5:$C1348,Kardex!$C$4),"")</f>
        <v/>
      </c>
    </row>
    <row r="1349" spans="1:13" x14ac:dyDescent="0.25">
      <c r="A1349" s="24"/>
      <c r="B1349" s="20"/>
      <c r="C1349" s="20"/>
      <c r="D1349" s="14" t="str">
        <f>IF($C1349="","",IFERROR(INDEX(Productos!$B$5:$B$504,MATCH($C1349,Productos!$A$5:$A$504,0)),"Clave no existe"))</f>
        <v/>
      </c>
      <c r="E1349" s="14" t="str">
        <f>IF($C1349="","",IFERROR(INDEX(Productos!$D$5:$D$504,MATCH($C1349,Productos!$A$5:$A$504,0)),""))</f>
        <v/>
      </c>
      <c r="F1349" s="20"/>
      <c r="G1349" s="22" t="str">
        <f>IF($C1349="","",IFERROR(INDEX(Productos!$F$5:$F$504,MATCH($C1349,Productos!$A$5:$A$504,0)),0))</f>
        <v/>
      </c>
      <c r="H1349" s="22" t="str">
        <f t="shared" ref="H1349:H1412" si="21">IF(OR($C1349="",$F1349=""),"",F1349*G1349)</f>
        <v/>
      </c>
      <c r="I1349" s="14" t="str">
        <f>IF(OR($C1349="",$F1349=""),"",IFERROR(INDEX(Productos!$I$5:$I$504,MATCH($C1349,Productos!$A$5:$A$504,0)),0)+SUMIFS($F$5:$F1349,$C$5:$C1349,$C1349,$B$5:$B1349,"Entrada")-SUMIFS($F$5:$F1349,$C$5:$C1349,$C1349,$B$5:$B1349,"Salida"))</f>
        <v/>
      </c>
      <c r="J1349" s="20"/>
      <c r="K1349" s="20"/>
      <c r="L1349" s="20"/>
      <c r="M1349" s="14" t="str">
        <f>IF(AND($C1349&lt;&gt;"",$C1349=Kardex!$C$4),COUNTIF($C$5:$C1349,Kardex!$C$4),"")</f>
        <v/>
      </c>
    </row>
    <row r="1350" spans="1:13" x14ac:dyDescent="0.25">
      <c r="A1350" s="24"/>
      <c r="B1350" s="20"/>
      <c r="C1350" s="20"/>
      <c r="D1350" s="14" t="str">
        <f>IF($C1350="","",IFERROR(INDEX(Productos!$B$5:$B$504,MATCH($C1350,Productos!$A$5:$A$504,0)),"Clave no existe"))</f>
        <v/>
      </c>
      <c r="E1350" s="14" t="str">
        <f>IF($C1350="","",IFERROR(INDEX(Productos!$D$5:$D$504,MATCH($C1350,Productos!$A$5:$A$504,0)),""))</f>
        <v/>
      </c>
      <c r="F1350" s="20"/>
      <c r="G1350" s="22" t="str">
        <f>IF($C1350="","",IFERROR(INDEX(Productos!$F$5:$F$504,MATCH($C1350,Productos!$A$5:$A$504,0)),0))</f>
        <v/>
      </c>
      <c r="H1350" s="22" t="str">
        <f t="shared" si="21"/>
        <v/>
      </c>
      <c r="I1350" s="14" t="str">
        <f>IF(OR($C1350="",$F1350=""),"",IFERROR(INDEX(Productos!$I$5:$I$504,MATCH($C1350,Productos!$A$5:$A$504,0)),0)+SUMIFS($F$5:$F1350,$C$5:$C1350,$C1350,$B$5:$B1350,"Entrada")-SUMIFS($F$5:$F1350,$C$5:$C1350,$C1350,$B$5:$B1350,"Salida"))</f>
        <v/>
      </c>
      <c r="J1350" s="20"/>
      <c r="K1350" s="20"/>
      <c r="L1350" s="20"/>
      <c r="M1350" s="14" t="str">
        <f>IF(AND($C1350&lt;&gt;"",$C1350=Kardex!$C$4),COUNTIF($C$5:$C1350,Kardex!$C$4),"")</f>
        <v/>
      </c>
    </row>
    <row r="1351" spans="1:13" x14ac:dyDescent="0.25">
      <c r="A1351" s="24"/>
      <c r="B1351" s="20"/>
      <c r="C1351" s="20"/>
      <c r="D1351" s="14" t="str">
        <f>IF($C1351="","",IFERROR(INDEX(Productos!$B$5:$B$504,MATCH($C1351,Productos!$A$5:$A$504,0)),"Clave no existe"))</f>
        <v/>
      </c>
      <c r="E1351" s="14" t="str">
        <f>IF($C1351="","",IFERROR(INDEX(Productos!$D$5:$D$504,MATCH($C1351,Productos!$A$5:$A$504,0)),""))</f>
        <v/>
      </c>
      <c r="F1351" s="20"/>
      <c r="G1351" s="22" t="str">
        <f>IF($C1351="","",IFERROR(INDEX(Productos!$F$5:$F$504,MATCH($C1351,Productos!$A$5:$A$504,0)),0))</f>
        <v/>
      </c>
      <c r="H1351" s="22" t="str">
        <f t="shared" si="21"/>
        <v/>
      </c>
      <c r="I1351" s="14" t="str">
        <f>IF(OR($C1351="",$F1351=""),"",IFERROR(INDEX(Productos!$I$5:$I$504,MATCH($C1351,Productos!$A$5:$A$504,0)),0)+SUMIFS($F$5:$F1351,$C$5:$C1351,$C1351,$B$5:$B1351,"Entrada")-SUMIFS($F$5:$F1351,$C$5:$C1351,$C1351,$B$5:$B1351,"Salida"))</f>
        <v/>
      </c>
      <c r="J1351" s="20"/>
      <c r="K1351" s="20"/>
      <c r="L1351" s="20"/>
      <c r="M1351" s="14" t="str">
        <f>IF(AND($C1351&lt;&gt;"",$C1351=Kardex!$C$4),COUNTIF($C$5:$C1351,Kardex!$C$4),"")</f>
        <v/>
      </c>
    </row>
    <row r="1352" spans="1:13" x14ac:dyDescent="0.25">
      <c r="A1352" s="24"/>
      <c r="B1352" s="20"/>
      <c r="C1352" s="20"/>
      <c r="D1352" s="14" t="str">
        <f>IF($C1352="","",IFERROR(INDEX(Productos!$B$5:$B$504,MATCH($C1352,Productos!$A$5:$A$504,0)),"Clave no existe"))</f>
        <v/>
      </c>
      <c r="E1352" s="14" t="str">
        <f>IF($C1352="","",IFERROR(INDEX(Productos!$D$5:$D$504,MATCH($C1352,Productos!$A$5:$A$504,0)),""))</f>
        <v/>
      </c>
      <c r="F1352" s="20"/>
      <c r="G1352" s="22" t="str">
        <f>IF($C1352="","",IFERROR(INDEX(Productos!$F$5:$F$504,MATCH($C1352,Productos!$A$5:$A$504,0)),0))</f>
        <v/>
      </c>
      <c r="H1352" s="22" t="str">
        <f t="shared" si="21"/>
        <v/>
      </c>
      <c r="I1352" s="14" t="str">
        <f>IF(OR($C1352="",$F1352=""),"",IFERROR(INDEX(Productos!$I$5:$I$504,MATCH($C1352,Productos!$A$5:$A$504,0)),0)+SUMIFS($F$5:$F1352,$C$5:$C1352,$C1352,$B$5:$B1352,"Entrada")-SUMIFS($F$5:$F1352,$C$5:$C1352,$C1352,$B$5:$B1352,"Salida"))</f>
        <v/>
      </c>
      <c r="J1352" s="20"/>
      <c r="K1352" s="20"/>
      <c r="L1352" s="20"/>
      <c r="M1352" s="14" t="str">
        <f>IF(AND($C1352&lt;&gt;"",$C1352=Kardex!$C$4),COUNTIF($C$5:$C1352,Kardex!$C$4),"")</f>
        <v/>
      </c>
    </row>
    <row r="1353" spans="1:13" x14ac:dyDescent="0.25">
      <c r="A1353" s="24"/>
      <c r="B1353" s="20"/>
      <c r="C1353" s="20"/>
      <c r="D1353" s="14" t="str">
        <f>IF($C1353="","",IFERROR(INDEX(Productos!$B$5:$B$504,MATCH($C1353,Productos!$A$5:$A$504,0)),"Clave no existe"))</f>
        <v/>
      </c>
      <c r="E1353" s="14" t="str">
        <f>IF($C1353="","",IFERROR(INDEX(Productos!$D$5:$D$504,MATCH($C1353,Productos!$A$5:$A$504,0)),""))</f>
        <v/>
      </c>
      <c r="F1353" s="20"/>
      <c r="G1353" s="22" t="str">
        <f>IF($C1353="","",IFERROR(INDEX(Productos!$F$5:$F$504,MATCH($C1353,Productos!$A$5:$A$504,0)),0))</f>
        <v/>
      </c>
      <c r="H1353" s="22" t="str">
        <f t="shared" si="21"/>
        <v/>
      </c>
      <c r="I1353" s="14" t="str">
        <f>IF(OR($C1353="",$F1353=""),"",IFERROR(INDEX(Productos!$I$5:$I$504,MATCH($C1353,Productos!$A$5:$A$504,0)),0)+SUMIFS($F$5:$F1353,$C$5:$C1353,$C1353,$B$5:$B1353,"Entrada")-SUMIFS($F$5:$F1353,$C$5:$C1353,$C1353,$B$5:$B1353,"Salida"))</f>
        <v/>
      </c>
      <c r="J1353" s="20"/>
      <c r="K1353" s="20"/>
      <c r="L1353" s="20"/>
      <c r="M1353" s="14" t="str">
        <f>IF(AND($C1353&lt;&gt;"",$C1353=Kardex!$C$4),COUNTIF($C$5:$C1353,Kardex!$C$4),"")</f>
        <v/>
      </c>
    </row>
    <row r="1354" spans="1:13" x14ac:dyDescent="0.25">
      <c r="A1354" s="24"/>
      <c r="B1354" s="20"/>
      <c r="C1354" s="20"/>
      <c r="D1354" s="14" t="str">
        <f>IF($C1354="","",IFERROR(INDEX(Productos!$B$5:$B$504,MATCH($C1354,Productos!$A$5:$A$504,0)),"Clave no existe"))</f>
        <v/>
      </c>
      <c r="E1354" s="14" t="str">
        <f>IF($C1354="","",IFERROR(INDEX(Productos!$D$5:$D$504,MATCH($C1354,Productos!$A$5:$A$504,0)),""))</f>
        <v/>
      </c>
      <c r="F1354" s="20"/>
      <c r="G1354" s="22" t="str">
        <f>IF($C1354="","",IFERROR(INDEX(Productos!$F$5:$F$504,MATCH($C1354,Productos!$A$5:$A$504,0)),0))</f>
        <v/>
      </c>
      <c r="H1354" s="22" t="str">
        <f t="shared" si="21"/>
        <v/>
      </c>
      <c r="I1354" s="14" t="str">
        <f>IF(OR($C1354="",$F1354=""),"",IFERROR(INDEX(Productos!$I$5:$I$504,MATCH($C1354,Productos!$A$5:$A$504,0)),0)+SUMIFS($F$5:$F1354,$C$5:$C1354,$C1354,$B$5:$B1354,"Entrada")-SUMIFS($F$5:$F1354,$C$5:$C1354,$C1354,$B$5:$B1354,"Salida"))</f>
        <v/>
      </c>
      <c r="J1354" s="20"/>
      <c r="K1354" s="20"/>
      <c r="L1354" s="20"/>
      <c r="M1354" s="14" t="str">
        <f>IF(AND($C1354&lt;&gt;"",$C1354=Kardex!$C$4),COUNTIF($C$5:$C1354,Kardex!$C$4),"")</f>
        <v/>
      </c>
    </row>
    <row r="1355" spans="1:13" x14ac:dyDescent="0.25">
      <c r="A1355" s="24"/>
      <c r="B1355" s="20"/>
      <c r="C1355" s="20"/>
      <c r="D1355" s="14" t="str">
        <f>IF($C1355="","",IFERROR(INDEX(Productos!$B$5:$B$504,MATCH($C1355,Productos!$A$5:$A$504,0)),"Clave no existe"))</f>
        <v/>
      </c>
      <c r="E1355" s="14" t="str">
        <f>IF($C1355="","",IFERROR(INDEX(Productos!$D$5:$D$504,MATCH($C1355,Productos!$A$5:$A$504,0)),""))</f>
        <v/>
      </c>
      <c r="F1355" s="20"/>
      <c r="G1355" s="22" t="str">
        <f>IF($C1355="","",IFERROR(INDEX(Productos!$F$5:$F$504,MATCH($C1355,Productos!$A$5:$A$504,0)),0))</f>
        <v/>
      </c>
      <c r="H1355" s="22" t="str">
        <f t="shared" si="21"/>
        <v/>
      </c>
      <c r="I1355" s="14" t="str">
        <f>IF(OR($C1355="",$F1355=""),"",IFERROR(INDEX(Productos!$I$5:$I$504,MATCH($C1355,Productos!$A$5:$A$504,0)),0)+SUMIFS($F$5:$F1355,$C$5:$C1355,$C1355,$B$5:$B1355,"Entrada")-SUMIFS($F$5:$F1355,$C$5:$C1355,$C1355,$B$5:$B1355,"Salida"))</f>
        <v/>
      </c>
      <c r="J1355" s="20"/>
      <c r="K1355" s="20"/>
      <c r="L1355" s="20"/>
      <c r="M1355" s="14" t="str">
        <f>IF(AND($C1355&lt;&gt;"",$C1355=Kardex!$C$4),COUNTIF($C$5:$C1355,Kardex!$C$4),"")</f>
        <v/>
      </c>
    </row>
    <row r="1356" spans="1:13" x14ac:dyDescent="0.25">
      <c r="A1356" s="24"/>
      <c r="B1356" s="20"/>
      <c r="C1356" s="20"/>
      <c r="D1356" s="14" t="str">
        <f>IF($C1356="","",IFERROR(INDEX(Productos!$B$5:$B$504,MATCH($C1356,Productos!$A$5:$A$504,0)),"Clave no existe"))</f>
        <v/>
      </c>
      <c r="E1356" s="14" t="str">
        <f>IF($C1356="","",IFERROR(INDEX(Productos!$D$5:$D$504,MATCH($C1356,Productos!$A$5:$A$504,0)),""))</f>
        <v/>
      </c>
      <c r="F1356" s="20"/>
      <c r="G1356" s="22" t="str">
        <f>IF($C1356="","",IFERROR(INDEX(Productos!$F$5:$F$504,MATCH($C1356,Productos!$A$5:$A$504,0)),0))</f>
        <v/>
      </c>
      <c r="H1356" s="22" t="str">
        <f t="shared" si="21"/>
        <v/>
      </c>
      <c r="I1356" s="14" t="str">
        <f>IF(OR($C1356="",$F1356=""),"",IFERROR(INDEX(Productos!$I$5:$I$504,MATCH($C1356,Productos!$A$5:$A$504,0)),0)+SUMIFS($F$5:$F1356,$C$5:$C1356,$C1356,$B$5:$B1356,"Entrada")-SUMIFS($F$5:$F1356,$C$5:$C1356,$C1356,$B$5:$B1356,"Salida"))</f>
        <v/>
      </c>
      <c r="J1356" s="20"/>
      <c r="K1356" s="20"/>
      <c r="L1356" s="20"/>
      <c r="M1356" s="14" t="str">
        <f>IF(AND($C1356&lt;&gt;"",$C1356=Kardex!$C$4),COUNTIF($C$5:$C1356,Kardex!$C$4),"")</f>
        <v/>
      </c>
    </row>
    <row r="1357" spans="1:13" x14ac:dyDescent="0.25">
      <c r="A1357" s="24"/>
      <c r="B1357" s="20"/>
      <c r="C1357" s="20"/>
      <c r="D1357" s="14" t="str">
        <f>IF($C1357="","",IFERROR(INDEX(Productos!$B$5:$B$504,MATCH($C1357,Productos!$A$5:$A$504,0)),"Clave no existe"))</f>
        <v/>
      </c>
      <c r="E1357" s="14" t="str">
        <f>IF($C1357="","",IFERROR(INDEX(Productos!$D$5:$D$504,MATCH($C1357,Productos!$A$5:$A$504,0)),""))</f>
        <v/>
      </c>
      <c r="F1357" s="20"/>
      <c r="G1357" s="22" t="str">
        <f>IF($C1357="","",IFERROR(INDEX(Productos!$F$5:$F$504,MATCH($C1357,Productos!$A$5:$A$504,0)),0))</f>
        <v/>
      </c>
      <c r="H1357" s="22" t="str">
        <f t="shared" si="21"/>
        <v/>
      </c>
      <c r="I1357" s="14" t="str">
        <f>IF(OR($C1357="",$F1357=""),"",IFERROR(INDEX(Productos!$I$5:$I$504,MATCH($C1357,Productos!$A$5:$A$504,0)),0)+SUMIFS($F$5:$F1357,$C$5:$C1357,$C1357,$B$5:$B1357,"Entrada")-SUMIFS($F$5:$F1357,$C$5:$C1357,$C1357,$B$5:$B1357,"Salida"))</f>
        <v/>
      </c>
      <c r="J1357" s="20"/>
      <c r="K1357" s="20"/>
      <c r="L1357" s="20"/>
      <c r="M1357" s="14" t="str">
        <f>IF(AND($C1357&lt;&gt;"",$C1357=Kardex!$C$4),COUNTIF($C$5:$C1357,Kardex!$C$4),"")</f>
        <v/>
      </c>
    </row>
    <row r="1358" spans="1:13" x14ac:dyDescent="0.25">
      <c r="A1358" s="24"/>
      <c r="B1358" s="20"/>
      <c r="C1358" s="20"/>
      <c r="D1358" s="14" t="str">
        <f>IF($C1358="","",IFERROR(INDEX(Productos!$B$5:$B$504,MATCH($C1358,Productos!$A$5:$A$504,0)),"Clave no existe"))</f>
        <v/>
      </c>
      <c r="E1358" s="14" t="str">
        <f>IF($C1358="","",IFERROR(INDEX(Productos!$D$5:$D$504,MATCH($C1358,Productos!$A$5:$A$504,0)),""))</f>
        <v/>
      </c>
      <c r="F1358" s="20"/>
      <c r="G1358" s="22" t="str">
        <f>IF($C1358="","",IFERROR(INDEX(Productos!$F$5:$F$504,MATCH($C1358,Productos!$A$5:$A$504,0)),0))</f>
        <v/>
      </c>
      <c r="H1358" s="22" t="str">
        <f t="shared" si="21"/>
        <v/>
      </c>
      <c r="I1358" s="14" t="str">
        <f>IF(OR($C1358="",$F1358=""),"",IFERROR(INDEX(Productos!$I$5:$I$504,MATCH($C1358,Productos!$A$5:$A$504,0)),0)+SUMIFS($F$5:$F1358,$C$5:$C1358,$C1358,$B$5:$B1358,"Entrada")-SUMIFS($F$5:$F1358,$C$5:$C1358,$C1358,$B$5:$B1358,"Salida"))</f>
        <v/>
      </c>
      <c r="J1358" s="20"/>
      <c r="K1358" s="20"/>
      <c r="L1358" s="20"/>
      <c r="M1358" s="14" t="str">
        <f>IF(AND($C1358&lt;&gt;"",$C1358=Kardex!$C$4),COUNTIF($C$5:$C1358,Kardex!$C$4),"")</f>
        <v/>
      </c>
    </row>
    <row r="1359" spans="1:13" x14ac:dyDescent="0.25">
      <c r="A1359" s="24"/>
      <c r="B1359" s="20"/>
      <c r="C1359" s="20"/>
      <c r="D1359" s="14" t="str">
        <f>IF($C1359="","",IFERROR(INDEX(Productos!$B$5:$B$504,MATCH($C1359,Productos!$A$5:$A$504,0)),"Clave no existe"))</f>
        <v/>
      </c>
      <c r="E1359" s="14" t="str">
        <f>IF($C1359="","",IFERROR(INDEX(Productos!$D$5:$D$504,MATCH($C1359,Productos!$A$5:$A$504,0)),""))</f>
        <v/>
      </c>
      <c r="F1359" s="20"/>
      <c r="G1359" s="22" t="str">
        <f>IF($C1359="","",IFERROR(INDEX(Productos!$F$5:$F$504,MATCH($C1359,Productos!$A$5:$A$504,0)),0))</f>
        <v/>
      </c>
      <c r="H1359" s="22" t="str">
        <f t="shared" si="21"/>
        <v/>
      </c>
      <c r="I1359" s="14" t="str">
        <f>IF(OR($C1359="",$F1359=""),"",IFERROR(INDEX(Productos!$I$5:$I$504,MATCH($C1359,Productos!$A$5:$A$504,0)),0)+SUMIFS($F$5:$F1359,$C$5:$C1359,$C1359,$B$5:$B1359,"Entrada")-SUMIFS($F$5:$F1359,$C$5:$C1359,$C1359,$B$5:$B1359,"Salida"))</f>
        <v/>
      </c>
      <c r="J1359" s="20"/>
      <c r="K1359" s="20"/>
      <c r="L1359" s="20"/>
      <c r="M1359" s="14" t="str">
        <f>IF(AND($C1359&lt;&gt;"",$C1359=Kardex!$C$4),COUNTIF($C$5:$C1359,Kardex!$C$4),"")</f>
        <v/>
      </c>
    </row>
    <row r="1360" spans="1:13" x14ac:dyDescent="0.25">
      <c r="A1360" s="24"/>
      <c r="B1360" s="20"/>
      <c r="C1360" s="20"/>
      <c r="D1360" s="14" t="str">
        <f>IF($C1360="","",IFERROR(INDEX(Productos!$B$5:$B$504,MATCH($C1360,Productos!$A$5:$A$504,0)),"Clave no existe"))</f>
        <v/>
      </c>
      <c r="E1360" s="14" t="str">
        <f>IF($C1360="","",IFERROR(INDEX(Productos!$D$5:$D$504,MATCH($C1360,Productos!$A$5:$A$504,0)),""))</f>
        <v/>
      </c>
      <c r="F1360" s="20"/>
      <c r="G1360" s="22" t="str">
        <f>IF($C1360="","",IFERROR(INDEX(Productos!$F$5:$F$504,MATCH($C1360,Productos!$A$5:$A$504,0)),0))</f>
        <v/>
      </c>
      <c r="H1360" s="22" t="str">
        <f t="shared" si="21"/>
        <v/>
      </c>
      <c r="I1360" s="14" t="str">
        <f>IF(OR($C1360="",$F1360=""),"",IFERROR(INDEX(Productos!$I$5:$I$504,MATCH($C1360,Productos!$A$5:$A$504,0)),0)+SUMIFS($F$5:$F1360,$C$5:$C1360,$C1360,$B$5:$B1360,"Entrada")-SUMIFS($F$5:$F1360,$C$5:$C1360,$C1360,$B$5:$B1360,"Salida"))</f>
        <v/>
      </c>
      <c r="J1360" s="20"/>
      <c r="K1360" s="20"/>
      <c r="L1360" s="20"/>
      <c r="M1360" s="14" t="str">
        <f>IF(AND($C1360&lt;&gt;"",$C1360=Kardex!$C$4),COUNTIF($C$5:$C1360,Kardex!$C$4),"")</f>
        <v/>
      </c>
    </row>
    <row r="1361" spans="1:13" x14ac:dyDescent="0.25">
      <c r="A1361" s="24"/>
      <c r="B1361" s="20"/>
      <c r="C1361" s="20"/>
      <c r="D1361" s="14" t="str">
        <f>IF($C1361="","",IFERROR(INDEX(Productos!$B$5:$B$504,MATCH($C1361,Productos!$A$5:$A$504,0)),"Clave no existe"))</f>
        <v/>
      </c>
      <c r="E1361" s="14" t="str">
        <f>IF($C1361="","",IFERROR(INDEX(Productos!$D$5:$D$504,MATCH($C1361,Productos!$A$5:$A$504,0)),""))</f>
        <v/>
      </c>
      <c r="F1361" s="20"/>
      <c r="G1361" s="22" t="str">
        <f>IF($C1361="","",IFERROR(INDEX(Productos!$F$5:$F$504,MATCH($C1361,Productos!$A$5:$A$504,0)),0))</f>
        <v/>
      </c>
      <c r="H1361" s="22" t="str">
        <f t="shared" si="21"/>
        <v/>
      </c>
      <c r="I1361" s="14" t="str">
        <f>IF(OR($C1361="",$F1361=""),"",IFERROR(INDEX(Productos!$I$5:$I$504,MATCH($C1361,Productos!$A$5:$A$504,0)),0)+SUMIFS($F$5:$F1361,$C$5:$C1361,$C1361,$B$5:$B1361,"Entrada")-SUMIFS($F$5:$F1361,$C$5:$C1361,$C1361,$B$5:$B1361,"Salida"))</f>
        <v/>
      </c>
      <c r="J1361" s="20"/>
      <c r="K1361" s="20"/>
      <c r="L1361" s="20"/>
      <c r="M1361" s="14" t="str">
        <f>IF(AND($C1361&lt;&gt;"",$C1361=Kardex!$C$4),COUNTIF($C$5:$C1361,Kardex!$C$4),"")</f>
        <v/>
      </c>
    </row>
    <row r="1362" spans="1:13" x14ac:dyDescent="0.25">
      <c r="A1362" s="24"/>
      <c r="B1362" s="20"/>
      <c r="C1362" s="20"/>
      <c r="D1362" s="14" t="str">
        <f>IF($C1362="","",IFERROR(INDEX(Productos!$B$5:$B$504,MATCH($C1362,Productos!$A$5:$A$504,0)),"Clave no existe"))</f>
        <v/>
      </c>
      <c r="E1362" s="14" t="str">
        <f>IF($C1362="","",IFERROR(INDEX(Productos!$D$5:$D$504,MATCH($C1362,Productos!$A$5:$A$504,0)),""))</f>
        <v/>
      </c>
      <c r="F1362" s="20"/>
      <c r="G1362" s="22" t="str">
        <f>IF($C1362="","",IFERROR(INDEX(Productos!$F$5:$F$504,MATCH($C1362,Productos!$A$5:$A$504,0)),0))</f>
        <v/>
      </c>
      <c r="H1362" s="22" t="str">
        <f t="shared" si="21"/>
        <v/>
      </c>
      <c r="I1362" s="14" t="str">
        <f>IF(OR($C1362="",$F1362=""),"",IFERROR(INDEX(Productos!$I$5:$I$504,MATCH($C1362,Productos!$A$5:$A$504,0)),0)+SUMIFS($F$5:$F1362,$C$5:$C1362,$C1362,$B$5:$B1362,"Entrada")-SUMIFS($F$5:$F1362,$C$5:$C1362,$C1362,$B$5:$B1362,"Salida"))</f>
        <v/>
      </c>
      <c r="J1362" s="20"/>
      <c r="K1362" s="20"/>
      <c r="L1362" s="20"/>
      <c r="M1362" s="14" t="str">
        <f>IF(AND($C1362&lt;&gt;"",$C1362=Kardex!$C$4),COUNTIF($C$5:$C1362,Kardex!$C$4),"")</f>
        <v/>
      </c>
    </row>
    <row r="1363" spans="1:13" x14ac:dyDescent="0.25">
      <c r="A1363" s="24"/>
      <c r="B1363" s="20"/>
      <c r="C1363" s="20"/>
      <c r="D1363" s="14" t="str">
        <f>IF($C1363="","",IFERROR(INDEX(Productos!$B$5:$B$504,MATCH($C1363,Productos!$A$5:$A$504,0)),"Clave no existe"))</f>
        <v/>
      </c>
      <c r="E1363" s="14" t="str">
        <f>IF($C1363="","",IFERROR(INDEX(Productos!$D$5:$D$504,MATCH($C1363,Productos!$A$5:$A$504,0)),""))</f>
        <v/>
      </c>
      <c r="F1363" s="20"/>
      <c r="G1363" s="22" t="str">
        <f>IF($C1363="","",IFERROR(INDEX(Productos!$F$5:$F$504,MATCH($C1363,Productos!$A$5:$A$504,0)),0))</f>
        <v/>
      </c>
      <c r="H1363" s="22" t="str">
        <f t="shared" si="21"/>
        <v/>
      </c>
      <c r="I1363" s="14" t="str">
        <f>IF(OR($C1363="",$F1363=""),"",IFERROR(INDEX(Productos!$I$5:$I$504,MATCH($C1363,Productos!$A$5:$A$504,0)),0)+SUMIFS($F$5:$F1363,$C$5:$C1363,$C1363,$B$5:$B1363,"Entrada")-SUMIFS($F$5:$F1363,$C$5:$C1363,$C1363,$B$5:$B1363,"Salida"))</f>
        <v/>
      </c>
      <c r="J1363" s="20"/>
      <c r="K1363" s="20"/>
      <c r="L1363" s="20"/>
      <c r="M1363" s="14" t="str">
        <f>IF(AND($C1363&lt;&gt;"",$C1363=Kardex!$C$4),COUNTIF($C$5:$C1363,Kardex!$C$4),"")</f>
        <v/>
      </c>
    </row>
    <row r="1364" spans="1:13" x14ac:dyDescent="0.25">
      <c r="A1364" s="24"/>
      <c r="B1364" s="20"/>
      <c r="C1364" s="20"/>
      <c r="D1364" s="14" t="str">
        <f>IF($C1364="","",IFERROR(INDEX(Productos!$B$5:$B$504,MATCH($C1364,Productos!$A$5:$A$504,0)),"Clave no existe"))</f>
        <v/>
      </c>
      <c r="E1364" s="14" t="str">
        <f>IF($C1364="","",IFERROR(INDEX(Productos!$D$5:$D$504,MATCH($C1364,Productos!$A$5:$A$504,0)),""))</f>
        <v/>
      </c>
      <c r="F1364" s="20"/>
      <c r="G1364" s="22" t="str">
        <f>IF($C1364="","",IFERROR(INDEX(Productos!$F$5:$F$504,MATCH($C1364,Productos!$A$5:$A$504,0)),0))</f>
        <v/>
      </c>
      <c r="H1364" s="22" t="str">
        <f t="shared" si="21"/>
        <v/>
      </c>
      <c r="I1364" s="14" t="str">
        <f>IF(OR($C1364="",$F1364=""),"",IFERROR(INDEX(Productos!$I$5:$I$504,MATCH($C1364,Productos!$A$5:$A$504,0)),0)+SUMIFS($F$5:$F1364,$C$5:$C1364,$C1364,$B$5:$B1364,"Entrada")-SUMIFS($F$5:$F1364,$C$5:$C1364,$C1364,$B$5:$B1364,"Salida"))</f>
        <v/>
      </c>
      <c r="J1364" s="20"/>
      <c r="K1364" s="20"/>
      <c r="L1364" s="20"/>
      <c r="M1364" s="14" t="str">
        <f>IF(AND($C1364&lt;&gt;"",$C1364=Kardex!$C$4),COUNTIF($C$5:$C1364,Kardex!$C$4),"")</f>
        <v/>
      </c>
    </row>
    <row r="1365" spans="1:13" x14ac:dyDescent="0.25">
      <c r="A1365" s="24"/>
      <c r="B1365" s="20"/>
      <c r="C1365" s="20"/>
      <c r="D1365" s="14" t="str">
        <f>IF($C1365="","",IFERROR(INDEX(Productos!$B$5:$B$504,MATCH($C1365,Productos!$A$5:$A$504,0)),"Clave no existe"))</f>
        <v/>
      </c>
      <c r="E1365" s="14" t="str">
        <f>IF($C1365="","",IFERROR(INDEX(Productos!$D$5:$D$504,MATCH($C1365,Productos!$A$5:$A$504,0)),""))</f>
        <v/>
      </c>
      <c r="F1365" s="20"/>
      <c r="G1365" s="22" t="str">
        <f>IF($C1365="","",IFERROR(INDEX(Productos!$F$5:$F$504,MATCH($C1365,Productos!$A$5:$A$504,0)),0))</f>
        <v/>
      </c>
      <c r="H1365" s="22" t="str">
        <f t="shared" si="21"/>
        <v/>
      </c>
      <c r="I1365" s="14" t="str">
        <f>IF(OR($C1365="",$F1365=""),"",IFERROR(INDEX(Productos!$I$5:$I$504,MATCH($C1365,Productos!$A$5:$A$504,0)),0)+SUMIFS($F$5:$F1365,$C$5:$C1365,$C1365,$B$5:$B1365,"Entrada")-SUMIFS($F$5:$F1365,$C$5:$C1365,$C1365,$B$5:$B1365,"Salida"))</f>
        <v/>
      </c>
      <c r="J1365" s="20"/>
      <c r="K1365" s="20"/>
      <c r="L1365" s="20"/>
      <c r="M1365" s="14" t="str">
        <f>IF(AND($C1365&lt;&gt;"",$C1365=Kardex!$C$4),COUNTIF($C$5:$C1365,Kardex!$C$4),"")</f>
        <v/>
      </c>
    </row>
    <row r="1366" spans="1:13" x14ac:dyDescent="0.25">
      <c r="A1366" s="24"/>
      <c r="B1366" s="20"/>
      <c r="C1366" s="20"/>
      <c r="D1366" s="14" t="str">
        <f>IF($C1366="","",IFERROR(INDEX(Productos!$B$5:$B$504,MATCH($C1366,Productos!$A$5:$A$504,0)),"Clave no existe"))</f>
        <v/>
      </c>
      <c r="E1366" s="14" t="str">
        <f>IF($C1366="","",IFERROR(INDEX(Productos!$D$5:$D$504,MATCH($C1366,Productos!$A$5:$A$504,0)),""))</f>
        <v/>
      </c>
      <c r="F1366" s="20"/>
      <c r="G1366" s="22" t="str">
        <f>IF($C1366="","",IFERROR(INDEX(Productos!$F$5:$F$504,MATCH($C1366,Productos!$A$5:$A$504,0)),0))</f>
        <v/>
      </c>
      <c r="H1366" s="22" t="str">
        <f t="shared" si="21"/>
        <v/>
      </c>
      <c r="I1366" s="14" t="str">
        <f>IF(OR($C1366="",$F1366=""),"",IFERROR(INDEX(Productos!$I$5:$I$504,MATCH($C1366,Productos!$A$5:$A$504,0)),0)+SUMIFS($F$5:$F1366,$C$5:$C1366,$C1366,$B$5:$B1366,"Entrada")-SUMIFS($F$5:$F1366,$C$5:$C1366,$C1366,$B$5:$B1366,"Salida"))</f>
        <v/>
      </c>
      <c r="J1366" s="20"/>
      <c r="K1366" s="20"/>
      <c r="L1366" s="20"/>
      <c r="M1366" s="14" t="str">
        <f>IF(AND($C1366&lt;&gt;"",$C1366=Kardex!$C$4),COUNTIF($C$5:$C1366,Kardex!$C$4),"")</f>
        <v/>
      </c>
    </row>
    <row r="1367" spans="1:13" x14ac:dyDescent="0.25">
      <c r="A1367" s="24"/>
      <c r="B1367" s="20"/>
      <c r="C1367" s="20"/>
      <c r="D1367" s="14" t="str">
        <f>IF($C1367="","",IFERROR(INDEX(Productos!$B$5:$B$504,MATCH($C1367,Productos!$A$5:$A$504,0)),"Clave no existe"))</f>
        <v/>
      </c>
      <c r="E1367" s="14" t="str">
        <f>IF($C1367="","",IFERROR(INDEX(Productos!$D$5:$D$504,MATCH($C1367,Productos!$A$5:$A$504,0)),""))</f>
        <v/>
      </c>
      <c r="F1367" s="20"/>
      <c r="G1367" s="22" t="str">
        <f>IF($C1367="","",IFERROR(INDEX(Productos!$F$5:$F$504,MATCH($C1367,Productos!$A$5:$A$504,0)),0))</f>
        <v/>
      </c>
      <c r="H1367" s="22" t="str">
        <f t="shared" si="21"/>
        <v/>
      </c>
      <c r="I1367" s="14" t="str">
        <f>IF(OR($C1367="",$F1367=""),"",IFERROR(INDEX(Productos!$I$5:$I$504,MATCH($C1367,Productos!$A$5:$A$504,0)),0)+SUMIFS($F$5:$F1367,$C$5:$C1367,$C1367,$B$5:$B1367,"Entrada")-SUMIFS($F$5:$F1367,$C$5:$C1367,$C1367,$B$5:$B1367,"Salida"))</f>
        <v/>
      </c>
      <c r="J1367" s="20"/>
      <c r="K1367" s="20"/>
      <c r="L1367" s="20"/>
      <c r="M1367" s="14" t="str">
        <f>IF(AND($C1367&lt;&gt;"",$C1367=Kardex!$C$4),COUNTIF($C$5:$C1367,Kardex!$C$4),"")</f>
        <v/>
      </c>
    </row>
    <row r="1368" spans="1:13" x14ac:dyDescent="0.25">
      <c r="A1368" s="24"/>
      <c r="B1368" s="20"/>
      <c r="C1368" s="20"/>
      <c r="D1368" s="14" t="str">
        <f>IF($C1368="","",IFERROR(INDEX(Productos!$B$5:$B$504,MATCH($C1368,Productos!$A$5:$A$504,0)),"Clave no existe"))</f>
        <v/>
      </c>
      <c r="E1368" s="14" t="str">
        <f>IF($C1368="","",IFERROR(INDEX(Productos!$D$5:$D$504,MATCH($C1368,Productos!$A$5:$A$504,0)),""))</f>
        <v/>
      </c>
      <c r="F1368" s="20"/>
      <c r="G1368" s="22" t="str">
        <f>IF($C1368="","",IFERROR(INDEX(Productos!$F$5:$F$504,MATCH($C1368,Productos!$A$5:$A$504,0)),0))</f>
        <v/>
      </c>
      <c r="H1368" s="22" t="str">
        <f t="shared" si="21"/>
        <v/>
      </c>
      <c r="I1368" s="14" t="str">
        <f>IF(OR($C1368="",$F1368=""),"",IFERROR(INDEX(Productos!$I$5:$I$504,MATCH($C1368,Productos!$A$5:$A$504,0)),0)+SUMIFS($F$5:$F1368,$C$5:$C1368,$C1368,$B$5:$B1368,"Entrada")-SUMIFS($F$5:$F1368,$C$5:$C1368,$C1368,$B$5:$B1368,"Salida"))</f>
        <v/>
      </c>
      <c r="J1368" s="20"/>
      <c r="K1368" s="20"/>
      <c r="L1368" s="20"/>
      <c r="M1368" s="14" t="str">
        <f>IF(AND($C1368&lt;&gt;"",$C1368=Kardex!$C$4),COUNTIF($C$5:$C1368,Kardex!$C$4),"")</f>
        <v/>
      </c>
    </row>
    <row r="1369" spans="1:13" x14ac:dyDescent="0.25">
      <c r="A1369" s="24"/>
      <c r="B1369" s="20"/>
      <c r="C1369" s="20"/>
      <c r="D1369" s="14" t="str">
        <f>IF($C1369="","",IFERROR(INDEX(Productos!$B$5:$B$504,MATCH($C1369,Productos!$A$5:$A$504,0)),"Clave no existe"))</f>
        <v/>
      </c>
      <c r="E1369" s="14" t="str">
        <f>IF($C1369="","",IFERROR(INDEX(Productos!$D$5:$D$504,MATCH($C1369,Productos!$A$5:$A$504,0)),""))</f>
        <v/>
      </c>
      <c r="F1369" s="20"/>
      <c r="G1369" s="22" t="str">
        <f>IF($C1369="","",IFERROR(INDEX(Productos!$F$5:$F$504,MATCH($C1369,Productos!$A$5:$A$504,0)),0))</f>
        <v/>
      </c>
      <c r="H1369" s="22" t="str">
        <f t="shared" si="21"/>
        <v/>
      </c>
      <c r="I1369" s="14" t="str">
        <f>IF(OR($C1369="",$F1369=""),"",IFERROR(INDEX(Productos!$I$5:$I$504,MATCH($C1369,Productos!$A$5:$A$504,0)),0)+SUMIFS($F$5:$F1369,$C$5:$C1369,$C1369,$B$5:$B1369,"Entrada")-SUMIFS($F$5:$F1369,$C$5:$C1369,$C1369,$B$5:$B1369,"Salida"))</f>
        <v/>
      </c>
      <c r="J1369" s="20"/>
      <c r="K1369" s="20"/>
      <c r="L1369" s="20"/>
      <c r="M1369" s="14" t="str">
        <f>IF(AND($C1369&lt;&gt;"",$C1369=Kardex!$C$4),COUNTIF($C$5:$C1369,Kardex!$C$4),"")</f>
        <v/>
      </c>
    </row>
    <row r="1370" spans="1:13" x14ac:dyDescent="0.25">
      <c r="A1370" s="24"/>
      <c r="B1370" s="20"/>
      <c r="C1370" s="20"/>
      <c r="D1370" s="14" t="str">
        <f>IF($C1370="","",IFERROR(INDEX(Productos!$B$5:$B$504,MATCH($C1370,Productos!$A$5:$A$504,0)),"Clave no existe"))</f>
        <v/>
      </c>
      <c r="E1370" s="14" t="str">
        <f>IF($C1370="","",IFERROR(INDEX(Productos!$D$5:$D$504,MATCH($C1370,Productos!$A$5:$A$504,0)),""))</f>
        <v/>
      </c>
      <c r="F1370" s="20"/>
      <c r="G1370" s="22" t="str">
        <f>IF($C1370="","",IFERROR(INDEX(Productos!$F$5:$F$504,MATCH($C1370,Productos!$A$5:$A$504,0)),0))</f>
        <v/>
      </c>
      <c r="H1370" s="22" t="str">
        <f t="shared" si="21"/>
        <v/>
      </c>
      <c r="I1370" s="14" t="str">
        <f>IF(OR($C1370="",$F1370=""),"",IFERROR(INDEX(Productos!$I$5:$I$504,MATCH($C1370,Productos!$A$5:$A$504,0)),0)+SUMIFS($F$5:$F1370,$C$5:$C1370,$C1370,$B$5:$B1370,"Entrada")-SUMIFS($F$5:$F1370,$C$5:$C1370,$C1370,$B$5:$B1370,"Salida"))</f>
        <v/>
      </c>
      <c r="J1370" s="20"/>
      <c r="K1370" s="20"/>
      <c r="L1370" s="20"/>
      <c r="M1370" s="14" t="str">
        <f>IF(AND($C1370&lt;&gt;"",$C1370=Kardex!$C$4),COUNTIF($C$5:$C1370,Kardex!$C$4),"")</f>
        <v/>
      </c>
    </row>
    <row r="1371" spans="1:13" x14ac:dyDescent="0.25">
      <c r="A1371" s="24"/>
      <c r="B1371" s="20"/>
      <c r="C1371" s="20"/>
      <c r="D1371" s="14" t="str">
        <f>IF($C1371="","",IFERROR(INDEX(Productos!$B$5:$B$504,MATCH($C1371,Productos!$A$5:$A$504,0)),"Clave no existe"))</f>
        <v/>
      </c>
      <c r="E1371" s="14" t="str">
        <f>IF($C1371="","",IFERROR(INDEX(Productos!$D$5:$D$504,MATCH($C1371,Productos!$A$5:$A$504,0)),""))</f>
        <v/>
      </c>
      <c r="F1371" s="20"/>
      <c r="G1371" s="22" t="str">
        <f>IF($C1371="","",IFERROR(INDEX(Productos!$F$5:$F$504,MATCH($C1371,Productos!$A$5:$A$504,0)),0))</f>
        <v/>
      </c>
      <c r="H1371" s="22" t="str">
        <f t="shared" si="21"/>
        <v/>
      </c>
      <c r="I1371" s="14" t="str">
        <f>IF(OR($C1371="",$F1371=""),"",IFERROR(INDEX(Productos!$I$5:$I$504,MATCH($C1371,Productos!$A$5:$A$504,0)),0)+SUMIFS($F$5:$F1371,$C$5:$C1371,$C1371,$B$5:$B1371,"Entrada")-SUMIFS($F$5:$F1371,$C$5:$C1371,$C1371,$B$5:$B1371,"Salida"))</f>
        <v/>
      </c>
      <c r="J1371" s="20"/>
      <c r="K1371" s="20"/>
      <c r="L1371" s="20"/>
      <c r="M1371" s="14" t="str">
        <f>IF(AND($C1371&lt;&gt;"",$C1371=Kardex!$C$4),COUNTIF($C$5:$C1371,Kardex!$C$4),"")</f>
        <v/>
      </c>
    </row>
    <row r="1372" spans="1:13" x14ac:dyDescent="0.25">
      <c r="A1372" s="24"/>
      <c r="B1372" s="20"/>
      <c r="C1372" s="20"/>
      <c r="D1372" s="14" t="str">
        <f>IF($C1372="","",IFERROR(INDEX(Productos!$B$5:$B$504,MATCH($C1372,Productos!$A$5:$A$504,0)),"Clave no existe"))</f>
        <v/>
      </c>
      <c r="E1372" s="14" t="str">
        <f>IF($C1372="","",IFERROR(INDEX(Productos!$D$5:$D$504,MATCH($C1372,Productos!$A$5:$A$504,0)),""))</f>
        <v/>
      </c>
      <c r="F1372" s="20"/>
      <c r="G1372" s="22" t="str">
        <f>IF($C1372="","",IFERROR(INDEX(Productos!$F$5:$F$504,MATCH($C1372,Productos!$A$5:$A$504,0)),0))</f>
        <v/>
      </c>
      <c r="H1372" s="22" t="str">
        <f t="shared" si="21"/>
        <v/>
      </c>
      <c r="I1372" s="14" t="str">
        <f>IF(OR($C1372="",$F1372=""),"",IFERROR(INDEX(Productos!$I$5:$I$504,MATCH($C1372,Productos!$A$5:$A$504,0)),0)+SUMIFS($F$5:$F1372,$C$5:$C1372,$C1372,$B$5:$B1372,"Entrada")-SUMIFS($F$5:$F1372,$C$5:$C1372,$C1372,$B$5:$B1372,"Salida"))</f>
        <v/>
      </c>
      <c r="J1372" s="20"/>
      <c r="K1372" s="20"/>
      <c r="L1372" s="20"/>
      <c r="M1372" s="14" t="str">
        <f>IF(AND($C1372&lt;&gt;"",$C1372=Kardex!$C$4),COUNTIF($C$5:$C1372,Kardex!$C$4),"")</f>
        <v/>
      </c>
    </row>
    <row r="1373" spans="1:13" x14ac:dyDescent="0.25">
      <c r="A1373" s="24"/>
      <c r="B1373" s="20"/>
      <c r="C1373" s="20"/>
      <c r="D1373" s="14" t="str">
        <f>IF($C1373="","",IFERROR(INDEX(Productos!$B$5:$B$504,MATCH($C1373,Productos!$A$5:$A$504,0)),"Clave no existe"))</f>
        <v/>
      </c>
      <c r="E1373" s="14" t="str">
        <f>IF($C1373="","",IFERROR(INDEX(Productos!$D$5:$D$504,MATCH($C1373,Productos!$A$5:$A$504,0)),""))</f>
        <v/>
      </c>
      <c r="F1373" s="20"/>
      <c r="G1373" s="22" t="str">
        <f>IF($C1373="","",IFERROR(INDEX(Productos!$F$5:$F$504,MATCH($C1373,Productos!$A$5:$A$504,0)),0))</f>
        <v/>
      </c>
      <c r="H1373" s="22" t="str">
        <f t="shared" si="21"/>
        <v/>
      </c>
      <c r="I1373" s="14" t="str">
        <f>IF(OR($C1373="",$F1373=""),"",IFERROR(INDEX(Productos!$I$5:$I$504,MATCH($C1373,Productos!$A$5:$A$504,0)),0)+SUMIFS($F$5:$F1373,$C$5:$C1373,$C1373,$B$5:$B1373,"Entrada")-SUMIFS($F$5:$F1373,$C$5:$C1373,$C1373,$B$5:$B1373,"Salida"))</f>
        <v/>
      </c>
      <c r="J1373" s="20"/>
      <c r="K1373" s="20"/>
      <c r="L1373" s="20"/>
      <c r="M1373" s="14" t="str">
        <f>IF(AND($C1373&lt;&gt;"",$C1373=Kardex!$C$4),COUNTIF($C$5:$C1373,Kardex!$C$4),"")</f>
        <v/>
      </c>
    </row>
    <row r="1374" spans="1:13" x14ac:dyDescent="0.25">
      <c r="A1374" s="24"/>
      <c r="B1374" s="20"/>
      <c r="C1374" s="20"/>
      <c r="D1374" s="14" t="str">
        <f>IF($C1374="","",IFERROR(INDEX(Productos!$B$5:$B$504,MATCH($C1374,Productos!$A$5:$A$504,0)),"Clave no existe"))</f>
        <v/>
      </c>
      <c r="E1374" s="14" t="str">
        <f>IF($C1374="","",IFERROR(INDEX(Productos!$D$5:$D$504,MATCH($C1374,Productos!$A$5:$A$504,0)),""))</f>
        <v/>
      </c>
      <c r="F1374" s="20"/>
      <c r="G1374" s="22" t="str">
        <f>IF($C1374="","",IFERROR(INDEX(Productos!$F$5:$F$504,MATCH($C1374,Productos!$A$5:$A$504,0)),0))</f>
        <v/>
      </c>
      <c r="H1374" s="22" t="str">
        <f t="shared" si="21"/>
        <v/>
      </c>
      <c r="I1374" s="14" t="str">
        <f>IF(OR($C1374="",$F1374=""),"",IFERROR(INDEX(Productos!$I$5:$I$504,MATCH($C1374,Productos!$A$5:$A$504,0)),0)+SUMIFS($F$5:$F1374,$C$5:$C1374,$C1374,$B$5:$B1374,"Entrada")-SUMIFS($F$5:$F1374,$C$5:$C1374,$C1374,$B$5:$B1374,"Salida"))</f>
        <v/>
      </c>
      <c r="J1374" s="20"/>
      <c r="K1374" s="20"/>
      <c r="L1374" s="20"/>
      <c r="M1374" s="14" t="str">
        <f>IF(AND($C1374&lt;&gt;"",$C1374=Kardex!$C$4),COUNTIF($C$5:$C1374,Kardex!$C$4),"")</f>
        <v/>
      </c>
    </row>
    <row r="1375" spans="1:13" x14ac:dyDescent="0.25">
      <c r="A1375" s="24"/>
      <c r="B1375" s="20"/>
      <c r="C1375" s="20"/>
      <c r="D1375" s="14" t="str">
        <f>IF($C1375="","",IFERROR(INDEX(Productos!$B$5:$B$504,MATCH($C1375,Productos!$A$5:$A$504,0)),"Clave no existe"))</f>
        <v/>
      </c>
      <c r="E1375" s="14" t="str">
        <f>IF($C1375="","",IFERROR(INDEX(Productos!$D$5:$D$504,MATCH($C1375,Productos!$A$5:$A$504,0)),""))</f>
        <v/>
      </c>
      <c r="F1375" s="20"/>
      <c r="G1375" s="22" t="str">
        <f>IF($C1375="","",IFERROR(INDEX(Productos!$F$5:$F$504,MATCH($C1375,Productos!$A$5:$A$504,0)),0))</f>
        <v/>
      </c>
      <c r="H1375" s="22" t="str">
        <f t="shared" si="21"/>
        <v/>
      </c>
      <c r="I1375" s="14" t="str">
        <f>IF(OR($C1375="",$F1375=""),"",IFERROR(INDEX(Productos!$I$5:$I$504,MATCH($C1375,Productos!$A$5:$A$504,0)),0)+SUMIFS($F$5:$F1375,$C$5:$C1375,$C1375,$B$5:$B1375,"Entrada")-SUMIFS($F$5:$F1375,$C$5:$C1375,$C1375,$B$5:$B1375,"Salida"))</f>
        <v/>
      </c>
      <c r="J1375" s="20"/>
      <c r="K1375" s="20"/>
      <c r="L1375" s="20"/>
      <c r="M1375" s="14" t="str">
        <f>IF(AND($C1375&lt;&gt;"",$C1375=Kardex!$C$4),COUNTIF($C$5:$C1375,Kardex!$C$4),"")</f>
        <v/>
      </c>
    </row>
    <row r="1376" spans="1:13" x14ac:dyDescent="0.25">
      <c r="A1376" s="24"/>
      <c r="B1376" s="20"/>
      <c r="C1376" s="20"/>
      <c r="D1376" s="14" t="str">
        <f>IF($C1376="","",IFERROR(INDEX(Productos!$B$5:$B$504,MATCH($C1376,Productos!$A$5:$A$504,0)),"Clave no existe"))</f>
        <v/>
      </c>
      <c r="E1376" s="14" t="str">
        <f>IF($C1376="","",IFERROR(INDEX(Productos!$D$5:$D$504,MATCH($C1376,Productos!$A$5:$A$504,0)),""))</f>
        <v/>
      </c>
      <c r="F1376" s="20"/>
      <c r="G1376" s="22" t="str">
        <f>IF($C1376="","",IFERROR(INDEX(Productos!$F$5:$F$504,MATCH($C1376,Productos!$A$5:$A$504,0)),0))</f>
        <v/>
      </c>
      <c r="H1376" s="22" t="str">
        <f t="shared" si="21"/>
        <v/>
      </c>
      <c r="I1376" s="14" t="str">
        <f>IF(OR($C1376="",$F1376=""),"",IFERROR(INDEX(Productos!$I$5:$I$504,MATCH($C1376,Productos!$A$5:$A$504,0)),0)+SUMIFS($F$5:$F1376,$C$5:$C1376,$C1376,$B$5:$B1376,"Entrada")-SUMIFS($F$5:$F1376,$C$5:$C1376,$C1376,$B$5:$B1376,"Salida"))</f>
        <v/>
      </c>
      <c r="J1376" s="20"/>
      <c r="K1376" s="20"/>
      <c r="L1376" s="20"/>
      <c r="M1376" s="14" t="str">
        <f>IF(AND($C1376&lt;&gt;"",$C1376=Kardex!$C$4),COUNTIF($C$5:$C1376,Kardex!$C$4),"")</f>
        <v/>
      </c>
    </row>
    <row r="1377" spans="1:13" x14ac:dyDescent="0.25">
      <c r="A1377" s="24"/>
      <c r="B1377" s="20"/>
      <c r="C1377" s="20"/>
      <c r="D1377" s="14" t="str">
        <f>IF($C1377="","",IFERROR(INDEX(Productos!$B$5:$B$504,MATCH($C1377,Productos!$A$5:$A$504,0)),"Clave no existe"))</f>
        <v/>
      </c>
      <c r="E1377" s="14" t="str">
        <f>IF($C1377="","",IFERROR(INDEX(Productos!$D$5:$D$504,MATCH($C1377,Productos!$A$5:$A$504,0)),""))</f>
        <v/>
      </c>
      <c r="F1377" s="20"/>
      <c r="G1377" s="22" t="str">
        <f>IF($C1377="","",IFERROR(INDEX(Productos!$F$5:$F$504,MATCH($C1377,Productos!$A$5:$A$504,0)),0))</f>
        <v/>
      </c>
      <c r="H1377" s="22" t="str">
        <f t="shared" si="21"/>
        <v/>
      </c>
      <c r="I1377" s="14" t="str">
        <f>IF(OR($C1377="",$F1377=""),"",IFERROR(INDEX(Productos!$I$5:$I$504,MATCH($C1377,Productos!$A$5:$A$504,0)),0)+SUMIFS($F$5:$F1377,$C$5:$C1377,$C1377,$B$5:$B1377,"Entrada")-SUMIFS($F$5:$F1377,$C$5:$C1377,$C1377,$B$5:$B1377,"Salida"))</f>
        <v/>
      </c>
      <c r="J1377" s="20"/>
      <c r="K1377" s="20"/>
      <c r="L1377" s="20"/>
      <c r="M1377" s="14" t="str">
        <f>IF(AND($C1377&lt;&gt;"",$C1377=Kardex!$C$4),COUNTIF($C$5:$C1377,Kardex!$C$4),"")</f>
        <v/>
      </c>
    </row>
    <row r="1378" spans="1:13" x14ac:dyDescent="0.25">
      <c r="A1378" s="24"/>
      <c r="B1378" s="20"/>
      <c r="C1378" s="20"/>
      <c r="D1378" s="14" t="str">
        <f>IF($C1378="","",IFERROR(INDEX(Productos!$B$5:$B$504,MATCH($C1378,Productos!$A$5:$A$504,0)),"Clave no existe"))</f>
        <v/>
      </c>
      <c r="E1378" s="14" t="str">
        <f>IF($C1378="","",IFERROR(INDEX(Productos!$D$5:$D$504,MATCH($C1378,Productos!$A$5:$A$504,0)),""))</f>
        <v/>
      </c>
      <c r="F1378" s="20"/>
      <c r="G1378" s="22" t="str">
        <f>IF($C1378="","",IFERROR(INDEX(Productos!$F$5:$F$504,MATCH($C1378,Productos!$A$5:$A$504,0)),0))</f>
        <v/>
      </c>
      <c r="H1378" s="22" t="str">
        <f t="shared" si="21"/>
        <v/>
      </c>
      <c r="I1378" s="14" t="str">
        <f>IF(OR($C1378="",$F1378=""),"",IFERROR(INDEX(Productos!$I$5:$I$504,MATCH($C1378,Productos!$A$5:$A$504,0)),0)+SUMIFS($F$5:$F1378,$C$5:$C1378,$C1378,$B$5:$B1378,"Entrada")-SUMIFS($F$5:$F1378,$C$5:$C1378,$C1378,$B$5:$B1378,"Salida"))</f>
        <v/>
      </c>
      <c r="J1378" s="20"/>
      <c r="K1378" s="20"/>
      <c r="L1378" s="20"/>
      <c r="M1378" s="14" t="str">
        <f>IF(AND($C1378&lt;&gt;"",$C1378=Kardex!$C$4),COUNTIF($C$5:$C1378,Kardex!$C$4),"")</f>
        <v/>
      </c>
    </row>
    <row r="1379" spans="1:13" x14ac:dyDescent="0.25">
      <c r="A1379" s="24"/>
      <c r="B1379" s="20"/>
      <c r="C1379" s="20"/>
      <c r="D1379" s="14" t="str">
        <f>IF($C1379="","",IFERROR(INDEX(Productos!$B$5:$B$504,MATCH($C1379,Productos!$A$5:$A$504,0)),"Clave no existe"))</f>
        <v/>
      </c>
      <c r="E1379" s="14" t="str">
        <f>IF($C1379="","",IFERROR(INDEX(Productos!$D$5:$D$504,MATCH($C1379,Productos!$A$5:$A$504,0)),""))</f>
        <v/>
      </c>
      <c r="F1379" s="20"/>
      <c r="G1379" s="22" t="str">
        <f>IF($C1379="","",IFERROR(INDEX(Productos!$F$5:$F$504,MATCH($C1379,Productos!$A$5:$A$504,0)),0))</f>
        <v/>
      </c>
      <c r="H1379" s="22" t="str">
        <f t="shared" si="21"/>
        <v/>
      </c>
      <c r="I1379" s="14" t="str">
        <f>IF(OR($C1379="",$F1379=""),"",IFERROR(INDEX(Productos!$I$5:$I$504,MATCH($C1379,Productos!$A$5:$A$504,0)),0)+SUMIFS($F$5:$F1379,$C$5:$C1379,$C1379,$B$5:$B1379,"Entrada")-SUMIFS($F$5:$F1379,$C$5:$C1379,$C1379,$B$5:$B1379,"Salida"))</f>
        <v/>
      </c>
      <c r="J1379" s="20"/>
      <c r="K1379" s="20"/>
      <c r="L1379" s="20"/>
      <c r="M1379" s="14" t="str">
        <f>IF(AND($C1379&lt;&gt;"",$C1379=Kardex!$C$4),COUNTIF($C$5:$C1379,Kardex!$C$4),"")</f>
        <v/>
      </c>
    </row>
    <row r="1380" spans="1:13" x14ac:dyDescent="0.25">
      <c r="A1380" s="24"/>
      <c r="B1380" s="20"/>
      <c r="C1380" s="20"/>
      <c r="D1380" s="14" t="str">
        <f>IF($C1380="","",IFERROR(INDEX(Productos!$B$5:$B$504,MATCH($C1380,Productos!$A$5:$A$504,0)),"Clave no existe"))</f>
        <v/>
      </c>
      <c r="E1380" s="14" t="str">
        <f>IF($C1380="","",IFERROR(INDEX(Productos!$D$5:$D$504,MATCH($C1380,Productos!$A$5:$A$504,0)),""))</f>
        <v/>
      </c>
      <c r="F1380" s="20"/>
      <c r="G1380" s="22" t="str">
        <f>IF($C1380="","",IFERROR(INDEX(Productos!$F$5:$F$504,MATCH($C1380,Productos!$A$5:$A$504,0)),0))</f>
        <v/>
      </c>
      <c r="H1380" s="22" t="str">
        <f t="shared" si="21"/>
        <v/>
      </c>
      <c r="I1380" s="14" t="str">
        <f>IF(OR($C1380="",$F1380=""),"",IFERROR(INDEX(Productos!$I$5:$I$504,MATCH($C1380,Productos!$A$5:$A$504,0)),0)+SUMIFS($F$5:$F1380,$C$5:$C1380,$C1380,$B$5:$B1380,"Entrada")-SUMIFS($F$5:$F1380,$C$5:$C1380,$C1380,$B$5:$B1380,"Salida"))</f>
        <v/>
      </c>
      <c r="J1380" s="20"/>
      <c r="K1380" s="20"/>
      <c r="L1380" s="20"/>
      <c r="M1380" s="14" t="str">
        <f>IF(AND($C1380&lt;&gt;"",$C1380=Kardex!$C$4),COUNTIF($C$5:$C1380,Kardex!$C$4),"")</f>
        <v/>
      </c>
    </row>
    <row r="1381" spans="1:13" x14ac:dyDescent="0.25">
      <c r="A1381" s="24"/>
      <c r="B1381" s="20"/>
      <c r="C1381" s="20"/>
      <c r="D1381" s="14" t="str">
        <f>IF($C1381="","",IFERROR(INDEX(Productos!$B$5:$B$504,MATCH($C1381,Productos!$A$5:$A$504,0)),"Clave no existe"))</f>
        <v/>
      </c>
      <c r="E1381" s="14" t="str">
        <f>IF($C1381="","",IFERROR(INDEX(Productos!$D$5:$D$504,MATCH($C1381,Productos!$A$5:$A$504,0)),""))</f>
        <v/>
      </c>
      <c r="F1381" s="20"/>
      <c r="G1381" s="22" t="str">
        <f>IF($C1381="","",IFERROR(INDEX(Productos!$F$5:$F$504,MATCH($C1381,Productos!$A$5:$A$504,0)),0))</f>
        <v/>
      </c>
      <c r="H1381" s="22" t="str">
        <f t="shared" si="21"/>
        <v/>
      </c>
      <c r="I1381" s="14" t="str">
        <f>IF(OR($C1381="",$F1381=""),"",IFERROR(INDEX(Productos!$I$5:$I$504,MATCH($C1381,Productos!$A$5:$A$504,0)),0)+SUMIFS($F$5:$F1381,$C$5:$C1381,$C1381,$B$5:$B1381,"Entrada")-SUMIFS($F$5:$F1381,$C$5:$C1381,$C1381,$B$5:$B1381,"Salida"))</f>
        <v/>
      </c>
      <c r="J1381" s="20"/>
      <c r="K1381" s="20"/>
      <c r="L1381" s="20"/>
      <c r="M1381" s="14" t="str">
        <f>IF(AND($C1381&lt;&gt;"",$C1381=Kardex!$C$4),COUNTIF($C$5:$C1381,Kardex!$C$4),"")</f>
        <v/>
      </c>
    </row>
    <row r="1382" spans="1:13" x14ac:dyDescent="0.25">
      <c r="A1382" s="24"/>
      <c r="B1382" s="20"/>
      <c r="C1382" s="20"/>
      <c r="D1382" s="14" t="str">
        <f>IF($C1382="","",IFERROR(INDEX(Productos!$B$5:$B$504,MATCH($C1382,Productos!$A$5:$A$504,0)),"Clave no existe"))</f>
        <v/>
      </c>
      <c r="E1382" s="14" t="str">
        <f>IF($C1382="","",IFERROR(INDEX(Productos!$D$5:$D$504,MATCH($C1382,Productos!$A$5:$A$504,0)),""))</f>
        <v/>
      </c>
      <c r="F1382" s="20"/>
      <c r="G1382" s="22" t="str">
        <f>IF($C1382="","",IFERROR(INDEX(Productos!$F$5:$F$504,MATCH($C1382,Productos!$A$5:$A$504,0)),0))</f>
        <v/>
      </c>
      <c r="H1382" s="22" t="str">
        <f t="shared" si="21"/>
        <v/>
      </c>
      <c r="I1382" s="14" t="str">
        <f>IF(OR($C1382="",$F1382=""),"",IFERROR(INDEX(Productos!$I$5:$I$504,MATCH($C1382,Productos!$A$5:$A$504,0)),0)+SUMIFS($F$5:$F1382,$C$5:$C1382,$C1382,$B$5:$B1382,"Entrada")-SUMIFS($F$5:$F1382,$C$5:$C1382,$C1382,$B$5:$B1382,"Salida"))</f>
        <v/>
      </c>
      <c r="J1382" s="20"/>
      <c r="K1382" s="20"/>
      <c r="L1382" s="20"/>
      <c r="M1382" s="14" t="str">
        <f>IF(AND($C1382&lt;&gt;"",$C1382=Kardex!$C$4),COUNTIF($C$5:$C1382,Kardex!$C$4),"")</f>
        <v/>
      </c>
    </row>
    <row r="1383" spans="1:13" x14ac:dyDescent="0.25">
      <c r="A1383" s="24"/>
      <c r="B1383" s="20"/>
      <c r="C1383" s="20"/>
      <c r="D1383" s="14" t="str">
        <f>IF($C1383="","",IFERROR(INDEX(Productos!$B$5:$B$504,MATCH($C1383,Productos!$A$5:$A$504,0)),"Clave no existe"))</f>
        <v/>
      </c>
      <c r="E1383" s="14" t="str">
        <f>IF($C1383="","",IFERROR(INDEX(Productos!$D$5:$D$504,MATCH($C1383,Productos!$A$5:$A$504,0)),""))</f>
        <v/>
      </c>
      <c r="F1383" s="20"/>
      <c r="G1383" s="22" t="str">
        <f>IF($C1383="","",IFERROR(INDEX(Productos!$F$5:$F$504,MATCH($C1383,Productos!$A$5:$A$504,0)),0))</f>
        <v/>
      </c>
      <c r="H1383" s="22" t="str">
        <f t="shared" si="21"/>
        <v/>
      </c>
      <c r="I1383" s="14" t="str">
        <f>IF(OR($C1383="",$F1383=""),"",IFERROR(INDEX(Productos!$I$5:$I$504,MATCH($C1383,Productos!$A$5:$A$504,0)),0)+SUMIFS($F$5:$F1383,$C$5:$C1383,$C1383,$B$5:$B1383,"Entrada")-SUMIFS($F$5:$F1383,$C$5:$C1383,$C1383,$B$5:$B1383,"Salida"))</f>
        <v/>
      </c>
      <c r="J1383" s="20"/>
      <c r="K1383" s="20"/>
      <c r="L1383" s="20"/>
      <c r="M1383" s="14" t="str">
        <f>IF(AND($C1383&lt;&gt;"",$C1383=Kardex!$C$4),COUNTIF($C$5:$C1383,Kardex!$C$4),"")</f>
        <v/>
      </c>
    </row>
    <row r="1384" spans="1:13" x14ac:dyDescent="0.25">
      <c r="A1384" s="24"/>
      <c r="B1384" s="20"/>
      <c r="C1384" s="20"/>
      <c r="D1384" s="14" t="str">
        <f>IF($C1384="","",IFERROR(INDEX(Productos!$B$5:$B$504,MATCH($C1384,Productos!$A$5:$A$504,0)),"Clave no existe"))</f>
        <v/>
      </c>
      <c r="E1384" s="14" t="str">
        <f>IF($C1384="","",IFERROR(INDEX(Productos!$D$5:$D$504,MATCH($C1384,Productos!$A$5:$A$504,0)),""))</f>
        <v/>
      </c>
      <c r="F1384" s="20"/>
      <c r="G1384" s="22" t="str">
        <f>IF($C1384="","",IFERROR(INDEX(Productos!$F$5:$F$504,MATCH($C1384,Productos!$A$5:$A$504,0)),0))</f>
        <v/>
      </c>
      <c r="H1384" s="22" t="str">
        <f t="shared" si="21"/>
        <v/>
      </c>
      <c r="I1384" s="14" t="str">
        <f>IF(OR($C1384="",$F1384=""),"",IFERROR(INDEX(Productos!$I$5:$I$504,MATCH($C1384,Productos!$A$5:$A$504,0)),0)+SUMIFS($F$5:$F1384,$C$5:$C1384,$C1384,$B$5:$B1384,"Entrada")-SUMIFS($F$5:$F1384,$C$5:$C1384,$C1384,$B$5:$B1384,"Salida"))</f>
        <v/>
      </c>
      <c r="J1384" s="20"/>
      <c r="K1384" s="20"/>
      <c r="L1384" s="20"/>
      <c r="M1384" s="14" t="str">
        <f>IF(AND($C1384&lt;&gt;"",$C1384=Kardex!$C$4),COUNTIF($C$5:$C1384,Kardex!$C$4),"")</f>
        <v/>
      </c>
    </row>
    <row r="1385" spans="1:13" x14ac:dyDescent="0.25">
      <c r="A1385" s="24"/>
      <c r="B1385" s="20"/>
      <c r="C1385" s="20"/>
      <c r="D1385" s="14" t="str">
        <f>IF($C1385="","",IFERROR(INDEX(Productos!$B$5:$B$504,MATCH($C1385,Productos!$A$5:$A$504,0)),"Clave no existe"))</f>
        <v/>
      </c>
      <c r="E1385" s="14" t="str">
        <f>IF($C1385="","",IFERROR(INDEX(Productos!$D$5:$D$504,MATCH($C1385,Productos!$A$5:$A$504,0)),""))</f>
        <v/>
      </c>
      <c r="F1385" s="20"/>
      <c r="G1385" s="22" t="str">
        <f>IF($C1385="","",IFERROR(INDEX(Productos!$F$5:$F$504,MATCH($C1385,Productos!$A$5:$A$504,0)),0))</f>
        <v/>
      </c>
      <c r="H1385" s="22" t="str">
        <f t="shared" si="21"/>
        <v/>
      </c>
      <c r="I1385" s="14" t="str">
        <f>IF(OR($C1385="",$F1385=""),"",IFERROR(INDEX(Productos!$I$5:$I$504,MATCH($C1385,Productos!$A$5:$A$504,0)),0)+SUMIFS($F$5:$F1385,$C$5:$C1385,$C1385,$B$5:$B1385,"Entrada")-SUMIFS($F$5:$F1385,$C$5:$C1385,$C1385,$B$5:$B1385,"Salida"))</f>
        <v/>
      </c>
      <c r="J1385" s="20"/>
      <c r="K1385" s="20"/>
      <c r="L1385" s="20"/>
      <c r="M1385" s="14" t="str">
        <f>IF(AND($C1385&lt;&gt;"",$C1385=Kardex!$C$4),COUNTIF($C$5:$C1385,Kardex!$C$4),"")</f>
        <v/>
      </c>
    </row>
    <row r="1386" spans="1:13" x14ac:dyDescent="0.25">
      <c r="A1386" s="24"/>
      <c r="B1386" s="20"/>
      <c r="C1386" s="20"/>
      <c r="D1386" s="14" t="str">
        <f>IF($C1386="","",IFERROR(INDEX(Productos!$B$5:$B$504,MATCH($C1386,Productos!$A$5:$A$504,0)),"Clave no existe"))</f>
        <v/>
      </c>
      <c r="E1386" s="14" t="str">
        <f>IF($C1386="","",IFERROR(INDEX(Productos!$D$5:$D$504,MATCH($C1386,Productos!$A$5:$A$504,0)),""))</f>
        <v/>
      </c>
      <c r="F1386" s="20"/>
      <c r="G1386" s="22" t="str">
        <f>IF($C1386="","",IFERROR(INDEX(Productos!$F$5:$F$504,MATCH($C1386,Productos!$A$5:$A$504,0)),0))</f>
        <v/>
      </c>
      <c r="H1386" s="22" t="str">
        <f t="shared" si="21"/>
        <v/>
      </c>
      <c r="I1386" s="14" t="str">
        <f>IF(OR($C1386="",$F1386=""),"",IFERROR(INDEX(Productos!$I$5:$I$504,MATCH($C1386,Productos!$A$5:$A$504,0)),0)+SUMIFS($F$5:$F1386,$C$5:$C1386,$C1386,$B$5:$B1386,"Entrada")-SUMIFS($F$5:$F1386,$C$5:$C1386,$C1386,$B$5:$B1386,"Salida"))</f>
        <v/>
      </c>
      <c r="J1386" s="20"/>
      <c r="K1386" s="20"/>
      <c r="L1386" s="20"/>
      <c r="M1386" s="14" t="str">
        <f>IF(AND($C1386&lt;&gt;"",$C1386=Kardex!$C$4),COUNTIF($C$5:$C1386,Kardex!$C$4),"")</f>
        <v/>
      </c>
    </row>
    <row r="1387" spans="1:13" x14ac:dyDescent="0.25">
      <c r="A1387" s="24"/>
      <c r="B1387" s="20"/>
      <c r="C1387" s="20"/>
      <c r="D1387" s="14" t="str">
        <f>IF($C1387="","",IFERROR(INDEX(Productos!$B$5:$B$504,MATCH($C1387,Productos!$A$5:$A$504,0)),"Clave no existe"))</f>
        <v/>
      </c>
      <c r="E1387" s="14" t="str">
        <f>IF($C1387="","",IFERROR(INDEX(Productos!$D$5:$D$504,MATCH($C1387,Productos!$A$5:$A$504,0)),""))</f>
        <v/>
      </c>
      <c r="F1387" s="20"/>
      <c r="G1387" s="22" t="str">
        <f>IF($C1387="","",IFERROR(INDEX(Productos!$F$5:$F$504,MATCH($C1387,Productos!$A$5:$A$504,0)),0))</f>
        <v/>
      </c>
      <c r="H1387" s="22" t="str">
        <f t="shared" si="21"/>
        <v/>
      </c>
      <c r="I1387" s="14" t="str">
        <f>IF(OR($C1387="",$F1387=""),"",IFERROR(INDEX(Productos!$I$5:$I$504,MATCH($C1387,Productos!$A$5:$A$504,0)),0)+SUMIFS($F$5:$F1387,$C$5:$C1387,$C1387,$B$5:$B1387,"Entrada")-SUMIFS($F$5:$F1387,$C$5:$C1387,$C1387,$B$5:$B1387,"Salida"))</f>
        <v/>
      </c>
      <c r="J1387" s="20"/>
      <c r="K1387" s="20"/>
      <c r="L1387" s="20"/>
      <c r="M1387" s="14" t="str">
        <f>IF(AND($C1387&lt;&gt;"",$C1387=Kardex!$C$4),COUNTIF($C$5:$C1387,Kardex!$C$4),"")</f>
        <v/>
      </c>
    </row>
    <row r="1388" spans="1:13" x14ac:dyDescent="0.25">
      <c r="A1388" s="24"/>
      <c r="B1388" s="20"/>
      <c r="C1388" s="20"/>
      <c r="D1388" s="14" t="str">
        <f>IF($C1388="","",IFERROR(INDEX(Productos!$B$5:$B$504,MATCH($C1388,Productos!$A$5:$A$504,0)),"Clave no existe"))</f>
        <v/>
      </c>
      <c r="E1388" s="14" t="str">
        <f>IF($C1388="","",IFERROR(INDEX(Productos!$D$5:$D$504,MATCH($C1388,Productos!$A$5:$A$504,0)),""))</f>
        <v/>
      </c>
      <c r="F1388" s="20"/>
      <c r="G1388" s="22" t="str">
        <f>IF($C1388="","",IFERROR(INDEX(Productos!$F$5:$F$504,MATCH($C1388,Productos!$A$5:$A$504,0)),0))</f>
        <v/>
      </c>
      <c r="H1388" s="22" t="str">
        <f t="shared" si="21"/>
        <v/>
      </c>
      <c r="I1388" s="14" t="str">
        <f>IF(OR($C1388="",$F1388=""),"",IFERROR(INDEX(Productos!$I$5:$I$504,MATCH($C1388,Productos!$A$5:$A$504,0)),0)+SUMIFS($F$5:$F1388,$C$5:$C1388,$C1388,$B$5:$B1388,"Entrada")-SUMIFS($F$5:$F1388,$C$5:$C1388,$C1388,$B$5:$B1388,"Salida"))</f>
        <v/>
      </c>
      <c r="J1388" s="20"/>
      <c r="K1388" s="20"/>
      <c r="L1388" s="20"/>
      <c r="M1388" s="14" t="str">
        <f>IF(AND($C1388&lt;&gt;"",$C1388=Kardex!$C$4),COUNTIF($C$5:$C1388,Kardex!$C$4),"")</f>
        <v/>
      </c>
    </row>
    <row r="1389" spans="1:13" x14ac:dyDescent="0.25">
      <c r="A1389" s="24"/>
      <c r="B1389" s="20"/>
      <c r="C1389" s="20"/>
      <c r="D1389" s="14" t="str">
        <f>IF($C1389="","",IFERROR(INDEX(Productos!$B$5:$B$504,MATCH($C1389,Productos!$A$5:$A$504,0)),"Clave no existe"))</f>
        <v/>
      </c>
      <c r="E1389" s="14" t="str">
        <f>IF($C1389="","",IFERROR(INDEX(Productos!$D$5:$D$504,MATCH($C1389,Productos!$A$5:$A$504,0)),""))</f>
        <v/>
      </c>
      <c r="F1389" s="20"/>
      <c r="G1389" s="22" t="str">
        <f>IF($C1389="","",IFERROR(INDEX(Productos!$F$5:$F$504,MATCH($C1389,Productos!$A$5:$A$504,0)),0))</f>
        <v/>
      </c>
      <c r="H1389" s="22" t="str">
        <f t="shared" si="21"/>
        <v/>
      </c>
      <c r="I1389" s="14" t="str">
        <f>IF(OR($C1389="",$F1389=""),"",IFERROR(INDEX(Productos!$I$5:$I$504,MATCH($C1389,Productos!$A$5:$A$504,0)),0)+SUMIFS($F$5:$F1389,$C$5:$C1389,$C1389,$B$5:$B1389,"Entrada")-SUMIFS($F$5:$F1389,$C$5:$C1389,$C1389,$B$5:$B1389,"Salida"))</f>
        <v/>
      </c>
      <c r="J1389" s="20"/>
      <c r="K1389" s="20"/>
      <c r="L1389" s="20"/>
      <c r="M1389" s="14" t="str">
        <f>IF(AND($C1389&lt;&gt;"",$C1389=Kardex!$C$4),COUNTIF($C$5:$C1389,Kardex!$C$4),"")</f>
        <v/>
      </c>
    </row>
    <row r="1390" spans="1:13" x14ac:dyDescent="0.25">
      <c r="A1390" s="24"/>
      <c r="B1390" s="20"/>
      <c r="C1390" s="20"/>
      <c r="D1390" s="14" t="str">
        <f>IF($C1390="","",IFERROR(INDEX(Productos!$B$5:$B$504,MATCH($C1390,Productos!$A$5:$A$504,0)),"Clave no existe"))</f>
        <v/>
      </c>
      <c r="E1390" s="14" t="str">
        <f>IF($C1390="","",IFERROR(INDEX(Productos!$D$5:$D$504,MATCH($C1390,Productos!$A$5:$A$504,0)),""))</f>
        <v/>
      </c>
      <c r="F1390" s="20"/>
      <c r="G1390" s="22" t="str">
        <f>IF($C1390="","",IFERROR(INDEX(Productos!$F$5:$F$504,MATCH($C1390,Productos!$A$5:$A$504,0)),0))</f>
        <v/>
      </c>
      <c r="H1390" s="22" t="str">
        <f t="shared" si="21"/>
        <v/>
      </c>
      <c r="I1390" s="14" t="str">
        <f>IF(OR($C1390="",$F1390=""),"",IFERROR(INDEX(Productos!$I$5:$I$504,MATCH($C1390,Productos!$A$5:$A$504,0)),0)+SUMIFS($F$5:$F1390,$C$5:$C1390,$C1390,$B$5:$B1390,"Entrada")-SUMIFS($F$5:$F1390,$C$5:$C1390,$C1390,$B$5:$B1390,"Salida"))</f>
        <v/>
      </c>
      <c r="J1390" s="20"/>
      <c r="K1390" s="20"/>
      <c r="L1390" s="20"/>
      <c r="M1390" s="14" t="str">
        <f>IF(AND($C1390&lt;&gt;"",$C1390=Kardex!$C$4),COUNTIF($C$5:$C1390,Kardex!$C$4),"")</f>
        <v/>
      </c>
    </row>
    <row r="1391" spans="1:13" x14ac:dyDescent="0.25">
      <c r="A1391" s="24"/>
      <c r="B1391" s="20"/>
      <c r="C1391" s="20"/>
      <c r="D1391" s="14" t="str">
        <f>IF($C1391="","",IFERROR(INDEX(Productos!$B$5:$B$504,MATCH($C1391,Productos!$A$5:$A$504,0)),"Clave no existe"))</f>
        <v/>
      </c>
      <c r="E1391" s="14" t="str">
        <f>IF($C1391="","",IFERROR(INDEX(Productos!$D$5:$D$504,MATCH($C1391,Productos!$A$5:$A$504,0)),""))</f>
        <v/>
      </c>
      <c r="F1391" s="20"/>
      <c r="G1391" s="22" t="str">
        <f>IF($C1391="","",IFERROR(INDEX(Productos!$F$5:$F$504,MATCH($C1391,Productos!$A$5:$A$504,0)),0))</f>
        <v/>
      </c>
      <c r="H1391" s="22" t="str">
        <f t="shared" si="21"/>
        <v/>
      </c>
      <c r="I1391" s="14" t="str">
        <f>IF(OR($C1391="",$F1391=""),"",IFERROR(INDEX(Productos!$I$5:$I$504,MATCH($C1391,Productos!$A$5:$A$504,0)),0)+SUMIFS($F$5:$F1391,$C$5:$C1391,$C1391,$B$5:$B1391,"Entrada")-SUMIFS($F$5:$F1391,$C$5:$C1391,$C1391,$B$5:$B1391,"Salida"))</f>
        <v/>
      </c>
      <c r="J1391" s="20"/>
      <c r="K1391" s="20"/>
      <c r="L1391" s="20"/>
      <c r="M1391" s="14" t="str">
        <f>IF(AND($C1391&lt;&gt;"",$C1391=Kardex!$C$4),COUNTIF($C$5:$C1391,Kardex!$C$4),"")</f>
        <v/>
      </c>
    </row>
    <row r="1392" spans="1:13" x14ac:dyDescent="0.25">
      <c r="A1392" s="24"/>
      <c r="B1392" s="20"/>
      <c r="C1392" s="20"/>
      <c r="D1392" s="14" t="str">
        <f>IF($C1392="","",IFERROR(INDEX(Productos!$B$5:$B$504,MATCH($C1392,Productos!$A$5:$A$504,0)),"Clave no existe"))</f>
        <v/>
      </c>
      <c r="E1392" s="14" t="str">
        <f>IF($C1392="","",IFERROR(INDEX(Productos!$D$5:$D$504,MATCH($C1392,Productos!$A$5:$A$504,0)),""))</f>
        <v/>
      </c>
      <c r="F1392" s="20"/>
      <c r="G1392" s="22" t="str">
        <f>IF($C1392="","",IFERROR(INDEX(Productos!$F$5:$F$504,MATCH($C1392,Productos!$A$5:$A$504,0)),0))</f>
        <v/>
      </c>
      <c r="H1392" s="22" t="str">
        <f t="shared" si="21"/>
        <v/>
      </c>
      <c r="I1392" s="14" t="str">
        <f>IF(OR($C1392="",$F1392=""),"",IFERROR(INDEX(Productos!$I$5:$I$504,MATCH($C1392,Productos!$A$5:$A$504,0)),0)+SUMIFS($F$5:$F1392,$C$5:$C1392,$C1392,$B$5:$B1392,"Entrada")-SUMIFS($F$5:$F1392,$C$5:$C1392,$C1392,$B$5:$B1392,"Salida"))</f>
        <v/>
      </c>
      <c r="J1392" s="20"/>
      <c r="K1392" s="20"/>
      <c r="L1392" s="20"/>
      <c r="M1392" s="14" t="str">
        <f>IF(AND($C1392&lt;&gt;"",$C1392=Kardex!$C$4),COUNTIF($C$5:$C1392,Kardex!$C$4),"")</f>
        <v/>
      </c>
    </row>
    <row r="1393" spans="1:13" x14ac:dyDescent="0.25">
      <c r="A1393" s="24"/>
      <c r="B1393" s="20"/>
      <c r="C1393" s="20"/>
      <c r="D1393" s="14" t="str">
        <f>IF($C1393="","",IFERROR(INDEX(Productos!$B$5:$B$504,MATCH($C1393,Productos!$A$5:$A$504,0)),"Clave no existe"))</f>
        <v/>
      </c>
      <c r="E1393" s="14" t="str">
        <f>IF($C1393="","",IFERROR(INDEX(Productos!$D$5:$D$504,MATCH($C1393,Productos!$A$5:$A$504,0)),""))</f>
        <v/>
      </c>
      <c r="F1393" s="20"/>
      <c r="G1393" s="22" t="str">
        <f>IF($C1393="","",IFERROR(INDEX(Productos!$F$5:$F$504,MATCH($C1393,Productos!$A$5:$A$504,0)),0))</f>
        <v/>
      </c>
      <c r="H1393" s="22" t="str">
        <f t="shared" si="21"/>
        <v/>
      </c>
      <c r="I1393" s="14" t="str">
        <f>IF(OR($C1393="",$F1393=""),"",IFERROR(INDEX(Productos!$I$5:$I$504,MATCH($C1393,Productos!$A$5:$A$504,0)),0)+SUMIFS($F$5:$F1393,$C$5:$C1393,$C1393,$B$5:$B1393,"Entrada")-SUMIFS($F$5:$F1393,$C$5:$C1393,$C1393,$B$5:$B1393,"Salida"))</f>
        <v/>
      </c>
      <c r="J1393" s="20"/>
      <c r="K1393" s="20"/>
      <c r="L1393" s="20"/>
      <c r="M1393" s="14" t="str">
        <f>IF(AND($C1393&lt;&gt;"",$C1393=Kardex!$C$4),COUNTIF($C$5:$C1393,Kardex!$C$4),"")</f>
        <v/>
      </c>
    </row>
    <row r="1394" spans="1:13" x14ac:dyDescent="0.25">
      <c r="A1394" s="24"/>
      <c r="B1394" s="20"/>
      <c r="C1394" s="20"/>
      <c r="D1394" s="14" t="str">
        <f>IF($C1394="","",IFERROR(INDEX(Productos!$B$5:$B$504,MATCH($C1394,Productos!$A$5:$A$504,0)),"Clave no existe"))</f>
        <v/>
      </c>
      <c r="E1394" s="14" t="str">
        <f>IF($C1394="","",IFERROR(INDEX(Productos!$D$5:$D$504,MATCH($C1394,Productos!$A$5:$A$504,0)),""))</f>
        <v/>
      </c>
      <c r="F1394" s="20"/>
      <c r="G1394" s="22" t="str">
        <f>IF($C1394="","",IFERROR(INDEX(Productos!$F$5:$F$504,MATCH($C1394,Productos!$A$5:$A$504,0)),0))</f>
        <v/>
      </c>
      <c r="H1394" s="22" t="str">
        <f t="shared" si="21"/>
        <v/>
      </c>
      <c r="I1394" s="14" t="str">
        <f>IF(OR($C1394="",$F1394=""),"",IFERROR(INDEX(Productos!$I$5:$I$504,MATCH($C1394,Productos!$A$5:$A$504,0)),0)+SUMIFS($F$5:$F1394,$C$5:$C1394,$C1394,$B$5:$B1394,"Entrada")-SUMIFS($F$5:$F1394,$C$5:$C1394,$C1394,$B$5:$B1394,"Salida"))</f>
        <v/>
      </c>
      <c r="J1394" s="20"/>
      <c r="K1394" s="20"/>
      <c r="L1394" s="20"/>
      <c r="M1394" s="14" t="str">
        <f>IF(AND($C1394&lt;&gt;"",$C1394=Kardex!$C$4),COUNTIF($C$5:$C1394,Kardex!$C$4),"")</f>
        <v/>
      </c>
    </row>
    <row r="1395" spans="1:13" x14ac:dyDescent="0.25">
      <c r="A1395" s="24"/>
      <c r="B1395" s="20"/>
      <c r="C1395" s="20"/>
      <c r="D1395" s="14" t="str">
        <f>IF($C1395="","",IFERROR(INDEX(Productos!$B$5:$B$504,MATCH($C1395,Productos!$A$5:$A$504,0)),"Clave no existe"))</f>
        <v/>
      </c>
      <c r="E1395" s="14" t="str">
        <f>IF($C1395="","",IFERROR(INDEX(Productos!$D$5:$D$504,MATCH($C1395,Productos!$A$5:$A$504,0)),""))</f>
        <v/>
      </c>
      <c r="F1395" s="20"/>
      <c r="G1395" s="22" t="str">
        <f>IF($C1395="","",IFERROR(INDEX(Productos!$F$5:$F$504,MATCH($C1395,Productos!$A$5:$A$504,0)),0))</f>
        <v/>
      </c>
      <c r="H1395" s="22" t="str">
        <f t="shared" si="21"/>
        <v/>
      </c>
      <c r="I1395" s="14" t="str">
        <f>IF(OR($C1395="",$F1395=""),"",IFERROR(INDEX(Productos!$I$5:$I$504,MATCH($C1395,Productos!$A$5:$A$504,0)),0)+SUMIFS($F$5:$F1395,$C$5:$C1395,$C1395,$B$5:$B1395,"Entrada")-SUMIFS($F$5:$F1395,$C$5:$C1395,$C1395,$B$5:$B1395,"Salida"))</f>
        <v/>
      </c>
      <c r="J1395" s="20"/>
      <c r="K1395" s="20"/>
      <c r="L1395" s="20"/>
      <c r="M1395" s="14" t="str">
        <f>IF(AND($C1395&lt;&gt;"",$C1395=Kardex!$C$4),COUNTIF($C$5:$C1395,Kardex!$C$4),"")</f>
        <v/>
      </c>
    </row>
    <row r="1396" spans="1:13" x14ac:dyDescent="0.25">
      <c r="A1396" s="24"/>
      <c r="B1396" s="20"/>
      <c r="C1396" s="20"/>
      <c r="D1396" s="14" t="str">
        <f>IF($C1396="","",IFERROR(INDEX(Productos!$B$5:$B$504,MATCH($C1396,Productos!$A$5:$A$504,0)),"Clave no existe"))</f>
        <v/>
      </c>
      <c r="E1396" s="14" t="str">
        <f>IF($C1396="","",IFERROR(INDEX(Productos!$D$5:$D$504,MATCH($C1396,Productos!$A$5:$A$504,0)),""))</f>
        <v/>
      </c>
      <c r="F1396" s="20"/>
      <c r="G1396" s="22" t="str">
        <f>IF($C1396="","",IFERROR(INDEX(Productos!$F$5:$F$504,MATCH($C1396,Productos!$A$5:$A$504,0)),0))</f>
        <v/>
      </c>
      <c r="H1396" s="22" t="str">
        <f t="shared" si="21"/>
        <v/>
      </c>
      <c r="I1396" s="14" t="str">
        <f>IF(OR($C1396="",$F1396=""),"",IFERROR(INDEX(Productos!$I$5:$I$504,MATCH($C1396,Productos!$A$5:$A$504,0)),0)+SUMIFS($F$5:$F1396,$C$5:$C1396,$C1396,$B$5:$B1396,"Entrada")-SUMIFS($F$5:$F1396,$C$5:$C1396,$C1396,$B$5:$B1396,"Salida"))</f>
        <v/>
      </c>
      <c r="J1396" s="20"/>
      <c r="K1396" s="20"/>
      <c r="L1396" s="20"/>
      <c r="M1396" s="14" t="str">
        <f>IF(AND($C1396&lt;&gt;"",$C1396=Kardex!$C$4),COUNTIF($C$5:$C1396,Kardex!$C$4),"")</f>
        <v/>
      </c>
    </row>
    <row r="1397" spans="1:13" x14ac:dyDescent="0.25">
      <c r="A1397" s="24"/>
      <c r="B1397" s="20"/>
      <c r="C1397" s="20"/>
      <c r="D1397" s="14" t="str">
        <f>IF($C1397="","",IFERROR(INDEX(Productos!$B$5:$B$504,MATCH($C1397,Productos!$A$5:$A$504,0)),"Clave no existe"))</f>
        <v/>
      </c>
      <c r="E1397" s="14" t="str">
        <f>IF($C1397="","",IFERROR(INDEX(Productos!$D$5:$D$504,MATCH($C1397,Productos!$A$5:$A$504,0)),""))</f>
        <v/>
      </c>
      <c r="F1397" s="20"/>
      <c r="G1397" s="22" t="str">
        <f>IF($C1397="","",IFERROR(INDEX(Productos!$F$5:$F$504,MATCH($C1397,Productos!$A$5:$A$504,0)),0))</f>
        <v/>
      </c>
      <c r="H1397" s="22" t="str">
        <f t="shared" si="21"/>
        <v/>
      </c>
      <c r="I1397" s="14" t="str">
        <f>IF(OR($C1397="",$F1397=""),"",IFERROR(INDEX(Productos!$I$5:$I$504,MATCH($C1397,Productos!$A$5:$A$504,0)),0)+SUMIFS($F$5:$F1397,$C$5:$C1397,$C1397,$B$5:$B1397,"Entrada")-SUMIFS($F$5:$F1397,$C$5:$C1397,$C1397,$B$5:$B1397,"Salida"))</f>
        <v/>
      </c>
      <c r="J1397" s="20"/>
      <c r="K1397" s="20"/>
      <c r="L1397" s="20"/>
      <c r="M1397" s="14" t="str">
        <f>IF(AND($C1397&lt;&gt;"",$C1397=Kardex!$C$4),COUNTIF($C$5:$C1397,Kardex!$C$4),"")</f>
        <v/>
      </c>
    </row>
    <row r="1398" spans="1:13" x14ac:dyDescent="0.25">
      <c r="A1398" s="24"/>
      <c r="B1398" s="20"/>
      <c r="C1398" s="20"/>
      <c r="D1398" s="14" t="str">
        <f>IF($C1398="","",IFERROR(INDEX(Productos!$B$5:$B$504,MATCH($C1398,Productos!$A$5:$A$504,0)),"Clave no existe"))</f>
        <v/>
      </c>
      <c r="E1398" s="14" t="str">
        <f>IF($C1398="","",IFERROR(INDEX(Productos!$D$5:$D$504,MATCH($C1398,Productos!$A$5:$A$504,0)),""))</f>
        <v/>
      </c>
      <c r="F1398" s="20"/>
      <c r="G1398" s="22" t="str">
        <f>IF($C1398="","",IFERROR(INDEX(Productos!$F$5:$F$504,MATCH($C1398,Productos!$A$5:$A$504,0)),0))</f>
        <v/>
      </c>
      <c r="H1398" s="22" t="str">
        <f t="shared" si="21"/>
        <v/>
      </c>
      <c r="I1398" s="14" t="str">
        <f>IF(OR($C1398="",$F1398=""),"",IFERROR(INDEX(Productos!$I$5:$I$504,MATCH($C1398,Productos!$A$5:$A$504,0)),0)+SUMIFS($F$5:$F1398,$C$5:$C1398,$C1398,$B$5:$B1398,"Entrada")-SUMIFS($F$5:$F1398,$C$5:$C1398,$C1398,$B$5:$B1398,"Salida"))</f>
        <v/>
      </c>
      <c r="J1398" s="20"/>
      <c r="K1398" s="20"/>
      <c r="L1398" s="20"/>
      <c r="M1398" s="14" t="str">
        <f>IF(AND($C1398&lt;&gt;"",$C1398=Kardex!$C$4),COUNTIF($C$5:$C1398,Kardex!$C$4),"")</f>
        <v/>
      </c>
    </row>
    <row r="1399" spans="1:13" x14ac:dyDescent="0.25">
      <c r="A1399" s="24"/>
      <c r="B1399" s="20"/>
      <c r="C1399" s="20"/>
      <c r="D1399" s="14" t="str">
        <f>IF($C1399="","",IFERROR(INDEX(Productos!$B$5:$B$504,MATCH($C1399,Productos!$A$5:$A$504,0)),"Clave no existe"))</f>
        <v/>
      </c>
      <c r="E1399" s="14" t="str">
        <f>IF($C1399="","",IFERROR(INDEX(Productos!$D$5:$D$504,MATCH($C1399,Productos!$A$5:$A$504,0)),""))</f>
        <v/>
      </c>
      <c r="F1399" s="20"/>
      <c r="G1399" s="22" t="str">
        <f>IF($C1399="","",IFERROR(INDEX(Productos!$F$5:$F$504,MATCH($C1399,Productos!$A$5:$A$504,0)),0))</f>
        <v/>
      </c>
      <c r="H1399" s="22" t="str">
        <f t="shared" si="21"/>
        <v/>
      </c>
      <c r="I1399" s="14" t="str">
        <f>IF(OR($C1399="",$F1399=""),"",IFERROR(INDEX(Productos!$I$5:$I$504,MATCH($C1399,Productos!$A$5:$A$504,0)),0)+SUMIFS($F$5:$F1399,$C$5:$C1399,$C1399,$B$5:$B1399,"Entrada")-SUMIFS($F$5:$F1399,$C$5:$C1399,$C1399,$B$5:$B1399,"Salida"))</f>
        <v/>
      </c>
      <c r="J1399" s="20"/>
      <c r="K1399" s="20"/>
      <c r="L1399" s="20"/>
      <c r="M1399" s="14" t="str">
        <f>IF(AND($C1399&lt;&gt;"",$C1399=Kardex!$C$4),COUNTIF($C$5:$C1399,Kardex!$C$4),"")</f>
        <v/>
      </c>
    </row>
    <row r="1400" spans="1:13" x14ac:dyDescent="0.25">
      <c r="A1400" s="24"/>
      <c r="B1400" s="20"/>
      <c r="C1400" s="20"/>
      <c r="D1400" s="14" t="str">
        <f>IF($C1400="","",IFERROR(INDEX(Productos!$B$5:$B$504,MATCH($C1400,Productos!$A$5:$A$504,0)),"Clave no existe"))</f>
        <v/>
      </c>
      <c r="E1400" s="14" t="str">
        <f>IF($C1400="","",IFERROR(INDEX(Productos!$D$5:$D$504,MATCH($C1400,Productos!$A$5:$A$504,0)),""))</f>
        <v/>
      </c>
      <c r="F1400" s="20"/>
      <c r="G1400" s="22" t="str">
        <f>IF($C1400="","",IFERROR(INDEX(Productos!$F$5:$F$504,MATCH($C1400,Productos!$A$5:$A$504,0)),0))</f>
        <v/>
      </c>
      <c r="H1400" s="22" t="str">
        <f t="shared" si="21"/>
        <v/>
      </c>
      <c r="I1400" s="14" t="str">
        <f>IF(OR($C1400="",$F1400=""),"",IFERROR(INDEX(Productos!$I$5:$I$504,MATCH($C1400,Productos!$A$5:$A$504,0)),0)+SUMIFS($F$5:$F1400,$C$5:$C1400,$C1400,$B$5:$B1400,"Entrada")-SUMIFS($F$5:$F1400,$C$5:$C1400,$C1400,$B$5:$B1400,"Salida"))</f>
        <v/>
      </c>
      <c r="J1400" s="20"/>
      <c r="K1400" s="20"/>
      <c r="L1400" s="20"/>
      <c r="M1400" s="14" t="str">
        <f>IF(AND($C1400&lt;&gt;"",$C1400=Kardex!$C$4),COUNTIF($C$5:$C1400,Kardex!$C$4),"")</f>
        <v/>
      </c>
    </row>
    <row r="1401" spans="1:13" x14ac:dyDescent="0.25">
      <c r="A1401" s="24"/>
      <c r="B1401" s="20"/>
      <c r="C1401" s="20"/>
      <c r="D1401" s="14" t="str">
        <f>IF($C1401="","",IFERROR(INDEX(Productos!$B$5:$B$504,MATCH($C1401,Productos!$A$5:$A$504,0)),"Clave no existe"))</f>
        <v/>
      </c>
      <c r="E1401" s="14" t="str">
        <f>IF($C1401="","",IFERROR(INDEX(Productos!$D$5:$D$504,MATCH($C1401,Productos!$A$5:$A$504,0)),""))</f>
        <v/>
      </c>
      <c r="F1401" s="20"/>
      <c r="G1401" s="22" t="str">
        <f>IF($C1401="","",IFERROR(INDEX(Productos!$F$5:$F$504,MATCH($C1401,Productos!$A$5:$A$504,0)),0))</f>
        <v/>
      </c>
      <c r="H1401" s="22" t="str">
        <f t="shared" si="21"/>
        <v/>
      </c>
      <c r="I1401" s="14" t="str">
        <f>IF(OR($C1401="",$F1401=""),"",IFERROR(INDEX(Productos!$I$5:$I$504,MATCH($C1401,Productos!$A$5:$A$504,0)),0)+SUMIFS($F$5:$F1401,$C$5:$C1401,$C1401,$B$5:$B1401,"Entrada")-SUMIFS($F$5:$F1401,$C$5:$C1401,$C1401,$B$5:$B1401,"Salida"))</f>
        <v/>
      </c>
      <c r="J1401" s="20"/>
      <c r="K1401" s="20"/>
      <c r="L1401" s="20"/>
      <c r="M1401" s="14" t="str">
        <f>IF(AND($C1401&lt;&gt;"",$C1401=Kardex!$C$4),COUNTIF($C$5:$C1401,Kardex!$C$4),"")</f>
        <v/>
      </c>
    </row>
    <row r="1402" spans="1:13" x14ac:dyDescent="0.25">
      <c r="A1402" s="24"/>
      <c r="B1402" s="20"/>
      <c r="C1402" s="20"/>
      <c r="D1402" s="14" t="str">
        <f>IF($C1402="","",IFERROR(INDEX(Productos!$B$5:$B$504,MATCH($C1402,Productos!$A$5:$A$504,0)),"Clave no existe"))</f>
        <v/>
      </c>
      <c r="E1402" s="14" t="str">
        <f>IF($C1402="","",IFERROR(INDEX(Productos!$D$5:$D$504,MATCH($C1402,Productos!$A$5:$A$504,0)),""))</f>
        <v/>
      </c>
      <c r="F1402" s="20"/>
      <c r="G1402" s="22" t="str">
        <f>IF($C1402="","",IFERROR(INDEX(Productos!$F$5:$F$504,MATCH($C1402,Productos!$A$5:$A$504,0)),0))</f>
        <v/>
      </c>
      <c r="H1402" s="22" t="str">
        <f t="shared" si="21"/>
        <v/>
      </c>
      <c r="I1402" s="14" t="str">
        <f>IF(OR($C1402="",$F1402=""),"",IFERROR(INDEX(Productos!$I$5:$I$504,MATCH($C1402,Productos!$A$5:$A$504,0)),0)+SUMIFS($F$5:$F1402,$C$5:$C1402,$C1402,$B$5:$B1402,"Entrada")-SUMIFS($F$5:$F1402,$C$5:$C1402,$C1402,$B$5:$B1402,"Salida"))</f>
        <v/>
      </c>
      <c r="J1402" s="20"/>
      <c r="K1402" s="20"/>
      <c r="L1402" s="20"/>
      <c r="M1402" s="14" t="str">
        <f>IF(AND($C1402&lt;&gt;"",$C1402=Kardex!$C$4),COUNTIF($C$5:$C1402,Kardex!$C$4),"")</f>
        <v/>
      </c>
    </row>
    <row r="1403" spans="1:13" x14ac:dyDescent="0.25">
      <c r="A1403" s="24"/>
      <c r="B1403" s="20"/>
      <c r="C1403" s="20"/>
      <c r="D1403" s="14" t="str">
        <f>IF($C1403="","",IFERROR(INDEX(Productos!$B$5:$B$504,MATCH($C1403,Productos!$A$5:$A$504,0)),"Clave no existe"))</f>
        <v/>
      </c>
      <c r="E1403" s="14" t="str">
        <f>IF($C1403="","",IFERROR(INDEX(Productos!$D$5:$D$504,MATCH($C1403,Productos!$A$5:$A$504,0)),""))</f>
        <v/>
      </c>
      <c r="F1403" s="20"/>
      <c r="G1403" s="22" t="str">
        <f>IF($C1403="","",IFERROR(INDEX(Productos!$F$5:$F$504,MATCH($C1403,Productos!$A$5:$A$504,0)),0))</f>
        <v/>
      </c>
      <c r="H1403" s="22" t="str">
        <f t="shared" si="21"/>
        <v/>
      </c>
      <c r="I1403" s="14" t="str">
        <f>IF(OR($C1403="",$F1403=""),"",IFERROR(INDEX(Productos!$I$5:$I$504,MATCH($C1403,Productos!$A$5:$A$504,0)),0)+SUMIFS($F$5:$F1403,$C$5:$C1403,$C1403,$B$5:$B1403,"Entrada")-SUMIFS($F$5:$F1403,$C$5:$C1403,$C1403,$B$5:$B1403,"Salida"))</f>
        <v/>
      </c>
      <c r="J1403" s="20"/>
      <c r="K1403" s="20"/>
      <c r="L1403" s="20"/>
      <c r="M1403" s="14" t="str">
        <f>IF(AND($C1403&lt;&gt;"",$C1403=Kardex!$C$4),COUNTIF($C$5:$C1403,Kardex!$C$4),"")</f>
        <v/>
      </c>
    </row>
    <row r="1404" spans="1:13" x14ac:dyDescent="0.25">
      <c r="A1404" s="24"/>
      <c r="B1404" s="20"/>
      <c r="C1404" s="20"/>
      <c r="D1404" s="14" t="str">
        <f>IF($C1404="","",IFERROR(INDEX(Productos!$B$5:$B$504,MATCH($C1404,Productos!$A$5:$A$504,0)),"Clave no existe"))</f>
        <v/>
      </c>
      <c r="E1404" s="14" t="str">
        <f>IF($C1404="","",IFERROR(INDEX(Productos!$D$5:$D$504,MATCH($C1404,Productos!$A$5:$A$504,0)),""))</f>
        <v/>
      </c>
      <c r="F1404" s="20"/>
      <c r="G1404" s="22" t="str">
        <f>IF($C1404="","",IFERROR(INDEX(Productos!$F$5:$F$504,MATCH($C1404,Productos!$A$5:$A$504,0)),0))</f>
        <v/>
      </c>
      <c r="H1404" s="22" t="str">
        <f t="shared" si="21"/>
        <v/>
      </c>
      <c r="I1404" s="14" t="str">
        <f>IF(OR($C1404="",$F1404=""),"",IFERROR(INDEX(Productos!$I$5:$I$504,MATCH($C1404,Productos!$A$5:$A$504,0)),0)+SUMIFS($F$5:$F1404,$C$5:$C1404,$C1404,$B$5:$B1404,"Entrada")-SUMIFS($F$5:$F1404,$C$5:$C1404,$C1404,$B$5:$B1404,"Salida"))</f>
        <v/>
      </c>
      <c r="J1404" s="20"/>
      <c r="K1404" s="20"/>
      <c r="L1404" s="20"/>
      <c r="M1404" s="14" t="str">
        <f>IF(AND($C1404&lt;&gt;"",$C1404=Kardex!$C$4),COUNTIF($C$5:$C1404,Kardex!$C$4),"")</f>
        <v/>
      </c>
    </row>
    <row r="1405" spans="1:13" x14ac:dyDescent="0.25">
      <c r="A1405" s="24"/>
      <c r="B1405" s="20"/>
      <c r="C1405" s="20"/>
      <c r="D1405" s="14" t="str">
        <f>IF($C1405="","",IFERROR(INDEX(Productos!$B$5:$B$504,MATCH($C1405,Productos!$A$5:$A$504,0)),"Clave no existe"))</f>
        <v/>
      </c>
      <c r="E1405" s="14" t="str">
        <f>IF($C1405="","",IFERROR(INDEX(Productos!$D$5:$D$504,MATCH($C1405,Productos!$A$5:$A$504,0)),""))</f>
        <v/>
      </c>
      <c r="F1405" s="20"/>
      <c r="G1405" s="22" t="str">
        <f>IF($C1405="","",IFERROR(INDEX(Productos!$F$5:$F$504,MATCH($C1405,Productos!$A$5:$A$504,0)),0))</f>
        <v/>
      </c>
      <c r="H1405" s="22" t="str">
        <f t="shared" si="21"/>
        <v/>
      </c>
      <c r="I1405" s="14" t="str">
        <f>IF(OR($C1405="",$F1405=""),"",IFERROR(INDEX(Productos!$I$5:$I$504,MATCH($C1405,Productos!$A$5:$A$504,0)),0)+SUMIFS($F$5:$F1405,$C$5:$C1405,$C1405,$B$5:$B1405,"Entrada")-SUMIFS($F$5:$F1405,$C$5:$C1405,$C1405,$B$5:$B1405,"Salida"))</f>
        <v/>
      </c>
      <c r="J1405" s="20"/>
      <c r="K1405" s="20"/>
      <c r="L1405" s="20"/>
      <c r="M1405" s="14" t="str">
        <f>IF(AND($C1405&lt;&gt;"",$C1405=Kardex!$C$4),COUNTIF($C$5:$C1405,Kardex!$C$4),"")</f>
        <v/>
      </c>
    </row>
    <row r="1406" spans="1:13" x14ac:dyDescent="0.25">
      <c r="A1406" s="24"/>
      <c r="B1406" s="20"/>
      <c r="C1406" s="20"/>
      <c r="D1406" s="14" t="str">
        <f>IF($C1406="","",IFERROR(INDEX(Productos!$B$5:$B$504,MATCH($C1406,Productos!$A$5:$A$504,0)),"Clave no existe"))</f>
        <v/>
      </c>
      <c r="E1406" s="14" t="str">
        <f>IF($C1406="","",IFERROR(INDEX(Productos!$D$5:$D$504,MATCH($C1406,Productos!$A$5:$A$504,0)),""))</f>
        <v/>
      </c>
      <c r="F1406" s="20"/>
      <c r="G1406" s="22" t="str">
        <f>IF($C1406="","",IFERROR(INDEX(Productos!$F$5:$F$504,MATCH($C1406,Productos!$A$5:$A$504,0)),0))</f>
        <v/>
      </c>
      <c r="H1406" s="22" t="str">
        <f t="shared" si="21"/>
        <v/>
      </c>
      <c r="I1406" s="14" t="str">
        <f>IF(OR($C1406="",$F1406=""),"",IFERROR(INDEX(Productos!$I$5:$I$504,MATCH($C1406,Productos!$A$5:$A$504,0)),0)+SUMIFS($F$5:$F1406,$C$5:$C1406,$C1406,$B$5:$B1406,"Entrada")-SUMIFS($F$5:$F1406,$C$5:$C1406,$C1406,$B$5:$B1406,"Salida"))</f>
        <v/>
      </c>
      <c r="J1406" s="20"/>
      <c r="K1406" s="20"/>
      <c r="L1406" s="20"/>
      <c r="M1406" s="14" t="str">
        <f>IF(AND($C1406&lt;&gt;"",$C1406=Kardex!$C$4),COUNTIF($C$5:$C1406,Kardex!$C$4),"")</f>
        <v/>
      </c>
    </row>
    <row r="1407" spans="1:13" x14ac:dyDescent="0.25">
      <c r="A1407" s="24"/>
      <c r="B1407" s="20"/>
      <c r="C1407" s="20"/>
      <c r="D1407" s="14" t="str">
        <f>IF($C1407="","",IFERROR(INDEX(Productos!$B$5:$B$504,MATCH($C1407,Productos!$A$5:$A$504,0)),"Clave no existe"))</f>
        <v/>
      </c>
      <c r="E1407" s="14" t="str">
        <f>IF($C1407="","",IFERROR(INDEX(Productos!$D$5:$D$504,MATCH($C1407,Productos!$A$5:$A$504,0)),""))</f>
        <v/>
      </c>
      <c r="F1407" s="20"/>
      <c r="G1407" s="22" t="str">
        <f>IF($C1407="","",IFERROR(INDEX(Productos!$F$5:$F$504,MATCH($C1407,Productos!$A$5:$A$504,0)),0))</f>
        <v/>
      </c>
      <c r="H1407" s="22" t="str">
        <f t="shared" si="21"/>
        <v/>
      </c>
      <c r="I1407" s="14" t="str">
        <f>IF(OR($C1407="",$F1407=""),"",IFERROR(INDEX(Productos!$I$5:$I$504,MATCH($C1407,Productos!$A$5:$A$504,0)),0)+SUMIFS($F$5:$F1407,$C$5:$C1407,$C1407,$B$5:$B1407,"Entrada")-SUMIFS($F$5:$F1407,$C$5:$C1407,$C1407,$B$5:$B1407,"Salida"))</f>
        <v/>
      </c>
      <c r="J1407" s="20"/>
      <c r="K1407" s="20"/>
      <c r="L1407" s="20"/>
      <c r="M1407" s="14" t="str">
        <f>IF(AND($C1407&lt;&gt;"",$C1407=Kardex!$C$4),COUNTIF($C$5:$C1407,Kardex!$C$4),"")</f>
        <v/>
      </c>
    </row>
    <row r="1408" spans="1:13" x14ac:dyDescent="0.25">
      <c r="A1408" s="24"/>
      <c r="B1408" s="20"/>
      <c r="C1408" s="20"/>
      <c r="D1408" s="14" t="str">
        <f>IF($C1408="","",IFERROR(INDEX(Productos!$B$5:$B$504,MATCH($C1408,Productos!$A$5:$A$504,0)),"Clave no existe"))</f>
        <v/>
      </c>
      <c r="E1408" s="14" t="str">
        <f>IF($C1408="","",IFERROR(INDEX(Productos!$D$5:$D$504,MATCH($C1408,Productos!$A$5:$A$504,0)),""))</f>
        <v/>
      </c>
      <c r="F1408" s="20"/>
      <c r="G1408" s="22" t="str">
        <f>IF($C1408="","",IFERROR(INDEX(Productos!$F$5:$F$504,MATCH($C1408,Productos!$A$5:$A$504,0)),0))</f>
        <v/>
      </c>
      <c r="H1408" s="22" t="str">
        <f t="shared" si="21"/>
        <v/>
      </c>
      <c r="I1408" s="14" t="str">
        <f>IF(OR($C1408="",$F1408=""),"",IFERROR(INDEX(Productos!$I$5:$I$504,MATCH($C1408,Productos!$A$5:$A$504,0)),0)+SUMIFS($F$5:$F1408,$C$5:$C1408,$C1408,$B$5:$B1408,"Entrada")-SUMIFS($F$5:$F1408,$C$5:$C1408,$C1408,$B$5:$B1408,"Salida"))</f>
        <v/>
      </c>
      <c r="J1408" s="20"/>
      <c r="K1408" s="20"/>
      <c r="L1408" s="20"/>
      <c r="M1408" s="14" t="str">
        <f>IF(AND($C1408&lt;&gt;"",$C1408=Kardex!$C$4),COUNTIF($C$5:$C1408,Kardex!$C$4),"")</f>
        <v/>
      </c>
    </row>
    <row r="1409" spans="1:13" x14ac:dyDescent="0.25">
      <c r="A1409" s="24"/>
      <c r="B1409" s="20"/>
      <c r="C1409" s="20"/>
      <c r="D1409" s="14" t="str">
        <f>IF($C1409="","",IFERROR(INDEX(Productos!$B$5:$B$504,MATCH($C1409,Productos!$A$5:$A$504,0)),"Clave no existe"))</f>
        <v/>
      </c>
      <c r="E1409" s="14" t="str">
        <f>IF($C1409="","",IFERROR(INDEX(Productos!$D$5:$D$504,MATCH($C1409,Productos!$A$5:$A$504,0)),""))</f>
        <v/>
      </c>
      <c r="F1409" s="20"/>
      <c r="G1409" s="22" t="str">
        <f>IF($C1409="","",IFERROR(INDEX(Productos!$F$5:$F$504,MATCH($C1409,Productos!$A$5:$A$504,0)),0))</f>
        <v/>
      </c>
      <c r="H1409" s="22" t="str">
        <f t="shared" si="21"/>
        <v/>
      </c>
      <c r="I1409" s="14" t="str">
        <f>IF(OR($C1409="",$F1409=""),"",IFERROR(INDEX(Productos!$I$5:$I$504,MATCH($C1409,Productos!$A$5:$A$504,0)),0)+SUMIFS($F$5:$F1409,$C$5:$C1409,$C1409,$B$5:$B1409,"Entrada")-SUMIFS($F$5:$F1409,$C$5:$C1409,$C1409,$B$5:$B1409,"Salida"))</f>
        <v/>
      </c>
      <c r="J1409" s="20"/>
      <c r="K1409" s="20"/>
      <c r="L1409" s="20"/>
      <c r="M1409" s="14" t="str">
        <f>IF(AND($C1409&lt;&gt;"",$C1409=Kardex!$C$4),COUNTIF($C$5:$C1409,Kardex!$C$4),"")</f>
        <v/>
      </c>
    </row>
    <row r="1410" spans="1:13" x14ac:dyDescent="0.25">
      <c r="A1410" s="24"/>
      <c r="B1410" s="20"/>
      <c r="C1410" s="20"/>
      <c r="D1410" s="14" t="str">
        <f>IF($C1410="","",IFERROR(INDEX(Productos!$B$5:$B$504,MATCH($C1410,Productos!$A$5:$A$504,0)),"Clave no existe"))</f>
        <v/>
      </c>
      <c r="E1410" s="14" t="str">
        <f>IF($C1410="","",IFERROR(INDEX(Productos!$D$5:$D$504,MATCH($C1410,Productos!$A$5:$A$504,0)),""))</f>
        <v/>
      </c>
      <c r="F1410" s="20"/>
      <c r="G1410" s="22" t="str">
        <f>IF($C1410="","",IFERROR(INDEX(Productos!$F$5:$F$504,MATCH($C1410,Productos!$A$5:$A$504,0)),0))</f>
        <v/>
      </c>
      <c r="H1410" s="22" t="str">
        <f t="shared" si="21"/>
        <v/>
      </c>
      <c r="I1410" s="14" t="str">
        <f>IF(OR($C1410="",$F1410=""),"",IFERROR(INDEX(Productos!$I$5:$I$504,MATCH($C1410,Productos!$A$5:$A$504,0)),0)+SUMIFS($F$5:$F1410,$C$5:$C1410,$C1410,$B$5:$B1410,"Entrada")-SUMIFS($F$5:$F1410,$C$5:$C1410,$C1410,$B$5:$B1410,"Salida"))</f>
        <v/>
      </c>
      <c r="J1410" s="20"/>
      <c r="K1410" s="20"/>
      <c r="L1410" s="20"/>
      <c r="M1410" s="14" t="str">
        <f>IF(AND($C1410&lt;&gt;"",$C1410=Kardex!$C$4),COUNTIF($C$5:$C1410,Kardex!$C$4),"")</f>
        <v/>
      </c>
    </row>
    <row r="1411" spans="1:13" x14ac:dyDescent="0.25">
      <c r="A1411" s="24"/>
      <c r="B1411" s="20"/>
      <c r="C1411" s="20"/>
      <c r="D1411" s="14" t="str">
        <f>IF($C1411="","",IFERROR(INDEX(Productos!$B$5:$B$504,MATCH($C1411,Productos!$A$5:$A$504,0)),"Clave no existe"))</f>
        <v/>
      </c>
      <c r="E1411" s="14" t="str">
        <f>IF($C1411="","",IFERROR(INDEX(Productos!$D$5:$D$504,MATCH($C1411,Productos!$A$5:$A$504,0)),""))</f>
        <v/>
      </c>
      <c r="F1411" s="20"/>
      <c r="G1411" s="22" t="str">
        <f>IF($C1411="","",IFERROR(INDEX(Productos!$F$5:$F$504,MATCH($C1411,Productos!$A$5:$A$504,0)),0))</f>
        <v/>
      </c>
      <c r="H1411" s="22" t="str">
        <f t="shared" si="21"/>
        <v/>
      </c>
      <c r="I1411" s="14" t="str">
        <f>IF(OR($C1411="",$F1411=""),"",IFERROR(INDEX(Productos!$I$5:$I$504,MATCH($C1411,Productos!$A$5:$A$504,0)),0)+SUMIFS($F$5:$F1411,$C$5:$C1411,$C1411,$B$5:$B1411,"Entrada")-SUMIFS($F$5:$F1411,$C$5:$C1411,$C1411,$B$5:$B1411,"Salida"))</f>
        <v/>
      </c>
      <c r="J1411" s="20"/>
      <c r="K1411" s="20"/>
      <c r="L1411" s="20"/>
      <c r="M1411" s="14" t="str">
        <f>IF(AND($C1411&lt;&gt;"",$C1411=Kardex!$C$4),COUNTIF($C$5:$C1411,Kardex!$C$4),"")</f>
        <v/>
      </c>
    </row>
    <row r="1412" spans="1:13" x14ac:dyDescent="0.25">
      <c r="A1412" s="24"/>
      <c r="B1412" s="20"/>
      <c r="C1412" s="20"/>
      <c r="D1412" s="14" t="str">
        <f>IF($C1412="","",IFERROR(INDEX(Productos!$B$5:$B$504,MATCH($C1412,Productos!$A$5:$A$504,0)),"Clave no existe"))</f>
        <v/>
      </c>
      <c r="E1412" s="14" t="str">
        <f>IF($C1412="","",IFERROR(INDEX(Productos!$D$5:$D$504,MATCH($C1412,Productos!$A$5:$A$504,0)),""))</f>
        <v/>
      </c>
      <c r="F1412" s="20"/>
      <c r="G1412" s="22" t="str">
        <f>IF($C1412="","",IFERROR(INDEX(Productos!$F$5:$F$504,MATCH($C1412,Productos!$A$5:$A$504,0)),0))</f>
        <v/>
      </c>
      <c r="H1412" s="22" t="str">
        <f t="shared" si="21"/>
        <v/>
      </c>
      <c r="I1412" s="14" t="str">
        <f>IF(OR($C1412="",$F1412=""),"",IFERROR(INDEX(Productos!$I$5:$I$504,MATCH($C1412,Productos!$A$5:$A$504,0)),0)+SUMIFS($F$5:$F1412,$C$5:$C1412,$C1412,$B$5:$B1412,"Entrada")-SUMIFS($F$5:$F1412,$C$5:$C1412,$C1412,$B$5:$B1412,"Salida"))</f>
        <v/>
      </c>
      <c r="J1412" s="20"/>
      <c r="K1412" s="20"/>
      <c r="L1412" s="20"/>
      <c r="M1412" s="14" t="str">
        <f>IF(AND($C1412&lt;&gt;"",$C1412=Kardex!$C$4),COUNTIF($C$5:$C1412,Kardex!$C$4),"")</f>
        <v/>
      </c>
    </row>
    <row r="1413" spans="1:13" x14ac:dyDescent="0.25">
      <c r="A1413" s="24"/>
      <c r="B1413" s="20"/>
      <c r="C1413" s="20"/>
      <c r="D1413" s="14" t="str">
        <f>IF($C1413="","",IFERROR(INDEX(Productos!$B$5:$B$504,MATCH($C1413,Productos!$A$5:$A$504,0)),"Clave no existe"))</f>
        <v/>
      </c>
      <c r="E1413" s="14" t="str">
        <f>IF($C1413="","",IFERROR(INDEX(Productos!$D$5:$D$504,MATCH($C1413,Productos!$A$5:$A$504,0)),""))</f>
        <v/>
      </c>
      <c r="F1413" s="20"/>
      <c r="G1413" s="22" t="str">
        <f>IF($C1413="","",IFERROR(INDEX(Productos!$F$5:$F$504,MATCH($C1413,Productos!$A$5:$A$504,0)),0))</f>
        <v/>
      </c>
      <c r="H1413" s="22" t="str">
        <f t="shared" ref="H1413:H1476" si="22">IF(OR($C1413="",$F1413=""),"",F1413*G1413)</f>
        <v/>
      </c>
      <c r="I1413" s="14" t="str">
        <f>IF(OR($C1413="",$F1413=""),"",IFERROR(INDEX(Productos!$I$5:$I$504,MATCH($C1413,Productos!$A$5:$A$504,0)),0)+SUMIFS($F$5:$F1413,$C$5:$C1413,$C1413,$B$5:$B1413,"Entrada")-SUMIFS($F$5:$F1413,$C$5:$C1413,$C1413,$B$5:$B1413,"Salida"))</f>
        <v/>
      </c>
      <c r="J1413" s="20"/>
      <c r="K1413" s="20"/>
      <c r="L1413" s="20"/>
      <c r="M1413" s="14" t="str">
        <f>IF(AND($C1413&lt;&gt;"",$C1413=Kardex!$C$4),COUNTIF($C$5:$C1413,Kardex!$C$4),"")</f>
        <v/>
      </c>
    </row>
    <row r="1414" spans="1:13" x14ac:dyDescent="0.25">
      <c r="A1414" s="24"/>
      <c r="B1414" s="20"/>
      <c r="C1414" s="20"/>
      <c r="D1414" s="14" t="str">
        <f>IF($C1414="","",IFERROR(INDEX(Productos!$B$5:$B$504,MATCH($C1414,Productos!$A$5:$A$504,0)),"Clave no existe"))</f>
        <v/>
      </c>
      <c r="E1414" s="14" t="str">
        <f>IF($C1414="","",IFERROR(INDEX(Productos!$D$5:$D$504,MATCH($C1414,Productos!$A$5:$A$504,0)),""))</f>
        <v/>
      </c>
      <c r="F1414" s="20"/>
      <c r="G1414" s="22" t="str">
        <f>IF($C1414="","",IFERROR(INDEX(Productos!$F$5:$F$504,MATCH($C1414,Productos!$A$5:$A$504,0)),0))</f>
        <v/>
      </c>
      <c r="H1414" s="22" t="str">
        <f t="shared" si="22"/>
        <v/>
      </c>
      <c r="I1414" s="14" t="str">
        <f>IF(OR($C1414="",$F1414=""),"",IFERROR(INDEX(Productos!$I$5:$I$504,MATCH($C1414,Productos!$A$5:$A$504,0)),0)+SUMIFS($F$5:$F1414,$C$5:$C1414,$C1414,$B$5:$B1414,"Entrada")-SUMIFS($F$5:$F1414,$C$5:$C1414,$C1414,$B$5:$B1414,"Salida"))</f>
        <v/>
      </c>
      <c r="J1414" s="20"/>
      <c r="K1414" s="20"/>
      <c r="L1414" s="20"/>
      <c r="M1414" s="14" t="str">
        <f>IF(AND($C1414&lt;&gt;"",$C1414=Kardex!$C$4),COUNTIF($C$5:$C1414,Kardex!$C$4),"")</f>
        <v/>
      </c>
    </row>
    <row r="1415" spans="1:13" x14ac:dyDescent="0.25">
      <c r="A1415" s="24"/>
      <c r="B1415" s="20"/>
      <c r="C1415" s="20"/>
      <c r="D1415" s="14" t="str">
        <f>IF($C1415="","",IFERROR(INDEX(Productos!$B$5:$B$504,MATCH($C1415,Productos!$A$5:$A$504,0)),"Clave no existe"))</f>
        <v/>
      </c>
      <c r="E1415" s="14" t="str">
        <f>IF($C1415="","",IFERROR(INDEX(Productos!$D$5:$D$504,MATCH($C1415,Productos!$A$5:$A$504,0)),""))</f>
        <v/>
      </c>
      <c r="F1415" s="20"/>
      <c r="G1415" s="22" t="str">
        <f>IF($C1415="","",IFERROR(INDEX(Productos!$F$5:$F$504,MATCH($C1415,Productos!$A$5:$A$504,0)),0))</f>
        <v/>
      </c>
      <c r="H1415" s="22" t="str">
        <f t="shared" si="22"/>
        <v/>
      </c>
      <c r="I1415" s="14" t="str">
        <f>IF(OR($C1415="",$F1415=""),"",IFERROR(INDEX(Productos!$I$5:$I$504,MATCH($C1415,Productos!$A$5:$A$504,0)),0)+SUMIFS($F$5:$F1415,$C$5:$C1415,$C1415,$B$5:$B1415,"Entrada")-SUMIFS($F$5:$F1415,$C$5:$C1415,$C1415,$B$5:$B1415,"Salida"))</f>
        <v/>
      </c>
      <c r="J1415" s="20"/>
      <c r="K1415" s="20"/>
      <c r="L1415" s="20"/>
      <c r="M1415" s="14" t="str">
        <f>IF(AND($C1415&lt;&gt;"",$C1415=Kardex!$C$4),COUNTIF($C$5:$C1415,Kardex!$C$4),"")</f>
        <v/>
      </c>
    </row>
    <row r="1416" spans="1:13" x14ac:dyDescent="0.25">
      <c r="A1416" s="24"/>
      <c r="B1416" s="20"/>
      <c r="C1416" s="20"/>
      <c r="D1416" s="14" t="str">
        <f>IF($C1416="","",IFERROR(INDEX(Productos!$B$5:$B$504,MATCH($C1416,Productos!$A$5:$A$504,0)),"Clave no existe"))</f>
        <v/>
      </c>
      <c r="E1416" s="14" t="str">
        <f>IF($C1416="","",IFERROR(INDEX(Productos!$D$5:$D$504,MATCH($C1416,Productos!$A$5:$A$504,0)),""))</f>
        <v/>
      </c>
      <c r="F1416" s="20"/>
      <c r="G1416" s="22" t="str">
        <f>IF($C1416="","",IFERROR(INDEX(Productos!$F$5:$F$504,MATCH($C1416,Productos!$A$5:$A$504,0)),0))</f>
        <v/>
      </c>
      <c r="H1416" s="22" t="str">
        <f t="shared" si="22"/>
        <v/>
      </c>
      <c r="I1416" s="14" t="str">
        <f>IF(OR($C1416="",$F1416=""),"",IFERROR(INDEX(Productos!$I$5:$I$504,MATCH($C1416,Productos!$A$5:$A$504,0)),0)+SUMIFS($F$5:$F1416,$C$5:$C1416,$C1416,$B$5:$B1416,"Entrada")-SUMIFS($F$5:$F1416,$C$5:$C1416,$C1416,$B$5:$B1416,"Salida"))</f>
        <v/>
      </c>
      <c r="J1416" s="20"/>
      <c r="K1416" s="20"/>
      <c r="L1416" s="20"/>
      <c r="M1416" s="14" t="str">
        <f>IF(AND($C1416&lt;&gt;"",$C1416=Kardex!$C$4),COUNTIF($C$5:$C1416,Kardex!$C$4),"")</f>
        <v/>
      </c>
    </row>
    <row r="1417" spans="1:13" x14ac:dyDescent="0.25">
      <c r="A1417" s="24"/>
      <c r="B1417" s="20"/>
      <c r="C1417" s="20"/>
      <c r="D1417" s="14" t="str">
        <f>IF($C1417="","",IFERROR(INDEX(Productos!$B$5:$B$504,MATCH($C1417,Productos!$A$5:$A$504,0)),"Clave no existe"))</f>
        <v/>
      </c>
      <c r="E1417" s="14" t="str">
        <f>IF($C1417="","",IFERROR(INDEX(Productos!$D$5:$D$504,MATCH($C1417,Productos!$A$5:$A$504,0)),""))</f>
        <v/>
      </c>
      <c r="F1417" s="20"/>
      <c r="G1417" s="22" t="str">
        <f>IF($C1417="","",IFERROR(INDEX(Productos!$F$5:$F$504,MATCH($C1417,Productos!$A$5:$A$504,0)),0))</f>
        <v/>
      </c>
      <c r="H1417" s="22" t="str">
        <f t="shared" si="22"/>
        <v/>
      </c>
      <c r="I1417" s="14" t="str">
        <f>IF(OR($C1417="",$F1417=""),"",IFERROR(INDEX(Productos!$I$5:$I$504,MATCH($C1417,Productos!$A$5:$A$504,0)),0)+SUMIFS($F$5:$F1417,$C$5:$C1417,$C1417,$B$5:$B1417,"Entrada")-SUMIFS($F$5:$F1417,$C$5:$C1417,$C1417,$B$5:$B1417,"Salida"))</f>
        <v/>
      </c>
      <c r="J1417" s="20"/>
      <c r="K1417" s="20"/>
      <c r="L1417" s="20"/>
      <c r="M1417" s="14" t="str">
        <f>IF(AND($C1417&lt;&gt;"",$C1417=Kardex!$C$4),COUNTIF($C$5:$C1417,Kardex!$C$4),"")</f>
        <v/>
      </c>
    </row>
    <row r="1418" spans="1:13" x14ac:dyDescent="0.25">
      <c r="A1418" s="24"/>
      <c r="B1418" s="20"/>
      <c r="C1418" s="20"/>
      <c r="D1418" s="14" t="str">
        <f>IF($C1418="","",IFERROR(INDEX(Productos!$B$5:$B$504,MATCH($C1418,Productos!$A$5:$A$504,0)),"Clave no existe"))</f>
        <v/>
      </c>
      <c r="E1418" s="14" t="str">
        <f>IF($C1418="","",IFERROR(INDEX(Productos!$D$5:$D$504,MATCH($C1418,Productos!$A$5:$A$504,0)),""))</f>
        <v/>
      </c>
      <c r="F1418" s="20"/>
      <c r="G1418" s="22" t="str">
        <f>IF($C1418="","",IFERROR(INDEX(Productos!$F$5:$F$504,MATCH($C1418,Productos!$A$5:$A$504,0)),0))</f>
        <v/>
      </c>
      <c r="H1418" s="22" t="str">
        <f t="shared" si="22"/>
        <v/>
      </c>
      <c r="I1418" s="14" t="str">
        <f>IF(OR($C1418="",$F1418=""),"",IFERROR(INDEX(Productos!$I$5:$I$504,MATCH($C1418,Productos!$A$5:$A$504,0)),0)+SUMIFS($F$5:$F1418,$C$5:$C1418,$C1418,$B$5:$B1418,"Entrada")-SUMIFS($F$5:$F1418,$C$5:$C1418,$C1418,$B$5:$B1418,"Salida"))</f>
        <v/>
      </c>
      <c r="J1418" s="20"/>
      <c r="K1418" s="20"/>
      <c r="L1418" s="20"/>
      <c r="M1418" s="14" t="str">
        <f>IF(AND($C1418&lt;&gt;"",$C1418=Kardex!$C$4),COUNTIF($C$5:$C1418,Kardex!$C$4),"")</f>
        <v/>
      </c>
    </row>
    <row r="1419" spans="1:13" x14ac:dyDescent="0.25">
      <c r="A1419" s="24"/>
      <c r="B1419" s="20"/>
      <c r="C1419" s="20"/>
      <c r="D1419" s="14" t="str">
        <f>IF($C1419="","",IFERROR(INDEX(Productos!$B$5:$B$504,MATCH($C1419,Productos!$A$5:$A$504,0)),"Clave no existe"))</f>
        <v/>
      </c>
      <c r="E1419" s="14" t="str">
        <f>IF($C1419="","",IFERROR(INDEX(Productos!$D$5:$D$504,MATCH($C1419,Productos!$A$5:$A$504,0)),""))</f>
        <v/>
      </c>
      <c r="F1419" s="20"/>
      <c r="G1419" s="22" t="str">
        <f>IF($C1419="","",IFERROR(INDEX(Productos!$F$5:$F$504,MATCH($C1419,Productos!$A$5:$A$504,0)),0))</f>
        <v/>
      </c>
      <c r="H1419" s="22" t="str">
        <f t="shared" si="22"/>
        <v/>
      </c>
      <c r="I1419" s="14" t="str">
        <f>IF(OR($C1419="",$F1419=""),"",IFERROR(INDEX(Productos!$I$5:$I$504,MATCH($C1419,Productos!$A$5:$A$504,0)),0)+SUMIFS($F$5:$F1419,$C$5:$C1419,$C1419,$B$5:$B1419,"Entrada")-SUMIFS($F$5:$F1419,$C$5:$C1419,$C1419,$B$5:$B1419,"Salida"))</f>
        <v/>
      </c>
      <c r="J1419" s="20"/>
      <c r="K1419" s="20"/>
      <c r="L1419" s="20"/>
      <c r="M1419" s="14" t="str">
        <f>IF(AND($C1419&lt;&gt;"",$C1419=Kardex!$C$4),COUNTIF($C$5:$C1419,Kardex!$C$4),"")</f>
        <v/>
      </c>
    </row>
    <row r="1420" spans="1:13" x14ac:dyDescent="0.25">
      <c r="A1420" s="24"/>
      <c r="B1420" s="20"/>
      <c r="C1420" s="20"/>
      <c r="D1420" s="14" t="str">
        <f>IF($C1420="","",IFERROR(INDEX(Productos!$B$5:$B$504,MATCH($C1420,Productos!$A$5:$A$504,0)),"Clave no existe"))</f>
        <v/>
      </c>
      <c r="E1420" s="14" t="str">
        <f>IF($C1420="","",IFERROR(INDEX(Productos!$D$5:$D$504,MATCH($C1420,Productos!$A$5:$A$504,0)),""))</f>
        <v/>
      </c>
      <c r="F1420" s="20"/>
      <c r="G1420" s="22" t="str">
        <f>IF($C1420="","",IFERROR(INDEX(Productos!$F$5:$F$504,MATCH($C1420,Productos!$A$5:$A$504,0)),0))</f>
        <v/>
      </c>
      <c r="H1420" s="22" t="str">
        <f t="shared" si="22"/>
        <v/>
      </c>
      <c r="I1420" s="14" t="str">
        <f>IF(OR($C1420="",$F1420=""),"",IFERROR(INDEX(Productos!$I$5:$I$504,MATCH($C1420,Productos!$A$5:$A$504,0)),0)+SUMIFS($F$5:$F1420,$C$5:$C1420,$C1420,$B$5:$B1420,"Entrada")-SUMIFS($F$5:$F1420,$C$5:$C1420,$C1420,$B$5:$B1420,"Salida"))</f>
        <v/>
      </c>
      <c r="J1420" s="20"/>
      <c r="K1420" s="20"/>
      <c r="L1420" s="20"/>
      <c r="M1420" s="14" t="str">
        <f>IF(AND($C1420&lt;&gt;"",$C1420=Kardex!$C$4),COUNTIF($C$5:$C1420,Kardex!$C$4),"")</f>
        <v/>
      </c>
    </row>
    <row r="1421" spans="1:13" x14ac:dyDescent="0.25">
      <c r="A1421" s="24"/>
      <c r="B1421" s="20"/>
      <c r="C1421" s="20"/>
      <c r="D1421" s="14" t="str">
        <f>IF($C1421="","",IFERROR(INDEX(Productos!$B$5:$B$504,MATCH($C1421,Productos!$A$5:$A$504,0)),"Clave no existe"))</f>
        <v/>
      </c>
      <c r="E1421" s="14" t="str">
        <f>IF($C1421="","",IFERROR(INDEX(Productos!$D$5:$D$504,MATCH($C1421,Productos!$A$5:$A$504,0)),""))</f>
        <v/>
      </c>
      <c r="F1421" s="20"/>
      <c r="G1421" s="22" t="str">
        <f>IF($C1421="","",IFERROR(INDEX(Productos!$F$5:$F$504,MATCH($C1421,Productos!$A$5:$A$504,0)),0))</f>
        <v/>
      </c>
      <c r="H1421" s="22" t="str">
        <f t="shared" si="22"/>
        <v/>
      </c>
      <c r="I1421" s="14" t="str">
        <f>IF(OR($C1421="",$F1421=""),"",IFERROR(INDEX(Productos!$I$5:$I$504,MATCH($C1421,Productos!$A$5:$A$504,0)),0)+SUMIFS($F$5:$F1421,$C$5:$C1421,$C1421,$B$5:$B1421,"Entrada")-SUMIFS($F$5:$F1421,$C$5:$C1421,$C1421,$B$5:$B1421,"Salida"))</f>
        <v/>
      </c>
      <c r="J1421" s="20"/>
      <c r="K1421" s="20"/>
      <c r="L1421" s="20"/>
      <c r="M1421" s="14" t="str">
        <f>IF(AND($C1421&lt;&gt;"",$C1421=Kardex!$C$4),COUNTIF($C$5:$C1421,Kardex!$C$4),"")</f>
        <v/>
      </c>
    </row>
    <row r="1422" spans="1:13" x14ac:dyDescent="0.25">
      <c r="A1422" s="24"/>
      <c r="B1422" s="20"/>
      <c r="C1422" s="20"/>
      <c r="D1422" s="14" t="str">
        <f>IF($C1422="","",IFERROR(INDEX(Productos!$B$5:$B$504,MATCH($C1422,Productos!$A$5:$A$504,0)),"Clave no existe"))</f>
        <v/>
      </c>
      <c r="E1422" s="14" t="str">
        <f>IF($C1422="","",IFERROR(INDEX(Productos!$D$5:$D$504,MATCH($C1422,Productos!$A$5:$A$504,0)),""))</f>
        <v/>
      </c>
      <c r="F1422" s="20"/>
      <c r="G1422" s="22" t="str">
        <f>IF($C1422="","",IFERROR(INDEX(Productos!$F$5:$F$504,MATCH($C1422,Productos!$A$5:$A$504,0)),0))</f>
        <v/>
      </c>
      <c r="H1422" s="22" t="str">
        <f t="shared" si="22"/>
        <v/>
      </c>
      <c r="I1422" s="14" t="str">
        <f>IF(OR($C1422="",$F1422=""),"",IFERROR(INDEX(Productos!$I$5:$I$504,MATCH($C1422,Productos!$A$5:$A$504,0)),0)+SUMIFS($F$5:$F1422,$C$5:$C1422,$C1422,$B$5:$B1422,"Entrada")-SUMIFS($F$5:$F1422,$C$5:$C1422,$C1422,$B$5:$B1422,"Salida"))</f>
        <v/>
      </c>
      <c r="J1422" s="20"/>
      <c r="K1422" s="20"/>
      <c r="L1422" s="20"/>
      <c r="M1422" s="14" t="str">
        <f>IF(AND($C1422&lt;&gt;"",$C1422=Kardex!$C$4),COUNTIF($C$5:$C1422,Kardex!$C$4),"")</f>
        <v/>
      </c>
    </row>
    <row r="1423" spans="1:13" x14ac:dyDescent="0.25">
      <c r="A1423" s="24"/>
      <c r="B1423" s="20"/>
      <c r="C1423" s="20"/>
      <c r="D1423" s="14" t="str">
        <f>IF($C1423="","",IFERROR(INDEX(Productos!$B$5:$B$504,MATCH($C1423,Productos!$A$5:$A$504,0)),"Clave no existe"))</f>
        <v/>
      </c>
      <c r="E1423" s="14" t="str">
        <f>IF($C1423="","",IFERROR(INDEX(Productos!$D$5:$D$504,MATCH($C1423,Productos!$A$5:$A$504,0)),""))</f>
        <v/>
      </c>
      <c r="F1423" s="20"/>
      <c r="G1423" s="22" t="str">
        <f>IF($C1423="","",IFERROR(INDEX(Productos!$F$5:$F$504,MATCH($C1423,Productos!$A$5:$A$504,0)),0))</f>
        <v/>
      </c>
      <c r="H1423" s="22" t="str">
        <f t="shared" si="22"/>
        <v/>
      </c>
      <c r="I1423" s="14" t="str">
        <f>IF(OR($C1423="",$F1423=""),"",IFERROR(INDEX(Productos!$I$5:$I$504,MATCH($C1423,Productos!$A$5:$A$504,0)),0)+SUMIFS($F$5:$F1423,$C$5:$C1423,$C1423,$B$5:$B1423,"Entrada")-SUMIFS($F$5:$F1423,$C$5:$C1423,$C1423,$B$5:$B1423,"Salida"))</f>
        <v/>
      </c>
      <c r="J1423" s="20"/>
      <c r="K1423" s="20"/>
      <c r="L1423" s="20"/>
      <c r="M1423" s="14" t="str">
        <f>IF(AND($C1423&lt;&gt;"",$C1423=Kardex!$C$4),COUNTIF($C$5:$C1423,Kardex!$C$4),"")</f>
        <v/>
      </c>
    </row>
    <row r="1424" spans="1:13" x14ac:dyDescent="0.25">
      <c r="A1424" s="24"/>
      <c r="B1424" s="20"/>
      <c r="C1424" s="20"/>
      <c r="D1424" s="14" t="str">
        <f>IF($C1424="","",IFERROR(INDEX(Productos!$B$5:$B$504,MATCH($C1424,Productos!$A$5:$A$504,0)),"Clave no existe"))</f>
        <v/>
      </c>
      <c r="E1424" s="14" t="str">
        <f>IF($C1424="","",IFERROR(INDEX(Productos!$D$5:$D$504,MATCH($C1424,Productos!$A$5:$A$504,0)),""))</f>
        <v/>
      </c>
      <c r="F1424" s="20"/>
      <c r="G1424" s="22" t="str">
        <f>IF($C1424="","",IFERROR(INDEX(Productos!$F$5:$F$504,MATCH($C1424,Productos!$A$5:$A$504,0)),0))</f>
        <v/>
      </c>
      <c r="H1424" s="22" t="str">
        <f t="shared" si="22"/>
        <v/>
      </c>
      <c r="I1424" s="14" t="str">
        <f>IF(OR($C1424="",$F1424=""),"",IFERROR(INDEX(Productos!$I$5:$I$504,MATCH($C1424,Productos!$A$5:$A$504,0)),0)+SUMIFS($F$5:$F1424,$C$5:$C1424,$C1424,$B$5:$B1424,"Entrada")-SUMIFS($F$5:$F1424,$C$5:$C1424,$C1424,$B$5:$B1424,"Salida"))</f>
        <v/>
      </c>
      <c r="J1424" s="20"/>
      <c r="K1424" s="20"/>
      <c r="L1424" s="20"/>
      <c r="M1424" s="14" t="str">
        <f>IF(AND($C1424&lt;&gt;"",$C1424=Kardex!$C$4),COUNTIF($C$5:$C1424,Kardex!$C$4),"")</f>
        <v/>
      </c>
    </row>
    <row r="1425" spans="1:13" x14ac:dyDescent="0.25">
      <c r="A1425" s="24"/>
      <c r="B1425" s="20"/>
      <c r="C1425" s="20"/>
      <c r="D1425" s="14" t="str">
        <f>IF($C1425="","",IFERROR(INDEX(Productos!$B$5:$B$504,MATCH($C1425,Productos!$A$5:$A$504,0)),"Clave no existe"))</f>
        <v/>
      </c>
      <c r="E1425" s="14" t="str">
        <f>IF($C1425="","",IFERROR(INDEX(Productos!$D$5:$D$504,MATCH($C1425,Productos!$A$5:$A$504,0)),""))</f>
        <v/>
      </c>
      <c r="F1425" s="20"/>
      <c r="G1425" s="22" t="str">
        <f>IF($C1425="","",IFERROR(INDEX(Productos!$F$5:$F$504,MATCH($C1425,Productos!$A$5:$A$504,0)),0))</f>
        <v/>
      </c>
      <c r="H1425" s="22" t="str">
        <f t="shared" si="22"/>
        <v/>
      </c>
      <c r="I1425" s="14" t="str">
        <f>IF(OR($C1425="",$F1425=""),"",IFERROR(INDEX(Productos!$I$5:$I$504,MATCH($C1425,Productos!$A$5:$A$504,0)),0)+SUMIFS($F$5:$F1425,$C$5:$C1425,$C1425,$B$5:$B1425,"Entrada")-SUMIFS($F$5:$F1425,$C$5:$C1425,$C1425,$B$5:$B1425,"Salida"))</f>
        <v/>
      </c>
      <c r="J1425" s="20"/>
      <c r="K1425" s="20"/>
      <c r="L1425" s="20"/>
      <c r="M1425" s="14" t="str">
        <f>IF(AND($C1425&lt;&gt;"",$C1425=Kardex!$C$4),COUNTIF($C$5:$C1425,Kardex!$C$4),"")</f>
        <v/>
      </c>
    </row>
    <row r="1426" spans="1:13" x14ac:dyDescent="0.25">
      <c r="A1426" s="24"/>
      <c r="B1426" s="20"/>
      <c r="C1426" s="20"/>
      <c r="D1426" s="14" t="str">
        <f>IF($C1426="","",IFERROR(INDEX(Productos!$B$5:$B$504,MATCH($C1426,Productos!$A$5:$A$504,0)),"Clave no existe"))</f>
        <v/>
      </c>
      <c r="E1426" s="14" t="str">
        <f>IF($C1426="","",IFERROR(INDEX(Productos!$D$5:$D$504,MATCH($C1426,Productos!$A$5:$A$504,0)),""))</f>
        <v/>
      </c>
      <c r="F1426" s="20"/>
      <c r="G1426" s="22" t="str">
        <f>IF($C1426="","",IFERROR(INDEX(Productos!$F$5:$F$504,MATCH($C1426,Productos!$A$5:$A$504,0)),0))</f>
        <v/>
      </c>
      <c r="H1426" s="22" t="str">
        <f t="shared" si="22"/>
        <v/>
      </c>
      <c r="I1426" s="14" t="str">
        <f>IF(OR($C1426="",$F1426=""),"",IFERROR(INDEX(Productos!$I$5:$I$504,MATCH($C1426,Productos!$A$5:$A$504,0)),0)+SUMIFS($F$5:$F1426,$C$5:$C1426,$C1426,$B$5:$B1426,"Entrada")-SUMIFS($F$5:$F1426,$C$5:$C1426,$C1426,$B$5:$B1426,"Salida"))</f>
        <v/>
      </c>
      <c r="J1426" s="20"/>
      <c r="K1426" s="20"/>
      <c r="L1426" s="20"/>
      <c r="M1426" s="14" t="str">
        <f>IF(AND($C1426&lt;&gt;"",$C1426=Kardex!$C$4),COUNTIF($C$5:$C1426,Kardex!$C$4),"")</f>
        <v/>
      </c>
    </row>
    <row r="1427" spans="1:13" x14ac:dyDescent="0.25">
      <c r="A1427" s="24"/>
      <c r="B1427" s="20"/>
      <c r="C1427" s="20"/>
      <c r="D1427" s="14" t="str">
        <f>IF($C1427="","",IFERROR(INDEX(Productos!$B$5:$B$504,MATCH($C1427,Productos!$A$5:$A$504,0)),"Clave no existe"))</f>
        <v/>
      </c>
      <c r="E1427" s="14" t="str">
        <f>IF($C1427="","",IFERROR(INDEX(Productos!$D$5:$D$504,MATCH($C1427,Productos!$A$5:$A$504,0)),""))</f>
        <v/>
      </c>
      <c r="F1427" s="20"/>
      <c r="G1427" s="22" t="str">
        <f>IF($C1427="","",IFERROR(INDEX(Productos!$F$5:$F$504,MATCH($C1427,Productos!$A$5:$A$504,0)),0))</f>
        <v/>
      </c>
      <c r="H1427" s="22" t="str">
        <f t="shared" si="22"/>
        <v/>
      </c>
      <c r="I1427" s="14" t="str">
        <f>IF(OR($C1427="",$F1427=""),"",IFERROR(INDEX(Productos!$I$5:$I$504,MATCH($C1427,Productos!$A$5:$A$504,0)),0)+SUMIFS($F$5:$F1427,$C$5:$C1427,$C1427,$B$5:$B1427,"Entrada")-SUMIFS($F$5:$F1427,$C$5:$C1427,$C1427,$B$5:$B1427,"Salida"))</f>
        <v/>
      </c>
      <c r="J1427" s="20"/>
      <c r="K1427" s="20"/>
      <c r="L1427" s="20"/>
      <c r="M1427" s="14" t="str">
        <f>IF(AND($C1427&lt;&gt;"",$C1427=Kardex!$C$4),COUNTIF($C$5:$C1427,Kardex!$C$4),"")</f>
        <v/>
      </c>
    </row>
    <row r="1428" spans="1:13" x14ac:dyDescent="0.25">
      <c r="A1428" s="24"/>
      <c r="B1428" s="20"/>
      <c r="C1428" s="20"/>
      <c r="D1428" s="14" t="str">
        <f>IF($C1428="","",IFERROR(INDEX(Productos!$B$5:$B$504,MATCH($C1428,Productos!$A$5:$A$504,0)),"Clave no existe"))</f>
        <v/>
      </c>
      <c r="E1428" s="14" t="str">
        <f>IF($C1428="","",IFERROR(INDEX(Productos!$D$5:$D$504,MATCH($C1428,Productos!$A$5:$A$504,0)),""))</f>
        <v/>
      </c>
      <c r="F1428" s="20"/>
      <c r="G1428" s="22" t="str">
        <f>IF($C1428="","",IFERROR(INDEX(Productos!$F$5:$F$504,MATCH($C1428,Productos!$A$5:$A$504,0)),0))</f>
        <v/>
      </c>
      <c r="H1428" s="22" t="str">
        <f t="shared" si="22"/>
        <v/>
      </c>
      <c r="I1428" s="14" t="str">
        <f>IF(OR($C1428="",$F1428=""),"",IFERROR(INDEX(Productos!$I$5:$I$504,MATCH($C1428,Productos!$A$5:$A$504,0)),0)+SUMIFS($F$5:$F1428,$C$5:$C1428,$C1428,$B$5:$B1428,"Entrada")-SUMIFS($F$5:$F1428,$C$5:$C1428,$C1428,$B$5:$B1428,"Salida"))</f>
        <v/>
      </c>
      <c r="J1428" s="20"/>
      <c r="K1428" s="20"/>
      <c r="L1428" s="20"/>
      <c r="M1428" s="14" t="str">
        <f>IF(AND($C1428&lt;&gt;"",$C1428=Kardex!$C$4),COUNTIF($C$5:$C1428,Kardex!$C$4),"")</f>
        <v/>
      </c>
    </row>
    <row r="1429" spans="1:13" x14ac:dyDescent="0.25">
      <c r="A1429" s="24"/>
      <c r="B1429" s="20"/>
      <c r="C1429" s="20"/>
      <c r="D1429" s="14" t="str">
        <f>IF($C1429="","",IFERROR(INDEX(Productos!$B$5:$B$504,MATCH($C1429,Productos!$A$5:$A$504,0)),"Clave no existe"))</f>
        <v/>
      </c>
      <c r="E1429" s="14" t="str">
        <f>IF($C1429="","",IFERROR(INDEX(Productos!$D$5:$D$504,MATCH($C1429,Productos!$A$5:$A$504,0)),""))</f>
        <v/>
      </c>
      <c r="F1429" s="20"/>
      <c r="G1429" s="22" t="str">
        <f>IF($C1429="","",IFERROR(INDEX(Productos!$F$5:$F$504,MATCH($C1429,Productos!$A$5:$A$504,0)),0))</f>
        <v/>
      </c>
      <c r="H1429" s="22" t="str">
        <f t="shared" si="22"/>
        <v/>
      </c>
      <c r="I1429" s="14" t="str">
        <f>IF(OR($C1429="",$F1429=""),"",IFERROR(INDEX(Productos!$I$5:$I$504,MATCH($C1429,Productos!$A$5:$A$504,0)),0)+SUMIFS($F$5:$F1429,$C$5:$C1429,$C1429,$B$5:$B1429,"Entrada")-SUMIFS($F$5:$F1429,$C$5:$C1429,$C1429,$B$5:$B1429,"Salida"))</f>
        <v/>
      </c>
      <c r="J1429" s="20"/>
      <c r="K1429" s="20"/>
      <c r="L1429" s="20"/>
      <c r="M1429" s="14" t="str">
        <f>IF(AND($C1429&lt;&gt;"",$C1429=Kardex!$C$4),COUNTIF($C$5:$C1429,Kardex!$C$4),"")</f>
        <v/>
      </c>
    </row>
    <row r="1430" spans="1:13" x14ac:dyDescent="0.25">
      <c r="A1430" s="24"/>
      <c r="B1430" s="20"/>
      <c r="C1430" s="20"/>
      <c r="D1430" s="14" t="str">
        <f>IF($C1430="","",IFERROR(INDEX(Productos!$B$5:$B$504,MATCH($C1430,Productos!$A$5:$A$504,0)),"Clave no existe"))</f>
        <v/>
      </c>
      <c r="E1430" s="14" t="str">
        <f>IF($C1430="","",IFERROR(INDEX(Productos!$D$5:$D$504,MATCH($C1430,Productos!$A$5:$A$504,0)),""))</f>
        <v/>
      </c>
      <c r="F1430" s="20"/>
      <c r="G1430" s="22" t="str">
        <f>IF($C1430="","",IFERROR(INDEX(Productos!$F$5:$F$504,MATCH($C1430,Productos!$A$5:$A$504,0)),0))</f>
        <v/>
      </c>
      <c r="H1430" s="22" t="str">
        <f t="shared" si="22"/>
        <v/>
      </c>
      <c r="I1430" s="14" t="str">
        <f>IF(OR($C1430="",$F1430=""),"",IFERROR(INDEX(Productos!$I$5:$I$504,MATCH($C1430,Productos!$A$5:$A$504,0)),0)+SUMIFS($F$5:$F1430,$C$5:$C1430,$C1430,$B$5:$B1430,"Entrada")-SUMIFS($F$5:$F1430,$C$5:$C1430,$C1430,$B$5:$B1430,"Salida"))</f>
        <v/>
      </c>
      <c r="J1430" s="20"/>
      <c r="K1430" s="20"/>
      <c r="L1430" s="20"/>
      <c r="M1430" s="14" t="str">
        <f>IF(AND($C1430&lt;&gt;"",$C1430=Kardex!$C$4),COUNTIF($C$5:$C1430,Kardex!$C$4),"")</f>
        <v/>
      </c>
    </row>
    <row r="1431" spans="1:13" x14ac:dyDescent="0.25">
      <c r="A1431" s="24"/>
      <c r="B1431" s="20"/>
      <c r="C1431" s="20"/>
      <c r="D1431" s="14" t="str">
        <f>IF($C1431="","",IFERROR(INDEX(Productos!$B$5:$B$504,MATCH($C1431,Productos!$A$5:$A$504,0)),"Clave no existe"))</f>
        <v/>
      </c>
      <c r="E1431" s="14" t="str">
        <f>IF($C1431="","",IFERROR(INDEX(Productos!$D$5:$D$504,MATCH($C1431,Productos!$A$5:$A$504,0)),""))</f>
        <v/>
      </c>
      <c r="F1431" s="20"/>
      <c r="G1431" s="22" t="str">
        <f>IF($C1431="","",IFERROR(INDEX(Productos!$F$5:$F$504,MATCH($C1431,Productos!$A$5:$A$504,0)),0))</f>
        <v/>
      </c>
      <c r="H1431" s="22" t="str">
        <f t="shared" si="22"/>
        <v/>
      </c>
      <c r="I1431" s="14" t="str">
        <f>IF(OR($C1431="",$F1431=""),"",IFERROR(INDEX(Productos!$I$5:$I$504,MATCH($C1431,Productos!$A$5:$A$504,0)),0)+SUMIFS($F$5:$F1431,$C$5:$C1431,$C1431,$B$5:$B1431,"Entrada")-SUMIFS($F$5:$F1431,$C$5:$C1431,$C1431,$B$5:$B1431,"Salida"))</f>
        <v/>
      </c>
      <c r="J1431" s="20"/>
      <c r="K1431" s="20"/>
      <c r="L1431" s="20"/>
      <c r="M1431" s="14" t="str">
        <f>IF(AND($C1431&lt;&gt;"",$C1431=Kardex!$C$4),COUNTIF($C$5:$C1431,Kardex!$C$4),"")</f>
        <v/>
      </c>
    </row>
    <row r="1432" spans="1:13" x14ac:dyDescent="0.25">
      <c r="A1432" s="24"/>
      <c r="B1432" s="20"/>
      <c r="C1432" s="20"/>
      <c r="D1432" s="14" t="str">
        <f>IF($C1432="","",IFERROR(INDEX(Productos!$B$5:$B$504,MATCH($C1432,Productos!$A$5:$A$504,0)),"Clave no existe"))</f>
        <v/>
      </c>
      <c r="E1432" s="14" t="str">
        <f>IF($C1432="","",IFERROR(INDEX(Productos!$D$5:$D$504,MATCH($C1432,Productos!$A$5:$A$504,0)),""))</f>
        <v/>
      </c>
      <c r="F1432" s="20"/>
      <c r="G1432" s="22" t="str">
        <f>IF($C1432="","",IFERROR(INDEX(Productos!$F$5:$F$504,MATCH($C1432,Productos!$A$5:$A$504,0)),0))</f>
        <v/>
      </c>
      <c r="H1432" s="22" t="str">
        <f t="shared" si="22"/>
        <v/>
      </c>
      <c r="I1432" s="14" t="str">
        <f>IF(OR($C1432="",$F1432=""),"",IFERROR(INDEX(Productos!$I$5:$I$504,MATCH($C1432,Productos!$A$5:$A$504,0)),0)+SUMIFS($F$5:$F1432,$C$5:$C1432,$C1432,$B$5:$B1432,"Entrada")-SUMIFS($F$5:$F1432,$C$5:$C1432,$C1432,$B$5:$B1432,"Salida"))</f>
        <v/>
      </c>
      <c r="J1432" s="20"/>
      <c r="K1432" s="20"/>
      <c r="L1432" s="20"/>
      <c r="M1432" s="14" t="str">
        <f>IF(AND($C1432&lt;&gt;"",$C1432=Kardex!$C$4),COUNTIF($C$5:$C1432,Kardex!$C$4),"")</f>
        <v/>
      </c>
    </row>
    <row r="1433" spans="1:13" x14ac:dyDescent="0.25">
      <c r="A1433" s="24"/>
      <c r="B1433" s="20"/>
      <c r="C1433" s="20"/>
      <c r="D1433" s="14" t="str">
        <f>IF($C1433="","",IFERROR(INDEX(Productos!$B$5:$B$504,MATCH($C1433,Productos!$A$5:$A$504,0)),"Clave no existe"))</f>
        <v/>
      </c>
      <c r="E1433" s="14" t="str">
        <f>IF($C1433="","",IFERROR(INDEX(Productos!$D$5:$D$504,MATCH($C1433,Productos!$A$5:$A$504,0)),""))</f>
        <v/>
      </c>
      <c r="F1433" s="20"/>
      <c r="G1433" s="22" t="str">
        <f>IF($C1433="","",IFERROR(INDEX(Productos!$F$5:$F$504,MATCH($C1433,Productos!$A$5:$A$504,0)),0))</f>
        <v/>
      </c>
      <c r="H1433" s="22" t="str">
        <f t="shared" si="22"/>
        <v/>
      </c>
      <c r="I1433" s="14" t="str">
        <f>IF(OR($C1433="",$F1433=""),"",IFERROR(INDEX(Productos!$I$5:$I$504,MATCH($C1433,Productos!$A$5:$A$504,0)),0)+SUMIFS($F$5:$F1433,$C$5:$C1433,$C1433,$B$5:$B1433,"Entrada")-SUMIFS($F$5:$F1433,$C$5:$C1433,$C1433,$B$5:$B1433,"Salida"))</f>
        <v/>
      </c>
      <c r="J1433" s="20"/>
      <c r="K1433" s="20"/>
      <c r="L1433" s="20"/>
      <c r="M1433" s="14" t="str">
        <f>IF(AND($C1433&lt;&gt;"",$C1433=Kardex!$C$4),COUNTIF($C$5:$C1433,Kardex!$C$4),"")</f>
        <v/>
      </c>
    </row>
    <row r="1434" spans="1:13" x14ac:dyDescent="0.25">
      <c r="A1434" s="24"/>
      <c r="B1434" s="20"/>
      <c r="C1434" s="20"/>
      <c r="D1434" s="14" t="str">
        <f>IF($C1434="","",IFERROR(INDEX(Productos!$B$5:$B$504,MATCH($C1434,Productos!$A$5:$A$504,0)),"Clave no existe"))</f>
        <v/>
      </c>
      <c r="E1434" s="14" t="str">
        <f>IF($C1434="","",IFERROR(INDEX(Productos!$D$5:$D$504,MATCH($C1434,Productos!$A$5:$A$504,0)),""))</f>
        <v/>
      </c>
      <c r="F1434" s="20"/>
      <c r="G1434" s="22" t="str">
        <f>IF($C1434="","",IFERROR(INDEX(Productos!$F$5:$F$504,MATCH($C1434,Productos!$A$5:$A$504,0)),0))</f>
        <v/>
      </c>
      <c r="H1434" s="22" t="str">
        <f t="shared" si="22"/>
        <v/>
      </c>
      <c r="I1434" s="14" t="str">
        <f>IF(OR($C1434="",$F1434=""),"",IFERROR(INDEX(Productos!$I$5:$I$504,MATCH($C1434,Productos!$A$5:$A$504,0)),0)+SUMIFS($F$5:$F1434,$C$5:$C1434,$C1434,$B$5:$B1434,"Entrada")-SUMIFS($F$5:$F1434,$C$5:$C1434,$C1434,$B$5:$B1434,"Salida"))</f>
        <v/>
      </c>
      <c r="J1434" s="20"/>
      <c r="K1434" s="20"/>
      <c r="L1434" s="20"/>
      <c r="M1434" s="14" t="str">
        <f>IF(AND($C1434&lt;&gt;"",$C1434=Kardex!$C$4),COUNTIF($C$5:$C1434,Kardex!$C$4),"")</f>
        <v/>
      </c>
    </row>
    <row r="1435" spans="1:13" x14ac:dyDescent="0.25">
      <c r="A1435" s="24"/>
      <c r="B1435" s="20"/>
      <c r="C1435" s="20"/>
      <c r="D1435" s="14" t="str">
        <f>IF($C1435="","",IFERROR(INDEX(Productos!$B$5:$B$504,MATCH($C1435,Productos!$A$5:$A$504,0)),"Clave no existe"))</f>
        <v/>
      </c>
      <c r="E1435" s="14" t="str">
        <f>IF($C1435="","",IFERROR(INDEX(Productos!$D$5:$D$504,MATCH($C1435,Productos!$A$5:$A$504,0)),""))</f>
        <v/>
      </c>
      <c r="F1435" s="20"/>
      <c r="G1435" s="22" t="str">
        <f>IF($C1435="","",IFERROR(INDEX(Productos!$F$5:$F$504,MATCH($C1435,Productos!$A$5:$A$504,0)),0))</f>
        <v/>
      </c>
      <c r="H1435" s="22" t="str">
        <f t="shared" si="22"/>
        <v/>
      </c>
      <c r="I1435" s="14" t="str">
        <f>IF(OR($C1435="",$F1435=""),"",IFERROR(INDEX(Productos!$I$5:$I$504,MATCH($C1435,Productos!$A$5:$A$504,0)),0)+SUMIFS($F$5:$F1435,$C$5:$C1435,$C1435,$B$5:$B1435,"Entrada")-SUMIFS($F$5:$F1435,$C$5:$C1435,$C1435,$B$5:$B1435,"Salida"))</f>
        <v/>
      </c>
      <c r="J1435" s="20"/>
      <c r="K1435" s="20"/>
      <c r="L1435" s="20"/>
      <c r="M1435" s="14" t="str">
        <f>IF(AND($C1435&lt;&gt;"",$C1435=Kardex!$C$4),COUNTIF($C$5:$C1435,Kardex!$C$4),"")</f>
        <v/>
      </c>
    </row>
    <row r="1436" spans="1:13" x14ac:dyDescent="0.25">
      <c r="A1436" s="24"/>
      <c r="B1436" s="20"/>
      <c r="C1436" s="20"/>
      <c r="D1436" s="14" t="str">
        <f>IF($C1436="","",IFERROR(INDEX(Productos!$B$5:$B$504,MATCH($C1436,Productos!$A$5:$A$504,0)),"Clave no existe"))</f>
        <v/>
      </c>
      <c r="E1436" s="14" t="str">
        <f>IF($C1436="","",IFERROR(INDEX(Productos!$D$5:$D$504,MATCH($C1436,Productos!$A$5:$A$504,0)),""))</f>
        <v/>
      </c>
      <c r="F1436" s="20"/>
      <c r="G1436" s="22" t="str">
        <f>IF($C1436="","",IFERROR(INDEX(Productos!$F$5:$F$504,MATCH($C1436,Productos!$A$5:$A$504,0)),0))</f>
        <v/>
      </c>
      <c r="H1436" s="22" t="str">
        <f t="shared" si="22"/>
        <v/>
      </c>
      <c r="I1436" s="14" t="str">
        <f>IF(OR($C1436="",$F1436=""),"",IFERROR(INDEX(Productos!$I$5:$I$504,MATCH($C1436,Productos!$A$5:$A$504,0)),0)+SUMIFS($F$5:$F1436,$C$5:$C1436,$C1436,$B$5:$B1436,"Entrada")-SUMIFS($F$5:$F1436,$C$5:$C1436,$C1436,$B$5:$B1436,"Salida"))</f>
        <v/>
      </c>
      <c r="J1436" s="20"/>
      <c r="K1436" s="20"/>
      <c r="L1436" s="20"/>
      <c r="M1436" s="14" t="str">
        <f>IF(AND($C1436&lt;&gt;"",$C1436=Kardex!$C$4),COUNTIF($C$5:$C1436,Kardex!$C$4),"")</f>
        <v/>
      </c>
    </row>
    <row r="1437" spans="1:13" x14ac:dyDescent="0.25">
      <c r="A1437" s="24"/>
      <c r="B1437" s="20"/>
      <c r="C1437" s="20"/>
      <c r="D1437" s="14" t="str">
        <f>IF($C1437="","",IFERROR(INDEX(Productos!$B$5:$B$504,MATCH($C1437,Productos!$A$5:$A$504,0)),"Clave no existe"))</f>
        <v/>
      </c>
      <c r="E1437" s="14" t="str">
        <f>IF($C1437="","",IFERROR(INDEX(Productos!$D$5:$D$504,MATCH($C1437,Productos!$A$5:$A$504,0)),""))</f>
        <v/>
      </c>
      <c r="F1437" s="20"/>
      <c r="G1437" s="22" t="str">
        <f>IF($C1437="","",IFERROR(INDEX(Productos!$F$5:$F$504,MATCH($C1437,Productos!$A$5:$A$504,0)),0))</f>
        <v/>
      </c>
      <c r="H1437" s="22" t="str">
        <f t="shared" si="22"/>
        <v/>
      </c>
      <c r="I1437" s="14" t="str">
        <f>IF(OR($C1437="",$F1437=""),"",IFERROR(INDEX(Productos!$I$5:$I$504,MATCH($C1437,Productos!$A$5:$A$504,0)),0)+SUMIFS($F$5:$F1437,$C$5:$C1437,$C1437,$B$5:$B1437,"Entrada")-SUMIFS($F$5:$F1437,$C$5:$C1437,$C1437,$B$5:$B1437,"Salida"))</f>
        <v/>
      </c>
      <c r="J1437" s="20"/>
      <c r="K1437" s="20"/>
      <c r="L1437" s="20"/>
      <c r="M1437" s="14" t="str">
        <f>IF(AND($C1437&lt;&gt;"",$C1437=Kardex!$C$4),COUNTIF($C$5:$C1437,Kardex!$C$4),"")</f>
        <v/>
      </c>
    </row>
    <row r="1438" spans="1:13" x14ac:dyDescent="0.25">
      <c r="A1438" s="24"/>
      <c r="B1438" s="20"/>
      <c r="C1438" s="20"/>
      <c r="D1438" s="14" t="str">
        <f>IF($C1438="","",IFERROR(INDEX(Productos!$B$5:$B$504,MATCH($C1438,Productos!$A$5:$A$504,0)),"Clave no existe"))</f>
        <v/>
      </c>
      <c r="E1438" s="14" t="str">
        <f>IF($C1438="","",IFERROR(INDEX(Productos!$D$5:$D$504,MATCH($C1438,Productos!$A$5:$A$504,0)),""))</f>
        <v/>
      </c>
      <c r="F1438" s="20"/>
      <c r="G1438" s="22" t="str">
        <f>IF($C1438="","",IFERROR(INDEX(Productos!$F$5:$F$504,MATCH($C1438,Productos!$A$5:$A$504,0)),0))</f>
        <v/>
      </c>
      <c r="H1438" s="22" t="str">
        <f t="shared" si="22"/>
        <v/>
      </c>
      <c r="I1438" s="14" t="str">
        <f>IF(OR($C1438="",$F1438=""),"",IFERROR(INDEX(Productos!$I$5:$I$504,MATCH($C1438,Productos!$A$5:$A$504,0)),0)+SUMIFS($F$5:$F1438,$C$5:$C1438,$C1438,$B$5:$B1438,"Entrada")-SUMIFS($F$5:$F1438,$C$5:$C1438,$C1438,$B$5:$B1438,"Salida"))</f>
        <v/>
      </c>
      <c r="J1438" s="20"/>
      <c r="K1438" s="20"/>
      <c r="L1438" s="20"/>
      <c r="M1438" s="14" t="str">
        <f>IF(AND($C1438&lt;&gt;"",$C1438=Kardex!$C$4),COUNTIF($C$5:$C1438,Kardex!$C$4),"")</f>
        <v/>
      </c>
    </row>
    <row r="1439" spans="1:13" x14ac:dyDescent="0.25">
      <c r="A1439" s="24"/>
      <c r="B1439" s="20"/>
      <c r="C1439" s="20"/>
      <c r="D1439" s="14" t="str">
        <f>IF($C1439="","",IFERROR(INDEX(Productos!$B$5:$B$504,MATCH($C1439,Productos!$A$5:$A$504,0)),"Clave no existe"))</f>
        <v/>
      </c>
      <c r="E1439" s="14" t="str">
        <f>IF($C1439="","",IFERROR(INDEX(Productos!$D$5:$D$504,MATCH($C1439,Productos!$A$5:$A$504,0)),""))</f>
        <v/>
      </c>
      <c r="F1439" s="20"/>
      <c r="G1439" s="22" t="str">
        <f>IF($C1439="","",IFERROR(INDEX(Productos!$F$5:$F$504,MATCH($C1439,Productos!$A$5:$A$504,0)),0))</f>
        <v/>
      </c>
      <c r="H1439" s="22" t="str">
        <f t="shared" si="22"/>
        <v/>
      </c>
      <c r="I1439" s="14" t="str">
        <f>IF(OR($C1439="",$F1439=""),"",IFERROR(INDEX(Productos!$I$5:$I$504,MATCH($C1439,Productos!$A$5:$A$504,0)),0)+SUMIFS($F$5:$F1439,$C$5:$C1439,$C1439,$B$5:$B1439,"Entrada")-SUMIFS($F$5:$F1439,$C$5:$C1439,$C1439,$B$5:$B1439,"Salida"))</f>
        <v/>
      </c>
      <c r="J1439" s="20"/>
      <c r="K1439" s="20"/>
      <c r="L1439" s="20"/>
      <c r="M1439" s="14" t="str">
        <f>IF(AND($C1439&lt;&gt;"",$C1439=Kardex!$C$4),COUNTIF($C$5:$C1439,Kardex!$C$4),"")</f>
        <v/>
      </c>
    </row>
    <row r="1440" spans="1:13" x14ac:dyDescent="0.25">
      <c r="A1440" s="24"/>
      <c r="B1440" s="20"/>
      <c r="C1440" s="20"/>
      <c r="D1440" s="14" t="str">
        <f>IF($C1440="","",IFERROR(INDEX(Productos!$B$5:$B$504,MATCH($C1440,Productos!$A$5:$A$504,0)),"Clave no existe"))</f>
        <v/>
      </c>
      <c r="E1440" s="14" t="str">
        <f>IF($C1440="","",IFERROR(INDEX(Productos!$D$5:$D$504,MATCH($C1440,Productos!$A$5:$A$504,0)),""))</f>
        <v/>
      </c>
      <c r="F1440" s="20"/>
      <c r="G1440" s="22" t="str">
        <f>IF($C1440="","",IFERROR(INDEX(Productos!$F$5:$F$504,MATCH($C1440,Productos!$A$5:$A$504,0)),0))</f>
        <v/>
      </c>
      <c r="H1440" s="22" t="str">
        <f t="shared" si="22"/>
        <v/>
      </c>
      <c r="I1440" s="14" t="str">
        <f>IF(OR($C1440="",$F1440=""),"",IFERROR(INDEX(Productos!$I$5:$I$504,MATCH($C1440,Productos!$A$5:$A$504,0)),0)+SUMIFS($F$5:$F1440,$C$5:$C1440,$C1440,$B$5:$B1440,"Entrada")-SUMIFS($F$5:$F1440,$C$5:$C1440,$C1440,$B$5:$B1440,"Salida"))</f>
        <v/>
      </c>
      <c r="J1440" s="20"/>
      <c r="K1440" s="20"/>
      <c r="L1440" s="20"/>
      <c r="M1440" s="14" t="str">
        <f>IF(AND($C1440&lt;&gt;"",$C1440=Kardex!$C$4),COUNTIF($C$5:$C1440,Kardex!$C$4),"")</f>
        <v/>
      </c>
    </row>
    <row r="1441" spans="1:13" x14ac:dyDescent="0.25">
      <c r="A1441" s="24"/>
      <c r="B1441" s="20"/>
      <c r="C1441" s="20"/>
      <c r="D1441" s="14" t="str">
        <f>IF($C1441="","",IFERROR(INDEX(Productos!$B$5:$B$504,MATCH($C1441,Productos!$A$5:$A$504,0)),"Clave no existe"))</f>
        <v/>
      </c>
      <c r="E1441" s="14" t="str">
        <f>IF($C1441="","",IFERROR(INDEX(Productos!$D$5:$D$504,MATCH($C1441,Productos!$A$5:$A$504,0)),""))</f>
        <v/>
      </c>
      <c r="F1441" s="20"/>
      <c r="G1441" s="22" t="str">
        <f>IF($C1441="","",IFERROR(INDEX(Productos!$F$5:$F$504,MATCH($C1441,Productos!$A$5:$A$504,0)),0))</f>
        <v/>
      </c>
      <c r="H1441" s="22" t="str">
        <f t="shared" si="22"/>
        <v/>
      </c>
      <c r="I1441" s="14" t="str">
        <f>IF(OR($C1441="",$F1441=""),"",IFERROR(INDEX(Productos!$I$5:$I$504,MATCH($C1441,Productos!$A$5:$A$504,0)),0)+SUMIFS($F$5:$F1441,$C$5:$C1441,$C1441,$B$5:$B1441,"Entrada")-SUMIFS($F$5:$F1441,$C$5:$C1441,$C1441,$B$5:$B1441,"Salida"))</f>
        <v/>
      </c>
      <c r="J1441" s="20"/>
      <c r="K1441" s="20"/>
      <c r="L1441" s="20"/>
      <c r="M1441" s="14" t="str">
        <f>IF(AND($C1441&lt;&gt;"",$C1441=Kardex!$C$4),COUNTIF($C$5:$C1441,Kardex!$C$4),"")</f>
        <v/>
      </c>
    </row>
    <row r="1442" spans="1:13" x14ac:dyDescent="0.25">
      <c r="A1442" s="24"/>
      <c r="B1442" s="20"/>
      <c r="C1442" s="20"/>
      <c r="D1442" s="14" t="str">
        <f>IF($C1442="","",IFERROR(INDEX(Productos!$B$5:$B$504,MATCH($C1442,Productos!$A$5:$A$504,0)),"Clave no existe"))</f>
        <v/>
      </c>
      <c r="E1442" s="14" t="str">
        <f>IF($C1442="","",IFERROR(INDEX(Productos!$D$5:$D$504,MATCH($C1442,Productos!$A$5:$A$504,0)),""))</f>
        <v/>
      </c>
      <c r="F1442" s="20"/>
      <c r="G1442" s="22" t="str">
        <f>IF($C1442="","",IFERROR(INDEX(Productos!$F$5:$F$504,MATCH($C1442,Productos!$A$5:$A$504,0)),0))</f>
        <v/>
      </c>
      <c r="H1442" s="22" t="str">
        <f t="shared" si="22"/>
        <v/>
      </c>
      <c r="I1442" s="14" t="str">
        <f>IF(OR($C1442="",$F1442=""),"",IFERROR(INDEX(Productos!$I$5:$I$504,MATCH($C1442,Productos!$A$5:$A$504,0)),0)+SUMIFS($F$5:$F1442,$C$5:$C1442,$C1442,$B$5:$B1442,"Entrada")-SUMIFS($F$5:$F1442,$C$5:$C1442,$C1442,$B$5:$B1442,"Salida"))</f>
        <v/>
      </c>
      <c r="J1442" s="20"/>
      <c r="K1442" s="20"/>
      <c r="L1442" s="20"/>
      <c r="M1442" s="14" t="str">
        <f>IF(AND($C1442&lt;&gt;"",$C1442=Kardex!$C$4),COUNTIF($C$5:$C1442,Kardex!$C$4),"")</f>
        <v/>
      </c>
    </row>
    <row r="1443" spans="1:13" x14ac:dyDescent="0.25">
      <c r="A1443" s="24"/>
      <c r="B1443" s="20"/>
      <c r="C1443" s="20"/>
      <c r="D1443" s="14" t="str">
        <f>IF($C1443="","",IFERROR(INDEX(Productos!$B$5:$B$504,MATCH($C1443,Productos!$A$5:$A$504,0)),"Clave no existe"))</f>
        <v/>
      </c>
      <c r="E1443" s="14" t="str">
        <f>IF($C1443="","",IFERROR(INDEX(Productos!$D$5:$D$504,MATCH($C1443,Productos!$A$5:$A$504,0)),""))</f>
        <v/>
      </c>
      <c r="F1443" s="20"/>
      <c r="G1443" s="22" t="str">
        <f>IF($C1443="","",IFERROR(INDEX(Productos!$F$5:$F$504,MATCH($C1443,Productos!$A$5:$A$504,0)),0))</f>
        <v/>
      </c>
      <c r="H1443" s="22" t="str">
        <f t="shared" si="22"/>
        <v/>
      </c>
      <c r="I1443" s="14" t="str">
        <f>IF(OR($C1443="",$F1443=""),"",IFERROR(INDEX(Productos!$I$5:$I$504,MATCH($C1443,Productos!$A$5:$A$504,0)),0)+SUMIFS($F$5:$F1443,$C$5:$C1443,$C1443,$B$5:$B1443,"Entrada")-SUMIFS($F$5:$F1443,$C$5:$C1443,$C1443,$B$5:$B1443,"Salida"))</f>
        <v/>
      </c>
      <c r="J1443" s="20"/>
      <c r="K1443" s="20"/>
      <c r="L1443" s="20"/>
      <c r="M1443" s="14" t="str">
        <f>IF(AND($C1443&lt;&gt;"",$C1443=Kardex!$C$4),COUNTIF($C$5:$C1443,Kardex!$C$4),"")</f>
        <v/>
      </c>
    </row>
    <row r="1444" spans="1:13" x14ac:dyDescent="0.25">
      <c r="A1444" s="24"/>
      <c r="B1444" s="20"/>
      <c r="C1444" s="20"/>
      <c r="D1444" s="14" t="str">
        <f>IF($C1444="","",IFERROR(INDEX(Productos!$B$5:$B$504,MATCH($C1444,Productos!$A$5:$A$504,0)),"Clave no existe"))</f>
        <v/>
      </c>
      <c r="E1444" s="14" t="str">
        <f>IF($C1444="","",IFERROR(INDEX(Productos!$D$5:$D$504,MATCH($C1444,Productos!$A$5:$A$504,0)),""))</f>
        <v/>
      </c>
      <c r="F1444" s="20"/>
      <c r="G1444" s="22" t="str">
        <f>IF($C1444="","",IFERROR(INDEX(Productos!$F$5:$F$504,MATCH($C1444,Productos!$A$5:$A$504,0)),0))</f>
        <v/>
      </c>
      <c r="H1444" s="22" t="str">
        <f t="shared" si="22"/>
        <v/>
      </c>
      <c r="I1444" s="14" t="str">
        <f>IF(OR($C1444="",$F1444=""),"",IFERROR(INDEX(Productos!$I$5:$I$504,MATCH($C1444,Productos!$A$5:$A$504,0)),0)+SUMIFS($F$5:$F1444,$C$5:$C1444,$C1444,$B$5:$B1444,"Entrada")-SUMIFS($F$5:$F1444,$C$5:$C1444,$C1444,$B$5:$B1444,"Salida"))</f>
        <v/>
      </c>
      <c r="J1444" s="20"/>
      <c r="K1444" s="20"/>
      <c r="L1444" s="20"/>
      <c r="M1444" s="14" t="str">
        <f>IF(AND($C1444&lt;&gt;"",$C1444=Kardex!$C$4),COUNTIF($C$5:$C1444,Kardex!$C$4),"")</f>
        <v/>
      </c>
    </row>
    <row r="1445" spans="1:13" x14ac:dyDescent="0.25">
      <c r="A1445" s="24"/>
      <c r="B1445" s="20"/>
      <c r="C1445" s="20"/>
      <c r="D1445" s="14" t="str">
        <f>IF($C1445="","",IFERROR(INDEX(Productos!$B$5:$B$504,MATCH($C1445,Productos!$A$5:$A$504,0)),"Clave no existe"))</f>
        <v/>
      </c>
      <c r="E1445" s="14" t="str">
        <f>IF($C1445="","",IFERROR(INDEX(Productos!$D$5:$D$504,MATCH($C1445,Productos!$A$5:$A$504,0)),""))</f>
        <v/>
      </c>
      <c r="F1445" s="20"/>
      <c r="G1445" s="22" t="str">
        <f>IF($C1445="","",IFERROR(INDEX(Productos!$F$5:$F$504,MATCH($C1445,Productos!$A$5:$A$504,0)),0))</f>
        <v/>
      </c>
      <c r="H1445" s="22" t="str">
        <f t="shared" si="22"/>
        <v/>
      </c>
      <c r="I1445" s="14" t="str">
        <f>IF(OR($C1445="",$F1445=""),"",IFERROR(INDEX(Productos!$I$5:$I$504,MATCH($C1445,Productos!$A$5:$A$504,0)),0)+SUMIFS($F$5:$F1445,$C$5:$C1445,$C1445,$B$5:$B1445,"Entrada")-SUMIFS($F$5:$F1445,$C$5:$C1445,$C1445,$B$5:$B1445,"Salida"))</f>
        <v/>
      </c>
      <c r="J1445" s="20"/>
      <c r="K1445" s="20"/>
      <c r="L1445" s="20"/>
      <c r="M1445" s="14" t="str">
        <f>IF(AND($C1445&lt;&gt;"",$C1445=Kardex!$C$4),COUNTIF($C$5:$C1445,Kardex!$C$4),"")</f>
        <v/>
      </c>
    </row>
    <row r="1446" spans="1:13" x14ac:dyDescent="0.25">
      <c r="A1446" s="24"/>
      <c r="B1446" s="20"/>
      <c r="C1446" s="20"/>
      <c r="D1446" s="14" t="str">
        <f>IF($C1446="","",IFERROR(INDEX(Productos!$B$5:$B$504,MATCH($C1446,Productos!$A$5:$A$504,0)),"Clave no existe"))</f>
        <v/>
      </c>
      <c r="E1446" s="14" t="str">
        <f>IF($C1446="","",IFERROR(INDEX(Productos!$D$5:$D$504,MATCH($C1446,Productos!$A$5:$A$504,0)),""))</f>
        <v/>
      </c>
      <c r="F1446" s="20"/>
      <c r="G1446" s="22" t="str">
        <f>IF($C1446="","",IFERROR(INDEX(Productos!$F$5:$F$504,MATCH($C1446,Productos!$A$5:$A$504,0)),0))</f>
        <v/>
      </c>
      <c r="H1446" s="22" t="str">
        <f t="shared" si="22"/>
        <v/>
      </c>
      <c r="I1446" s="14" t="str">
        <f>IF(OR($C1446="",$F1446=""),"",IFERROR(INDEX(Productos!$I$5:$I$504,MATCH($C1446,Productos!$A$5:$A$504,0)),0)+SUMIFS($F$5:$F1446,$C$5:$C1446,$C1446,$B$5:$B1446,"Entrada")-SUMIFS($F$5:$F1446,$C$5:$C1446,$C1446,$B$5:$B1446,"Salida"))</f>
        <v/>
      </c>
      <c r="J1446" s="20"/>
      <c r="K1446" s="20"/>
      <c r="L1446" s="20"/>
      <c r="M1446" s="14" t="str">
        <f>IF(AND($C1446&lt;&gt;"",$C1446=Kardex!$C$4),COUNTIF($C$5:$C1446,Kardex!$C$4),"")</f>
        <v/>
      </c>
    </row>
    <row r="1447" spans="1:13" x14ac:dyDescent="0.25">
      <c r="A1447" s="24"/>
      <c r="B1447" s="20"/>
      <c r="C1447" s="20"/>
      <c r="D1447" s="14" t="str">
        <f>IF($C1447="","",IFERROR(INDEX(Productos!$B$5:$B$504,MATCH($C1447,Productos!$A$5:$A$504,0)),"Clave no existe"))</f>
        <v/>
      </c>
      <c r="E1447" s="14" t="str">
        <f>IF($C1447="","",IFERROR(INDEX(Productos!$D$5:$D$504,MATCH($C1447,Productos!$A$5:$A$504,0)),""))</f>
        <v/>
      </c>
      <c r="F1447" s="20"/>
      <c r="G1447" s="22" t="str">
        <f>IF($C1447="","",IFERROR(INDEX(Productos!$F$5:$F$504,MATCH($C1447,Productos!$A$5:$A$504,0)),0))</f>
        <v/>
      </c>
      <c r="H1447" s="22" t="str">
        <f t="shared" si="22"/>
        <v/>
      </c>
      <c r="I1447" s="14" t="str">
        <f>IF(OR($C1447="",$F1447=""),"",IFERROR(INDEX(Productos!$I$5:$I$504,MATCH($C1447,Productos!$A$5:$A$504,0)),0)+SUMIFS($F$5:$F1447,$C$5:$C1447,$C1447,$B$5:$B1447,"Entrada")-SUMIFS($F$5:$F1447,$C$5:$C1447,$C1447,$B$5:$B1447,"Salida"))</f>
        <v/>
      </c>
      <c r="J1447" s="20"/>
      <c r="K1447" s="20"/>
      <c r="L1447" s="20"/>
      <c r="M1447" s="14" t="str">
        <f>IF(AND($C1447&lt;&gt;"",$C1447=Kardex!$C$4),COUNTIF($C$5:$C1447,Kardex!$C$4),"")</f>
        <v/>
      </c>
    </row>
    <row r="1448" spans="1:13" x14ac:dyDescent="0.25">
      <c r="A1448" s="24"/>
      <c r="B1448" s="20"/>
      <c r="C1448" s="20"/>
      <c r="D1448" s="14" t="str">
        <f>IF($C1448="","",IFERROR(INDEX(Productos!$B$5:$B$504,MATCH($C1448,Productos!$A$5:$A$504,0)),"Clave no existe"))</f>
        <v/>
      </c>
      <c r="E1448" s="14" t="str">
        <f>IF($C1448="","",IFERROR(INDEX(Productos!$D$5:$D$504,MATCH($C1448,Productos!$A$5:$A$504,0)),""))</f>
        <v/>
      </c>
      <c r="F1448" s="20"/>
      <c r="G1448" s="22" t="str">
        <f>IF($C1448="","",IFERROR(INDEX(Productos!$F$5:$F$504,MATCH($C1448,Productos!$A$5:$A$504,0)),0))</f>
        <v/>
      </c>
      <c r="H1448" s="22" t="str">
        <f t="shared" si="22"/>
        <v/>
      </c>
      <c r="I1448" s="14" t="str">
        <f>IF(OR($C1448="",$F1448=""),"",IFERROR(INDEX(Productos!$I$5:$I$504,MATCH($C1448,Productos!$A$5:$A$504,0)),0)+SUMIFS($F$5:$F1448,$C$5:$C1448,$C1448,$B$5:$B1448,"Entrada")-SUMIFS($F$5:$F1448,$C$5:$C1448,$C1448,$B$5:$B1448,"Salida"))</f>
        <v/>
      </c>
      <c r="J1448" s="20"/>
      <c r="K1448" s="20"/>
      <c r="L1448" s="20"/>
      <c r="M1448" s="14" t="str">
        <f>IF(AND($C1448&lt;&gt;"",$C1448=Kardex!$C$4),COUNTIF($C$5:$C1448,Kardex!$C$4),"")</f>
        <v/>
      </c>
    </row>
    <row r="1449" spans="1:13" x14ac:dyDescent="0.25">
      <c r="A1449" s="24"/>
      <c r="B1449" s="20"/>
      <c r="C1449" s="20"/>
      <c r="D1449" s="14" t="str">
        <f>IF($C1449="","",IFERROR(INDEX(Productos!$B$5:$B$504,MATCH($C1449,Productos!$A$5:$A$504,0)),"Clave no existe"))</f>
        <v/>
      </c>
      <c r="E1449" s="14" t="str">
        <f>IF($C1449="","",IFERROR(INDEX(Productos!$D$5:$D$504,MATCH($C1449,Productos!$A$5:$A$504,0)),""))</f>
        <v/>
      </c>
      <c r="F1449" s="20"/>
      <c r="G1449" s="22" t="str">
        <f>IF($C1449="","",IFERROR(INDEX(Productos!$F$5:$F$504,MATCH($C1449,Productos!$A$5:$A$504,0)),0))</f>
        <v/>
      </c>
      <c r="H1449" s="22" t="str">
        <f t="shared" si="22"/>
        <v/>
      </c>
      <c r="I1449" s="14" t="str">
        <f>IF(OR($C1449="",$F1449=""),"",IFERROR(INDEX(Productos!$I$5:$I$504,MATCH($C1449,Productos!$A$5:$A$504,0)),0)+SUMIFS($F$5:$F1449,$C$5:$C1449,$C1449,$B$5:$B1449,"Entrada")-SUMIFS($F$5:$F1449,$C$5:$C1449,$C1449,$B$5:$B1449,"Salida"))</f>
        <v/>
      </c>
      <c r="J1449" s="20"/>
      <c r="K1449" s="20"/>
      <c r="L1449" s="20"/>
      <c r="M1449" s="14" t="str">
        <f>IF(AND($C1449&lt;&gt;"",$C1449=Kardex!$C$4),COUNTIF($C$5:$C1449,Kardex!$C$4),"")</f>
        <v/>
      </c>
    </row>
    <row r="1450" spans="1:13" x14ac:dyDescent="0.25">
      <c r="A1450" s="24"/>
      <c r="B1450" s="20"/>
      <c r="C1450" s="20"/>
      <c r="D1450" s="14" t="str">
        <f>IF($C1450="","",IFERROR(INDEX(Productos!$B$5:$B$504,MATCH($C1450,Productos!$A$5:$A$504,0)),"Clave no existe"))</f>
        <v/>
      </c>
      <c r="E1450" s="14" t="str">
        <f>IF($C1450="","",IFERROR(INDEX(Productos!$D$5:$D$504,MATCH($C1450,Productos!$A$5:$A$504,0)),""))</f>
        <v/>
      </c>
      <c r="F1450" s="20"/>
      <c r="G1450" s="22" t="str">
        <f>IF($C1450="","",IFERROR(INDEX(Productos!$F$5:$F$504,MATCH($C1450,Productos!$A$5:$A$504,0)),0))</f>
        <v/>
      </c>
      <c r="H1450" s="22" t="str">
        <f t="shared" si="22"/>
        <v/>
      </c>
      <c r="I1450" s="14" t="str">
        <f>IF(OR($C1450="",$F1450=""),"",IFERROR(INDEX(Productos!$I$5:$I$504,MATCH($C1450,Productos!$A$5:$A$504,0)),0)+SUMIFS($F$5:$F1450,$C$5:$C1450,$C1450,$B$5:$B1450,"Entrada")-SUMIFS($F$5:$F1450,$C$5:$C1450,$C1450,$B$5:$B1450,"Salida"))</f>
        <v/>
      </c>
      <c r="J1450" s="20"/>
      <c r="K1450" s="20"/>
      <c r="L1450" s="20"/>
      <c r="M1450" s="14" t="str">
        <f>IF(AND($C1450&lt;&gt;"",$C1450=Kardex!$C$4),COUNTIF($C$5:$C1450,Kardex!$C$4),"")</f>
        <v/>
      </c>
    </row>
    <row r="1451" spans="1:13" x14ac:dyDescent="0.25">
      <c r="A1451" s="24"/>
      <c r="B1451" s="20"/>
      <c r="C1451" s="20"/>
      <c r="D1451" s="14" t="str">
        <f>IF($C1451="","",IFERROR(INDEX(Productos!$B$5:$B$504,MATCH($C1451,Productos!$A$5:$A$504,0)),"Clave no existe"))</f>
        <v/>
      </c>
      <c r="E1451" s="14" t="str">
        <f>IF($C1451="","",IFERROR(INDEX(Productos!$D$5:$D$504,MATCH($C1451,Productos!$A$5:$A$504,0)),""))</f>
        <v/>
      </c>
      <c r="F1451" s="20"/>
      <c r="G1451" s="22" t="str">
        <f>IF($C1451="","",IFERROR(INDEX(Productos!$F$5:$F$504,MATCH($C1451,Productos!$A$5:$A$504,0)),0))</f>
        <v/>
      </c>
      <c r="H1451" s="22" t="str">
        <f t="shared" si="22"/>
        <v/>
      </c>
      <c r="I1451" s="14" t="str">
        <f>IF(OR($C1451="",$F1451=""),"",IFERROR(INDEX(Productos!$I$5:$I$504,MATCH($C1451,Productos!$A$5:$A$504,0)),0)+SUMIFS($F$5:$F1451,$C$5:$C1451,$C1451,$B$5:$B1451,"Entrada")-SUMIFS($F$5:$F1451,$C$5:$C1451,$C1451,$B$5:$B1451,"Salida"))</f>
        <v/>
      </c>
      <c r="J1451" s="20"/>
      <c r="K1451" s="20"/>
      <c r="L1451" s="20"/>
      <c r="M1451" s="14" t="str">
        <f>IF(AND($C1451&lt;&gt;"",$C1451=Kardex!$C$4),COUNTIF($C$5:$C1451,Kardex!$C$4),"")</f>
        <v/>
      </c>
    </row>
    <row r="1452" spans="1:13" x14ac:dyDescent="0.25">
      <c r="A1452" s="24"/>
      <c r="B1452" s="20"/>
      <c r="C1452" s="20"/>
      <c r="D1452" s="14" t="str">
        <f>IF($C1452="","",IFERROR(INDEX(Productos!$B$5:$B$504,MATCH($C1452,Productos!$A$5:$A$504,0)),"Clave no existe"))</f>
        <v/>
      </c>
      <c r="E1452" s="14" t="str">
        <f>IF($C1452="","",IFERROR(INDEX(Productos!$D$5:$D$504,MATCH($C1452,Productos!$A$5:$A$504,0)),""))</f>
        <v/>
      </c>
      <c r="F1452" s="20"/>
      <c r="G1452" s="22" t="str">
        <f>IF($C1452="","",IFERROR(INDEX(Productos!$F$5:$F$504,MATCH($C1452,Productos!$A$5:$A$504,0)),0))</f>
        <v/>
      </c>
      <c r="H1452" s="22" t="str">
        <f t="shared" si="22"/>
        <v/>
      </c>
      <c r="I1452" s="14" t="str">
        <f>IF(OR($C1452="",$F1452=""),"",IFERROR(INDEX(Productos!$I$5:$I$504,MATCH($C1452,Productos!$A$5:$A$504,0)),0)+SUMIFS($F$5:$F1452,$C$5:$C1452,$C1452,$B$5:$B1452,"Entrada")-SUMIFS($F$5:$F1452,$C$5:$C1452,$C1452,$B$5:$B1452,"Salida"))</f>
        <v/>
      </c>
      <c r="J1452" s="20"/>
      <c r="K1452" s="20"/>
      <c r="L1452" s="20"/>
      <c r="M1452" s="14" t="str">
        <f>IF(AND($C1452&lt;&gt;"",$C1452=Kardex!$C$4),COUNTIF($C$5:$C1452,Kardex!$C$4),"")</f>
        <v/>
      </c>
    </row>
    <row r="1453" spans="1:13" x14ac:dyDescent="0.25">
      <c r="A1453" s="24"/>
      <c r="B1453" s="20"/>
      <c r="C1453" s="20"/>
      <c r="D1453" s="14" t="str">
        <f>IF($C1453="","",IFERROR(INDEX(Productos!$B$5:$B$504,MATCH($C1453,Productos!$A$5:$A$504,0)),"Clave no existe"))</f>
        <v/>
      </c>
      <c r="E1453" s="14" t="str">
        <f>IF($C1453="","",IFERROR(INDEX(Productos!$D$5:$D$504,MATCH($C1453,Productos!$A$5:$A$504,0)),""))</f>
        <v/>
      </c>
      <c r="F1453" s="20"/>
      <c r="G1453" s="22" t="str">
        <f>IF($C1453="","",IFERROR(INDEX(Productos!$F$5:$F$504,MATCH($C1453,Productos!$A$5:$A$504,0)),0))</f>
        <v/>
      </c>
      <c r="H1453" s="22" t="str">
        <f t="shared" si="22"/>
        <v/>
      </c>
      <c r="I1453" s="14" t="str">
        <f>IF(OR($C1453="",$F1453=""),"",IFERROR(INDEX(Productos!$I$5:$I$504,MATCH($C1453,Productos!$A$5:$A$504,0)),0)+SUMIFS($F$5:$F1453,$C$5:$C1453,$C1453,$B$5:$B1453,"Entrada")-SUMIFS($F$5:$F1453,$C$5:$C1453,$C1453,$B$5:$B1453,"Salida"))</f>
        <v/>
      </c>
      <c r="J1453" s="20"/>
      <c r="K1453" s="20"/>
      <c r="L1453" s="20"/>
      <c r="M1453" s="14" t="str">
        <f>IF(AND($C1453&lt;&gt;"",$C1453=Kardex!$C$4),COUNTIF($C$5:$C1453,Kardex!$C$4),"")</f>
        <v/>
      </c>
    </row>
    <row r="1454" spans="1:13" x14ac:dyDescent="0.25">
      <c r="A1454" s="24"/>
      <c r="B1454" s="20"/>
      <c r="C1454" s="20"/>
      <c r="D1454" s="14" t="str">
        <f>IF($C1454="","",IFERROR(INDEX(Productos!$B$5:$B$504,MATCH($C1454,Productos!$A$5:$A$504,0)),"Clave no existe"))</f>
        <v/>
      </c>
      <c r="E1454" s="14" t="str">
        <f>IF($C1454="","",IFERROR(INDEX(Productos!$D$5:$D$504,MATCH($C1454,Productos!$A$5:$A$504,0)),""))</f>
        <v/>
      </c>
      <c r="F1454" s="20"/>
      <c r="G1454" s="22" t="str">
        <f>IF($C1454="","",IFERROR(INDEX(Productos!$F$5:$F$504,MATCH($C1454,Productos!$A$5:$A$504,0)),0))</f>
        <v/>
      </c>
      <c r="H1454" s="22" t="str">
        <f t="shared" si="22"/>
        <v/>
      </c>
      <c r="I1454" s="14" t="str">
        <f>IF(OR($C1454="",$F1454=""),"",IFERROR(INDEX(Productos!$I$5:$I$504,MATCH($C1454,Productos!$A$5:$A$504,0)),0)+SUMIFS($F$5:$F1454,$C$5:$C1454,$C1454,$B$5:$B1454,"Entrada")-SUMIFS($F$5:$F1454,$C$5:$C1454,$C1454,$B$5:$B1454,"Salida"))</f>
        <v/>
      </c>
      <c r="J1454" s="20"/>
      <c r="K1454" s="20"/>
      <c r="L1454" s="20"/>
      <c r="M1454" s="14" t="str">
        <f>IF(AND($C1454&lt;&gt;"",$C1454=Kardex!$C$4),COUNTIF($C$5:$C1454,Kardex!$C$4),"")</f>
        <v/>
      </c>
    </row>
    <row r="1455" spans="1:13" x14ac:dyDescent="0.25">
      <c r="A1455" s="24"/>
      <c r="B1455" s="20"/>
      <c r="C1455" s="20"/>
      <c r="D1455" s="14" t="str">
        <f>IF($C1455="","",IFERROR(INDEX(Productos!$B$5:$B$504,MATCH($C1455,Productos!$A$5:$A$504,0)),"Clave no existe"))</f>
        <v/>
      </c>
      <c r="E1455" s="14" t="str">
        <f>IF($C1455="","",IFERROR(INDEX(Productos!$D$5:$D$504,MATCH($C1455,Productos!$A$5:$A$504,0)),""))</f>
        <v/>
      </c>
      <c r="F1455" s="20"/>
      <c r="G1455" s="22" t="str">
        <f>IF($C1455="","",IFERROR(INDEX(Productos!$F$5:$F$504,MATCH($C1455,Productos!$A$5:$A$504,0)),0))</f>
        <v/>
      </c>
      <c r="H1455" s="22" t="str">
        <f t="shared" si="22"/>
        <v/>
      </c>
      <c r="I1455" s="14" t="str">
        <f>IF(OR($C1455="",$F1455=""),"",IFERROR(INDEX(Productos!$I$5:$I$504,MATCH($C1455,Productos!$A$5:$A$504,0)),0)+SUMIFS($F$5:$F1455,$C$5:$C1455,$C1455,$B$5:$B1455,"Entrada")-SUMIFS($F$5:$F1455,$C$5:$C1455,$C1455,$B$5:$B1455,"Salida"))</f>
        <v/>
      </c>
      <c r="J1455" s="20"/>
      <c r="K1455" s="20"/>
      <c r="L1455" s="20"/>
      <c r="M1455" s="14" t="str">
        <f>IF(AND($C1455&lt;&gt;"",$C1455=Kardex!$C$4),COUNTIF($C$5:$C1455,Kardex!$C$4),"")</f>
        <v/>
      </c>
    </row>
    <row r="1456" spans="1:13" x14ac:dyDescent="0.25">
      <c r="A1456" s="24"/>
      <c r="B1456" s="20"/>
      <c r="C1456" s="20"/>
      <c r="D1456" s="14" t="str">
        <f>IF($C1456="","",IFERROR(INDEX(Productos!$B$5:$B$504,MATCH($C1456,Productos!$A$5:$A$504,0)),"Clave no existe"))</f>
        <v/>
      </c>
      <c r="E1456" s="14" t="str">
        <f>IF($C1456="","",IFERROR(INDEX(Productos!$D$5:$D$504,MATCH($C1456,Productos!$A$5:$A$504,0)),""))</f>
        <v/>
      </c>
      <c r="F1456" s="20"/>
      <c r="G1456" s="22" t="str">
        <f>IF($C1456="","",IFERROR(INDEX(Productos!$F$5:$F$504,MATCH($C1456,Productos!$A$5:$A$504,0)),0))</f>
        <v/>
      </c>
      <c r="H1456" s="22" t="str">
        <f t="shared" si="22"/>
        <v/>
      </c>
      <c r="I1456" s="14" t="str">
        <f>IF(OR($C1456="",$F1456=""),"",IFERROR(INDEX(Productos!$I$5:$I$504,MATCH($C1456,Productos!$A$5:$A$504,0)),0)+SUMIFS($F$5:$F1456,$C$5:$C1456,$C1456,$B$5:$B1456,"Entrada")-SUMIFS($F$5:$F1456,$C$5:$C1456,$C1456,$B$5:$B1456,"Salida"))</f>
        <v/>
      </c>
      <c r="J1456" s="20"/>
      <c r="K1456" s="20"/>
      <c r="L1456" s="20"/>
      <c r="M1456" s="14" t="str">
        <f>IF(AND($C1456&lt;&gt;"",$C1456=Kardex!$C$4),COUNTIF($C$5:$C1456,Kardex!$C$4),"")</f>
        <v/>
      </c>
    </row>
    <row r="1457" spans="1:13" x14ac:dyDescent="0.25">
      <c r="A1457" s="24"/>
      <c r="B1457" s="20"/>
      <c r="C1457" s="20"/>
      <c r="D1457" s="14" t="str">
        <f>IF($C1457="","",IFERROR(INDEX(Productos!$B$5:$B$504,MATCH($C1457,Productos!$A$5:$A$504,0)),"Clave no existe"))</f>
        <v/>
      </c>
      <c r="E1457" s="14" t="str">
        <f>IF($C1457="","",IFERROR(INDEX(Productos!$D$5:$D$504,MATCH($C1457,Productos!$A$5:$A$504,0)),""))</f>
        <v/>
      </c>
      <c r="F1457" s="20"/>
      <c r="G1457" s="22" t="str">
        <f>IF($C1457="","",IFERROR(INDEX(Productos!$F$5:$F$504,MATCH($C1457,Productos!$A$5:$A$504,0)),0))</f>
        <v/>
      </c>
      <c r="H1457" s="22" t="str">
        <f t="shared" si="22"/>
        <v/>
      </c>
      <c r="I1457" s="14" t="str">
        <f>IF(OR($C1457="",$F1457=""),"",IFERROR(INDEX(Productos!$I$5:$I$504,MATCH($C1457,Productos!$A$5:$A$504,0)),0)+SUMIFS($F$5:$F1457,$C$5:$C1457,$C1457,$B$5:$B1457,"Entrada")-SUMIFS($F$5:$F1457,$C$5:$C1457,$C1457,$B$5:$B1457,"Salida"))</f>
        <v/>
      </c>
      <c r="J1457" s="20"/>
      <c r="K1457" s="20"/>
      <c r="L1457" s="20"/>
      <c r="M1457" s="14" t="str">
        <f>IF(AND($C1457&lt;&gt;"",$C1457=Kardex!$C$4),COUNTIF($C$5:$C1457,Kardex!$C$4),"")</f>
        <v/>
      </c>
    </row>
    <row r="1458" spans="1:13" x14ac:dyDescent="0.25">
      <c r="A1458" s="24"/>
      <c r="B1458" s="20"/>
      <c r="C1458" s="20"/>
      <c r="D1458" s="14" t="str">
        <f>IF($C1458="","",IFERROR(INDEX(Productos!$B$5:$B$504,MATCH($C1458,Productos!$A$5:$A$504,0)),"Clave no existe"))</f>
        <v/>
      </c>
      <c r="E1458" s="14" t="str">
        <f>IF($C1458="","",IFERROR(INDEX(Productos!$D$5:$D$504,MATCH($C1458,Productos!$A$5:$A$504,0)),""))</f>
        <v/>
      </c>
      <c r="F1458" s="20"/>
      <c r="G1458" s="22" t="str">
        <f>IF($C1458="","",IFERROR(INDEX(Productos!$F$5:$F$504,MATCH($C1458,Productos!$A$5:$A$504,0)),0))</f>
        <v/>
      </c>
      <c r="H1458" s="22" t="str">
        <f t="shared" si="22"/>
        <v/>
      </c>
      <c r="I1458" s="14" t="str">
        <f>IF(OR($C1458="",$F1458=""),"",IFERROR(INDEX(Productos!$I$5:$I$504,MATCH($C1458,Productos!$A$5:$A$504,0)),0)+SUMIFS($F$5:$F1458,$C$5:$C1458,$C1458,$B$5:$B1458,"Entrada")-SUMIFS($F$5:$F1458,$C$5:$C1458,$C1458,$B$5:$B1458,"Salida"))</f>
        <v/>
      </c>
      <c r="J1458" s="20"/>
      <c r="K1458" s="20"/>
      <c r="L1458" s="20"/>
      <c r="M1458" s="14" t="str">
        <f>IF(AND($C1458&lt;&gt;"",$C1458=Kardex!$C$4),COUNTIF($C$5:$C1458,Kardex!$C$4),"")</f>
        <v/>
      </c>
    </row>
    <row r="1459" spans="1:13" x14ac:dyDescent="0.25">
      <c r="A1459" s="24"/>
      <c r="B1459" s="20"/>
      <c r="C1459" s="20"/>
      <c r="D1459" s="14" t="str">
        <f>IF($C1459="","",IFERROR(INDEX(Productos!$B$5:$B$504,MATCH($C1459,Productos!$A$5:$A$504,0)),"Clave no existe"))</f>
        <v/>
      </c>
      <c r="E1459" s="14" t="str">
        <f>IF($C1459="","",IFERROR(INDEX(Productos!$D$5:$D$504,MATCH($C1459,Productos!$A$5:$A$504,0)),""))</f>
        <v/>
      </c>
      <c r="F1459" s="20"/>
      <c r="G1459" s="22" t="str">
        <f>IF($C1459="","",IFERROR(INDEX(Productos!$F$5:$F$504,MATCH($C1459,Productos!$A$5:$A$504,0)),0))</f>
        <v/>
      </c>
      <c r="H1459" s="22" t="str">
        <f t="shared" si="22"/>
        <v/>
      </c>
      <c r="I1459" s="14" t="str">
        <f>IF(OR($C1459="",$F1459=""),"",IFERROR(INDEX(Productos!$I$5:$I$504,MATCH($C1459,Productos!$A$5:$A$504,0)),0)+SUMIFS($F$5:$F1459,$C$5:$C1459,$C1459,$B$5:$B1459,"Entrada")-SUMIFS($F$5:$F1459,$C$5:$C1459,$C1459,$B$5:$B1459,"Salida"))</f>
        <v/>
      </c>
      <c r="J1459" s="20"/>
      <c r="K1459" s="20"/>
      <c r="L1459" s="20"/>
      <c r="M1459" s="14" t="str">
        <f>IF(AND($C1459&lt;&gt;"",$C1459=Kardex!$C$4),COUNTIF($C$5:$C1459,Kardex!$C$4),"")</f>
        <v/>
      </c>
    </row>
    <row r="1460" spans="1:13" x14ac:dyDescent="0.25">
      <c r="A1460" s="24"/>
      <c r="B1460" s="20"/>
      <c r="C1460" s="20"/>
      <c r="D1460" s="14" t="str">
        <f>IF($C1460="","",IFERROR(INDEX(Productos!$B$5:$B$504,MATCH($C1460,Productos!$A$5:$A$504,0)),"Clave no existe"))</f>
        <v/>
      </c>
      <c r="E1460" s="14" t="str">
        <f>IF($C1460="","",IFERROR(INDEX(Productos!$D$5:$D$504,MATCH($C1460,Productos!$A$5:$A$504,0)),""))</f>
        <v/>
      </c>
      <c r="F1460" s="20"/>
      <c r="G1460" s="22" t="str">
        <f>IF($C1460="","",IFERROR(INDEX(Productos!$F$5:$F$504,MATCH($C1460,Productos!$A$5:$A$504,0)),0))</f>
        <v/>
      </c>
      <c r="H1460" s="22" t="str">
        <f t="shared" si="22"/>
        <v/>
      </c>
      <c r="I1460" s="14" t="str">
        <f>IF(OR($C1460="",$F1460=""),"",IFERROR(INDEX(Productos!$I$5:$I$504,MATCH($C1460,Productos!$A$5:$A$504,0)),0)+SUMIFS($F$5:$F1460,$C$5:$C1460,$C1460,$B$5:$B1460,"Entrada")-SUMIFS($F$5:$F1460,$C$5:$C1460,$C1460,$B$5:$B1460,"Salida"))</f>
        <v/>
      </c>
      <c r="J1460" s="20"/>
      <c r="K1460" s="20"/>
      <c r="L1460" s="20"/>
      <c r="M1460" s="14" t="str">
        <f>IF(AND($C1460&lt;&gt;"",$C1460=Kardex!$C$4),COUNTIF($C$5:$C1460,Kardex!$C$4),"")</f>
        <v/>
      </c>
    </row>
    <row r="1461" spans="1:13" x14ac:dyDescent="0.25">
      <c r="A1461" s="24"/>
      <c r="B1461" s="20"/>
      <c r="C1461" s="20"/>
      <c r="D1461" s="14" t="str">
        <f>IF($C1461="","",IFERROR(INDEX(Productos!$B$5:$B$504,MATCH($C1461,Productos!$A$5:$A$504,0)),"Clave no existe"))</f>
        <v/>
      </c>
      <c r="E1461" s="14" t="str">
        <f>IF($C1461="","",IFERROR(INDEX(Productos!$D$5:$D$504,MATCH($C1461,Productos!$A$5:$A$504,0)),""))</f>
        <v/>
      </c>
      <c r="F1461" s="20"/>
      <c r="G1461" s="22" t="str">
        <f>IF($C1461="","",IFERROR(INDEX(Productos!$F$5:$F$504,MATCH($C1461,Productos!$A$5:$A$504,0)),0))</f>
        <v/>
      </c>
      <c r="H1461" s="22" t="str">
        <f t="shared" si="22"/>
        <v/>
      </c>
      <c r="I1461" s="14" t="str">
        <f>IF(OR($C1461="",$F1461=""),"",IFERROR(INDEX(Productos!$I$5:$I$504,MATCH($C1461,Productos!$A$5:$A$504,0)),0)+SUMIFS($F$5:$F1461,$C$5:$C1461,$C1461,$B$5:$B1461,"Entrada")-SUMIFS($F$5:$F1461,$C$5:$C1461,$C1461,$B$5:$B1461,"Salida"))</f>
        <v/>
      </c>
      <c r="J1461" s="20"/>
      <c r="K1461" s="20"/>
      <c r="L1461" s="20"/>
      <c r="M1461" s="14" t="str">
        <f>IF(AND($C1461&lt;&gt;"",$C1461=Kardex!$C$4),COUNTIF($C$5:$C1461,Kardex!$C$4),"")</f>
        <v/>
      </c>
    </row>
    <row r="1462" spans="1:13" x14ac:dyDescent="0.25">
      <c r="A1462" s="24"/>
      <c r="B1462" s="20"/>
      <c r="C1462" s="20"/>
      <c r="D1462" s="14" t="str">
        <f>IF($C1462="","",IFERROR(INDEX(Productos!$B$5:$B$504,MATCH($C1462,Productos!$A$5:$A$504,0)),"Clave no existe"))</f>
        <v/>
      </c>
      <c r="E1462" s="14" t="str">
        <f>IF($C1462="","",IFERROR(INDEX(Productos!$D$5:$D$504,MATCH($C1462,Productos!$A$5:$A$504,0)),""))</f>
        <v/>
      </c>
      <c r="F1462" s="20"/>
      <c r="G1462" s="22" t="str">
        <f>IF($C1462="","",IFERROR(INDEX(Productos!$F$5:$F$504,MATCH($C1462,Productos!$A$5:$A$504,0)),0))</f>
        <v/>
      </c>
      <c r="H1462" s="22" t="str">
        <f t="shared" si="22"/>
        <v/>
      </c>
      <c r="I1462" s="14" t="str">
        <f>IF(OR($C1462="",$F1462=""),"",IFERROR(INDEX(Productos!$I$5:$I$504,MATCH($C1462,Productos!$A$5:$A$504,0)),0)+SUMIFS($F$5:$F1462,$C$5:$C1462,$C1462,$B$5:$B1462,"Entrada")-SUMIFS($F$5:$F1462,$C$5:$C1462,$C1462,$B$5:$B1462,"Salida"))</f>
        <v/>
      </c>
      <c r="J1462" s="20"/>
      <c r="K1462" s="20"/>
      <c r="L1462" s="20"/>
      <c r="M1462" s="14" t="str">
        <f>IF(AND($C1462&lt;&gt;"",$C1462=Kardex!$C$4),COUNTIF($C$5:$C1462,Kardex!$C$4),"")</f>
        <v/>
      </c>
    </row>
    <row r="1463" spans="1:13" x14ac:dyDescent="0.25">
      <c r="A1463" s="24"/>
      <c r="B1463" s="20"/>
      <c r="C1463" s="20"/>
      <c r="D1463" s="14" t="str">
        <f>IF($C1463="","",IFERROR(INDEX(Productos!$B$5:$B$504,MATCH($C1463,Productos!$A$5:$A$504,0)),"Clave no existe"))</f>
        <v/>
      </c>
      <c r="E1463" s="14" t="str">
        <f>IF($C1463="","",IFERROR(INDEX(Productos!$D$5:$D$504,MATCH($C1463,Productos!$A$5:$A$504,0)),""))</f>
        <v/>
      </c>
      <c r="F1463" s="20"/>
      <c r="G1463" s="22" t="str">
        <f>IF($C1463="","",IFERROR(INDEX(Productos!$F$5:$F$504,MATCH($C1463,Productos!$A$5:$A$504,0)),0))</f>
        <v/>
      </c>
      <c r="H1463" s="22" t="str">
        <f t="shared" si="22"/>
        <v/>
      </c>
      <c r="I1463" s="14" t="str">
        <f>IF(OR($C1463="",$F1463=""),"",IFERROR(INDEX(Productos!$I$5:$I$504,MATCH($C1463,Productos!$A$5:$A$504,0)),0)+SUMIFS($F$5:$F1463,$C$5:$C1463,$C1463,$B$5:$B1463,"Entrada")-SUMIFS($F$5:$F1463,$C$5:$C1463,$C1463,$B$5:$B1463,"Salida"))</f>
        <v/>
      </c>
      <c r="J1463" s="20"/>
      <c r="K1463" s="20"/>
      <c r="L1463" s="20"/>
      <c r="M1463" s="14" t="str">
        <f>IF(AND($C1463&lt;&gt;"",$C1463=Kardex!$C$4),COUNTIF($C$5:$C1463,Kardex!$C$4),"")</f>
        <v/>
      </c>
    </row>
    <row r="1464" spans="1:13" x14ac:dyDescent="0.25">
      <c r="A1464" s="24"/>
      <c r="B1464" s="20"/>
      <c r="C1464" s="20"/>
      <c r="D1464" s="14" t="str">
        <f>IF($C1464="","",IFERROR(INDEX(Productos!$B$5:$B$504,MATCH($C1464,Productos!$A$5:$A$504,0)),"Clave no existe"))</f>
        <v/>
      </c>
      <c r="E1464" s="14" t="str">
        <f>IF($C1464="","",IFERROR(INDEX(Productos!$D$5:$D$504,MATCH($C1464,Productos!$A$5:$A$504,0)),""))</f>
        <v/>
      </c>
      <c r="F1464" s="20"/>
      <c r="G1464" s="22" t="str">
        <f>IF($C1464="","",IFERROR(INDEX(Productos!$F$5:$F$504,MATCH($C1464,Productos!$A$5:$A$504,0)),0))</f>
        <v/>
      </c>
      <c r="H1464" s="22" t="str">
        <f t="shared" si="22"/>
        <v/>
      </c>
      <c r="I1464" s="14" t="str">
        <f>IF(OR($C1464="",$F1464=""),"",IFERROR(INDEX(Productos!$I$5:$I$504,MATCH($C1464,Productos!$A$5:$A$504,0)),0)+SUMIFS($F$5:$F1464,$C$5:$C1464,$C1464,$B$5:$B1464,"Entrada")-SUMIFS($F$5:$F1464,$C$5:$C1464,$C1464,$B$5:$B1464,"Salida"))</f>
        <v/>
      </c>
      <c r="J1464" s="20"/>
      <c r="K1464" s="20"/>
      <c r="L1464" s="20"/>
      <c r="M1464" s="14" t="str">
        <f>IF(AND($C1464&lt;&gt;"",$C1464=Kardex!$C$4),COUNTIF($C$5:$C1464,Kardex!$C$4),"")</f>
        <v/>
      </c>
    </row>
    <row r="1465" spans="1:13" x14ac:dyDescent="0.25">
      <c r="A1465" s="24"/>
      <c r="B1465" s="20"/>
      <c r="C1465" s="20"/>
      <c r="D1465" s="14" t="str">
        <f>IF($C1465="","",IFERROR(INDEX(Productos!$B$5:$B$504,MATCH($C1465,Productos!$A$5:$A$504,0)),"Clave no existe"))</f>
        <v/>
      </c>
      <c r="E1465" s="14" t="str">
        <f>IF($C1465="","",IFERROR(INDEX(Productos!$D$5:$D$504,MATCH($C1465,Productos!$A$5:$A$504,0)),""))</f>
        <v/>
      </c>
      <c r="F1465" s="20"/>
      <c r="G1465" s="22" t="str">
        <f>IF($C1465="","",IFERROR(INDEX(Productos!$F$5:$F$504,MATCH($C1465,Productos!$A$5:$A$504,0)),0))</f>
        <v/>
      </c>
      <c r="H1465" s="22" t="str">
        <f t="shared" si="22"/>
        <v/>
      </c>
      <c r="I1465" s="14" t="str">
        <f>IF(OR($C1465="",$F1465=""),"",IFERROR(INDEX(Productos!$I$5:$I$504,MATCH($C1465,Productos!$A$5:$A$504,0)),0)+SUMIFS($F$5:$F1465,$C$5:$C1465,$C1465,$B$5:$B1465,"Entrada")-SUMIFS($F$5:$F1465,$C$5:$C1465,$C1465,$B$5:$B1465,"Salida"))</f>
        <v/>
      </c>
      <c r="J1465" s="20"/>
      <c r="K1465" s="20"/>
      <c r="L1465" s="20"/>
      <c r="M1465" s="14" t="str">
        <f>IF(AND($C1465&lt;&gt;"",$C1465=Kardex!$C$4),COUNTIF($C$5:$C1465,Kardex!$C$4),"")</f>
        <v/>
      </c>
    </row>
    <row r="1466" spans="1:13" x14ac:dyDescent="0.25">
      <c r="A1466" s="24"/>
      <c r="B1466" s="20"/>
      <c r="C1466" s="20"/>
      <c r="D1466" s="14" t="str">
        <f>IF($C1466="","",IFERROR(INDEX(Productos!$B$5:$B$504,MATCH($C1466,Productos!$A$5:$A$504,0)),"Clave no existe"))</f>
        <v/>
      </c>
      <c r="E1466" s="14" t="str">
        <f>IF($C1466="","",IFERROR(INDEX(Productos!$D$5:$D$504,MATCH($C1466,Productos!$A$5:$A$504,0)),""))</f>
        <v/>
      </c>
      <c r="F1466" s="20"/>
      <c r="G1466" s="22" t="str">
        <f>IF($C1466="","",IFERROR(INDEX(Productos!$F$5:$F$504,MATCH($C1466,Productos!$A$5:$A$504,0)),0))</f>
        <v/>
      </c>
      <c r="H1466" s="22" t="str">
        <f t="shared" si="22"/>
        <v/>
      </c>
      <c r="I1466" s="14" t="str">
        <f>IF(OR($C1466="",$F1466=""),"",IFERROR(INDEX(Productos!$I$5:$I$504,MATCH($C1466,Productos!$A$5:$A$504,0)),0)+SUMIFS($F$5:$F1466,$C$5:$C1466,$C1466,$B$5:$B1466,"Entrada")-SUMIFS($F$5:$F1466,$C$5:$C1466,$C1466,$B$5:$B1466,"Salida"))</f>
        <v/>
      </c>
      <c r="J1466" s="20"/>
      <c r="K1466" s="20"/>
      <c r="L1466" s="20"/>
      <c r="M1466" s="14" t="str">
        <f>IF(AND($C1466&lt;&gt;"",$C1466=Kardex!$C$4),COUNTIF($C$5:$C1466,Kardex!$C$4),"")</f>
        <v/>
      </c>
    </row>
    <row r="1467" spans="1:13" x14ac:dyDescent="0.25">
      <c r="A1467" s="24"/>
      <c r="B1467" s="20"/>
      <c r="C1467" s="20"/>
      <c r="D1467" s="14" t="str">
        <f>IF($C1467="","",IFERROR(INDEX(Productos!$B$5:$B$504,MATCH($C1467,Productos!$A$5:$A$504,0)),"Clave no existe"))</f>
        <v/>
      </c>
      <c r="E1467" s="14" t="str">
        <f>IF($C1467="","",IFERROR(INDEX(Productos!$D$5:$D$504,MATCH($C1467,Productos!$A$5:$A$504,0)),""))</f>
        <v/>
      </c>
      <c r="F1467" s="20"/>
      <c r="G1467" s="22" t="str">
        <f>IF($C1467="","",IFERROR(INDEX(Productos!$F$5:$F$504,MATCH($C1467,Productos!$A$5:$A$504,0)),0))</f>
        <v/>
      </c>
      <c r="H1467" s="22" t="str">
        <f t="shared" si="22"/>
        <v/>
      </c>
      <c r="I1467" s="14" t="str">
        <f>IF(OR($C1467="",$F1467=""),"",IFERROR(INDEX(Productos!$I$5:$I$504,MATCH($C1467,Productos!$A$5:$A$504,0)),0)+SUMIFS($F$5:$F1467,$C$5:$C1467,$C1467,$B$5:$B1467,"Entrada")-SUMIFS($F$5:$F1467,$C$5:$C1467,$C1467,$B$5:$B1467,"Salida"))</f>
        <v/>
      </c>
      <c r="J1467" s="20"/>
      <c r="K1467" s="20"/>
      <c r="L1467" s="20"/>
      <c r="M1467" s="14" t="str">
        <f>IF(AND($C1467&lt;&gt;"",$C1467=Kardex!$C$4),COUNTIF($C$5:$C1467,Kardex!$C$4),"")</f>
        <v/>
      </c>
    </row>
    <row r="1468" spans="1:13" x14ac:dyDescent="0.25">
      <c r="A1468" s="24"/>
      <c r="B1468" s="20"/>
      <c r="C1468" s="20"/>
      <c r="D1468" s="14" t="str">
        <f>IF($C1468="","",IFERROR(INDEX(Productos!$B$5:$B$504,MATCH($C1468,Productos!$A$5:$A$504,0)),"Clave no existe"))</f>
        <v/>
      </c>
      <c r="E1468" s="14" t="str">
        <f>IF($C1468="","",IFERROR(INDEX(Productos!$D$5:$D$504,MATCH($C1468,Productos!$A$5:$A$504,0)),""))</f>
        <v/>
      </c>
      <c r="F1468" s="20"/>
      <c r="G1468" s="22" t="str">
        <f>IF($C1468="","",IFERROR(INDEX(Productos!$F$5:$F$504,MATCH($C1468,Productos!$A$5:$A$504,0)),0))</f>
        <v/>
      </c>
      <c r="H1468" s="22" t="str">
        <f t="shared" si="22"/>
        <v/>
      </c>
      <c r="I1468" s="14" t="str">
        <f>IF(OR($C1468="",$F1468=""),"",IFERROR(INDEX(Productos!$I$5:$I$504,MATCH($C1468,Productos!$A$5:$A$504,0)),0)+SUMIFS($F$5:$F1468,$C$5:$C1468,$C1468,$B$5:$B1468,"Entrada")-SUMIFS($F$5:$F1468,$C$5:$C1468,$C1468,$B$5:$B1468,"Salida"))</f>
        <v/>
      </c>
      <c r="J1468" s="20"/>
      <c r="K1468" s="20"/>
      <c r="L1468" s="20"/>
      <c r="M1468" s="14" t="str">
        <f>IF(AND($C1468&lt;&gt;"",$C1468=Kardex!$C$4),COUNTIF($C$5:$C1468,Kardex!$C$4),"")</f>
        <v/>
      </c>
    </row>
    <row r="1469" spans="1:13" x14ac:dyDescent="0.25">
      <c r="A1469" s="24"/>
      <c r="B1469" s="20"/>
      <c r="C1469" s="20"/>
      <c r="D1469" s="14" t="str">
        <f>IF($C1469="","",IFERROR(INDEX(Productos!$B$5:$B$504,MATCH($C1469,Productos!$A$5:$A$504,0)),"Clave no existe"))</f>
        <v/>
      </c>
      <c r="E1469" s="14" t="str">
        <f>IF($C1469="","",IFERROR(INDEX(Productos!$D$5:$D$504,MATCH($C1469,Productos!$A$5:$A$504,0)),""))</f>
        <v/>
      </c>
      <c r="F1469" s="20"/>
      <c r="G1469" s="22" t="str">
        <f>IF($C1469="","",IFERROR(INDEX(Productos!$F$5:$F$504,MATCH($C1469,Productos!$A$5:$A$504,0)),0))</f>
        <v/>
      </c>
      <c r="H1469" s="22" t="str">
        <f t="shared" si="22"/>
        <v/>
      </c>
      <c r="I1469" s="14" t="str">
        <f>IF(OR($C1469="",$F1469=""),"",IFERROR(INDEX(Productos!$I$5:$I$504,MATCH($C1469,Productos!$A$5:$A$504,0)),0)+SUMIFS($F$5:$F1469,$C$5:$C1469,$C1469,$B$5:$B1469,"Entrada")-SUMIFS($F$5:$F1469,$C$5:$C1469,$C1469,$B$5:$B1469,"Salida"))</f>
        <v/>
      </c>
      <c r="J1469" s="20"/>
      <c r="K1469" s="20"/>
      <c r="L1469" s="20"/>
      <c r="M1469" s="14" t="str">
        <f>IF(AND($C1469&lt;&gt;"",$C1469=Kardex!$C$4),COUNTIF($C$5:$C1469,Kardex!$C$4),"")</f>
        <v/>
      </c>
    </row>
    <row r="1470" spans="1:13" x14ac:dyDescent="0.25">
      <c r="A1470" s="24"/>
      <c r="B1470" s="20"/>
      <c r="C1470" s="20"/>
      <c r="D1470" s="14" t="str">
        <f>IF($C1470="","",IFERROR(INDEX(Productos!$B$5:$B$504,MATCH($C1470,Productos!$A$5:$A$504,0)),"Clave no existe"))</f>
        <v/>
      </c>
      <c r="E1470" s="14" t="str">
        <f>IF($C1470="","",IFERROR(INDEX(Productos!$D$5:$D$504,MATCH($C1470,Productos!$A$5:$A$504,0)),""))</f>
        <v/>
      </c>
      <c r="F1470" s="20"/>
      <c r="G1470" s="22" t="str">
        <f>IF($C1470="","",IFERROR(INDEX(Productos!$F$5:$F$504,MATCH($C1470,Productos!$A$5:$A$504,0)),0))</f>
        <v/>
      </c>
      <c r="H1470" s="22" t="str">
        <f t="shared" si="22"/>
        <v/>
      </c>
      <c r="I1470" s="14" t="str">
        <f>IF(OR($C1470="",$F1470=""),"",IFERROR(INDEX(Productos!$I$5:$I$504,MATCH($C1470,Productos!$A$5:$A$504,0)),0)+SUMIFS($F$5:$F1470,$C$5:$C1470,$C1470,$B$5:$B1470,"Entrada")-SUMIFS($F$5:$F1470,$C$5:$C1470,$C1470,$B$5:$B1470,"Salida"))</f>
        <v/>
      </c>
      <c r="J1470" s="20"/>
      <c r="K1470" s="20"/>
      <c r="L1470" s="20"/>
      <c r="M1470" s="14" t="str">
        <f>IF(AND($C1470&lt;&gt;"",$C1470=Kardex!$C$4),COUNTIF($C$5:$C1470,Kardex!$C$4),"")</f>
        <v/>
      </c>
    </row>
    <row r="1471" spans="1:13" x14ac:dyDescent="0.25">
      <c r="A1471" s="24"/>
      <c r="B1471" s="20"/>
      <c r="C1471" s="20"/>
      <c r="D1471" s="14" t="str">
        <f>IF($C1471="","",IFERROR(INDEX(Productos!$B$5:$B$504,MATCH($C1471,Productos!$A$5:$A$504,0)),"Clave no existe"))</f>
        <v/>
      </c>
      <c r="E1471" s="14" t="str">
        <f>IF($C1471="","",IFERROR(INDEX(Productos!$D$5:$D$504,MATCH($C1471,Productos!$A$5:$A$504,0)),""))</f>
        <v/>
      </c>
      <c r="F1471" s="20"/>
      <c r="G1471" s="22" t="str">
        <f>IF($C1471="","",IFERROR(INDEX(Productos!$F$5:$F$504,MATCH($C1471,Productos!$A$5:$A$504,0)),0))</f>
        <v/>
      </c>
      <c r="H1471" s="22" t="str">
        <f t="shared" si="22"/>
        <v/>
      </c>
      <c r="I1471" s="14" t="str">
        <f>IF(OR($C1471="",$F1471=""),"",IFERROR(INDEX(Productos!$I$5:$I$504,MATCH($C1471,Productos!$A$5:$A$504,0)),0)+SUMIFS($F$5:$F1471,$C$5:$C1471,$C1471,$B$5:$B1471,"Entrada")-SUMIFS($F$5:$F1471,$C$5:$C1471,$C1471,$B$5:$B1471,"Salida"))</f>
        <v/>
      </c>
      <c r="J1471" s="20"/>
      <c r="K1471" s="20"/>
      <c r="L1471" s="20"/>
      <c r="M1471" s="14" t="str">
        <f>IF(AND($C1471&lt;&gt;"",$C1471=Kardex!$C$4),COUNTIF($C$5:$C1471,Kardex!$C$4),"")</f>
        <v/>
      </c>
    </row>
    <row r="1472" spans="1:13" x14ac:dyDescent="0.25">
      <c r="A1472" s="24"/>
      <c r="B1472" s="20"/>
      <c r="C1472" s="20"/>
      <c r="D1472" s="14" t="str">
        <f>IF($C1472="","",IFERROR(INDEX(Productos!$B$5:$B$504,MATCH($C1472,Productos!$A$5:$A$504,0)),"Clave no existe"))</f>
        <v/>
      </c>
      <c r="E1472" s="14" t="str">
        <f>IF($C1472="","",IFERROR(INDEX(Productos!$D$5:$D$504,MATCH($C1472,Productos!$A$5:$A$504,0)),""))</f>
        <v/>
      </c>
      <c r="F1472" s="20"/>
      <c r="G1472" s="22" t="str">
        <f>IF($C1472="","",IFERROR(INDEX(Productos!$F$5:$F$504,MATCH($C1472,Productos!$A$5:$A$504,0)),0))</f>
        <v/>
      </c>
      <c r="H1472" s="22" t="str">
        <f t="shared" si="22"/>
        <v/>
      </c>
      <c r="I1472" s="14" t="str">
        <f>IF(OR($C1472="",$F1472=""),"",IFERROR(INDEX(Productos!$I$5:$I$504,MATCH($C1472,Productos!$A$5:$A$504,0)),0)+SUMIFS($F$5:$F1472,$C$5:$C1472,$C1472,$B$5:$B1472,"Entrada")-SUMIFS($F$5:$F1472,$C$5:$C1472,$C1472,$B$5:$B1472,"Salida"))</f>
        <v/>
      </c>
      <c r="J1472" s="20"/>
      <c r="K1472" s="20"/>
      <c r="L1472" s="20"/>
      <c r="M1472" s="14" t="str">
        <f>IF(AND($C1472&lt;&gt;"",$C1472=Kardex!$C$4),COUNTIF($C$5:$C1472,Kardex!$C$4),"")</f>
        <v/>
      </c>
    </row>
    <row r="1473" spans="1:13" x14ac:dyDescent="0.25">
      <c r="A1473" s="24"/>
      <c r="B1473" s="20"/>
      <c r="C1473" s="20"/>
      <c r="D1473" s="14" t="str">
        <f>IF($C1473="","",IFERROR(INDEX(Productos!$B$5:$B$504,MATCH($C1473,Productos!$A$5:$A$504,0)),"Clave no existe"))</f>
        <v/>
      </c>
      <c r="E1473" s="14" t="str">
        <f>IF($C1473="","",IFERROR(INDEX(Productos!$D$5:$D$504,MATCH($C1473,Productos!$A$5:$A$504,0)),""))</f>
        <v/>
      </c>
      <c r="F1473" s="20"/>
      <c r="G1473" s="22" t="str">
        <f>IF($C1473="","",IFERROR(INDEX(Productos!$F$5:$F$504,MATCH($C1473,Productos!$A$5:$A$504,0)),0))</f>
        <v/>
      </c>
      <c r="H1473" s="22" t="str">
        <f t="shared" si="22"/>
        <v/>
      </c>
      <c r="I1473" s="14" t="str">
        <f>IF(OR($C1473="",$F1473=""),"",IFERROR(INDEX(Productos!$I$5:$I$504,MATCH($C1473,Productos!$A$5:$A$504,0)),0)+SUMIFS($F$5:$F1473,$C$5:$C1473,$C1473,$B$5:$B1473,"Entrada")-SUMIFS($F$5:$F1473,$C$5:$C1473,$C1473,$B$5:$B1473,"Salida"))</f>
        <v/>
      </c>
      <c r="J1473" s="20"/>
      <c r="K1473" s="20"/>
      <c r="L1473" s="20"/>
      <c r="M1473" s="14" t="str">
        <f>IF(AND($C1473&lt;&gt;"",$C1473=Kardex!$C$4),COUNTIF($C$5:$C1473,Kardex!$C$4),"")</f>
        <v/>
      </c>
    </row>
    <row r="1474" spans="1:13" x14ac:dyDescent="0.25">
      <c r="A1474" s="24"/>
      <c r="B1474" s="20"/>
      <c r="C1474" s="20"/>
      <c r="D1474" s="14" t="str">
        <f>IF($C1474="","",IFERROR(INDEX(Productos!$B$5:$B$504,MATCH($C1474,Productos!$A$5:$A$504,0)),"Clave no existe"))</f>
        <v/>
      </c>
      <c r="E1474" s="14" t="str">
        <f>IF($C1474="","",IFERROR(INDEX(Productos!$D$5:$D$504,MATCH($C1474,Productos!$A$5:$A$504,0)),""))</f>
        <v/>
      </c>
      <c r="F1474" s="20"/>
      <c r="G1474" s="22" t="str">
        <f>IF($C1474="","",IFERROR(INDEX(Productos!$F$5:$F$504,MATCH($C1474,Productos!$A$5:$A$504,0)),0))</f>
        <v/>
      </c>
      <c r="H1474" s="22" t="str">
        <f t="shared" si="22"/>
        <v/>
      </c>
      <c r="I1474" s="14" t="str">
        <f>IF(OR($C1474="",$F1474=""),"",IFERROR(INDEX(Productos!$I$5:$I$504,MATCH($C1474,Productos!$A$5:$A$504,0)),0)+SUMIFS($F$5:$F1474,$C$5:$C1474,$C1474,$B$5:$B1474,"Entrada")-SUMIFS($F$5:$F1474,$C$5:$C1474,$C1474,$B$5:$B1474,"Salida"))</f>
        <v/>
      </c>
      <c r="J1474" s="20"/>
      <c r="K1474" s="20"/>
      <c r="L1474" s="20"/>
      <c r="M1474" s="14" t="str">
        <f>IF(AND($C1474&lt;&gt;"",$C1474=Kardex!$C$4),COUNTIF($C$5:$C1474,Kardex!$C$4),"")</f>
        <v/>
      </c>
    </row>
    <row r="1475" spans="1:13" x14ac:dyDescent="0.25">
      <c r="A1475" s="24"/>
      <c r="B1475" s="20"/>
      <c r="C1475" s="20"/>
      <c r="D1475" s="14" t="str">
        <f>IF($C1475="","",IFERROR(INDEX(Productos!$B$5:$B$504,MATCH($C1475,Productos!$A$5:$A$504,0)),"Clave no existe"))</f>
        <v/>
      </c>
      <c r="E1475" s="14" t="str">
        <f>IF($C1475="","",IFERROR(INDEX(Productos!$D$5:$D$504,MATCH($C1475,Productos!$A$5:$A$504,0)),""))</f>
        <v/>
      </c>
      <c r="F1475" s="20"/>
      <c r="G1475" s="22" t="str">
        <f>IF($C1475="","",IFERROR(INDEX(Productos!$F$5:$F$504,MATCH($C1475,Productos!$A$5:$A$504,0)),0))</f>
        <v/>
      </c>
      <c r="H1475" s="22" t="str">
        <f t="shared" si="22"/>
        <v/>
      </c>
      <c r="I1475" s="14" t="str">
        <f>IF(OR($C1475="",$F1475=""),"",IFERROR(INDEX(Productos!$I$5:$I$504,MATCH($C1475,Productos!$A$5:$A$504,0)),0)+SUMIFS($F$5:$F1475,$C$5:$C1475,$C1475,$B$5:$B1475,"Entrada")-SUMIFS($F$5:$F1475,$C$5:$C1475,$C1475,$B$5:$B1475,"Salida"))</f>
        <v/>
      </c>
      <c r="J1475" s="20"/>
      <c r="K1475" s="20"/>
      <c r="L1475" s="20"/>
      <c r="M1475" s="14" t="str">
        <f>IF(AND($C1475&lt;&gt;"",$C1475=Kardex!$C$4),COUNTIF($C$5:$C1475,Kardex!$C$4),"")</f>
        <v/>
      </c>
    </row>
    <row r="1476" spans="1:13" x14ac:dyDescent="0.25">
      <c r="A1476" s="24"/>
      <c r="B1476" s="20"/>
      <c r="C1476" s="20"/>
      <c r="D1476" s="14" t="str">
        <f>IF($C1476="","",IFERROR(INDEX(Productos!$B$5:$B$504,MATCH($C1476,Productos!$A$5:$A$504,0)),"Clave no existe"))</f>
        <v/>
      </c>
      <c r="E1476" s="14" t="str">
        <f>IF($C1476="","",IFERROR(INDEX(Productos!$D$5:$D$504,MATCH($C1476,Productos!$A$5:$A$504,0)),""))</f>
        <v/>
      </c>
      <c r="F1476" s="20"/>
      <c r="G1476" s="22" t="str">
        <f>IF($C1476="","",IFERROR(INDEX(Productos!$F$5:$F$504,MATCH($C1476,Productos!$A$5:$A$504,0)),0))</f>
        <v/>
      </c>
      <c r="H1476" s="22" t="str">
        <f t="shared" si="22"/>
        <v/>
      </c>
      <c r="I1476" s="14" t="str">
        <f>IF(OR($C1476="",$F1476=""),"",IFERROR(INDEX(Productos!$I$5:$I$504,MATCH($C1476,Productos!$A$5:$A$504,0)),0)+SUMIFS($F$5:$F1476,$C$5:$C1476,$C1476,$B$5:$B1476,"Entrada")-SUMIFS($F$5:$F1476,$C$5:$C1476,$C1476,$B$5:$B1476,"Salida"))</f>
        <v/>
      </c>
      <c r="J1476" s="20"/>
      <c r="K1476" s="20"/>
      <c r="L1476" s="20"/>
      <c r="M1476" s="14" t="str">
        <f>IF(AND($C1476&lt;&gt;"",$C1476=Kardex!$C$4),COUNTIF($C$5:$C1476,Kardex!$C$4),"")</f>
        <v/>
      </c>
    </row>
    <row r="1477" spans="1:13" x14ac:dyDescent="0.25">
      <c r="A1477" s="24"/>
      <c r="B1477" s="20"/>
      <c r="C1477" s="20"/>
      <c r="D1477" s="14" t="str">
        <f>IF($C1477="","",IFERROR(INDEX(Productos!$B$5:$B$504,MATCH($C1477,Productos!$A$5:$A$504,0)),"Clave no existe"))</f>
        <v/>
      </c>
      <c r="E1477" s="14" t="str">
        <f>IF($C1477="","",IFERROR(INDEX(Productos!$D$5:$D$504,MATCH($C1477,Productos!$A$5:$A$504,0)),""))</f>
        <v/>
      </c>
      <c r="F1477" s="20"/>
      <c r="G1477" s="22" t="str">
        <f>IF($C1477="","",IFERROR(INDEX(Productos!$F$5:$F$504,MATCH($C1477,Productos!$A$5:$A$504,0)),0))</f>
        <v/>
      </c>
      <c r="H1477" s="22" t="str">
        <f t="shared" ref="H1477:H1540" si="23">IF(OR($C1477="",$F1477=""),"",F1477*G1477)</f>
        <v/>
      </c>
      <c r="I1477" s="14" t="str">
        <f>IF(OR($C1477="",$F1477=""),"",IFERROR(INDEX(Productos!$I$5:$I$504,MATCH($C1477,Productos!$A$5:$A$504,0)),0)+SUMIFS($F$5:$F1477,$C$5:$C1477,$C1477,$B$5:$B1477,"Entrada")-SUMIFS($F$5:$F1477,$C$5:$C1477,$C1477,$B$5:$B1477,"Salida"))</f>
        <v/>
      </c>
      <c r="J1477" s="20"/>
      <c r="K1477" s="20"/>
      <c r="L1477" s="20"/>
      <c r="M1477" s="14" t="str">
        <f>IF(AND($C1477&lt;&gt;"",$C1477=Kardex!$C$4),COUNTIF($C$5:$C1477,Kardex!$C$4),"")</f>
        <v/>
      </c>
    </row>
    <row r="1478" spans="1:13" x14ac:dyDescent="0.25">
      <c r="A1478" s="24"/>
      <c r="B1478" s="20"/>
      <c r="C1478" s="20"/>
      <c r="D1478" s="14" t="str">
        <f>IF($C1478="","",IFERROR(INDEX(Productos!$B$5:$B$504,MATCH($C1478,Productos!$A$5:$A$504,0)),"Clave no existe"))</f>
        <v/>
      </c>
      <c r="E1478" s="14" t="str">
        <f>IF($C1478="","",IFERROR(INDEX(Productos!$D$5:$D$504,MATCH($C1478,Productos!$A$5:$A$504,0)),""))</f>
        <v/>
      </c>
      <c r="F1478" s="20"/>
      <c r="G1478" s="22" t="str">
        <f>IF($C1478="","",IFERROR(INDEX(Productos!$F$5:$F$504,MATCH($C1478,Productos!$A$5:$A$504,0)),0))</f>
        <v/>
      </c>
      <c r="H1478" s="22" t="str">
        <f t="shared" si="23"/>
        <v/>
      </c>
      <c r="I1478" s="14" t="str">
        <f>IF(OR($C1478="",$F1478=""),"",IFERROR(INDEX(Productos!$I$5:$I$504,MATCH($C1478,Productos!$A$5:$A$504,0)),0)+SUMIFS($F$5:$F1478,$C$5:$C1478,$C1478,$B$5:$B1478,"Entrada")-SUMIFS($F$5:$F1478,$C$5:$C1478,$C1478,$B$5:$B1478,"Salida"))</f>
        <v/>
      </c>
      <c r="J1478" s="20"/>
      <c r="K1478" s="20"/>
      <c r="L1478" s="20"/>
      <c r="M1478" s="14" t="str">
        <f>IF(AND($C1478&lt;&gt;"",$C1478=Kardex!$C$4),COUNTIF($C$5:$C1478,Kardex!$C$4),"")</f>
        <v/>
      </c>
    </row>
    <row r="1479" spans="1:13" x14ac:dyDescent="0.25">
      <c r="A1479" s="24"/>
      <c r="B1479" s="20"/>
      <c r="C1479" s="20"/>
      <c r="D1479" s="14" t="str">
        <f>IF($C1479="","",IFERROR(INDEX(Productos!$B$5:$B$504,MATCH($C1479,Productos!$A$5:$A$504,0)),"Clave no existe"))</f>
        <v/>
      </c>
      <c r="E1479" s="14" t="str">
        <f>IF($C1479="","",IFERROR(INDEX(Productos!$D$5:$D$504,MATCH($C1479,Productos!$A$5:$A$504,0)),""))</f>
        <v/>
      </c>
      <c r="F1479" s="20"/>
      <c r="G1479" s="22" t="str">
        <f>IF($C1479="","",IFERROR(INDEX(Productos!$F$5:$F$504,MATCH($C1479,Productos!$A$5:$A$504,0)),0))</f>
        <v/>
      </c>
      <c r="H1479" s="22" t="str">
        <f t="shared" si="23"/>
        <v/>
      </c>
      <c r="I1479" s="14" t="str">
        <f>IF(OR($C1479="",$F1479=""),"",IFERROR(INDEX(Productos!$I$5:$I$504,MATCH($C1479,Productos!$A$5:$A$504,0)),0)+SUMIFS($F$5:$F1479,$C$5:$C1479,$C1479,$B$5:$B1479,"Entrada")-SUMIFS($F$5:$F1479,$C$5:$C1479,$C1479,$B$5:$B1479,"Salida"))</f>
        <v/>
      </c>
      <c r="J1479" s="20"/>
      <c r="K1479" s="20"/>
      <c r="L1479" s="20"/>
      <c r="M1479" s="14" t="str">
        <f>IF(AND($C1479&lt;&gt;"",$C1479=Kardex!$C$4),COUNTIF($C$5:$C1479,Kardex!$C$4),"")</f>
        <v/>
      </c>
    </row>
    <row r="1480" spans="1:13" x14ac:dyDescent="0.25">
      <c r="A1480" s="24"/>
      <c r="B1480" s="20"/>
      <c r="C1480" s="20"/>
      <c r="D1480" s="14" t="str">
        <f>IF($C1480="","",IFERROR(INDEX(Productos!$B$5:$B$504,MATCH($C1480,Productos!$A$5:$A$504,0)),"Clave no existe"))</f>
        <v/>
      </c>
      <c r="E1480" s="14" t="str">
        <f>IF($C1480="","",IFERROR(INDEX(Productos!$D$5:$D$504,MATCH($C1480,Productos!$A$5:$A$504,0)),""))</f>
        <v/>
      </c>
      <c r="F1480" s="20"/>
      <c r="G1480" s="22" t="str">
        <f>IF($C1480="","",IFERROR(INDEX(Productos!$F$5:$F$504,MATCH($C1480,Productos!$A$5:$A$504,0)),0))</f>
        <v/>
      </c>
      <c r="H1480" s="22" t="str">
        <f t="shared" si="23"/>
        <v/>
      </c>
      <c r="I1480" s="14" t="str">
        <f>IF(OR($C1480="",$F1480=""),"",IFERROR(INDEX(Productos!$I$5:$I$504,MATCH($C1480,Productos!$A$5:$A$504,0)),0)+SUMIFS($F$5:$F1480,$C$5:$C1480,$C1480,$B$5:$B1480,"Entrada")-SUMIFS($F$5:$F1480,$C$5:$C1480,$C1480,$B$5:$B1480,"Salida"))</f>
        <v/>
      </c>
      <c r="J1480" s="20"/>
      <c r="K1480" s="20"/>
      <c r="L1480" s="20"/>
      <c r="M1480" s="14" t="str">
        <f>IF(AND($C1480&lt;&gt;"",$C1480=Kardex!$C$4),COUNTIF($C$5:$C1480,Kardex!$C$4),"")</f>
        <v/>
      </c>
    </row>
    <row r="1481" spans="1:13" x14ac:dyDescent="0.25">
      <c r="A1481" s="24"/>
      <c r="B1481" s="20"/>
      <c r="C1481" s="20"/>
      <c r="D1481" s="14" t="str">
        <f>IF($C1481="","",IFERROR(INDEX(Productos!$B$5:$B$504,MATCH($C1481,Productos!$A$5:$A$504,0)),"Clave no existe"))</f>
        <v/>
      </c>
      <c r="E1481" s="14" t="str">
        <f>IF($C1481="","",IFERROR(INDEX(Productos!$D$5:$D$504,MATCH($C1481,Productos!$A$5:$A$504,0)),""))</f>
        <v/>
      </c>
      <c r="F1481" s="20"/>
      <c r="G1481" s="22" t="str">
        <f>IF($C1481="","",IFERROR(INDEX(Productos!$F$5:$F$504,MATCH($C1481,Productos!$A$5:$A$504,0)),0))</f>
        <v/>
      </c>
      <c r="H1481" s="22" t="str">
        <f t="shared" si="23"/>
        <v/>
      </c>
      <c r="I1481" s="14" t="str">
        <f>IF(OR($C1481="",$F1481=""),"",IFERROR(INDEX(Productos!$I$5:$I$504,MATCH($C1481,Productos!$A$5:$A$504,0)),0)+SUMIFS($F$5:$F1481,$C$5:$C1481,$C1481,$B$5:$B1481,"Entrada")-SUMIFS($F$5:$F1481,$C$5:$C1481,$C1481,$B$5:$B1481,"Salida"))</f>
        <v/>
      </c>
      <c r="J1481" s="20"/>
      <c r="K1481" s="20"/>
      <c r="L1481" s="20"/>
      <c r="M1481" s="14" t="str">
        <f>IF(AND($C1481&lt;&gt;"",$C1481=Kardex!$C$4),COUNTIF($C$5:$C1481,Kardex!$C$4),"")</f>
        <v/>
      </c>
    </row>
    <row r="1482" spans="1:13" x14ac:dyDescent="0.25">
      <c r="A1482" s="24"/>
      <c r="B1482" s="20"/>
      <c r="C1482" s="20"/>
      <c r="D1482" s="14" t="str">
        <f>IF($C1482="","",IFERROR(INDEX(Productos!$B$5:$B$504,MATCH($C1482,Productos!$A$5:$A$504,0)),"Clave no existe"))</f>
        <v/>
      </c>
      <c r="E1482" s="14" t="str">
        <f>IF($C1482="","",IFERROR(INDEX(Productos!$D$5:$D$504,MATCH($C1482,Productos!$A$5:$A$504,0)),""))</f>
        <v/>
      </c>
      <c r="F1482" s="20"/>
      <c r="G1482" s="22" t="str">
        <f>IF($C1482="","",IFERROR(INDEX(Productos!$F$5:$F$504,MATCH($C1482,Productos!$A$5:$A$504,0)),0))</f>
        <v/>
      </c>
      <c r="H1482" s="22" t="str">
        <f t="shared" si="23"/>
        <v/>
      </c>
      <c r="I1482" s="14" t="str">
        <f>IF(OR($C1482="",$F1482=""),"",IFERROR(INDEX(Productos!$I$5:$I$504,MATCH($C1482,Productos!$A$5:$A$504,0)),0)+SUMIFS($F$5:$F1482,$C$5:$C1482,$C1482,$B$5:$B1482,"Entrada")-SUMIFS($F$5:$F1482,$C$5:$C1482,$C1482,$B$5:$B1482,"Salida"))</f>
        <v/>
      </c>
      <c r="J1482" s="20"/>
      <c r="K1482" s="20"/>
      <c r="L1482" s="20"/>
      <c r="M1482" s="14" t="str">
        <f>IF(AND($C1482&lt;&gt;"",$C1482=Kardex!$C$4),COUNTIF($C$5:$C1482,Kardex!$C$4),"")</f>
        <v/>
      </c>
    </row>
    <row r="1483" spans="1:13" x14ac:dyDescent="0.25">
      <c r="A1483" s="24"/>
      <c r="B1483" s="20"/>
      <c r="C1483" s="20"/>
      <c r="D1483" s="14" t="str">
        <f>IF($C1483="","",IFERROR(INDEX(Productos!$B$5:$B$504,MATCH($C1483,Productos!$A$5:$A$504,0)),"Clave no existe"))</f>
        <v/>
      </c>
      <c r="E1483" s="14" t="str">
        <f>IF($C1483="","",IFERROR(INDEX(Productos!$D$5:$D$504,MATCH($C1483,Productos!$A$5:$A$504,0)),""))</f>
        <v/>
      </c>
      <c r="F1483" s="20"/>
      <c r="G1483" s="22" t="str">
        <f>IF($C1483="","",IFERROR(INDEX(Productos!$F$5:$F$504,MATCH($C1483,Productos!$A$5:$A$504,0)),0))</f>
        <v/>
      </c>
      <c r="H1483" s="22" t="str">
        <f t="shared" si="23"/>
        <v/>
      </c>
      <c r="I1483" s="14" t="str">
        <f>IF(OR($C1483="",$F1483=""),"",IFERROR(INDEX(Productos!$I$5:$I$504,MATCH($C1483,Productos!$A$5:$A$504,0)),0)+SUMIFS($F$5:$F1483,$C$5:$C1483,$C1483,$B$5:$B1483,"Entrada")-SUMIFS($F$5:$F1483,$C$5:$C1483,$C1483,$B$5:$B1483,"Salida"))</f>
        <v/>
      </c>
      <c r="J1483" s="20"/>
      <c r="K1483" s="20"/>
      <c r="L1483" s="20"/>
      <c r="M1483" s="14" t="str">
        <f>IF(AND($C1483&lt;&gt;"",$C1483=Kardex!$C$4),COUNTIF($C$5:$C1483,Kardex!$C$4),"")</f>
        <v/>
      </c>
    </row>
    <row r="1484" spans="1:13" x14ac:dyDescent="0.25">
      <c r="A1484" s="24"/>
      <c r="B1484" s="20"/>
      <c r="C1484" s="20"/>
      <c r="D1484" s="14" t="str">
        <f>IF($C1484="","",IFERROR(INDEX(Productos!$B$5:$B$504,MATCH($C1484,Productos!$A$5:$A$504,0)),"Clave no existe"))</f>
        <v/>
      </c>
      <c r="E1484" s="14" t="str">
        <f>IF($C1484="","",IFERROR(INDEX(Productos!$D$5:$D$504,MATCH($C1484,Productos!$A$5:$A$504,0)),""))</f>
        <v/>
      </c>
      <c r="F1484" s="20"/>
      <c r="G1484" s="22" t="str">
        <f>IF($C1484="","",IFERROR(INDEX(Productos!$F$5:$F$504,MATCH($C1484,Productos!$A$5:$A$504,0)),0))</f>
        <v/>
      </c>
      <c r="H1484" s="22" t="str">
        <f t="shared" si="23"/>
        <v/>
      </c>
      <c r="I1484" s="14" t="str">
        <f>IF(OR($C1484="",$F1484=""),"",IFERROR(INDEX(Productos!$I$5:$I$504,MATCH($C1484,Productos!$A$5:$A$504,0)),0)+SUMIFS($F$5:$F1484,$C$5:$C1484,$C1484,$B$5:$B1484,"Entrada")-SUMIFS($F$5:$F1484,$C$5:$C1484,$C1484,$B$5:$B1484,"Salida"))</f>
        <v/>
      </c>
      <c r="J1484" s="20"/>
      <c r="K1484" s="20"/>
      <c r="L1484" s="20"/>
      <c r="M1484" s="14" t="str">
        <f>IF(AND($C1484&lt;&gt;"",$C1484=Kardex!$C$4),COUNTIF($C$5:$C1484,Kardex!$C$4),"")</f>
        <v/>
      </c>
    </row>
    <row r="1485" spans="1:13" x14ac:dyDescent="0.25">
      <c r="A1485" s="24"/>
      <c r="B1485" s="20"/>
      <c r="C1485" s="20"/>
      <c r="D1485" s="14" t="str">
        <f>IF($C1485="","",IFERROR(INDEX(Productos!$B$5:$B$504,MATCH($C1485,Productos!$A$5:$A$504,0)),"Clave no existe"))</f>
        <v/>
      </c>
      <c r="E1485" s="14" t="str">
        <f>IF($C1485="","",IFERROR(INDEX(Productos!$D$5:$D$504,MATCH($C1485,Productos!$A$5:$A$504,0)),""))</f>
        <v/>
      </c>
      <c r="F1485" s="20"/>
      <c r="G1485" s="22" t="str">
        <f>IF($C1485="","",IFERROR(INDEX(Productos!$F$5:$F$504,MATCH($C1485,Productos!$A$5:$A$504,0)),0))</f>
        <v/>
      </c>
      <c r="H1485" s="22" t="str">
        <f t="shared" si="23"/>
        <v/>
      </c>
      <c r="I1485" s="14" t="str">
        <f>IF(OR($C1485="",$F1485=""),"",IFERROR(INDEX(Productos!$I$5:$I$504,MATCH($C1485,Productos!$A$5:$A$504,0)),0)+SUMIFS($F$5:$F1485,$C$5:$C1485,$C1485,$B$5:$B1485,"Entrada")-SUMIFS($F$5:$F1485,$C$5:$C1485,$C1485,$B$5:$B1485,"Salida"))</f>
        <v/>
      </c>
      <c r="J1485" s="20"/>
      <c r="K1485" s="20"/>
      <c r="L1485" s="20"/>
      <c r="M1485" s="14" t="str">
        <f>IF(AND($C1485&lt;&gt;"",$C1485=Kardex!$C$4),COUNTIF($C$5:$C1485,Kardex!$C$4),"")</f>
        <v/>
      </c>
    </row>
    <row r="1486" spans="1:13" x14ac:dyDescent="0.25">
      <c r="A1486" s="24"/>
      <c r="B1486" s="20"/>
      <c r="C1486" s="20"/>
      <c r="D1486" s="14" t="str">
        <f>IF($C1486="","",IFERROR(INDEX(Productos!$B$5:$B$504,MATCH($C1486,Productos!$A$5:$A$504,0)),"Clave no existe"))</f>
        <v/>
      </c>
      <c r="E1486" s="14" t="str">
        <f>IF($C1486="","",IFERROR(INDEX(Productos!$D$5:$D$504,MATCH($C1486,Productos!$A$5:$A$504,0)),""))</f>
        <v/>
      </c>
      <c r="F1486" s="20"/>
      <c r="G1486" s="22" t="str">
        <f>IF($C1486="","",IFERROR(INDEX(Productos!$F$5:$F$504,MATCH($C1486,Productos!$A$5:$A$504,0)),0))</f>
        <v/>
      </c>
      <c r="H1486" s="22" t="str">
        <f t="shared" si="23"/>
        <v/>
      </c>
      <c r="I1486" s="14" t="str">
        <f>IF(OR($C1486="",$F1486=""),"",IFERROR(INDEX(Productos!$I$5:$I$504,MATCH($C1486,Productos!$A$5:$A$504,0)),0)+SUMIFS($F$5:$F1486,$C$5:$C1486,$C1486,$B$5:$B1486,"Entrada")-SUMIFS($F$5:$F1486,$C$5:$C1486,$C1486,$B$5:$B1486,"Salida"))</f>
        <v/>
      </c>
      <c r="J1486" s="20"/>
      <c r="K1486" s="20"/>
      <c r="L1486" s="20"/>
      <c r="M1486" s="14" t="str">
        <f>IF(AND($C1486&lt;&gt;"",$C1486=Kardex!$C$4),COUNTIF($C$5:$C1486,Kardex!$C$4),"")</f>
        <v/>
      </c>
    </row>
    <row r="1487" spans="1:13" x14ac:dyDescent="0.25">
      <c r="A1487" s="24"/>
      <c r="B1487" s="20"/>
      <c r="C1487" s="20"/>
      <c r="D1487" s="14" t="str">
        <f>IF($C1487="","",IFERROR(INDEX(Productos!$B$5:$B$504,MATCH($C1487,Productos!$A$5:$A$504,0)),"Clave no existe"))</f>
        <v/>
      </c>
      <c r="E1487" s="14" t="str">
        <f>IF($C1487="","",IFERROR(INDEX(Productos!$D$5:$D$504,MATCH($C1487,Productos!$A$5:$A$504,0)),""))</f>
        <v/>
      </c>
      <c r="F1487" s="20"/>
      <c r="G1487" s="22" t="str">
        <f>IF($C1487="","",IFERROR(INDEX(Productos!$F$5:$F$504,MATCH($C1487,Productos!$A$5:$A$504,0)),0))</f>
        <v/>
      </c>
      <c r="H1487" s="22" t="str">
        <f t="shared" si="23"/>
        <v/>
      </c>
      <c r="I1487" s="14" t="str">
        <f>IF(OR($C1487="",$F1487=""),"",IFERROR(INDEX(Productos!$I$5:$I$504,MATCH($C1487,Productos!$A$5:$A$504,0)),0)+SUMIFS($F$5:$F1487,$C$5:$C1487,$C1487,$B$5:$B1487,"Entrada")-SUMIFS($F$5:$F1487,$C$5:$C1487,$C1487,$B$5:$B1487,"Salida"))</f>
        <v/>
      </c>
      <c r="J1487" s="20"/>
      <c r="K1487" s="20"/>
      <c r="L1487" s="20"/>
      <c r="M1487" s="14" t="str">
        <f>IF(AND($C1487&lt;&gt;"",$C1487=Kardex!$C$4),COUNTIF($C$5:$C1487,Kardex!$C$4),"")</f>
        <v/>
      </c>
    </row>
    <row r="1488" spans="1:13" x14ac:dyDescent="0.25">
      <c r="A1488" s="24"/>
      <c r="B1488" s="20"/>
      <c r="C1488" s="20"/>
      <c r="D1488" s="14" t="str">
        <f>IF($C1488="","",IFERROR(INDEX(Productos!$B$5:$B$504,MATCH($C1488,Productos!$A$5:$A$504,0)),"Clave no existe"))</f>
        <v/>
      </c>
      <c r="E1488" s="14" t="str">
        <f>IF($C1488="","",IFERROR(INDEX(Productos!$D$5:$D$504,MATCH($C1488,Productos!$A$5:$A$504,0)),""))</f>
        <v/>
      </c>
      <c r="F1488" s="20"/>
      <c r="G1488" s="22" t="str">
        <f>IF($C1488="","",IFERROR(INDEX(Productos!$F$5:$F$504,MATCH($C1488,Productos!$A$5:$A$504,0)),0))</f>
        <v/>
      </c>
      <c r="H1488" s="22" t="str">
        <f t="shared" si="23"/>
        <v/>
      </c>
      <c r="I1488" s="14" t="str">
        <f>IF(OR($C1488="",$F1488=""),"",IFERROR(INDEX(Productos!$I$5:$I$504,MATCH($C1488,Productos!$A$5:$A$504,0)),0)+SUMIFS($F$5:$F1488,$C$5:$C1488,$C1488,$B$5:$B1488,"Entrada")-SUMIFS($F$5:$F1488,$C$5:$C1488,$C1488,$B$5:$B1488,"Salida"))</f>
        <v/>
      </c>
      <c r="J1488" s="20"/>
      <c r="K1488" s="20"/>
      <c r="L1488" s="20"/>
      <c r="M1488" s="14" t="str">
        <f>IF(AND($C1488&lt;&gt;"",$C1488=Kardex!$C$4),COUNTIF($C$5:$C1488,Kardex!$C$4),"")</f>
        <v/>
      </c>
    </row>
    <row r="1489" spans="1:13" x14ac:dyDescent="0.25">
      <c r="A1489" s="24"/>
      <c r="B1489" s="20"/>
      <c r="C1489" s="20"/>
      <c r="D1489" s="14" t="str">
        <f>IF($C1489="","",IFERROR(INDEX(Productos!$B$5:$B$504,MATCH($C1489,Productos!$A$5:$A$504,0)),"Clave no existe"))</f>
        <v/>
      </c>
      <c r="E1489" s="14" t="str">
        <f>IF($C1489="","",IFERROR(INDEX(Productos!$D$5:$D$504,MATCH($C1489,Productos!$A$5:$A$504,0)),""))</f>
        <v/>
      </c>
      <c r="F1489" s="20"/>
      <c r="G1489" s="22" t="str">
        <f>IF($C1489="","",IFERROR(INDEX(Productos!$F$5:$F$504,MATCH($C1489,Productos!$A$5:$A$504,0)),0))</f>
        <v/>
      </c>
      <c r="H1489" s="22" t="str">
        <f t="shared" si="23"/>
        <v/>
      </c>
      <c r="I1489" s="14" t="str">
        <f>IF(OR($C1489="",$F1489=""),"",IFERROR(INDEX(Productos!$I$5:$I$504,MATCH($C1489,Productos!$A$5:$A$504,0)),0)+SUMIFS($F$5:$F1489,$C$5:$C1489,$C1489,$B$5:$B1489,"Entrada")-SUMIFS($F$5:$F1489,$C$5:$C1489,$C1489,$B$5:$B1489,"Salida"))</f>
        <v/>
      </c>
      <c r="J1489" s="20"/>
      <c r="K1489" s="20"/>
      <c r="L1489" s="20"/>
      <c r="M1489" s="14" t="str">
        <f>IF(AND($C1489&lt;&gt;"",$C1489=Kardex!$C$4),COUNTIF($C$5:$C1489,Kardex!$C$4),"")</f>
        <v/>
      </c>
    </row>
    <row r="1490" spans="1:13" x14ac:dyDescent="0.25">
      <c r="A1490" s="24"/>
      <c r="B1490" s="20"/>
      <c r="C1490" s="20"/>
      <c r="D1490" s="14" t="str">
        <f>IF($C1490="","",IFERROR(INDEX(Productos!$B$5:$B$504,MATCH($C1490,Productos!$A$5:$A$504,0)),"Clave no existe"))</f>
        <v/>
      </c>
      <c r="E1490" s="14" t="str">
        <f>IF($C1490="","",IFERROR(INDEX(Productos!$D$5:$D$504,MATCH($C1490,Productos!$A$5:$A$504,0)),""))</f>
        <v/>
      </c>
      <c r="F1490" s="20"/>
      <c r="G1490" s="22" t="str">
        <f>IF($C1490="","",IFERROR(INDEX(Productos!$F$5:$F$504,MATCH($C1490,Productos!$A$5:$A$504,0)),0))</f>
        <v/>
      </c>
      <c r="H1490" s="22" t="str">
        <f t="shared" si="23"/>
        <v/>
      </c>
      <c r="I1490" s="14" t="str">
        <f>IF(OR($C1490="",$F1490=""),"",IFERROR(INDEX(Productos!$I$5:$I$504,MATCH($C1490,Productos!$A$5:$A$504,0)),0)+SUMIFS($F$5:$F1490,$C$5:$C1490,$C1490,$B$5:$B1490,"Entrada")-SUMIFS($F$5:$F1490,$C$5:$C1490,$C1490,$B$5:$B1490,"Salida"))</f>
        <v/>
      </c>
      <c r="J1490" s="20"/>
      <c r="K1490" s="20"/>
      <c r="L1490" s="20"/>
      <c r="M1490" s="14" t="str">
        <f>IF(AND($C1490&lt;&gt;"",$C1490=Kardex!$C$4),COUNTIF($C$5:$C1490,Kardex!$C$4),"")</f>
        <v/>
      </c>
    </row>
    <row r="1491" spans="1:13" x14ac:dyDescent="0.25">
      <c r="A1491" s="24"/>
      <c r="B1491" s="20"/>
      <c r="C1491" s="20"/>
      <c r="D1491" s="14" t="str">
        <f>IF($C1491="","",IFERROR(INDEX(Productos!$B$5:$B$504,MATCH($C1491,Productos!$A$5:$A$504,0)),"Clave no existe"))</f>
        <v/>
      </c>
      <c r="E1491" s="14" t="str">
        <f>IF($C1491="","",IFERROR(INDEX(Productos!$D$5:$D$504,MATCH($C1491,Productos!$A$5:$A$504,0)),""))</f>
        <v/>
      </c>
      <c r="F1491" s="20"/>
      <c r="G1491" s="22" t="str">
        <f>IF($C1491="","",IFERROR(INDEX(Productos!$F$5:$F$504,MATCH($C1491,Productos!$A$5:$A$504,0)),0))</f>
        <v/>
      </c>
      <c r="H1491" s="22" t="str">
        <f t="shared" si="23"/>
        <v/>
      </c>
      <c r="I1491" s="14" t="str">
        <f>IF(OR($C1491="",$F1491=""),"",IFERROR(INDEX(Productos!$I$5:$I$504,MATCH($C1491,Productos!$A$5:$A$504,0)),0)+SUMIFS($F$5:$F1491,$C$5:$C1491,$C1491,$B$5:$B1491,"Entrada")-SUMIFS($F$5:$F1491,$C$5:$C1491,$C1491,$B$5:$B1491,"Salida"))</f>
        <v/>
      </c>
      <c r="J1491" s="20"/>
      <c r="K1491" s="20"/>
      <c r="L1491" s="20"/>
      <c r="M1491" s="14" t="str">
        <f>IF(AND($C1491&lt;&gt;"",$C1491=Kardex!$C$4),COUNTIF($C$5:$C1491,Kardex!$C$4),"")</f>
        <v/>
      </c>
    </row>
    <row r="1492" spans="1:13" x14ac:dyDescent="0.25">
      <c r="A1492" s="24"/>
      <c r="B1492" s="20"/>
      <c r="C1492" s="20"/>
      <c r="D1492" s="14" t="str">
        <f>IF($C1492="","",IFERROR(INDEX(Productos!$B$5:$B$504,MATCH($C1492,Productos!$A$5:$A$504,0)),"Clave no existe"))</f>
        <v/>
      </c>
      <c r="E1492" s="14" t="str">
        <f>IF($C1492="","",IFERROR(INDEX(Productos!$D$5:$D$504,MATCH($C1492,Productos!$A$5:$A$504,0)),""))</f>
        <v/>
      </c>
      <c r="F1492" s="20"/>
      <c r="G1492" s="22" t="str">
        <f>IF($C1492="","",IFERROR(INDEX(Productos!$F$5:$F$504,MATCH($C1492,Productos!$A$5:$A$504,0)),0))</f>
        <v/>
      </c>
      <c r="H1492" s="22" t="str">
        <f t="shared" si="23"/>
        <v/>
      </c>
      <c r="I1492" s="14" t="str">
        <f>IF(OR($C1492="",$F1492=""),"",IFERROR(INDEX(Productos!$I$5:$I$504,MATCH($C1492,Productos!$A$5:$A$504,0)),0)+SUMIFS($F$5:$F1492,$C$5:$C1492,$C1492,$B$5:$B1492,"Entrada")-SUMIFS($F$5:$F1492,$C$5:$C1492,$C1492,$B$5:$B1492,"Salida"))</f>
        <v/>
      </c>
      <c r="J1492" s="20"/>
      <c r="K1492" s="20"/>
      <c r="L1492" s="20"/>
      <c r="M1492" s="14" t="str">
        <f>IF(AND($C1492&lt;&gt;"",$C1492=Kardex!$C$4),COUNTIF($C$5:$C1492,Kardex!$C$4),"")</f>
        <v/>
      </c>
    </row>
    <row r="1493" spans="1:13" x14ac:dyDescent="0.25">
      <c r="A1493" s="24"/>
      <c r="B1493" s="20"/>
      <c r="C1493" s="20"/>
      <c r="D1493" s="14" t="str">
        <f>IF($C1493="","",IFERROR(INDEX(Productos!$B$5:$B$504,MATCH($C1493,Productos!$A$5:$A$504,0)),"Clave no existe"))</f>
        <v/>
      </c>
      <c r="E1493" s="14" t="str">
        <f>IF($C1493="","",IFERROR(INDEX(Productos!$D$5:$D$504,MATCH($C1493,Productos!$A$5:$A$504,0)),""))</f>
        <v/>
      </c>
      <c r="F1493" s="20"/>
      <c r="G1493" s="22" t="str">
        <f>IF($C1493="","",IFERROR(INDEX(Productos!$F$5:$F$504,MATCH($C1493,Productos!$A$5:$A$504,0)),0))</f>
        <v/>
      </c>
      <c r="H1493" s="22" t="str">
        <f t="shared" si="23"/>
        <v/>
      </c>
      <c r="I1493" s="14" t="str">
        <f>IF(OR($C1493="",$F1493=""),"",IFERROR(INDEX(Productos!$I$5:$I$504,MATCH($C1493,Productos!$A$5:$A$504,0)),0)+SUMIFS($F$5:$F1493,$C$5:$C1493,$C1493,$B$5:$B1493,"Entrada")-SUMIFS($F$5:$F1493,$C$5:$C1493,$C1493,$B$5:$B1493,"Salida"))</f>
        <v/>
      </c>
      <c r="J1493" s="20"/>
      <c r="K1493" s="20"/>
      <c r="L1493" s="20"/>
      <c r="M1493" s="14" t="str">
        <f>IF(AND($C1493&lt;&gt;"",$C1493=Kardex!$C$4),COUNTIF($C$5:$C1493,Kardex!$C$4),"")</f>
        <v/>
      </c>
    </row>
    <row r="1494" spans="1:13" x14ac:dyDescent="0.25">
      <c r="A1494" s="24"/>
      <c r="B1494" s="20"/>
      <c r="C1494" s="20"/>
      <c r="D1494" s="14" t="str">
        <f>IF($C1494="","",IFERROR(INDEX(Productos!$B$5:$B$504,MATCH($C1494,Productos!$A$5:$A$504,0)),"Clave no existe"))</f>
        <v/>
      </c>
      <c r="E1494" s="14" t="str">
        <f>IF($C1494="","",IFERROR(INDEX(Productos!$D$5:$D$504,MATCH($C1494,Productos!$A$5:$A$504,0)),""))</f>
        <v/>
      </c>
      <c r="F1494" s="20"/>
      <c r="G1494" s="22" t="str">
        <f>IF($C1494="","",IFERROR(INDEX(Productos!$F$5:$F$504,MATCH($C1494,Productos!$A$5:$A$504,0)),0))</f>
        <v/>
      </c>
      <c r="H1494" s="22" t="str">
        <f t="shared" si="23"/>
        <v/>
      </c>
      <c r="I1494" s="14" t="str">
        <f>IF(OR($C1494="",$F1494=""),"",IFERROR(INDEX(Productos!$I$5:$I$504,MATCH($C1494,Productos!$A$5:$A$504,0)),0)+SUMIFS($F$5:$F1494,$C$5:$C1494,$C1494,$B$5:$B1494,"Entrada")-SUMIFS($F$5:$F1494,$C$5:$C1494,$C1494,$B$5:$B1494,"Salida"))</f>
        <v/>
      </c>
      <c r="J1494" s="20"/>
      <c r="K1494" s="20"/>
      <c r="L1494" s="20"/>
      <c r="M1494" s="14" t="str">
        <f>IF(AND($C1494&lt;&gt;"",$C1494=Kardex!$C$4),COUNTIF($C$5:$C1494,Kardex!$C$4),"")</f>
        <v/>
      </c>
    </row>
    <row r="1495" spans="1:13" x14ac:dyDescent="0.25">
      <c r="A1495" s="24"/>
      <c r="B1495" s="20"/>
      <c r="C1495" s="20"/>
      <c r="D1495" s="14" t="str">
        <f>IF($C1495="","",IFERROR(INDEX(Productos!$B$5:$B$504,MATCH($C1495,Productos!$A$5:$A$504,0)),"Clave no existe"))</f>
        <v/>
      </c>
      <c r="E1495" s="14" t="str">
        <f>IF($C1495="","",IFERROR(INDEX(Productos!$D$5:$D$504,MATCH($C1495,Productos!$A$5:$A$504,0)),""))</f>
        <v/>
      </c>
      <c r="F1495" s="20"/>
      <c r="G1495" s="22" t="str">
        <f>IF($C1495="","",IFERROR(INDEX(Productos!$F$5:$F$504,MATCH($C1495,Productos!$A$5:$A$504,0)),0))</f>
        <v/>
      </c>
      <c r="H1495" s="22" t="str">
        <f t="shared" si="23"/>
        <v/>
      </c>
      <c r="I1495" s="14" t="str">
        <f>IF(OR($C1495="",$F1495=""),"",IFERROR(INDEX(Productos!$I$5:$I$504,MATCH($C1495,Productos!$A$5:$A$504,0)),0)+SUMIFS($F$5:$F1495,$C$5:$C1495,$C1495,$B$5:$B1495,"Entrada")-SUMIFS($F$5:$F1495,$C$5:$C1495,$C1495,$B$5:$B1495,"Salida"))</f>
        <v/>
      </c>
      <c r="J1495" s="20"/>
      <c r="K1495" s="20"/>
      <c r="L1495" s="20"/>
      <c r="M1495" s="14" t="str">
        <f>IF(AND($C1495&lt;&gt;"",$C1495=Kardex!$C$4),COUNTIF($C$5:$C1495,Kardex!$C$4),"")</f>
        <v/>
      </c>
    </row>
    <row r="1496" spans="1:13" x14ac:dyDescent="0.25">
      <c r="A1496" s="24"/>
      <c r="B1496" s="20"/>
      <c r="C1496" s="20"/>
      <c r="D1496" s="14" t="str">
        <f>IF($C1496="","",IFERROR(INDEX(Productos!$B$5:$B$504,MATCH($C1496,Productos!$A$5:$A$504,0)),"Clave no existe"))</f>
        <v/>
      </c>
      <c r="E1496" s="14" t="str">
        <f>IF($C1496="","",IFERROR(INDEX(Productos!$D$5:$D$504,MATCH($C1496,Productos!$A$5:$A$504,0)),""))</f>
        <v/>
      </c>
      <c r="F1496" s="20"/>
      <c r="G1496" s="22" t="str">
        <f>IF($C1496="","",IFERROR(INDEX(Productos!$F$5:$F$504,MATCH($C1496,Productos!$A$5:$A$504,0)),0))</f>
        <v/>
      </c>
      <c r="H1496" s="22" t="str">
        <f t="shared" si="23"/>
        <v/>
      </c>
      <c r="I1496" s="14" t="str">
        <f>IF(OR($C1496="",$F1496=""),"",IFERROR(INDEX(Productos!$I$5:$I$504,MATCH($C1496,Productos!$A$5:$A$504,0)),0)+SUMIFS($F$5:$F1496,$C$5:$C1496,$C1496,$B$5:$B1496,"Entrada")-SUMIFS($F$5:$F1496,$C$5:$C1496,$C1496,$B$5:$B1496,"Salida"))</f>
        <v/>
      </c>
      <c r="J1496" s="20"/>
      <c r="K1496" s="20"/>
      <c r="L1496" s="20"/>
      <c r="M1496" s="14" t="str">
        <f>IF(AND($C1496&lt;&gt;"",$C1496=Kardex!$C$4),COUNTIF($C$5:$C1496,Kardex!$C$4),"")</f>
        <v/>
      </c>
    </row>
    <row r="1497" spans="1:13" x14ac:dyDescent="0.25">
      <c r="A1497" s="24"/>
      <c r="B1497" s="20"/>
      <c r="C1497" s="20"/>
      <c r="D1497" s="14" t="str">
        <f>IF($C1497="","",IFERROR(INDEX(Productos!$B$5:$B$504,MATCH($C1497,Productos!$A$5:$A$504,0)),"Clave no existe"))</f>
        <v/>
      </c>
      <c r="E1497" s="14" t="str">
        <f>IF($C1497="","",IFERROR(INDEX(Productos!$D$5:$D$504,MATCH($C1497,Productos!$A$5:$A$504,0)),""))</f>
        <v/>
      </c>
      <c r="F1497" s="20"/>
      <c r="G1497" s="22" t="str">
        <f>IF($C1497="","",IFERROR(INDEX(Productos!$F$5:$F$504,MATCH($C1497,Productos!$A$5:$A$504,0)),0))</f>
        <v/>
      </c>
      <c r="H1497" s="22" t="str">
        <f t="shared" si="23"/>
        <v/>
      </c>
      <c r="I1497" s="14" t="str">
        <f>IF(OR($C1497="",$F1497=""),"",IFERROR(INDEX(Productos!$I$5:$I$504,MATCH($C1497,Productos!$A$5:$A$504,0)),0)+SUMIFS($F$5:$F1497,$C$5:$C1497,$C1497,$B$5:$B1497,"Entrada")-SUMIFS($F$5:$F1497,$C$5:$C1497,$C1497,$B$5:$B1497,"Salida"))</f>
        <v/>
      </c>
      <c r="J1497" s="20"/>
      <c r="K1497" s="20"/>
      <c r="L1497" s="20"/>
      <c r="M1497" s="14" t="str">
        <f>IF(AND($C1497&lt;&gt;"",$C1497=Kardex!$C$4),COUNTIF($C$5:$C1497,Kardex!$C$4),"")</f>
        <v/>
      </c>
    </row>
    <row r="1498" spans="1:13" x14ac:dyDescent="0.25">
      <c r="A1498" s="24"/>
      <c r="B1498" s="20"/>
      <c r="C1498" s="20"/>
      <c r="D1498" s="14" t="str">
        <f>IF($C1498="","",IFERROR(INDEX(Productos!$B$5:$B$504,MATCH($C1498,Productos!$A$5:$A$504,0)),"Clave no existe"))</f>
        <v/>
      </c>
      <c r="E1498" s="14" t="str">
        <f>IF($C1498="","",IFERROR(INDEX(Productos!$D$5:$D$504,MATCH($C1498,Productos!$A$5:$A$504,0)),""))</f>
        <v/>
      </c>
      <c r="F1498" s="20"/>
      <c r="G1498" s="22" t="str">
        <f>IF($C1498="","",IFERROR(INDEX(Productos!$F$5:$F$504,MATCH($C1498,Productos!$A$5:$A$504,0)),0))</f>
        <v/>
      </c>
      <c r="H1498" s="22" t="str">
        <f t="shared" si="23"/>
        <v/>
      </c>
      <c r="I1498" s="14" t="str">
        <f>IF(OR($C1498="",$F1498=""),"",IFERROR(INDEX(Productos!$I$5:$I$504,MATCH($C1498,Productos!$A$5:$A$504,0)),0)+SUMIFS($F$5:$F1498,$C$5:$C1498,$C1498,$B$5:$B1498,"Entrada")-SUMIFS($F$5:$F1498,$C$5:$C1498,$C1498,$B$5:$B1498,"Salida"))</f>
        <v/>
      </c>
      <c r="J1498" s="20"/>
      <c r="K1498" s="20"/>
      <c r="L1498" s="20"/>
      <c r="M1498" s="14" t="str">
        <f>IF(AND($C1498&lt;&gt;"",$C1498=Kardex!$C$4),COUNTIF($C$5:$C1498,Kardex!$C$4),"")</f>
        <v/>
      </c>
    </row>
    <row r="1499" spans="1:13" x14ac:dyDescent="0.25">
      <c r="A1499" s="24"/>
      <c r="B1499" s="20"/>
      <c r="C1499" s="20"/>
      <c r="D1499" s="14" t="str">
        <f>IF($C1499="","",IFERROR(INDEX(Productos!$B$5:$B$504,MATCH($C1499,Productos!$A$5:$A$504,0)),"Clave no existe"))</f>
        <v/>
      </c>
      <c r="E1499" s="14" t="str">
        <f>IF($C1499="","",IFERROR(INDEX(Productos!$D$5:$D$504,MATCH($C1499,Productos!$A$5:$A$504,0)),""))</f>
        <v/>
      </c>
      <c r="F1499" s="20"/>
      <c r="G1499" s="22" t="str">
        <f>IF($C1499="","",IFERROR(INDEX(Productos!$F$5:$F$504,MATCH($C1499,Productos!$A$5:$A$504,0)),0))</f>
        <v/>
      </c>
      <c r="H1499" s="22" t="str">
        <f t="shared" si="23"/>
        <v/>
      </c>
      <c r="I1499" s="14" t="str">
        <f>IF(OR($C1499="",$F1499=""),"",IFERROR(INDEX(Productos!$I$5:$I$504,MATCH($C1499,Productos!$A$5:$A$504,0)),0)+SUMIFS($F$5:$F1499,$C$5:$C1499,$C1499,$B$5:$B1499,"Entrada")-SUMIFS($F$5:$F1499,$C$5:$C1499,$C1499,$B$5:$B1499,"Salida"))</f>
        <v/>
      </c>
      <c r="J1499" s="20"/>
      <c r="K1499" s="20"/>
      <c r="L1499" s="20"/>
      <c r="M1499" s="14" t="str">
        <f>IF(AND($C1499&lt;&gt;"",$C1499=Kardex!$C$4),COUNTIF($C$5:$C1499,Kardex!$C$4),"")</f>
        <v/>
      </c>
    </row>
    <row r="1500" spans="1:13" x14ac:dyDescent="0.25">
      <c r="A1500" s="24"/>
      <c r="B1500" s="20"/>
      <c r="C1500" s="20"/>
      <c r="D1500" s="14" t="str">
        <f>IF($C1500="","",IFERROR(INDEX(Productos!$B$5:$B$504,MATCH($C1500,Productos!$A$5:$A$504,0)),"Clave no existe"))</f>
        <v/>
      </c>
      <c r="E1500" s="14" t="str">
        <f>IF($C1500="","",IFERROR(INDEX(Productos!$D$5:$D$504,MATCH($C1500,Productos!$A$5:$A$504,0)),""))</f>
        <v/>
      </c>
      <c r="F1500" s="20"/>
      <c r="G1500" s="22" t="str">
        <f>IF($C1500="","",IFERROR(INDEX(Productos!$F$5:$F$504,MATCH($C1500,Productos!$A$5:$A$504,0)),0))</f>
        <v/>
      </c>
      <c r="H1500" s="22" t="str">
        <f t="shared" si="23"/>
        <v/>
      </c>
      <c r="I1500" s="14" t="str">
        <f>IF(OR($C1500="",$F1500=""),"",IFERROR(INDEX(Productos!$I$5:$I$504,MATCH($C1500,Productos!$A$5:$A$504,0)),0)+SUMIFS($F$5:$F1500,$C$5:$C1500,$C1500,$B$5:$B1500,"Entrada")-SUMIFS($F$5:$F1500,$C$5:$C1500,$C1500,$B$5:$B1500,"Salida"))</f>
        <v/>
      </c>
      <c r="J1500" s="20"/>
      <c r="K1500" s="20"/>
      <c r="L1500" s="20"/>
      <c r="M1500" s="14" t="str">
        <f>IF(AND($C1500&lt;&gt;"",$C1500=Kardex!$C$4),COUNTIF($C$5:$C1500,Kardex!$C$4),"")</f>
        <v/>
      </c>
    </row>
    <row r="1501" spans="1:13" x14ac:dyDescent="0.25">
      <c r="A1501" s="24"/>
      <c r="B1501" s="20"/>
      <c r="C1501" s="20"/>
      <c r="D1501" s="14" t="str">
        <f>IF($C1501="","",IFERROR(INDEX(Productos!$B$5:$B$504,MATCH($C1501,Productos!$A$5:$A$504,0)),"Clave no existe"))</f>
        <v/>
      </c>
      <c r="E1501" s="14" t="str">
        <f>IF($C1501="","",IFERROR(INDEX(Productos!$D$5:$D$504,MATCH($C1501,Productos!$A$5:$A$504,0)),""))</f>
        <v/>
      </c>
      <c r="F1501" s="20"/>
      <c r="G1501" s="22" t="str">
        <f>IF($C1501="","",IFERROR(INDEX(Productos!$F$5:$F$504,MATCH($C1501,Productos!$A$5:$A$504,0)),0))</f>
        <v/>
      </c>
      <c r="H1501" s="22" t="str">
        <f t="shared" si="23"/>
        <v/>
      </c>
      <c r="I1501" s="14" t="str">
        <f>IF(OR($C1501="",$F1501=""),"",IFERROR(INDEX(Productos!$I$5:$I$504,MATCH($C1501,Productos!$A$5:$A$504,0)),0)+SUMIFS($F$5:$F1501,$C$5:$C1501,$C1501,$B$5:$B1501,"Entrada")-SUMIFS($F$5:$F1501,$C$5:$C1501,$C1501,$B$5:$B1501,"Salida"))</f>
        <v/>
      </c>
      <c r="J1501" s="20"/>
      <c r="K1501" s="20"/>
      <c r="L1501" s="20"/>
      <c r="M1501" s="14" t="str">
        <f>IF(AND($C1501&lt;&gt;"",$C1501=Kardex!$C$4),COUNTIF($C$5:$C1501,Kardex!$C$4),"")</f>
        <v/>
      </c>
    </row>
    <row r="1502" spans="1:13" x14ac:dyDescent="0.25">
      <c r="A1502" s="24"/>
      <c r="B1502" s="20"/>
      <c r="C1502" s="20"/>
      <c r="D1502" s="14" t="str">
        <f>IF($C1502="","",IFERROR(INDEX(Productos!$B$5:$B$504,MATCH($C1502,Productos!$A$5:$A$504,0)),"Clave no existe"))</f>
        <v/>
      </c>
      <c r="E1502" s="14" t="str">
        <f>IF($C1502="","",IFERROR(INDEX(Productos!$D$5:$D$504,MATCH($C1502,Productos!$A$5:$A$504,0)),""))</f>
        <v/>
      </c>
      <c r="F1502" s="20"/>
      <c r="G1502" s="22" t="str">
        <f>IF($C1502="","",IFERROR(INDEX(Productos!$F$5:$F$504,MATCH($C1502,Productos!$A$5:$A$504,0)),0))</f>
        <v/>
      </c>
      <c r="H1502" s="22" t="str">
        <f t="shared" si="23"/>
        <v/>
      </c>
      <c r="I1502" s="14" t="str">
        <f>IF(OR($C1502="",$F1502=""),"",IFERROR(INDEX(Productos!$I$5:$I$504,MATCH($C1502,Productos!$A$5:$A$504,0)),0)+SUMIFS($F$5:$F1502,$C$5:$C1502,$C1502,$B$5:$B1502,"Entrada")-SUMIFS($F$5:$F1502,$C$5:$C1502,$C1502,$B$5:$B1502,"Salida"))</f>
        <v/>
      </c>
      <c r="J1502" s="20"/>
      <c r="K1502" s="20"/>
      <c r="L1502" s="20"/>
      <c r="M1502" s="14" t="str">
        <f>IF(AND($C1502&lt;&gt;"",$C1502=Kardex!$C$4),COUNTIF($C$5:$C1502,Kardex!$C$4),"")</f>
        <v/>
      </c>
    </row>
    <row r="1503" spans="1:13" x14ac:dyDescent="0.25">
      <c r="A1503" s="24"/>
      <c r="B1503" s="20"/>
      <c r="C1503" s="20"/>
      <c r="D1503" s="14" t="str">
        <f>IF($C1503="","",IFERROR(INDEX(Productos!$B$5:$B$504,MATCH($C1503,Productos!$A$5:$A$504,0)),"Clave no existe"))</f>
        <v/>
      </c>
      <c r="E1503" s="14" t="str">
        <f>IF($C1503="","",IFERROR(INDEX(Productos!$D$5:$D$504,MATCH($C1503,Productos!$A$5:$A$504,0)),""))</f>
        <v/>
      </c>
      <c r="F1503" s="20"/>
      <c r="G1503" s="22" t="str">
        <f>IF($C1503="","",IFERROR(INDEX(Productos!$F$5:$F$504,MATCH($C1503,Productos!$A$5:$A$504,0)),0))</f>
        <v/>
      </c>
      <c r="H1503" s="22" t="str">
        <f t="shared" si="23"/>
        <v/>
      </c>
      <c r="I1503" s="14" t="str">
        <f>IF(OR($C1503="",$F1503=""),"",IFERROR(INDEX(Productos!$I$5:$I$504,MATCH($C1503,Productos!$A$5:$A$504,0)),0)+SUMIFS($F$5:$F1503,$C$5:$C1503,$C1503,$B$5:$B1503,"Entrada")-SUMIFS($F$5:$F1503,$C$5:$C1503,$C1503,$B$5:$B1503,"Salida"))</f>
        <v/>
      </c>
      <c r="J1503" s="20"/>
      <c r="K1503" s="20"/>
      <c r="L1503" s="20"/>
      <c r="M1503" s="14" t="str">
        <f>IF(AND($C1503&lt;&gt;"",$C1503=Kardex!$C$4),COUNTIF($C$5:$C1503,Kardex!$C$4),"")</f>
        <v/>
      </c>
    </row>
    <row r="1504" spans="1:13" x14ac:dyDescent="0.25">
      <c r="A1504" s="24"/>
      <c r="B1504" s="20"/>
      <c r="C1504" s="20"/>
      <c r="D1504" s="14" t="str">
        <f>IF($C1504="","",IFERROR(INDEX(Productos!$B$5:$B$504,MATCH($C1504,Productos!$A$5:$A$504,0)),"Clave no existe"))</f>
        <v/>
      </c>
      <c r="E1504" s="14" t="str">
        <f>IF($C1504="","",IFERROR(INDEX(Productos!$D$5:$D$504,MATCH($C1504,Productos!$A$5:$A$504,0)),""))</f>
        <v/>
      </c>
      <c r="F1504" s="20"/>
      <c r="G1504" s="22" t="str">
        <f>IF($C1504="","",IFERROR(INDEX(Productos!$F$5:$F$504,MATCH($C1504,Productos!$A$5:$A$504,0)),0))</f>
        <v/>
      </c>
      <c r="H1504" s="22" t="str">
        <f t="shared" si="23"/>
        <v/>
      </c>
      <c r="I1504" s="14" t="str">
        <f>IF(OR($C1504="",$F1504=""),"",IFERROR(INDEX(Productos!$I$5:$I$504,MATCH($C1504,Productos!$A$5:$A$504,0)),0)+SUMIFS($F$5:$F1504,$C$5:$C1504,$C1504,$B$5:$B1504,"Entrada")-SUMIFS($F$5:$F1504,$C$5:$C1504,$C1504,$B$5:$B1504,"Salida"))</f>
        <v/>
      </c>
      <c r="J1504" s="20"/>
      <c r="K1504" s="20"/>
      <c r="L1504" s="20"/>
      <c r="M1504" s="14" t="str">
        <f>IF(AND($C1504&lt;&gt;"",$C1504=Kardex!$C$4),COUNTIF($C$5:$C1504,Kardex!$C$4),"")</f>
        <v/>
      </c>
    </row>
    <row r="1505" spans="1:13" x14ac:dyDescent="0.25">
      <c r="A1505" s="24"/>
      <c r="B1505" s="20"/>
      <c r="C1505" s="20"/>
      <c r="D1505" s="14" t="str">
        <f>IF($C1505="","",IFERROR(INDEX(Productos!$B$5:$B$504,MATCH($C1505,Productos!$A$5:$A$504,0)),"Clave no existe"))</f>
        <v/>
      </c>
      <c r="E1505" s="14" t="str">
        <f>IF($C1505="","",IFERROR(INDEX(Productos!$D$5:$D$504,MATCH($C1505,Productos!$A$5:$A$504,0)),""))</f>
        <v/>
      </c>
      <c r="F1505" s="20"/>
      <c r="G1505" s="22" t="str">
        <f>IF($C1505="","",IFERROR(INDEX(Productos!$F$5:$F$504,MATCH($C1505,Productos!$A$5:$A$504,0)),0))</f>
        <v/>
      </c>
      <c r="H1505" s="22" t="str">
        <f t="shared" si="23"/>
        <v/>
      </c>
      <c r="I1505" s="14" t="str">
        <f>IF(OR($C1505="",$F1505=""),"",IFERROR(INDEX(Productos!$I$5:$I$504,MATCH($C1505,Productos!$A$5:$A$504,0)),0)+SUMIFS($F$5:$F1505,$C$5:$C1505,$C1505,$B$5:$B1505,"Entrada")-SUMIFS($F$5:$F1505,$C$5:$C1505,$C1505,$B$5:$B1505,"Salida"))</f>
        <v/>
      </c>
      <c r="J1505" s="20"/>
      <c r="K1505" s="20"/>
      <c r="L1505" s="20"/>
      <c r="M1505" s="14" t="str">
        <f>IF(AND($C1505&lt;&gt;"",$C1505=Kardex!$C$4),COUNTIF($C$5:$C1505,Kardex!$C$4),"")</f>
        <v/>
      </c>
    </row>
    <row r="1506" spans="1:13" x14ac:dyDescent="0.25">
      <c r="A1506" s="24"/>
      <c r="B1506" s="20"/>
      <c r="C1506" s="20"/>
      <c r="D1506" s="14" t="str">
        <f>IF($C1506="","",IFERROR(INDEX(Productos!$B$5:$B$504,MATCH($C1506,Productos!$A$5:$A$504,0)),"Clave no existe"))</f>
        <v/>
      </c>
      <c r="E1506" s="14" t="str">
        <f>IF($C1506="","",IFERROR(INDEX(Productos!$D$5:$D$504,MATCH($C1506,Productos!$A$5:$A$504,0)),""))</f>
        <v/>
      </c>
      <c r="F1506" s="20"/>
      <c r="G1506" s="22" t="str">
        <f>IF($C1506="","",IFERROR(INDEX(Productos!$F$5:$F$504,MATCH($C1506,Productos!$A$5:$A$504,0)),0))</f>
        <v/>
      </c>
      <c r="H1506" s="22" t="str">
        <f t="shared" si="23"/>
        <v/>
      </c>
      <c r="I1506" s="14" t="str">
        <f>IF(OR($C1506="",$F1506=""),"",IFERROR(INDEX(Productos!$I$5:$I$504,MATCH($C1506,Productos!$A$5:$A$504,0)),0)+SUMIFS($F$5:$F1506,$C$5:$C1506,$C1506,$B$5:$B1506,"Entrada")-SUMIFS($F$5:$F1506,$C$5:$C1506,$C1506,$B$5:$B1506,"Salida"))</f>
        <v/>
      </c>
      <c r="J1506" s="20"/>
      <c r="K1506" s="20"/>
      <c r="L1506" s="20"/>
      <c r="M1506" s="14" t="str">
        <f>IF(AND($C1506&lt;&gt;"",$C1506=Kardex!$C$4),COUNTIF($C$5:$C1506,Kardex!$C$4),"")</f>
        <v/>
      </c>
    </row>
    <row r="1507" spans="1:13" x14ac:dyDescent="0.25">
      <c r="A1507" s="24"/>
      <c r="B1507" s="20"/>
      <c r="C1507" s="20"/>
      <c r="D1507" s="14" t="str">
        <f>IF($C1507="","",IFERROR(INDEX(Productos!$B$5:$B$504,MATCH($C1507,Productos!$A$5:$A$504,0)),"Clave no existe"))</f>
        <v/>
      </c>
      <c r="E1507" s="14" t="str">
        <f>IF($C1507="","",IFERROR(INDEX(Productos!$D$5:$D$504,MATCH($C1507,Productos!$A$5:$A$504,0)),""))</f>
        <v/>
      </c>
      <c r="F1507" s="20"/>
      <c r="G1507" s="22" t="str">
        <f>IF($C1507="","",IFERROR(INDEX(Productos!$F$5:$F$504,MATCH($C1507,Productos!$A$5:$A$504,0)),0))</f>
        <v/>
      </c>
      <c r="H1507" s="22" t="str">
        <f t="shared" si="23"/>
        <v/>
      </c>
      <c r="I1507" s="14" t="str">
        <f>IF(OR($C1507="",$F1507=""),"",IFERROR(INDEX(Productos!$I$5:$I$504,MATCH($C1507,Productos!$A$5:$A$504,0)),0)+SUMIFS($F$5:$F1507,$C$5:$C1507,$C1507,$B$5:$B1507,"Entrada")-SUMIFS($F$5:$F1507,$C$5:$C1507,$C1507,$B$5:$B1507,"Salida"))</f>
        <v/>
      </c>
      <c r="J1507" s="20"/>
      <c r="K1507" s="20"/>
      <c r="L1507" s="20"/>
      <c r="M1507" s="14" t="str">
        <f>IF(AND($C1507&lt;&gt;"",$C1507=Kardex!$C$4),COUNTIF($C$5:$C1507,Kardex!$C$4),"")</f>
        <v/>
      </c>
    </row>
    <row r="1508" spans="1:13" x14ac:dyDescent="0.25">
      <c r="A1508" s="24"/>
      <c r="B1508" s="20"/>
      <c r="C1508" s="20"/>
      <c r="D1508" s="14" t="str">
        <f>IF($C1508="","",IFERROR(INDEX(Productos!$B$5:$B$504,MATCH($C1508,Productos!$A$5:$A$504,0)),"Clave no existe"))</f>
        <v/>
      </c>
      <c r="E1508" s="14" t="str">
        <f>IF($C1508="","",IFERROR(INDEX(Productos!$D$5:$D$504,MATCH($C1508,Productos!$A$5:$A$504,0)),""))</f>
        <v/>
      </c>
      <c r="F1508" s="20"/>
      <c r="G1508" s="22" t="str">
        <f>IF($C1508="","",IFERROR(INDEX(Productos!$F$5:$F$504,MATCH($C1508,Productos!$A$5:$A$504,0)),0))</f>
        <v/>
      </c>
      <c r="H1508" s="22" t="str">
        <f t="shared" si="23"/>
        <v/>
      </c>
      <c r="I1508" s="14" t="str">
        <f>IF(OR($C1508="",$F1508=""),"",IFERROR(INDEX(Productos!$I$5:$I$504,MATCH($C1508,Productos!$A$5:$A$504,0)),0)+SUMIFS($F$5:$F1508,$C$5:$C1508,$C1508,$B$5:$B1508,"Entrada")-SUMIFS($F$5:$F1508,$C$5:$C1508,$C1508,$B$5:$B1508,"Salida"))</f>
        <v/>
      </c>
      <c r="J1508" s="20"/>
      <c r="K1508" s="20"/>
      <c r="L1508" s="20"/>
      <c r="M1508" s="14" t="str">
        <f>IF(AND($C1508&lt;&gt;"",$C1508=Kardex!$C$4),COUNTIF($C$5:$C1508,Kardex!$C$4),"")</f>
        <v/>
      </c>
    </row>
    <row r="1509" spans="1:13" x14ac:dyDescent="0.25">
      <c r="A1509" s="24"/>
      <c r="B1509" s="20"/>
      <c r="C1509" s="20"/>
      <c r="D1509" s="14" t="str">
        <f>IF($C1509="","",IFERROR(INDEX(Productos!$B$5:$B$504,MATCH($C1509,Productos!$A$5:$A$504,0)),"Clave no existe"))</f>
        <v/>
      </c>
      <c r="E1509" s="14" t="str">
        <f>IF($C1509="","",IFERROR(INDEX(Productos!$D$5:$D$504,MATCH($C1509,Productos!$A$5:$A$504,0)),""))</f>
        <v/>
      </c>
      <c r="F1509" s="20"/>
      <c r="G1509" s="22" t="str">
        <f>IF($C1509="","",IFERROR(INDEX(Productos!$F$5:$F$504,MATCH($C1509,Productos!$A$5:$A$504,0)),0))</f>
        <v/>
      </c>
      <c r="H1509" s="22" t="str">
        <f t="shared" si="23"/>
        <v/>
      </c>
      <c r="I1509" s="14" t="str">
        <f>IF(OR($C1509="",$F1509=""),"",IFERROR(INDEX(Productos!$I$5:$I$504,MATCH($C1509,Productos!$A$5:$A$504,0)),0)+SUMIFS($F$5:$F1509,$C$5:$C1509,$C1509,$B$5:$B1509,"Entrada")-SUMIFS($F$5:$F1509,$C$5:$C1509,$C1509,$B$5:$B1509,"Salida"))</f>
        <v/>
      </c>
      <c r="J1509" s="20"/>
      <c r="K1509" s="20"/>
      <c r="L1509" s="20"/>
      <c r="M1509" s="14" t="str">
        <f>IF(AND($C1509&lt;&gt;"",$C1509=Kardex!$C$4),COUNTIF($C$5:$C1509,Kardex!$C$4),"")</f>
        <v/>
      </c>
    </row>
    <row r="1510" spans="1:13" x14ac:dyDescent="0.25">
      <c r="A1510" s="24"/>
      <c r="B1510" s="20"/>
      <c r="C1510" s="20"/>
      <c r="D1510" s="14" t="str">
        <f>IF($C1510="","",IFERROR(INDEX(Productos!$B$5:$B$504,MATCH($C1510,Productos!$A$5:$A$504,0)),"Clave no existe"))</f>
        <v/>
      </c>
      <c r="E1510" s="14" t="str">
        <f>IF($C1510="","",IFERROR(INDEX(Productos!$D$5:$D$504,MATCH($C1510,Productos!$A$5:$A$504,0)),""))</f>
        <v/>
      </c>
      <c r="F1510" s="20"/>
      <c r="G1510" s="22" t="str">
        <f>IF($C1510="","",IFERROR(INDEX(Productos!$F$5:$F$504,MATCH($C1510,Productos!$A$5:$A$504,0)),0))</f>
        <v/>
      </c>
      <c r="H1510" s="22" t="str">
        <f t="shared" si="23"/>
        <v/>
      </c>
      <c r="I1510" s="14" t="str">
        <f>IF(OR($C1510="",$F1510=""),"",IFERROR(INDEX(Productos!$I$5:$I$504,MATCH($C1510,Productos!$A$5:$A$504,0)),0)+SUMIFS($F$5:$F1510,$C$5:$C1510,$C1510,$B$5:$B1510,"Entrada")-SUMIFS($F$5:$F1510,$C$5:$C1510,$C1510,$B$5:$B1510,"Salida"))</f>
        <v/>
      </c>
      <c r="J1510" s="20"/>
      <c r="K1510" s="20"/>
      <c r="L1510" s="20"/>
      <c r="M1510" s="14" t="str">
        <f>IF(AND($C1510&lt;&gt;"",$C1510=Kardex!$C$4),COUNTIF($C$5:$C1510,Kardex!$C$4),"")</f>
        <v/>
      </c>
    </row>
    <row r="1511" spans="1:13" x14ac:dyDescent="0.25">
      <c r="A1511" s="24"/>
      <c r="B1511" s="20"/>
      <c r="C1511" s="20"/>
      <c r="D1511" s="14" t="str">
        <f>IF($C1511="","",IFERROR(INDEX(Productos!$B$5:$B$504,MATCH($C1511,Productos!$A$5:$A$504,0)),"Clave no existe"))</f>
        <v/>
      </c>
      <c r="E1511" s="14" t="str">
        <f>IF($C1511="","",IFERROR(INDEX(Productos!$D$5:$D$504,MATCH($C1511,Productos!$A$5:$A$504,0)),""))</f>
        <v/>
      </c>
      <c r="F1511" s="20"/>
      <c r="G1511" s="22" t="str">
        <f>IF($C1511="","",IFERROR(INDEX(Productos!$F$5:$F$504,MATCH($C1511,Productos!$A$5:$A$504,0)),0))</f>
        <v/>
      </c>
      <c r="H1511" s="22" t="str">
        <f t="shared" si="23"/>
        <v/>
      </c>
      <c r="I1511" s="14" t="str">
        <f>IF(OR($C1511="",$F1511=""),"",IFERROR(INDEX(Productos!$I$5:$I$504,MATCH($C1511,Productos!$A$5:$A$504,0)),0)+SUMIFS($F$5:$F1511,$C$5:$C1511,$C1511,$B$5:$B1511,"Entrada")-SUMIFS($F$5:$F1511,$C$5:$C1511,$C1511,$B$5:$B1511,"Salida"))</f>
        <v/>
      </c>
      <c r="J1511" s="20"/>
      <c r="K1511" s="20"/>
      <c r="L1511" s="20"/>
      <c r="M1511" s="14" t="str">
        <f>IF(AND($C1511&lt;&gt;"",$C1511=Kardex!$C$4),COUNTIF($C$5:$C1511,Kardex!$C$4),"")</f>
        <v/>
      </c>
    </row>
    <row r="1512" spans="1:13" x14ac:dyDescent="0.25">
      <c r="A1512" s="24"/>
      <c r="B1512" s="20"/>
      <c r="C1512" s="20"/>
      <c r="D1512" s="14" t="str">
        <f>IF($C1512="","",IFERROR(INDEX(Productos!$B$5:$B$504,MATCH($C1512,Productos!$A$5:$A$504,0)),"Clave no existe"))</f>
        <v/>
      </c>
      <c r="E1512" s="14" t="str">
        <f>IF($C1512="","",IFERROR(INDEX(Productos!$D$5:$D$504,MATCH($C1512,Productos!$A$5:$A$504,0)),""))</f>
        <v/>
      </c>
      <c r="F1512" s="20"/>
      <c r="G1512" s="22" t="str">
        <f>IF($C1512="","",IFERROR(INDEX(Productos!$F$5:$F$504,MATCH($C1512,Productos!$A$5:$A$504,0)),0))</f>
        <v/>
      </c>
      <c r="H1512" s="22" t="str">
        <f t="shared" si="23"/>
        <v/>
      </c>
      <c r="I1512" s="14" t="str">
        <f>IF(OR($C1512="",$F1512=""),"",IFERROR(INDEX(Productos!$I$5:$I$504,MATCH($C1512,Productos!$A$5:$A$504,0)),0)+SUMIFS($F$5:$F1512,$C$5:$C1512,$C1512,$B$5:$B1512,"Entrada")-SUMIFS($F$5:$F1512,$C$5:$C1512,$C1512,$B$5:$B1512,"Salida"))</f>
        <v/>
      </c>
      <c r="J1512" s="20"/>
      <c r="K1512" s="20"/>
      <c r="L1512" s="20"/>
      <c r="M1512" s="14" t="str">
        <f>IF(AND($C1512&lt;&gt;"",$C1512=Kardex!$C$4),COUNTIF($C$5:$C1512,Kardex!$C$4),"")</f>
        <v/>
      </c>
    </row>
    <row r="1513" spans="1:13" x14ac:dyDescent="0.25">
      <c r="A1513" s="24"/>
      <c r="B1513" s="20"/>
      <c r="C1513" s="20"/>
      <c r="D1513" s="14" t="str">
        <f>IF($C1513="","",IFERROR(INDEX(Productos!$B$5:$B$504,MATCH($C1513,Productos!$A$5:$A$504,0)),"Clave no existe"))</f>
        <v/>
      </c>
      <c r="E1513" s="14" t="str">
        <f>IF($C1513="","",IFERROR(INDEX(Productos!$D$5:$D$504,MATCH($C1513,Productos!$A$5:$A$504,0)),""))</f>
        <v/>
      </c>
      <c r="F1513" s="20"/>
      <c r="G1513" s="22" t="str">
        <f>IF($C1513="","",IFERROR(INDEX(Productos!$F$5:$F$504,MATCH($C1513,Productos!$A$5:$A$504,0)),0))</f>
        <v/>
      </c>
      <c r="H1513" s="22" t="str">
        <f t="shared" si="23"/>
        <v/>
      </c>
      <c r="I1513" s="14" t="str">
        <f>IF(OR($C1513="",$F1513=""),"",IFERROR(INDEX(Productos!$I$5:$I$504,MATCH($C1513,Productos!$A$5:$A$504,0)),0)+SUMIFS($F$5:$F1513,$C$5:$C1513,$C1513,$B$5:$B1513,"Entrada")-SUMIFS($F$5:$F1513,$C$5:$C1513,$C1513,$B$5:$B1513,"Salida"))</f>
        <v/>
      </c>
      <c r="J1513" s="20"/>
      <c r="K1513" s="20"/>
      <c r="L1513" s="20"/>
      <c r="M1513" s="14" t="str">
        <f>IF(AND($C1513&lt;&gt;"",$C1513=Kardex!$C$4),COUNTIF($C$5:$C1513,Kardex!$C$4),"")</f>
        <v/>
      </c>
    </row>
    <row r="1514" spans="1:13" x14ac:dyDescent="0.25">
      <c r="A1514" s="24"/>
      <c r="B1514" s="20"/>
      <c r="C1514" s="20"/>
      <c r="D1514" s="14" t="str">
        <f>IF($C1514="","",IFERROR(INDEX(Productos!$B$5:$B$504,MATCH($C1514,Productos!$A$5:$A$504,0)),"Clave no existe"))</f>
        <v/>
      </c>
      <c r="E1514" s="14" t="str">
        <f>IF($C1514="","",IFERROR(INDEX(Productos!$D$5:$D$504,MATCH($C1514,Productos!$A$5:$A$504,0)),""))</f>
        <v/>
      </c>
      <c r="F1514" s="20"/>
      <c r="G1514" s="22" t="str">
        <f>IF($C1514="","",IFERROR(INDEX(Productos!$F$5:$F$504,MATCH($C1514,Productos!$A$5:$A$504,0)),0))</f>
        <v/>
      </c>
      <c r="H1514" s="22" t="str">
        <f t="shared" si="23"/>
        <v/>
      </c>
      <c r="I1514" s="14" t="str">
        <f>IF(OR($C1514="",$F1514=""),"",IFERROR(INDEX(Productos!$I$5:$I$504,MATCH($C1514,Productos!$A$5:$A$504,0)),0)+SUMIFS($F$5:$F1514,$C$5:$C1514,$C1514,$B$5:$B1514,"Entrada")-SUMIFS($F$5:$F1514,$C$5:$C1514,$C1514,$B$5:$B1514,"Salida"))</f>
        <v/>
      </c>
      <c r="J1514" s="20"/>
      <c r="K1514" s="20"/>
      <c r="L1514" s="20"/>
      <c r="M1514" s="14" t="str">
        <f>IF(AND($C1514&lt;&gt;"",$C1514=Kardex!$C$4),COUNTIF($C$5:$C1514,Kardex!$C$4),"")</f>
        <v/>
      </c>
    </row>
    <row r="1515" spans="1:13" x14ac:dyDescent="0.25">
      <c r="A1515" s="24"/>
      <c r="B1515" s="20"/>
      <c r="C1515" s="20"/>
      <c r="D1515" s="14" t="str">
        <f>IF($C1515="","",IFERROR(INDEX(Productos!$B$5:$B$504,MATCH($C1515,Productos!$A$5:$A$504,0)),"Clave no existe"))</f>
        <v/>
      </c>
      <c r="E1515" s="14" t="str">
        <f>IF($C1515="","",IFERROR(INDEX(Productos!$D$5:$D$504,MATCH($C1515,Productos!$A$5:$A$504,0)),""))</f>
        <v/>
      </c>
      <c r="F1515" s="20"/>
      <c r="G1515" s="22" t="str">
        <f>IF($C1515="","",IFERROR(INDEX(Productos!$F$5:$F$504,MATCH($C1515,Productos!$A$5:$A$504,0)),0))</f>
        <v/>
      </c>
      <c r="H1515" s="22" t="str">
        <f t="shared" si="23"/>
        <v/>
      </c>
      <c r="I1515" s="14" t="str">
        <f>IF(OR($C1515="",$F1515=""),"",IFERROR(INDEX(Productos!$I$5:$I$504,MATCH($C1515,Productos!$A$5:$A$504,0)),0)+SUMIFS($F$5:$F1515,$C$5:$C1515,$C1515,$B$5:$B1515,"Entrada")-SUMIFS($F$5:$F1515,$C$5:$C1515,$C1515,$B$5:$B1515,"Salida"))</f>
        <v/>
      </c>
      <c r="J1515" s="20"/>
      <c r="K1515" s="20"/>
      <c r="L1515" s="20"/>
      <c r="M1515" s="14" t="str">
        <f>IF(AND($C1515&lt;&gt;"",$C1515=Kardex!$C$4),COUNTIF($C$5:$C1515,Kardex!$C$4),"")</f>
        <v/>
      </c>
    </row>
    <row r="1516" spans="1:13" x14ac:dyDescent="0.25">
      <c r="A1516" s="24"/>
      <c r="B1516" s="20"/>
      <c r="C1516" s="20"/>
      <c r="D1516" s="14" t="str">
        <f>IF($C1516="","",IFERROR(INDEX(Productos!$B$5:$B$504,MATCH($C1516,Productos!$A$5:$A$504,0)),"Clave no existe"))</f>
        <v/>
      </c>
      <c r="E1516" s="14" t="str">
        <f>IF($C1516="","",IFERROR(INDEX(Productos!$D$5:$D$504,MATCH($C1516,Productos!$A$5:$A$504,0)),""))</f>
        <v/>
      </c>
      <c r="F1516" s="20"/>
      <c r="G1516" s="22" t="str">
        <f>IF($C1516="","",IFERROR(INDEX(Productos!$F$5:$F$504,MATCH($C1516,Productos!$A$5:$A$504,0)),0))</f>
        <v/>
      </c>
      <c r="H1516" s="22" t="str">
        <f t="shared" si="23"/>
        <v/>
      </c>
      <c r="I1516" s="14" t="str">
        <f>IF(OR($C1516="",$F1516=""),"",IFERROR(INDEX(Productos!$I$5:$I$504,MATCH($C1516,Productos!$A$5:$A$504,0)),0)+SUMIFS($F$5:$F1516,$C$5:$C1516,$C1516,$B$5:$B1516,"Entrada")-SUMIFS($F$5:$F1516,$C$5:$C1516,$C1516,$B$5:$B1516,"Salida"))</f>
        <v/>
      </c>
      <c r="J1516" s="20"/>
      <c r="K1516" s="20"/>
      <c r="L1516" s="20"/>
      <c r="M1516" s="14" t="str">
        <f>IF(AND($C1516&lt;&gt;"",$C1516=Kardex!$C$4),COUNTIF($C$5:$C1516,Kardex!$C$4),"")</f>
        <v/>
      </c>
    </row>
    <row r="1517" spans="1:13" x14ac:dyDescent="0.25">
      <c r="A1517" s="24"/>
      <c r="B1517" s="20"/>
      <c r="C1517" s="20"/>
      <c r="D1517" s="14" t="str">
        <f>IF($C1517="","",IFERROR(INDEX(Productos!$B$5:$B$504,MATCH($C1517,Productos!$A$5:$A$504,0)),"Clave no existe"))</f>
        <v/>
      </c>
      <c r="E1517" s="14" t="str">
        <f>IF($C1517="","",IFERROR(INDEX(Productos!$D$5:$D$504,MATCH($C1517,Productos!$A$5:$A$504,0)),""))</f>
        <v/>
      </c>
      <c r="F1517" s="20"/>
      <c r="G1517" s="22" t="str">
        <f>IF($C1517="","",IFERROR(INDEX(Productos!$F$5:$F$504,MATCH($C1517,Productos!$A$5:$A$504,0)),0))</f>
        <v/>
      </c>
      <c r="H1517" s="22" t="str">
        <f t="shared" si="23"/>
        <v/>
      </c>
      <c r="I1517" s="14" t="str">
        <f>IF(OR($C1517="",$F1517=""),"",IFERROR(INDEX(Productos!$I$5:$I$504,MATCH($C1517,Productos!$A$5:$A$504,0)),0)+SUMIFS($F$5:$F1517,$C$5:$C1517,$C1517,$B$5:$B1517,"Entrada")-SUMIFS($F$5:$F1517,$C$5:$C1517,$C1517,$B$5:$B1517,"Salida"))</f>
        <v/>
      </c>
      <c r="J1517" s="20"/>
      <c r="K1517" s="20"/>
      <c r="L1517" s="20"/>
      <c r="M1517" s="14" t="str">
        <f>IF(AND($C1517&lt;&gt;"",$C1517=Kardex!$C$4),COUNTIF($C$5:$C1517,Kardex!$C$4),"")</f>
        <v/>
      </c>
    </row>
    <row r="1518" spans="1:13" x14ac:dyDescent="0.25">
      <c r="A1518" s="24"/>
      <c r="B1518" s="20"/>
      <c r="C1518" s="20"/>
      <c r="D1518" s="14" t="str">
        <f>IF($C1518="","",IFERROR(INDEX(Productos!$B$5:$B$504,MATCH($C1518,Productos!$A$5:$A$504,0)),"Clave no existe"))</f>
        <v/>
      </c>
      <c r="E1518" s="14" t="str">
        <f>IF($C1518="","",IFERROR(INDEX(Productos!$D$5:$D$504,MATCH($C1518,Productos!$A$5:$A$504,0)),""))</f>
        <v/>
      </c>
      <c r="F1518" s="20"/>
      <c r="G1518" s="22" t="str">
        <f>IF($C1518="","",IFERROR(INDEX(Productos!$F$5:$F$504,MATCH($C1518,Productos!$A$5:$A$504,0)),0))</f>
        <v/>
      </c>
      <c r="H1518" s="22" t="str">
        <f t="shared" si="23"/>
        <v/>
      </c>
      <c r="I1518" s="14" t="str">
        <f>IF(OR($C1518="",$F1518=""),"",IFERROR(INDEX(Productos!$I$5:$I$504,MATCH($C1518,Productos!$A$5:$A$504,0)),0)+SUMIFS($F$5:$F1518,$C$5:$C1518,$C1518,$B$5:$B1518,"Entrada")-SUMIFS($F$5:$F1518,$C$5:$C1518,$C1518,$B$5:$B1518,"Salida"))</f>
        <v/>
      </c>
      <c r="J1518" s="20"/>
      <c r="K1518" s="20"/>
      <c r="L1518" s="20"/>
      <c r="M1518" s="14" t="str">
        <f>IF(AND($C1518&lt;&gt;"",$C1518=Kardex!$C$4),COUNTIF($C$5:$C1518,Kardex!$C$4),"")</f>
        <v/>
      </c>
    </row>
    <row r="1519" spans="1:13" x14ac:dyDescent="0.25">
      <c r="A1519" s="24"/>
      <c r="B1519" s="20"/>
      <c r="C1519" s="20"/>
      <c r="D1519" s="14" t="str">
        <f>IF($C1519="","",IFERROR(INDEX(Productos!$B$5:$B$504,MATCH($C1519,Productos!$A$5:$A$504,0)),"Clave no existe"))</f>
        <v/>
      </c>
      <c r="E1519" s="14" t="str">
        <f>IF($C1519="","",IFERROR(INDEX(Productos!$D$5:$D$504,MATCH($C1519,Productos!$A$5:$A$504,0)),""))</f>
        <v/>
      </c>
      <c r="F1519" s="20"/>
      <c r="G1519" s="22" t="str">
        <f>IF($C1519="","",IFERROR(INDEX(Productos!$F$5:$F$504,MATCH($C1519,Productos!$A$5:$A$504,0)),0))</f>
        <v/>
      </c>
      <c r="H1519" s="22" t="str">
        <f t="shared" si="23"/>
        <v/>
      </c>
      <c r="I1519" s="14" t="str">
        <f>IF(OR($C1519="",$F1519=""),"",IFERROR(INDEX(Productos!$I$5:$I$504,MATCH($C1519,Productos!$A$5:$A$504,0)),0)+SUMIFS($F$5:$F1519,$C$5:$C1519,$C1519,$B$5:$B1519,"Entrada")-SUMIFS($F$5:$F1519,$C$5:$C1519,$C1519,$B$5:$B1519,"Salida"))</f>
        <v/>
      </c>
      <c r="J1519" s="20"/>
      <c r="K1519" s="20"/>
      <c r="L1519" s="20"/>
      <c r="M1519" s="14" t="str">
        <f>IF(AND($C1519&lt;&gt;"",$C1519=Kardex!$C$4),COUNTIF($C$5:$C1519,Kardex!$C$4),"")</f>
        <v/>
      </c>
    </row>
    <row r="1520" spans="1:13" x14ac:dyDescent="0.25">
      <c r="A1520" s="24"/>
      <c r="B1520" s="20"/>
      <c r="C1520" s="20"/>
      <c r="D1520" s="14" t="str">
        <f>IF($C1520="","",IFERROR(INDEX(Productos!$B$5:$B$504,MATCH($C1520,Productos!$A$5:$A$504,0)),"Clave no existe"))</f>
        <v/>
      </c>
      <c r="E1520" s="14" t="str">
        <f>IF($C1520="","",IFERROR(INDEX(Productos!$D$5:$D$504,MATCH($C1520,Productos!$A$5:$A$504,0)),""))</f>
        <v/>
      </c>
      <c r="F1520" s="20"/>
      <c r="G1520" s="22" t="str">
        <f>IF($C1520="","",IFERROR(INDEX(Productos!$F$5:$F$504,MATCH($C1520,Productos!$A$5:$A$504,0)),0))</f>
        <v/>
      </c>
      <c r="H1520" s="22" t="str">
        <f t="shared" si="23"/>
        <v/>
      </c>
      <c r="I1520" s="14" t="str">
        <f>IF(OR($C1520="",$F1520=""),"",IFERROR(INDEX(Productos!$I$5:$I$504,MATCH($C1520,Productos!$A$5:$A$504,0)),0)+SUMIFS($F$5:$F1520,$C$5:$C1520,$C1520,$B$5:$B1520,"Entrada")-SUMIFS($F$5:$F1520,$C$5:$C1520,$C1520,$B$5:$B1520,"Salida"))</f>
        <v/>
      </c>
      <c r="J1520" s="20"/>
      <c r="K1520" s="20"/>
      <c r="L1520" s="20"/>
      <c r="M1520" s="14" t="str">
        <f>IF(AND($C1520&lt;&gt;"",$C1520=Kardex!$C$4),COUNTIF($C$5:$C1520,Kardex!$C$4),"")</f>
        <v/>
      </c>
    </row>
    <row r="1521" spans="1:13" x14ac:dyDescent="0.25">
      <c r="A1521" s="24"/>
      <c r="B1521" s="20"/>
      <c r="C1521" s="20"/>
      <c r="D1521" s="14" t="str">
        <f>IF($C1521="","",IFERROR(INDEX(Productos!$B$5:$B$504,MATCH($C1521,Productos!$A$5:$A$504,0)),"Clave no existe"))</f>
        <v/>
      </c>
      <c r="E1521" s="14" t="str">
        <f>IF($C1521="","",IFERROR(INDEX(Productos!$D$5:$D$504,MATCH($C1521,Productos!$A$5:$A$504,0)),""))</f>
        <v/>
      </c>
      <c r="F1521" s="20"/>
      <c r="G1521" s="22" t="str">
        <f>IF($C1521="","",IFERROR(INDEX(Productos!$F$5:$F$504,MATCH($C1521,Productos!$A$5:$A$504,0)),0))</f>
        <v/>
      </c>
      <c r="H1521" s="22" t="str">
        <f t="shared" si="23"/>
        <v/>
      </c>
      <c r="I1521" s="14" t="str">
        <f>IF(OR($C1521="",$F1521=""),"",IFERROR(INDEX(Productos!$I$5:$I$504,MATCH($C1521,Productos!$A$5:$A$504,0)),0)+SUMIFS($F$5:$F1521,$C$5:$C1521,$C1521,$B$5:$B1521,"Entrada")-SUMIFS($F$5:$F1521,$C$5:$C1521,$C1521,$B$5:$B1521,"Salida"))</f>
        <v/>
      </c>
      <c r="J1521" s="20"/>
      <c r="K1521" s="20"/>
      <c r="L1521" s="20"/>
      <c r="M1521" s="14" t="str">
        <f>IF(AND($C1521&lt;&gt;"",$C1521=Kardex!$C$4),COUNTIF($C$5:$C1521,Kardex!$C$4),"")</f>
        <v/>
      </c>
    </row>
    <row r="1522" spans="1:13" x14ac:dyDescent="0.25">
      <c r="A1522" s="24"/>
      <c r="B1522" s="20"/>
      <c r="C1522" s="20"/>
      <c r="D1522" s="14" t="str">
        <f>IF($C1522="","",IFERROR(INDEX(Productos!$B$5:$B$504,MATCH($C1522,Productos!$A$5:$A$504,0)),"Clave no existe"))</f>
        <v/>
      </c>
      <c r="E1522" s="14" t="str">
        <f>IF($C1522="","",IFERROR(INDEX(Productos!$D$5:$D$504,MATCH($C1522,Productos!$A$5:$A$504,0)),""))</f>
        <v/>
      </c>
      <c r="F1522" s="20"/>
      <c r="G1522" s="22" t="str">
        <f>IF($C1522="","",IFERROR(INDEX(Productos!$F$5:$F$504,MATCH($C1522,Productos!$A$5:$A$504,0)),0))</f>
        <v/>
      </c>
      <c r="H1522" s="22" t="str">
        <f t="shared" si="23"/>
        <v/>
      </c>
      <c r="I1522" s="14" t="str">
        <f>IF(OR($C1522="",$F1522=""),"",IFERROR(INDEX(Productos!$I$5:$I$504,MATCH($C1522,Productos!$A$5:$A$504,0)),0)+SUMIFS($F$5:$F1522,$C$5:$C1522,$C1522,$B$5:$B1522,"Entrada")-SUMIFS($F$5:$F1522,$C$5:$C1522,$C1522,$B$5:$B1522,"Salida"))</f>
        <v/>
      </c>
      <c r="J1522" s="20"/>
      <c r="K1522" s="20"/>
      <c r="L1522" s="20"/>
      <c r="M1522" s="14" t="str">
        <f>IF(AND($C1522&lt;&gt;"",$C1522=Kardex!$C$4),COUNTIF($C$5:$C1522,Kardex!$C$4),"")</f>
        <v/>
      </c>
    </row>
    <row r="1523" spans="1:13" x14ac:dyDescent="0.25">
      <c r="A1523" s="24"/>
      <c r="B1523" s="20"/>
      <c r="C1523" s="20"/>
      <c r="D1523" s="14" t="str">
        <f>IF($C1523="","",IFERROR(INDEX(Productos!$B$5:$B$504,MATCH($C1523,Productos!$A$5:$A$504,0)),"Clave no existe"))</f>
        <v/>
      </c>
      <c r="E1523" s="14" t="str">
        <f>IF($C1523="","",IFERROR(INDEX(Productos!$D$5:$D$504,MATCH($C1523,Productos!$A$5:$A$504,0)),""))</f>
        <v/>
      </c>
      <c r="F1523" s="20"/>
      <c r="G1523" s="22" t="str">
        <f>IF($C1523="","",IFERROR(INDEX(Productos!$F$5:$F$504,MATCH($C1523,Productos!$A$5:$A$504,0)),0))</f>
        <v/>
      </c>
      <c r="H1523" s="22" t="str">
        <f t="shared" si="23"/>
        <v/>
      </c>
      <c r="I1523" s="14" t="str">
        <f>IF(OR($C1523="",$F1523=""),"",IFERROR(INDEX(Productos!$I$5:$I$504,MATCH($C1523,Productos!$A$5:$A$504,0)),0)+SUMIFS($F$5:$F1523,$C$5:$C1523,$C1523,$B$5:$B1523,"Entrada")-SUMIFS($F$5:$F1523,$C$5:$C1523,$C1523,$B$5:$B1523,"Salida"))</f>
        <v/>
      </c>
      <c r="J1523" s="20"/>
      <c r="K1523" s="20"/>
      <c r="L1523" s="20"/>
      <c r="M1523" s="14" t="str">
        <f>IF(AND($C1523&lt;&gt;"",$C1523=Kardex!$C$4),COUNTIF($C$5:$C1523,Kardex!$C$4),"")</f>
        <v/>
      </c>
    </row>
    <row r="1524" spans="1:13" x14ac:dyDescent="0.25">
      <c r="A1524" s="24"/>
      <c r="B1524" s="20"/>
      <c r="C1524" s="20"/>
      <c r="D1524" s="14" t="str">
        <f>IF($C1524="","",IFERROR(INDEX(Productos!$B$5:$B$504,MATCH($C1524,Productos!$A$5:$A$504,0)),"Clave no existe"))</f>
        <v/>
      </c>
      <c r="E1524" s="14" t="str">
        <f>IF($C1524="","",IFERROR(INDEX(Productos!$D$5:$D$504,MATCH($C1524,Productos!$A$5:$A$504,0)),""))</f>
        <v/>
      </c>
      <c r="F1524" s="20"/>
      <c r="G1524" s="22" t="str">
        <f>IF($C1524="","",IFERROR(INDEX(Productos!$F$5:$F$504,MATCH($C1524,Productos!$A$5:$A$504,0)),0))</f>
        <v/>
      </c>
      <c r="H1524" s="22" t="str">
        <f t="shared" si="23"/>
        <v/>
      </c>
      <c r="I1524" s="14" t="str">
        <f>IF(OR($C1524="",$F1524=""),"",IFERROR(INDEX(Productos!$I$5:$I$504,MATCH($C1524,Productos!$A$5:$A$504,0)),0)+SUMIFS($F$5:$F1524,$C$5:$C1524,$C1524,$B$5:$B1524,"Entrada")-SUMIFS($F$5:$F1524,$C$5:$C1524,$C1524,$B$5:$B1524,"Salida"))</f>
        <v/>
      </c>
      <c r="J1524" s="20"/>
      <c r="K1524" s="20"/>
      <c r="L1524" s="20"/>
      <c r="M1524" s="14" t="str">
        <f>IF(AND($C1524&lt;&gt;"",$C1524=Kardex!$C$4),COUNTIF($C$5:$C1524,Kardex!$C$4),"")</f>
        <v/>
      </c>
    </row>
    <row r="1525" spans="1:13" x14ac:dyDescent="0.25">
      <c r="A1525" s="24"/>
      <c r="B1525" s="20"/>
      <c r="C1525" s="20"/>
      <c r="D1525" s="14" t="str">
        <f>IF($C1525="","",IFERROR(INDEX(Productos!$B$5:$B$504,MATCH($C1525,Productos!$A$5:$A$504,0)),"Clave no existe"))</f>
        <v/>
      </c>
      <c r="E1525" s="14" t="str">
        <f>IF($C1525="","",IFERROR(INDEX(Productos!$D$5:$D$504,MATCH($C1525,Productos!$A$5:$A$504,0)),""))</f>
        <v/>
      </c>
      <c r="F1525" s="20"/>
      <c r="G1525" s="22" t="str">
        <f>IF($C1525="","",IFERROR(INDEX(Productos!$F$5:$F$504,MATCH($C1525,Productos!$A$5:$A$504,0)),0))</f>
        <v/>
      </c>
      <c r="H1525" s="22" t="str">
        <f t="shared" si="23"/>
        <v/>
      </c>
      <c r="I1525" s="14" t="str">
        <f>IF(OR($C1525="",$F1525=""),"",IFERROR(INDEX(Productos!$I$5:$I$504,MATCH($C1525,Productos!$A$5:$A$504,0)),0)+SUMIFS($F$5:$F1525,$C$5:$C1525,$C1525,$B$5:$B1525,"Entrada")-SUMIFS($F$5:$F1525,$C$5:$C1525,$C1525,$B$5:$B1525,"Salida"))</f>
        <v/>
      </c>
      <c r="J1525" s="20"/>
      <c r="K1525" s="20"/>
      <c r="L1525" s="20"/>
      <c r="M1525" s="14" t="str">
        <f>IF(AND($C1525&lt;&gt;"",$C1525=Kardex!$C$4),COUNTIF($C$5:$C1525,Kardex!$C$4),"")</f>
        <v/>
      </c>
    </row>
    <row r="1526" spans="1:13" x14ac:dyDescent="0.25">
      <c r="A1526" s="24"/>
      <c r="B1526" s="20"/>
      <c r="C1526" s="20"/>
      <c r="D1526" s="14" t="str">
        <f>IF($C1526="","",IFERROR(INDEX(Productos!$B$5:$B$504,MATCH($C1526,Productos!$A$5:$A$504,0)),"Clave no existe"))</f>
        <v/>
      </c>
      <c r="E1526" s="14" t="str">
        <f>IF($C1526="","",IFERROR(INDEX(Productos!$D$5:$D$504,MATCH($C1526,Productos!$A$5:$A$504,0)),""))</f>
        <v/>
      </c>
      <c r="F1526" s="20"/>
      <c r="G1526" s="22" t="str">
        <f>IF($C1526="","",IFERROR(INDEX(Productos!$F$5:$F$504,MATCH($C1526,Productos!$A$5:$A$504,0)),0))</f>
        <v/>
      </c>
      <c r="H1526" s="22" t="str">
        <f t="shared" si="23"/>
        <v/>
      </c>
      <c r="I1526" s="14" t="str">
        <f>IF(OR($C1526="",$F1526=""),"",IFERROR(INDEX(Productos!$I$5:$I$504,MATCH($C1526,Productos!$A$5:$A$504,0)),0)+SUMIFS($F$5:$F1526,$C$5:$C1526,$C1526,$B$5:$B1526,"Entrada")-SUMIFS($F$5:$F1526,$C$5:$C1526,$C1526,$B$5:$B1526,"Salida"))</f>
        <v/>
      </c>
      <c r="J1526" s="20"/>
      <c r="K1526" s="20"/>
      <c r="L1526" s="20"/>
      <c r="M1526" s="14" t="str">
        <f>IF(AND($C1526&lt;&gt;"",$C1526=Kardex!$C$4),COUNTIF($C$5:$C1526,Kardex!$C$4),"")</f>
        <v/>
      </c>
    </row>
    <row r="1527" spans="1:13" x14ac:dyDescent="0.25">
      <c r="A1527" s="24"/>
      <c r="B1527" s="20"/>
      <c r="C1527" s="20"/>
      <c r="D1527" s="14" t="str">
        <f>IF($C1527="","",IFERROR(INDEX(Productos!$B$5:$B$504,MATCH($C1527,Productos!$A$5:$A$504,0)),"Clave no existe"))</f>
        <v/>
      </c>
      <c r="E1527" s="14" t="str">
        <f>IF($C1527="","",IFERROR(INDEX(Productos!$D$5:$D$504,MATCH($C1527,Productos!$A$5:$A$504,0)),""))</f>
        <v/>
      </c>
      <c r="F1527" s="20"/>
      <c r="G1527" s="22" t="str">
        <f>IF($C1527="","",IFERROR(INDEX(Productos!$F$5:$F$504,MATCH($C1527,Productos!$A$5:$A$504,0)),0))</f>
        <v/>
      </c>
      <c r="H1527" s="22" t="str">
        <f t="shared" si="23"/>
        <v/>
      </c>
      <c r="I1527" s="14" t="str">
        <f>IF(OR($C1527="",$F1527=""),"",IFERROR(INDEX(Productos!$I$5:$I$504,MATCH($C1527,Productos!$A$5:$A$504,0)),0)+SUMIFS($F$5:$F1527,$C$5:$C1527,$C1527,$B$5:$B1527,"Entrada")-SUMIFS($F$5:$F1527,$C$5:$C1527,$C1527,$B$5:$B1527,"Salida"))</f>
        <v/>
      </c>
      <c r="J1527" s="20"/>
      <c r="K1527" s="20"/>
      <c r="L1527" s="20"/>
      <c r="M1527" s="14" t="str">
        <f>IF(AND($C1527&lt;&gt;"",$C1527=Kardex!$C$4),COUNTIF($C$5:$C1527,Kardex!$C$4),"")</f>
        <v/>
      </c>
    </row>
    <row r="1528" spans="1:13" x14ac:dyDescent="0.25">
      <c r="A1528" s="24"/>
      <c r="B1528" s="20"/>
      <c r="C1528" s="20"/>
      <c r="D1528" s="14" t="str">
        <f>IF($C1528="","",IFERROR(INDEX(Productos!$B$5:$B$504,MATCH($C1528,Productos!$A$5:$A$504,0)),"Clave no existe"))</f>
        <v/>
      </c>
      <c r="E1528" s="14" t="str">
        <f>IF($C1528="","",IFERROR(INDEX(Productos!$D$5:$D$504,MATCH($C1528,Productos!$A$5:$A$504,0)),""))</f>
        <v/>
      </c>
      <c r="F1528" s="20"/>
      <c r="G1528" s="22" t="str">
        <f>IF($C1528="","",IFERROR(INDEX(Productos!$F$5:$F$504,MATCH($C1528,Productos!$A$5:$A$504,0)),0))</f>
        <v/>
      </c>
      <c r="H1528" s="22" t="str">
        <f t="shared" si="23"/>
        <v/>
      </c>
      <c r="I1528" s="14" t="str">
        <f>IF(OR($C1528="",$F1528=""),"",IFERROR(INDEX(Productos!$I$5:$I$504,MATCH($C1528,Productos!$A$5:$A$504,0)),0)+SUMIFS($F$5:$F1528,$C$5:$C1528,$C1528,$B$5:$B1528,"Entrada")-SUMIFS($F$5:$F1528,$C$5:$C1528,$C1528,$B$5:$B1528,"Salida"))</f>
        <v/>
      </c>
      <c r="J1528" s="20"/>
      <c r="K1528" s="20"/>
      <c r="L1528" s="20"/>
      <c r="M1528" s="14" t="str">
        <f>IF(AND($C1528&lt;&gt;"",$C1528=Kardex!$C$4),COUNTIF($C$5:$C1528,Kardex!$C$4),"")</f>
        <v/>
      </c>
    </row>
    <row r="1529" spans="1:13" x14ac:dyDescent="0.25">
      <c r="A1529" s="24"/>
      <c r="B1529" s="20"/>
      <c r="C1529" s="20"/>
      <c r="D1529" s="14" t="str">
        <f>IF($C1529="","",IFERROR(INDEX(Productos!$B$5:$B$504,MATCH($C1529,Productos!$A$5:$A$504,0)),"Clave no existe"))</f>
        <v/>
      </c>
      <c r="E1529" s="14" t="str">
        <f>IF($C1529="","",IFERROR(INDEX(Productos!$D$5:$D$504,MATCH($C1529,Productos!$A$5:$A$504,0)),""))</f>
        <v/>
      </c>
      <c r="F1529" s="20"/>
      <c r="G1529" s="22" t="str">
        <f>IF($C1529="","",IFERROR(INDEX(Productos!$F$5:$F$504,MATCH($C1529,Productos!$A$5:$A$504,0)),0))</f>
        <v/>
      </c>
      <c r="H1529" s="22" t="str">
        <f t="shared" si="23"/>
        <v/>
      </c>
      <c r="I1529" s="14" t="str">
        <f>IF(OR($C1529="",$F1529=""),"",IFERROR(INDEX(Productos!$I$5:$I$504,MATCH($C1529,Productos!$A$5:$A$504,0)),0)+SUMIFS($F$5:$F1529,$C$5:$C1529,$C1529,$B$5:$B1529,"Entrada")-SUMIFS($F$5:$F1529,$C$5:$C1529,$C1529,$B$5:$B1529,"Salida"))</f>
        <v/>
      </c>
      <c r="J1529" s="20"/>
      <c r="K1529" s="20"/>
      <c r="L1529" s="20"/>
      <c r="M1529" s="14" t="str">
        <f>IF(AND($C1529&lt;&gt;"",$C1529=Kardex!$C$4),COUNTIF($C$5:$C1529,Kardex!$C$4),"")</f>
        <v/>
      </c>
    </row>
    <row r="1530" spans="1:13" x14ac:dyDescent="0.25">
      <c r="A1530" s="24"/>
      <c r="B1530" s="20"/>
      <c r="C1530" s="20"/>
      <c r="D1530" s="14" t="str">
        <f>IF($C1530="","",IFERROR(INDEX(Productos!$B$5:$B$504,MATCH($C1530,Productos!$A$5:$A$504,0)),"Clave no existe"))</f>
        <v/>
      </c>
      <c r="E1530" s="14" t="str">
        <f>IF($C1530="","",IFERROR(INDEX(Productos!$D$5:$D$504,MATCH($C1530,Productos!$A$5:$A$504,0)),""))</f>
        <v/>
      </c>
      <c r="F1530" s="20"/>
      <c r="G1530" s="22" t="str">
        <f>IF($C1530="","",IFERROR(INDEX(Productos!$F$5:$F$504,MATCH($C1530,Productos!$A$5:$A$504,0)),0))</f>
        <v/>
      </c>
      <c r="H1530" s="22" t="str">
        <f t="shared" si="23"/>
        <v/>
      </c>
      <c r="I1530" s="14" t="str">
        <f>IF(OR($C1530="",$F1530=""),"",IFERROR(INDEX(Productos!$I$5:$I$504,MATCH($C1530,Productos!$A$5:$A$504,0)),0)+SUMIFS($F$5:$F1530,$C$5:$C1530,$C1530,$B$5:$B1530,"Entrada")-SUMIFS($F$5:$F1530,$C$5:$C1530,$C1530,$B$5:$B1530,"Salida"))</f>
        <v/>
      </c>
      <c r="J1530" s="20"/>
      <c r="K1530" s="20"/>
      <c r="L1530" s="20"/>
      <c r="M1530" s="14" t="str">
        <f>IF(AND($C1530&lt;&gt;"",$C1530=Kardex!$C$4),COUNTIF($C$5:$C1530,Kardex!$C$4),"")</f>
        <v/>
      </c>
    </row>
    <row r="1531" spans="1:13" x14ac:dyDescent="0.25">
      <c r="A1531" s="24"/>
      <c r="B1531" s="20"/>
      <c r="C1531" s="20"/>
      <c r="D1531" s="14" t="str">
        <f>IF($C1531="","",IFERROR(INDEX(Productos!$B$5:$B$504,MATCH($C1531,Productos!$A$5:$A$504,0)),"Clave no existe"))</f>
        <v/>
      </c>
      <c r="E1531" s="14" t="str">
        <f>IF($C1531="","",IFERROR(INDEX(Productos!$D$5:$D$504,MATCH($C1531,Productos!$A$5:$A$504,0)),""))</f>
        <v/>
      </c>
      <c r="F1531" s="20"/>
      <c r="G1531" s="22" t="str">
        <f>IF($C1531="","",IFERROR(INDEX(Productos!$F$5:$F$504,MATCH($C1531,Productos!$A$5:$A$504,0)),0))</f>
        <v/>
      </c>
      <c r="H1531" s="22" t="str">
        <f t="shared" si="23"/>
        <v/>
      </c>
      <c r="I1531" s="14" t="str">
        <f>IF(OR($C1531="",$F1531=""),"",IFERROR(INDEX(Productos!$I$5:$I$504,MATCH($C1531,Productos!$A$5:$A$504,0)),0)+SUMIFS($F$5:$F1531,$C$5:$C1531,$C1531,$B$5:$B1531,"Entrada")-SUMIFS($F$5:$F1531,$C$5:$C1531,$C1531,$B$5:$B1531,"Salida"))</f>
        <v/>
      </c>
      <c r="J1531" s="20"/>
      <c r="K1531" s="20"/>
      <c r="L1531" s="20"/>
      <c r="M1531" s="14" t="str">
        <f>IF(AND($C1531&lt;&gt;"",$C1531=Kardex!$C$4),COUNTIF($C$5:$C1531,Kardex!$C$4),"")</f>
        <v/>
      </c>
    </row>
    <row r="1532" spans="1:13" x14ac:dyDescent="0.25">
      <c r="A1532" s="24"/>
      <c r="B1532" s="20"/>
      <c r="C1532" s="20"/>
      <c r="D1532" s="14" t="str">
        <f>IF($C1532="","",IFERROR(INDEX(Productos!$B$5:$B$504,MATCH($C1532,Productos!$A$5:$A$504,0)),"Clave no existe"))</f>
        <v/>
      </c>
      <c r="E1532" s="14" t="str">
        <f>IF($C1532="","",IFERROR(INDEX(Productos!$D$5:$D$504,MATCH($C1532,Productos!$A$5:$A$504,0)),""))</f>
        <v/>
      </c>
      <c r="F1532" s="20"/>
      <c r="G1532" s="22" t="str">
        <f>IF($C1532="","",IFERROR(INDEX(Productos!$F$5:$F$504,MATCH($C1532,Productos!$A$5:$A$504,0)),0))</f>
        <v/>
      </c>
      <c r="H1532" s="22" t="str">
        <f t="shared" si="23"/>
        <v/>
      </c>
      <c r="I1532" s="14" t="str">
        <f>IF(OR($C1532="",$F1532=""),"",IFERROR(INDEX(Productos!$I$5:$I$504,MATCH($C1532,Productos!$A$5:$A$504,0)),0)+SUMIFS($F$5:$F1532,$C$5:$C1532,$C1532,$B$5:$B1532,"Entrada")-SUMIFS($F$5:$F1532,$C$5:$C1532,$C1532,$B$5:$B1532,"Salida"))</f>
        <v/>
      </c>
      <c r="J1532" s="20"/>
      <c r="K1532" s="20"/>
      <c r="L1532" s="20"/>
      <c r="M1532" s="14" t="str">
        <f>IF(AND($C1532&lt;&gt;"",$C1532=Kardex!$C$4),COUNTIF($C$5:$C1532,Kardex!$C$4),"")</f>
        <v/>
      </c>
    </row>
    <row r="1533" spans="1:13" x14ac:dyDescent="0.25">
      <c r="A1533" s="24"/>
      <c r="B1533" s="20"/>
      <c r="C1533" s="20"/>
      <c r="D1533" s="14" t="str">
        <f>IF($C1533="","",IFERROR(INDEX(Productos!$B$5:$B$504,MATCH($C1533,Productos!$A$5:$A$504,0)),"Clave no existe"))</f>
        <v/>
      </c>
      <c r="E1533" s="14" t="str">
        <f>IF($C1533="","",IFERROR(INDEX(Productos!$D$5:$D$504,MATCH($C1533,Productos!$A$5:$A$504,0)),""))</f>
        <v/>
      </c>
      <c r="F1533" s="20"/>
      <c r="G1533" s="22" t="str">
        <f>IF($C1533="","",IFERROR(INDEX(Productos!$F$5:$F$504,MATCH($C1533,Productos!$A$5:$A$504,0)),0))</f>
        <v/>
      </c>
      <c r="H1533" s="22" t="str">
        <f t="shared" si="23"/>
        <v/>
      </c>
      <c r="I1533" s="14" t="str">
        <f>IF(OR($C1533="",$F1533=""),"",IFERROR(INDEX(Productos!$I$5:$I$504,MATCH($C1533,Productos!$A$5:$A$504,0)),0)+SUMIFS($F$5:$F1533,$C$5:$C1533,$C1533,$B$5:$B1533,"Entrada")-SUMIFS($F$5:$F1533,$C$5:$C1533,$C1533,$B$5:$B1533,"Salida"))</f>
        <v/>
      </c>
      <c r="J1533" s="20"/>
      <c r="K1533" s="20"/>
      <c r="L1533" s="20"/>
      <c r="M1533" s="14" t="str">
        <f>IF(AND($C1533&lt;&gt;"",$C1533=Kardex!$C$4),COUNTIF($C$5:$C1533,Kardex!$C$4),"")</f>
        <v/>
      </c>
    </row>
    <row r="1534" spans="1:13" x14ac:dyDescent="0.25">
      <c r="A1534" s="24"/>
      <c r="B1534" s="20"/>
      <c r="C1534" s="20"/>
      <c r="D1534" s="14" t="str">
        <f>IF($C1534="","",IFERROR(INDEX(Productos!$B$5:$B$504,MATCH($C1534,Productos!$A$5:$A$504,0)),"Clave no existe"))</f>
        <v/>
      </c>
      <c r="E1534" s="14" t="str">
        <f>IF($C1534="","",IFERROR(INDEX(Productos!$D$5:$D$504,MATCH($C1534,Productos!$A$5:$A$504,0)),""))</f>
        <v/>
      </c>
      <c r="F1534" s="20"/>
      <c r="G1534" s="22" t="str">
        <f>IF($C1534="","",IFERROR(INDEX(Productos!$F$5:$F$504,MATCH($C1534,Productos!$A$5:$A$504,0)),0))</f>
        <v/>
      </c>
      <c r="H1534" s="22" t="str">
        <f t="shared" si="23"/>
        <v/>
      </c>
      <c r="I1534" s="14" t="str">
        <f>IF(OR($C1534="",$F1534=""),"",IFERROR(INDEX(Productos!$I$5:$I$504,MATCH($C1534,Productos!$A$5:$A$504,0)),0)+SUMIFS($F$5:$F1534,$C$5:$C1534,$C1534,$B$5:$B1534,"Entrada")-SUMIFS($F$5:$F1534,$C$5:$C1534,$C1534,$B$5:$B1534,"Salida"))</f>
        <v/>
      </c>
      <c r="J1534" s="20"/>
      <c r="K1534" s="20"/>
      <c r="L1534" s="20"/>
      <c r="M1534" s="14" t="str">
        <f>IF(AND($C1534&lt;&gt;"",$C1534=Kardex!$C$4),COUNTIF($C$5:$C1534,Kardex!$C$4),"")</f>
        <v/>
      </c>
    </row>
    <row r="1535" spans="1:13" x14ac:dyDescent="0.25">
      <c r="A1535" s="24"/>
      <c r="B1535" s="20"/>
      <c r="C1535" s="20"/>
      <c r="D1535" s="14" t="str">
        <f>IF($C1535="","",IFERROR(INDEX(Productos!$B$5:$B$504,MATCH($C1535,Productos!$A$5:$A$504,0)),"Clave no existe"))</f>
        <v/>
      </c>
      <c r="E1535" s="14" t="str">
        <f>IF($C1535="","",IFERROR(INDEX(Productos!$D$5:$D$504,MATCH($C1535,Productos!$A$5:$A$504,0)),""))</f>
        <v/>
      </c>
      <c r="F1535" s="20"/>
      <c r="G1535" s="22" t="str">
        <f>IF($C1535="","",IFERROR(INDEX(Productos!$F$5:$F$504,MATCH($C1535,Productos!$A$5:$A$504,0)),0))</f>
        <v/>
      </c>
      <c r="H1535" s="22" t="str">
        <f t="shared" si="23"/>
        <v/>
      </c>
      <c r="I1535" s="14" t="str">
        <f>IF(OR($C1535="",$F1535=""),"",IFERROR(INDEX(Productos!$I$5:$I$504,MATCH($C1535,Productos!$A$5:$A$504,0)),0)+SUMIFS($F$5:$F1535,$C$5:$C1535,$C1535,$B$5:$B1535,"Entrada")-SUMIFS($F$5:$F1535,$C$5:$C1535,$C1535,$B$5:$B1535,"Salida"))</f>
        <v/>
      </c>
      <c r="J1535" s="20"/>
      <c r="K1535" s="20"/>
      <c r="L1535" s="20"/>
      <c r="M1535" s="14" t="str">
        <f>IF(AND($C1535&lt;&gt;"",$C1535=Kardex!$C$4),COUNTIF($C$5:$C1535,Kardex!$C$4),"")</f>
        <v/>
      </c>
    </row>
    <row r="1536" spans="1:13" x14ac:dyDescent="0.25">
      <c r="A1536" s="24"/>
      <c r="B1536" s="20"/>
      <c r="C1536" s="20"/>
      <c r="D1536" s="14" t="str">
        <f>IF($C1536="","",IFERROR(INDEX(Productos!$B$5:$B$504,MATCH($C1536,Productos!$A$5:$A$504,0)),"Clave no existe"))</f>
        <v/>
      </c>
      <c r="E1536" s="14" t="str">
        <f>IF($C1536="","",IFERROR(INDEX(Productos!$D$5:$D$504,MATCH($C1536,Productos!$A$5:$A$504,0)),""))</f>
        <v/>
      </c>
      <c r="F1536" s="20"/>
      <c r="G1536" s="22" t="str">
        <f>IF($C1536="","",IFERROR(INDEX(Productos!$F$5:$F$504,MATCH($C1536,Productos!$A$5:$A$504,0)),0))</f>
        <v/>
      </c>
      <c r="H1536" s="22" t="str">
        <f t="shared" si="23"/>
        <v/>
      </c>
      <c r="I1536" s="14" t="str">
        <f>IF(OR($C1536="",$F1536=""),"",IFERROR(INDEX(Productos!$I$5:$I$504,MATCH($C1536,Productos!$A$5:$A$504,0)),0)+SUMIFS($F$5:$F1536,$C$5:$C1536,$C1536,$B$5:$B1536,"Entrada")-SUMIFS($F$5:$F1536,$C$5:$C1536,$C1536,$B$5:$B1536,"Salida"))</f>
        <v/>
      </c>
      <c r="J1536" s="20"/>
      <c r="K1536" s="20"/>
      <c r="L1536" s="20"/>
      <c r="M1536" s="14" t="str">
        <f>IF(AND($C1536&lt;&gt;"",$C1536=Kardex!$C$4),COUNTIF($C$5:$C1536,Kardex!$C$4),"")</f>
        <v/>
      </c>
    </row>
    <row r="1537" spans="1:13" x14ac:dyDescent="0.25">
      <c r="A1537" s="24"/>
      <c r="B1537" s="20"/>
      <c r="C1537" s="20"/>
      <c r="D1537" s="14" t="str">
        <f>IF($C1537="","",IFERROR(INDEX(Productos!$B$5:$B$504,MATCH($C1537,Productos!$A$5:$A$504,0)),"Clave no existe"))</f>
        <v/>
      </c>
      <c r="E1537" s="14" t="str">
        <f>IF($C1537="","",IFERROR(INDEX(Productos!$D$5:$D$504,MATCH($C1537,Productos!$A$5:$A$504,0)),""))</f>
        <v/>
      </c>
      <c r="F1537" s="20"/>
      <c r="G1537" s="22" t="str">
        <f>IF($C1537="","",IFERROR(INDEX(Productos!$F$5:$F$504,MATCH($C1537,Productos!$A$5:$A$504,0)),0))</f>
        <v/>
      </c>
      <c r="H1537" s="22" t="str">
        <f t="shared" si="23"/>
        <v/>
      </c>
      <c r="I1537" s="14" t="str">
        <f>IF(OR($C1537="",$F1537=""),"",IFERROR(INDEX(Productos!$I$5:$I$504,MATCH($C1537,Productos!$A$5:$A$504,0)),0)+SUMIFS($F$5:$F1537,$C$5:$C1537,$C1537,$B$5:$B1537,"Entrada")-SUMIFS($F$5:$F1537,$C$5:$C1537,$C1537,$B$5:$B1537,"Salida"))</f>
        <v/>
      </c>
      <c r="J1537" s="20"/>
      <c r="K1537" s="20"/>
      <c r="L1537" s="20"/>
      <c r="M1537" s="14" t="str">
        <f>IF(AND($C1537&lt;&gt;"",$C1537=Kardex!$C$4),COUNTIF($C$5:$C1537,Kardex!$C$4),"")</f>
        <v/>
      </c>
    </row>
    <row r="1538" spans="1:13" x14ac:dyDescent="0.25">
      <c r="A1538" s="24"/>
      <c r="B1538" s="20"/>
      <c r="C1538" s="20"/>
      <c r="D1538" s="14" t="str">
        <f>IF($C1538="","",IFERROR(INDEX(Productos!$B$5:$B$504,MATCH($C1538,Productos!$A$5:$A$504,0)),"Clave no existe"))</f>
        <v/>
      </c>
      <c r="E1538" s="14" t="str">
        <f>IF($C1538="","",IFERROR(INDEX(Productos!$D$5:$D$504,MATCH($C1538,Productos!$A$5:$A$504,0)),""))</f>
        <v/>
      </c>
      <c r="F1538" s="20"/>
      <c r="G1538" s="22" t="str">
        <f>IF($C1538="","",IFERROR(INDEX(Productos!$F$5:$F$504,MATCH($C1538,Productos!$A$5:$A$504,0)),0))</f>
        <v/>
      </c>
      <c r="H1538" s="22" t="str">
        <f t="shared" si="23"/>
        <v/>
      </c>
      <c r="I1538" s="14" t="str">
        <f>IF(OR($C1538="",$F1538=""),"",IFERROR(INDEX(Productos!$I$5:$I$504,MATCH($C1538,Productos!$A$5:$A$504,0)),0)+SUMIFS($F$5:$F1538,$C$5:$C1538,$C1538,$B$5:$B1538,"Entrada")-SUMIFS($F$5:$F1538,$C$5:$C1538,$C1538,$B$5:$B1538,"Salida"))</f>
        <v/>
      </c>
      <c r="J1538" s="20"/>
      <c r="K1538" s="20"/>
      <c r="L1538" s="20"/>
      <c r="M1538" s="14" t="str">
        <f>IF(AND($C1538&lt;&gt;"",$C1538=Kardex!$C$4),COUNTIF($C$5:$C1538,Kardex!$C$4),"")</f>
        <v/>
      </c>
    </row>
    <row r="1539" spans="1:13" x14ac:dyDescent="0.25">
      <c r="A1539" s="24"/>
      <c r="B1539" s="20"/>
      <c r="C1539" s="20"/>
      <c r="D1539" s="14" t="str">
        <f>IF($C1539="","",IFERROR(INDEX(Productos!$B$5:$B$504,MATCH($C1539,Productos!$A$5:$A$504,0)),"Clave no existe"))</f>
        <v/>
      </c>
      <c r="E1539" s="14" t="str">
        <f>IF($C1539="","",IFERROR(INDEX(Productos!$D$5:$D$504,MATCH($C1539,Productos!$A$5:$A$504,0)),""))</f>
        <v/>
      </c>
      <c r="F1539" s="20"/>
      <c r="G1539" s="22" t="str">
        <f>IF($C1539="","",IFERROR(INDEX(Productos!$F$5:$F$504,MATCH($C1539,Productos!$A$5:$A$504,0)),0))</f>
        <v/>
      </c>
      <c r="H1539" s="22" t="str">
        <f t="shared" si="23"/>
        <v/>
      </c>
      <c r="I1539" s="14" t="str">
        <f>IF(OR($C1539="",$F1539=""),"",IFERROR(INDEX(Productos!$I$5:$I$504,MATCH($C1539,Productos!$A$5:$A$504,0)),0)+SUMIFS($F$5:$F1539,$C$5:$C1539,$C1539,$B$5:$B1539,"Entrada")-SUMIFS($F$5:$F1539,$C$5:$C1539,$C1539,$B$5:$B1539,"Salida"))</f>
        <v/>
      </c>
      <c r="J1539" s="20"/>
      <c r="K1539" s="20"/>
      <c r="L1539" s="20"/>
      <c r="M1539" s="14" t="str">
        <f>IF(AND($C1539&lt;&gt;"",$C1539=Kardex!$C$4),COUNTIF($C$5:$C1539,Kardex!$C$4),"")</f>
        <v/>
      </c>
    </row>
    <row r="1540" spans="1:13" x14ac:dyDescent="0.25">
      <c r="A1540" s="24"/>
      <c r="B1540" s="20"/>
      <c r="C1540" s="20"/>
      <c r="D1540" s="14" t="str">
        <f>IF($C1540="","",IFERROR(INDEX(Productos!$B$5:$B$504,MATCH($C1540,Productos!$A$5:$A$504,0)),"Clave no existe"))</f>
        <v/>
      </c>
      <c r="E1540" s="14" t="str">
        <f>IF($C1540="","",IFERROR(INDEX(Productos!$D$5:$D$504,MATCH($C1540,Productos!$A$5:$A$504,0)),""))</f>
        <v/>
      </c>
      <c r="F1540" s="20"/>
      <c r="G1540" s="22" t="str">
        <f>IF($C1540="","",IFERROR(INDEX(Productos!$F$5:$F$504,MATCH($C1540,Productos!$A$5:$A$504,0)),0))</f>
        <v/>
      </c>
      <c r="H1540" s="22" t="str">
        <f t="shared" si="23"/>
        <v/>
      </c>
      <c r="I1540" s="14" t="str">
        <f>IF(OR($C1540="",$F1540=""),"",IFERROR(INDEX(Productos!$I$5:$I$504,MATCH($C1540,Productos!$A$5:$A$504,0)),0)+SUMIFS($F$5:$F1540,$C$5:$C1540,$C1540,$B$5:$B1540,"Entrada")-SUMIFS($F$5:$F1540,$C$5:$C1540,$C1540,$B$5:$B1540,"Salida"))</f>
        <v/>
      </c>
      <c r="J1540" s="20"/>
      <c r="K1540" s="20"/>
      <c r="L1540" s="20"/>
      <c r="M1540" s="14" t="str">
        <f>IF(AND($C1540&lt;&gt;"",$C1540=Kardex!$C$4),COUNTIF($C$5:$C1540,Kardex!$C$4),"")</f>
        <v/>
      </c>
    </row>
    <row r="1541" spans="1:13" x14ac:dyDescent="0.25">
      <c r="A1541" s="24"/>
      <c r="B1541" s="20"/>
      <c r="C1541" s="20"/>
      <c r="D1541" s="14" t="str">
        <f>IF($C1541="","",IFERROR(INDEX(Productos!$B$5:$B$504,MATCH($C1541,Productos!$A$5:$A$504,0)),"Clave no existe"))</f>
        <v/>
      </c>
      <c r="E1541" s="14" t="str">
        <f>IF($C1541="","",IFERROR(INDEX(Productos!$D$5:$D$504,MATCH($C1541,Productos!$A$5:$A$504,0)),""))</f>
        <v/>
      </c>
      <c r="F1541" s="20"/>
      <c r="G1541" s="22" t="str">
        <f>IF($C1541="","",IFERROR(INDEX(Productos!$F$5:$F$504,MATCH($C1541,Productos!$A$5:$A$504,0)),0))</f>
        <v/>
      </c>
      <c r="H1541" s="22" t="str">
        <f t="shared" ref="H1541:H1604" si="24">IF(OR($C1541="",$F1541=""),"",F1541*G1541)</f>
        <v/>
      </c>
      <c r="I1541" s="14" t="str">
        <f>IF(OR($C1541="",$F1541=""),"",IFERROR(INDEX(Productos!$I$5:$I$504,MATCH($C1541,Productos!$A$5:$A$504,0)),0)+SUMIFS($F$5:$F1541,$C$5:$C1541,$C1541,$B$5:$B1541,"Entrada")-SUMIFS($F$5:$F1541,$C$5:$C1541,$C1541,$B$5:$B1541,"Salida"))</f>
        <v/>
      </c>
      <c r="J1541" s="20"/>
      <c r="K1541" s="20"/>
      <c r="L1541" s="20"/>
      <c r="M1541" s="14" t="str">
        <f>IF(AND($C1541&lt;&gt;"",$C1541=Kardex!$C$4),COUNTIF($C$5:$C1541,Kardex!$C$4),"")</f>
        <v/>
      </c>
    </row>
    <row r="1542" spans="1:13" x14ac:dyDescent="0.25">
      <c r="A1542" s="24"/>
      <c r="B1542" s="20"/>
      <c r="C1542" s="20"/>
      <c r="D1542" s="14" t="str">
        <f>IF($C1542="","",IFERROR(INDEX(Productos!$B$5:$B$504,MATCH($C1542,Productos!$A$5:$A$504,0)),"Clave no existe"))</f>
        <v/>
      </c>
      <c r="E1542" s="14" t="str">
        <f>IF($C1542="","",IFERROR(INDEX(Productos!$D$5:$D$504,MATCH($C1542,Productos!$A$5:$A$504,0)),""))</f>
        <v/>
      </c>
      <c r="F1542" s="20"/>
      <c r="G1542" s="22" t="str">
        <f>IF($C1542="","",IFERROR(INDEX(Productos!$F$5:$F$504,MATCH($C1542,Productos!$A$5:$A$504,0)),0))</f>
        <v/>
      </c>
      <c r="H1542" s="22" t="str">
        <f t="shared" si="24"/>
        <v/>
      </c>
      <c r="I1542" s="14" t="str">
        <f>IF(OR($C1542="",$F1542=""),"",IFERROR(INDEX(Productos!$I$5:$I$504,MATCH($C1542,Productos!$A$5:$A$504,0)),0)+SUMIFS($F$5:$F1542,$C$5:$C1542,$C1542,$B$5:$B1542,"Entrada")-SUMIFS($F$5:$F1542,$C$5:$C1542,$C1542,$B$5:$B1542,"Salida"))</f>
        <v/>
      </c>
      <c r="J1542" s="20"/>
      <c r="K1542" s="20"/>
      <c r="L1542" s="20"/>
      <c r="M1542" s="14" t="str">
        <f>IF(AND($C1542&lt;&gt;"",$C1542=Kardex!$C$4),COUNTIF($C$5:$C1542,Kardex!$C$4),"")</f>
        <v/>
      </c>
    </row>
    <row r="1543" spans="1:13" x14ac:dyDescent="0.25">
      <c r="A1543" s="24"/>
      <c r="B1543" s="20"/>
      <c r="C1543" s="20"/>
      <c r="D1543" s="14" t="str">
        <f>IF($C1543="","",IFERROR(INDEX(Productos!$B$5:$B$504,MATCH($C1543,Productos!$A$5:$A$504,0)),"Clave no existe"))</f>
        <v/>
      </c>
      <c r="E1543" s="14" t="str">
        <f>IF($C1543="","",IFERROR(INDEX(Productos!$D$5:$D$504,MATCH($C1543,Productos!$A$5:$A$504,0)),""))</f>
        <v/>
      </c>
      <c r="F1543" s="20"/>
      <c r="G1543" s="22" t="str">
        <f>IF($C1543="","",IFERROR(INDEX(Productos!$F$5:$F$504,MATCH($C1543,Productos!$A$5:$A$504,0)),0))</f>
        <v/>
      </c>
      <c r="H1543" s="22" t="str">
        <f t="shared" si="24"/>
        <v/>
      </c>
      <c r="I1543" s="14" t="str">
        <f>IF(OR($C1543="",$F1543=""),"",IFERROR(INDEX(Productos!$I$5:$I$504,MATCH($C1543,Productos!$A$5:$A$504,0)),0)+SUMIFS($F$5:$F1543,$C$5:$C1543,$C1543,$B$5:$B1543,"Entrada")-SUMIFS($F$5:$F1543,$C$5:$C1543,$C1543,$B$5:$B1543,"Salida"))</f>
        <v/>
      </c>
      <c r="J1543" s="20"/>
      <c r="K1543" s="20"/>
      <c r="L1543" s="20"/>
      <c r="M1543" s="14" t="str">
        <f>IF(AND($C1543&lt;&gt;"",$C1543=Kardex!$C$4),COUNTIF($C$5:$C1543,Kardex!$C$4),"")</f>
        <v/>
      </c>
    </row>
    <row r="1544" spans="1:13" x14ac:dyDescent="0.25">
      <c r="A1544" s="24"/>
      <c r="B1544" s="20"/>
      <c r="C1544" s="20"/>
      <c r="D1544" s="14" t="str">
        <f>IF($C1544="","",IFERROR(INDEX(Productos!$B$5:$B$504,MATCH($C1544,Productos!$A$5:$A$504,0)),"Clave no existe"))</f>
        <v/>
      </c>
      <c r="E1544" s="14" t="str">
        <f>IF($C1544="","",IFERROR(INDEX(Productos!$D$5:$D$504,MATCH($C1544,Productos!$A$5:$A$504,0)),""))</f>
        <v/>
      </c>
      <c r="F1544" s="20"/>
      <c r="G1544" s="22" t="str">
        <f>IF($C1544="","",IFERROR(INDEX(Productos!$F$5:$F$504,MATCH($C1544,Productos!$A$5:$A$504,0)),0))</f>
        <v/>
      </c>
      <c r="H1544" s="22" t="str">
        <f t="shared" si="24"/>
        <v/>
      </c>
      <c r="I1544" s="14" t="str">
        <f>IF(OR($C1544="",$F1544=""),"",IFERROR(INDEX(Productos!$I$5:$I$504,MATCH($C1544,Productos!$A$5:$A$504,0)),0)+SUMIFS($F$5:$F1544,$C$5:$C1544,$C1544,$B$5:$B1544,"Entrada")-SUMIFS($F$5:$F1544,$C$5:$C1544,$C1544,$B$5:$B1544,"Salida"))</f>
        <v/>
      </c>
      <c r="J1544" s="20"/>
      <c r="K1544" s="20"/>
      <c r="L1544" s="20"/>
      <c r="M1544" s="14" t="str">
        <f>IF(AND($C1544&lt;&gt;"",$C1544=Kardex!$C$4),COUNTIF($C$5:$C1544,Kardex!$C$4),"")</f>
        <v/>
      </c>
    </row>
    <row r="1545" spans="1:13" x14ac:dyDescent="0.25">
      <c r="A1545" s="24"/>
      <c r="B1545" s="20"/>
      <c r="C1545" s="20"/>
      <c r="D1545" s="14" t="str">
        <f>IF($C1545="","",IFERROR(INDEX(Productos!$B$5:$B$504,MATCH($C1545,Productos!$A$5:$A$504,0)),"Clave no existe"))</f>
        <v/>
      </c>
      <c r="E1545" s="14" t="str">
        <f>IF($C1545="","",IFERROR(INDEX(Productos!$D$5:$D$504,MATCH($C1545,Productos!$A$5:$A$504,0)),""))</f>
        <v/>
      </c>
      <c r="F1545" s="20"/>
      <c r="G1545" s="22" t="str">
        <f>IF($C1545="","",IFERROR(INDEX(Productos!$F$5:$F$504,MATCH($C1545,Productos!$A$5:$A$504,0)),0))</f>
        <v/>
      </c>
      <c r="H1545" s="22" t="str">
        <f t="shared" si="24"/>
        <v/>
      </c>
      <c r="I1545" s="14" t="str">
        <f>IF(OR($C1545="",$F1545=""),"",IFERROR(INDEX(Productos!$I$5:$I$504,MATCH($C1545,Productos!$A$5:$A$504,0)),0)+SUMIFS($F$5:$F1545,$C$5:$C1545,$C1545,$B$5:$B1545,"Entrada")-SUMIFS($F$5:$F1545,$C$5:$C1545,$C1545,$B$5:$B1545,"Salida"))</f>
        <v/>
      </c>
      <c r="J1545" s="20"/>
      <c r="K1545" s="20"/>
      <c r="L1545" s="20"/>
      <c r="M1545" s="14" t="str">
        <f>IF(AND($C1545&lt;&gt;"",$C1545=Kardex!$C$4),COUNTIF($C$5:$C1545,Kardex!$C$4),"")</f>
        <v/>
      </c>
    </row>
    <row r="1546" spans="1:13" x14ac:dyDescent="0.25">
      <c r="A1546" s="24"/>
      <c r="B1546" s="20"/>
      <c r="C1546" s="20"/>
      <c r="D1546" s="14" t="str">
        <f>IF($C1546="","",IFERROR(INDEX(Productos!$B$5:$B$504,MATCH($C1546,Productos!$A$5:$A$504,0)),"Clave no existe"))</f>
        <v/>
      </c>
      <c r="E1546" s="14" t="str">
        <f>IF($C1546="","",IFERROR(INDEX(Productos!$D$5:$D$504,MATCH($C1546,Productos!$A$5:$A$504,0)),""))</f>
        <v/>
      </c>
      <c r="F1546" s="20"/>
      <c r="G1546" s="22" t="str">
        <f>IF($C1546="","",IFERROR(INDEX(Productos!$F$5:$F$504,MATCH($C1546,Productos!$A$5:$A$504,0)),0))</f>
        <v/>
      </c>
      <c r="H1546" s="22" t="str">
        <f t="shared" si="24"/>
        <v/>
      </c>
      <c r="I1546" s="14" t="str">
        <f>IF(OR($C1546="",$F1546=""),"",IFERROR(INDEX(Productos!$I$5:$I$504,MATCH($C1546,Productos!$A$5:$A$504,0)),0)+SUMIFS($F$5:$F1546,$C$5:$C1546,$C1546,$B$5:$B1546,"Entrada")-SUMIFS($F$5:$F1546,$C$5:$C1546,$C1546,$B$5:$B1546,"Salida"))</f>
        <v/>
      </c>
      <c r="J1546" s="20"/>
      <c r="K1546" s="20"/>
      <c r="L1546" s="20"/>
      <c r="M1546" s="14" t="str">
        <f>IF(AND($C1546&lt;&gt;"",$C1546=Kardex!$C$4),COUNTIF($C$5:$C1546,Kardex!$C$4),"")</f>
        <v/>
      </c>
    </row>
    <row r="1547" spans="1:13" x14ac:dyDescent="0.25">
      <c r="A1547" s="24"/>
      <c r="B1547" s="20"/>
      <c r="C1547" s="20"/>
      <c r="D1547" s="14" t="str">
        <f>IF($C1547="","",IFERROR(INDEX(Productos!$B$5:$B$504,MATCH($C1547,Productos!$A$5:$A$504,0)),"Clave no existe"))</f>
        <v/>
      </c>
      <c r="E1547" s="14" t="str">
        <f>IF($C1547="","",IFERROR(INDEX(Productos!$D$5:$D$504,MATCH($C1547,Productos!$A$5:$A$504,0)),""))</f>
        <v/>
      </c>
      <c r="F1547" s="20"/>
      <c r="G1547" s="22" t="str">
        <f>IF($C1547="","",IFERROR(INDEX(Productos!$F$5:$F$504,MATCH($C1547,Productos!$A$5:$A$504,0)),0))</f>
        <v/>
      </c>
      <c r="H1547" s="22" t="str">
        <f t="shared" si="24"/>
        <v/>
      </c>
      <c r="I1547" s="14" t="str">
        <f>IF(OR($C1547="",$F1547=""),"",IFERROR(INDEX(Productos!$I$5:$I$504,MATCH($C1547,Productos!$A$5:$A$504,0)),0)+SUMIFS($F$5:$F1547,$C$5:$C1547,$C1547,$B$5:$B1547,"Entrada")-SUMIFS($F$5:$F1547,$C$5:$C1547,$C1547,$B$5:$B1547,"Salida"))</f>
        <v/>
      </c>
      <c r="J1547" s="20"/>
      <c r="K1547" s="20"/>
      <c r="L1547" s="20"/>
      <c r="M1547" s="14" t="str">
        <f>IF(AND($C1547&lt;&gt;"",$C1547=Kardex!$C$4),COUNTIF($C$5:$C1547,Kardex!$C$4),"")</f>
        <v/>
      </c>
    </row>
    <row r="1548" spans="1:13" x14ac:dyDescent="0.25">
      <c r="A1548" s="24"/>
      <c r="B1548" s="20"/>
      <c r="C1548" s="20"/>
      <c r="D1548" s="14" t="str">
        <f>IF($C1548="","",IFERROR(INDEX(Productos!$B$5:$B$504,MATCH($C1548,Productos!$A$5:$A$504,0)),"Clave no existe"))</f>
        <v/>
      </c>
      <c r="E1548" s="14" t="str">
        <f>IF($C1548="","",IFERROR(INDEX(Productos!$D$5:$D$504,MATCH($C1548,Productos!$A$5:$A$504,0)),""))</f>
        <v/>
      </c>
      <c r="F1548" s="20"/>
      <c r="G1548" s="22" t="str">
        <f>IF($C1548="","",IFERROR(INDEX(Productos!$F$5:$F$504,MATCH($C1548,Productos!$A$5:$A$504,0)),0))</f>
        <v/>
      </c>
      <c r="H1548" s="22" t="str">
        <f t="shared" si="24"/>
        <v/>
      </c>
      <c r="I1548" s="14" t="str">
        <f>IF(OR($C1548="",$F1548=""),"",IFERROR(INDEX(Productos!$I$5:$I$504,MATCH($C1548,Productos!$A$5:$A$504,0)),0)+SUMIFS($F$5:$F1548,$C$5:$C1548,$C1548,$B$5:$B1548,"Entrada")-SUMIFS($F$5:$F1548,$C$5:$C1548,$C1548,$B$5:$B1548,"Salida"))</f>
        <v/>
      </c>
      <c r="J1548" s="20"/>
      <c r="K1548" s="20"/>
      <c r="L1548" s="20"/>
      <c r="M1548" s="14" t="str">
        <f>IF(AND($C1548&lt;&gt;"",$C1548=Kardex!$C$4),COUNTIF($C$5:$C1548,Kardex!$C$4),"")</f>
        <v/>
      </c>
    </row>
    <row r="1549" spans="1:13" x14ac:dyDescent="0.25">
      <c r="A1549" s="24"/>
      <c r="B1549" s="20"/>
      <c r="C1549" s="20"/>
      <c r="D1549" s="14" t="str">
        <f>IF($C1549="","",IFERROR(INDEX(Productos!$B$5:$B$504,MATCH($C1549,Productos!$A$5:$A$504,0)),"Clave no existe"))</f>
        <v/>
      </c>
      <c r="E1549" s="14" t="str">
        <f>IF($C1549="","",IFERROR(INDEX(Productos!$D$5:$D$504,MATCH($C1549,Productos!$A$5:$A$504,0)),""))</f>
        <v/>
      </c>
      <c r="F1549" s="20"/>
      <c r="G1549" s="22" t="str">
        <f>IF($C1549="","",IFERROR(INDEX(Productos!$F$5:$F$504,MATCH($C1549,Productos!$A$5:$A$504,0)),0))</f>
        <v/>
      </c>
      <c r="H1549" s="22" t="str">
        <f t="shared" si="24"/>
        <v/>
      </c>
      <c r="I1549" s="14" t="str">
        <f>IF(OR($C1549="",$F1549=""),"",IFERROR(INDEX(Productos!$I$5:$I$504,MATCH($C1549,Productos!$A$5:$A$504,0)),0)+SUMIFS($F$5:$F1549,$C$5:$C1549,$C1549,$B$5:$B1549,"Entrada")-SUMIFS($F$5:$F1549,$C$5:$C1549,$C1549,$B$5:$B1549,"Salida"))</f>
        <v/>
      </c>
      <c r="J1549" s="20"/>
      <c r="K1549" s="20"/>
      <c r="L1549" s="20"/>
      <c r="M1549" s="14" t="str">
        <f>IF(AND($C1549&lt;&gt;"",$C1549=Kardex!$C$4),COUNTIF($C$5:$C1549,Kardex!$C$4),"")</f>
        <v/>
      </c>
    </row>
    <row r="1550" spans="1:13" x14ac:dyDescent="0.25">
      <c r="A1550" s="24"/>
      <c r="B1550" s="20"/>
      <c r="C1550" s="20"/>
      <c r="D1550" s="14" t="str">
        <f>IF($C1550="","",IFERROR(INDEX(Productos!$B$5:$B$504,MATCH($C1550,Productos!$A$5:$A$504,0)),"Clave no existe"))</f>
        <v/>
      </c>
      <c r="E1550" s="14" t="str">
        <f>IF($C1550="","",IFERROR(INDEX(Productos!$D$5:$D$504,MATCH($C1550,Productos!$A$5:$A$504,0)),""))</f>
        <v/>
      </c>
      <c r="F1550" s="20"/>
      <c r="G1550" s="22" t="str">
        <f>IF($C1550="","",IFERROR(INDEX(Productos!$F$5:$F$504,MATCH($C1550,Productos!$A$5:$A$504,0)),0))</f>
        <v/>
      </c>
      <c r="H1550" s="22" t="str">
        <f t="shared" si="24"/>
        <v/>
      </c>
      <c r="I1550" s="14" t="str">
        <f>IF(OR($C1550="",$F1550=""),"",IFERROR(INDEX(Productos!$I$5:$I$504,MATCH($C1550,Productos!$A$5:$A$504,0)),0)+SUMIFS($F$5:$F1550,$C$5:$C1550,$C1550,$B$5:$B1550,"Entrada")-SUMIFS($F$5:$F1550,$C$5:$C1550,$C1550,$B$5:$B1550,"Salida"))</f>
        <v/>
      </c>
      <c r="J1550" s="20"/>
      <c r="K1550" s="20"/>
      <c r="L1550" s="20"/>
      <c r="M1550" s="14" t="str">
        <f>IF(AND($C1550&lt;&gt;"",$C1550=Kardex!$C$4),COUNTIF($C$5:$C1550,Kardex!$C$4),"")</f>
        <v/>
      </c>
    </row>
    <row r="1551" spans="1:13" x14ac:dyDescent="0.25">
      <c r="A1551" s="24"/>
      <c r="B1551" s="20"/>
      <c r="C1551" s="20"/>
      <c r="D1551" s="14" t="str">
        <f>IF($C1551="","",IFERROR(INDEX(Productos!$B$5:$B$504,MATCH($C1551,Productos!$A$5:$A$504,0)),"Clave no existe"))</f>
        <v/>
      </c>
      <c r="E1551" s="14" t="str">
        <f>IF($C1551="","",IFERROR(INDEX(Productos!$D$5:$D$504,MATCH($C1551,Productos!$A$5:$A$504,0)),""))</f>
        <v/>
      </c>
      <c r="F1551" s="20"/>
      <c r="G1551" s="22" t="str">
        <f>IF($C1551="","",IFERROR(INDEX(Productos!$F$5:$F$504,MATCH($C1551,Productos!$A$5:$A$504,0)),0))</f>
        <v/>
      </c>
      <c r="H1551" s="22" t="str">
        <f t="shared" si="24"/>
        <v/>
      </c>
      <c r="I1551" s="14" t="str">
        <f>IF(OR($C1551="",$F1551=""),"",IFERROR(INDEX(Productos!$I$5:$I$504,MATCH($C1551,Productos!$A$5:$A$504,0)),0)+SUMIFS($F$5:$F1551,$C$5:$C1551,$C1551,$B$5:$B1551,"Entrada")-SUMIFS($F$5:$F1551,$C$5:$C1551,$C1551,$B$5:$B1551,"Salida"))</f>
        <v/>
      </c>
      <c r="J1551" s="20"/>
      <c r="K1551" s="20"/>
      <c r="L1551" s="20"/>
      <c r="M1551" s="14" t="str">
        <f>IF(AND($C1551&lt;&gt;"",$C1551=Kardex!$C$4),COUNTIF($C$5:$C1551,Kardex!$C$4),"")</f>
        <v/>
      </c>
    </row>
    <row r="1552" spans="1:13" x14ac:dyDescent="0.25">
      <c r="A1552" s="24"/>
      <c r="B1552" s="20"/>
      <c r="C1552" s="20"/>
      <c r="D1552" s="14" t="str">
        <f>IF($C1552="","",IFERROR(INDEX(Productos!$B$5:$B$504,MATCH($C1552,Productos!$A$5:$A$504,0)),"Clave no existe"))</f>
        <v/>
      </c>
      <c r="E1552" s="14" t="str">
        <f>IF($C1552="","",IFERROR(INDEX(Productos!$D$5:$D$504,MATCH($C1552,Productos!$A$5:$A$504,0)),""))</f>
        <v/>
      </c>
      <c r="F1552" s="20"/>
      <c r="G1552" s="22" t="str">
        <f>IF($C1552="","",IFERROR(INDEX(Productos!$F$5:$F$504,MATCH($C1552,Productos!$A$5:$A$504,0)),0))</f>
        <v/>
      </c>
      <c r="H1552" s="22" t="str">
        <f t="shared" si="24"/>
        <v/>
      </c>
      <c r="I1552" s="14" t="str">
        <f>IF(OR($C1552="",$F1552=""),"",IFERROR(INDEX(Productos!$I$5:$I$504,MATCH($C1552,Productos!$A$5:$A$504,0)),0)+SUMIFS($F$5:$F1552,$C$5:$C1552,$C1552,$B$5:$B1552,"Entrada")-SUMIFS($F$5:$F1552,$C$5:$C1552,$C1552,$B$5:$B1552,"Salida"))</f>
        <v/>
      </c>
      <c r="J1552" s="20"/>
      <c r="K1552" s="20"/>
      <c r="L1552" s="20"/>
      <c r="M1552" s="14" t="str">
        <f>IF(AND($C1552&lt;&gt;"",$C1552=Kardex!$C$4),COUNTIF($C$5:$C1552,Kardex!$C$4),"")</f>
        <v/>
      </c>
    </row>
    <row r="1553" spans="1:13" x14ac:dyDescent="0.25">
      <c r="A1553" s="24"/>
      <c r="B1553" s="20"/>
      <c r="C1553" s="20"/>
      <c r="D1553" s="14" t="str">
        <f>IF($C1553="","",IFERROR(INDEX(Productos!$B$5:$B$504,MATCH($C1553,Productos!$A$5:$A$504,0)),"Clave no existe"))</f>
        <v/>
      </c>
      <c r="E1553" s="14" t="str">
        <f>IF($C1553="","",IFERROR(INDEX(Productos!$D$5:$D$504,MATCH($C1553,Productos!$A$5:$A$504,0)),""))</f>
        <v/>
      </c>
      <c r="F1553" s="20"/>
      <c r="G1553" s="22" t="str">
        <f>IF($C1553="","",IFERROR(INDEX(Productos!$F$5:$F$504,MATCH($C1553,Productos!$A$5:$A$504,0)),0))</f>
        <v/>
      </c>
      <c r="H1553" s="22" t="str">
        <f t="shared" si="24"/>
        <v/>
      </c>
      <c r="I1553" s="14" t="str">
        <f>IF(OR($C1553="",$F1553=""),"",IFERROR(INDEX(Productos!$I$5:$I$504,MATCH($C1553,Productos!$A$5:$A$504,0)),0)+SUMIFS($F$5:$F1553,$C$5:$C1553,$C1553,$B$5:$B1553,"Entrada")-SUMIFS($F$5:$F1553,$C$5:$C1553,$C1553,$B$5:$B1553,"Salida"))</f>
        <v/>
      </c>
      <c r="J1553" s="20"/>
      <c r="K1553" s="20"/>
      <c r="L1553" s="20"/>
      <c r="M1553" s="14" t="str">
        <f>IF(AND($C1553&lt;&gt;"",$C1553=Kardex!$C$4),COUNTIF($C$5:$C1553,Kardex!$C$4),"")</f>
        <v/>
      </c>
    </row>
    <row r="1554" spans="1:13" x14ac:dyDescent="0.25">
      <c r="A1554" s="24"/>
      <c r="B1554" s="20"/>
      <c r="C1554" s="20"/>
      <c r="D1554" s="14" t="str">
        <f>IF($C1554="","",IFERROR(INDEX(Productos!$B$5:$B$504,MATCH($C1554,Productos!$A$5:$A$504,0)),"Clave no existe"))</f>
        <v/>
      </c>
      <c r="E1554" s="14" t="str">
        <f>IF($C1554="","",IFERROR(INDEX(Productos!$D$5:$D$504,MATCH($C1554,Productos!$A$5:$A$504,0)),""))</f>
        <v/>
      </c>
      <c r="F1554" s="20"/>
      <c r="G1554" s="22" t="str">
        <f>IF($C1554="","",IFERROR(INDEX(Productos!$F$5:$F$504,MATCH($C1554,Productos!$A$5:$A$504,0)),0))</f>
        <v/>
      </c>
      <c r="H1554" s="22" t="str">
        <f t="shared" si="24"/>
        <v/>
      </c>
      <c r="I1554" s="14" t="str">
        <f>IF(OR($C1554="",$F1554=""),"",IFERROR(INDEX(Productos!$I$5:$I$504,MATCH($C1554,Productos!$A$5:$A$504,0)),0)+SUMIFS($F$5:$F1554,$C$5:$C1554,$C1554,$B$5:$B1554,"Entrada")-SUMIFS($F$5:$F1554,$C$5:$C1554,$C1554,$B$5:$B1554,"Salida"))</f>
        <v/>
      </c>
      <c r="J1554" s="20"/>
      <c r="K1554" s="20"/>
      <c r="L1554" s="20"/>
      <c r="M1554" s="14" t="str">
        <f>IF(AND($C1554&lt;&gt;"",$C1554=Kardex!$C$4),COUNTIF($C$5:$C1554,Kardex!$C$4),"")</f>
        <v/>
      </c>
    </row>
    <row r="1555" spans="1:13" x14ac:dyDescent="0.25">
      <c r="A1555" s="24"/>
      <c r="B1555" s="20"/>
      <c r="C1555" s="20"/>
      <c r="D1555" s="14" t="str">
        <f>IF($C1555="","",IFERROR(INDEX(Productos!$B$5:$B$504,MATCH($C1555,Productos!$A$5:$A$504,0)),"Clave no existe"))</f>
        <v/>
      </c>
      <c r="E1555" s="14" t="str">
        <f>IF($C1555="","",IFERROR(INDEX(Productos!$D$5:$D$504,MATCH($C1555,Productos!$A$5:$A$504,0)),""))</f>
        <v/>
      </c>
      <c r="F1555" s="20"/>
      <c r="G1555" s="22" t="str">
        <f>IF($C1555="","",IFERROR(INDEX(Productos!$F$5:$F$504,MATCH($C1555,Productos!$A$5:$A$504,0)),0))</f>
        <v/>
      </c>
      <c r="H1555" s="22" t="str">
        <f t="shared" si="24"/>
        <v/>
      </c>
      <c r="I1555" s="14" t="str">
        <f>IF(OR($C1555="",$F1555=""),"",IFERROR(INDEX(Productos!$I$5:$I$504,MATCH($C1555,Productos!$A$5:$A$504,0)),0)+SUMIFS($F$5:$F1555,$C$5:$C1555,$C1555,$B$5:$B1555,"Entrada")-SUMIFS($F$5:$F1555,$C$5:$C1555,$C1555,$B$5:$B1555,"Salida"))</f>
        <v/>
      </c>
      <c r="J1555" s="20"/>
      <c r="K1555" s="20"/>
      <c r="L1555" s="20"/>
      <c r="M1555" s="14" t="str">
        <f>IF(AND($C1555&lt;&gt;"",$C1555=Kardex!$C$4),COUNTIF($C$5:$C1555,Kardex!$C$4),"")</f>
        <v/>
      </c>
    </row>
    <row r="1556" spans="1:13" x14ac:dyDescent="0.25">
      <c r="A1556" s="24"/>
      <c r="B1556" s="20"/>
      <c r="C1556" s="20"/>
      <c r="D1556" s="14" t="str">
        <f>IF($C1556="","",IFERROR(INDEX(Productos!$B$5:$B$504,MATCH($C1556,Productos!$A$5:$A$504,0)),"Clave no existe"))</f>
        <v/>
      </c>
      <c r="E1556" s="14" t="str">
        <f>IF($C1556="","",IFERROR(INDEX(Productos!$D$5:$D$504,MATCH($C1556,Productos!$A$5:$A$504,0)),""))</f>
        <v/>
      </c>
      <c r="F1556" s="20"/>
      <c r="G1556" s="22" t="str">
        <f>IF($C1556="","",IFERROR(INDEX(Productos!$F$5:$F$504,MATCH($C1556,Productos!$A$5:$A$504,0)),0))</f>
        <v/>
      </c>
      <c r="H1556" s="22" t="str">
        <f t="shared" si="24"/>
        <v/>
      </c>
      <c r="I1556" s="14" t="str">
        <f>IF(OR($C1556="",$F1556=""),"",IFERROR(INDEX(Productos!$I$5:$I$504,MATCH($C1556,Productos!$A$5:$A$504,0)),0)+SUMIFS($F$5:$F1556,$C$5:$C1556,$C1556,$B$5:$B1556,"Entrada")-SUMIFS($F$5:$F1556,$C$5:$C1556,$C1556,$B$5:$B1556,"Salida"))</f>
        <v/>
      </c>
      <c r="J1556" s="20"/>
      <c r="K1556" s="20"/>
      <c r="L1556" s="20"/>
      <c r="M1556" s="14" t="str">
        <f>IF(AND($C1556&lt;&gt;"",$C1556=Kardex!$C$4),COUNTIF($C$5:$C1556,Kardex!$C$4),"")</f>
        <v/>
      </c>
    </row>
    <row r="1557" spans="1:13" x14ac:dyDescent="0.25">
      <c r="A1557" s="24"/>
      <c r="B1557" s="20"/>
      <c r="C1557" s="20"/>
      <c r="D1557" s="14" t="str">
        <f>IF($C1557="","",IFERROR(INDEX(Productos!$B$5:$B$504,MATCH($C1557,Productos!$A$5:$A$504,0)),"Clave no existe"))</f>
        <v/>
      </c>
      <c r="E1557" s="14" t="str">
        <f>IF($C1557="","",IFERROR(INDEX(Productos!$D$5:$D$504,MATCH($C1557,Productos!$A$5:$A$504,0)),""))</f>
        <v/>
      </c>
      <c r="F1557" s="20"/>
      <c r="G1557" s="22" t="str">
        <f>IF($C1557="","",IFERROR(INDEX(Productos!$F$5:$F$504,MATCH($C1557,Productos!$A$5:$A$504,0)),0))</f>
        <v/>
      </c>
      <c r="H1557" s="22" t="str">
        <f t="shared" si="24"/>
        <v/>
      </c>
      <c r="I1557" s="14" t="str">
        <f>IF(OR($C1557="",$F1557=""),"",IFERROR(INDEX(Productos!$I$5:$I$504,MATCH($C1557,Productos!$A$5:$A$504,0)),0)+SUMIFS($F$5:$F1557,$C$5:$C1557,$C1557,$B$5:$B1557,"Entrada")-SUMIFS($F$5:$F1557,$C$5:$C1557,$C1557,$B$5:$B1557,"Salida"))</f>
        <v/>
      </c>
      <c r="J1557" s="20"/>
      <c r="K1557" s="20"/>
      <c r="L1557" s="20"/>
      <c r="M1557" s="14" t="str">
        <f>IF(AND($C1557&lt;&gt;"",$C1557=Kardex!$C$4),COUNTIF($C$5:$C1557,Kardex!$C$4),"")</f>
        <v/>
      </c>
    </row>
    <row r="1558" spans="1:13" x14ac:dyDescent="0.25">
      <c r="A1558" s="24"/>
      <c r="B1558" s="20"/>
      <c r="C1558" s="20"/>
      <c r="D1558" s="14" t="str">
        <f>IF($C1558="","",IFERROR(INDEX(Productos!$B$5:$B$504,MATCH($C1558,Productos!$A$5:$A$504,0)),"Clave no existe"))</f>
        <v/>
      </c>
      <c r="E1558" s="14" t="str">
        <f>IF($C1558="","",IFERROR(INDEX(Productos!$D$5:$D$504,MATCH($C1558,Productos!$A$5:$A$504,0)),""))</f>
        <v/>
      </c>
      <c r="F1558" s="20"/>
      <c r="G1558" s="22" t="str">
        <f>IF($C1558="","",IFERROR(INDEX(Productos!$F$5:$F$504,MATCH($C1558,Productos!$A$5:$A$504,0)),0))</f>
        <v/>
      </c>
      <c r="H1558" s="22" t="str">
        <f t="shared" si="24"/>
        <v/>
      </c>
      <c r="I1558" s="14" t="str">
        <f>IF(OR($C1558="",$F1558=""),"",IFERROR(INDEX(Productos!$I$5:$I$504,MATCH($C1558,Productos!$A$5:$A$504,0)),0)+SUMIFS($F$5:$F1558,$C$5:$C1558,$C1558,$B$5:$B1558,"Entrada")-SUMIFS($F$5:$F1558,$C$5:$C1558,$C1558,$B$5:$B1558,"Salida"))</f>
        <v/>
      </c>
      <c r="J1558" s="20"/>
      <c r="K1558" s="20"/>
      <c r="L1558" s="20"/>
      <c r="M1558" s="14" t="str">
        <f>IF(AND($C1558&lt;&gt;"",$C1558=Kardex!$C$4),COUNTIF($C$5:$C1558,Kardex!$C$4),"")</f>
        <v/>
      </c>
    </row>
    <row r="1559" spans="1:13" x14ac:dyDescent="0.25">
      <c r="A1559" s="24"/>
      <c r="B1559" s="20"/>
      <c r="C1559" s="20"/>
      <c r="D1559" s="14" t="str">
        <f>IF($C1559="","",IFERROR(INDEX(Productos!$B$5:$B$504,MATCH($C1559,Productos!$A$5:$A$504,0)),"Clave no existe"))</f>
        <v/>
      </c>
      <c r="E1559" s="14" t="str">
        <f>IF($C1559="","",IFERROR(INDEX(Productos!$D$5:$D$504,MATCH($C1559,Productos!$A$5:$A$504,0)),""))</f>
        <v/>
      </c>
      <c r="F1559" s="20"/>
      <c r="G1559" s="22" t="str">
        <f>IF($C1559="","",IFERROR(INDEX(Productos!$F$5:$F$504,MATCH($C1559,Productos!$A$5:$A$504,0)),0))</f>
        <v/>
      </c>
      <c r="H1559" s="22" t="str">
        <f t="shared" si="24"/>
        <v/>
      </c>
      <c r="I1559" s="14" t="str">
        <f>IF(OR($C1559="",$F1559=""),"",IFERROR(INDEX(Productos!$I$5:$I$504,MATCH($C1559,Productos!$A$5:$A$504,0)),0)+SUMIFS($F$5:$F1559,$C$5:$C1559,$C1559,$B$5:$B1559,"Entrada")-SUMIFS($F$5:$F1559,$C$5:$C1559,$C1559,$B$5:$B1559,"Salida"))</f>
        <v/>
      </c>
      <c r="J1559" s="20"/>
      <c r="K1559" s="20"/>
      <c r="L1559" s="20"/>
      <c r="M1559" s="14" t="str">
        <f>IF(AND($C1559&lt;&gt;"",$C1559=Kardex!$C$4),COUNTIF($C$5:$C1559,Kardex!$C$4),"")</f>
        <v/>
      </c>
    </row>
    <row r="1560" spans="1:13" x14ac:dyDescent="0.25">
      <c r="A1560" s="24"/>
      <c r="B1560" s="20"/>
      <c r="C1560" s="20"/>
      <c r="D1560" s="14" t="str">
        <f>IF($C1560="","",IFERROR(INDEX(Productos!$B$5:$B$504,MATCH($C1560,Productos!$A$5:$A$504,0)),"Clave no existe"))</f>
        <v/>
      </c>
      <c r="E1560" s="14" t="str">
        <f>IF($C1560="","",IFERROR(INDEX(Productos!$D$5:$D$504,MATCH($C1560,Productos!$A$5:$A$504,0)),""))</f>
        <v/>
      </c>
      <c r="F1560" s="20"/>
      <c r="G1560" s="22" t="str">
        <f>IF($C1560="","",IFERROR(INDEX(Productos!$F$5:$F$504,MATCH($C1560,Productos!$A$5:$A$504,0)),0))</f>
        <v/>
      </c>
      <c r="H1560" s="22" t="str">
        <f t="shared" si="24"/>
        <v/>
      </c>
      <c r="I1560" s="14" t="str">
        <f>IF(OR($C1560="",$F1560=""),"",IFERROR(INDEX(Productos!$I$5:$I$504,MATCH($C1560,Productos!$A$5:$A$504,0)),0)+SUMIFS($F$5:$F1560,$C$5:$C1560,$C1560,$B$5:$B1560,"Entrada")-SUMIFS($F$5:$F1560,$C$5:$C1560,$C1560,$B$5:$B1560,"Salida"))</f>
        <v/>
      </c>
      <c r="J1560" s="20"/>
      <c r="K1560" s="20"/>
      <c r="L1560" s="20"/>
      <c r="M1560" s="14" t="str">
        <f>IF(AND($C1560&lt;&gt;"",$C1560=Kardex!$C$4),COUNTIF($C$5:$C1560,Kardex!$C$4),"")</f>
        <v/>
      </c>
    </row>
    <row r="1561" spans="1:13" x14ac:dyDescent="0.25">
      <c r="A1561" s="24"/>
      <c r="B1561" s="20"/>
      <c r="C1561" s="20"/>
      <c r="D1561" s="14" t="str">
        <f>IF($C1561="","",IFERROR(INDEX(Productos!$B$5:$B$504,MATCH($C1561,Productos!$A$5:$A$504,0)),"Clave no existe"))</f>
        <v/>
      </c>
      <c r="E1561" s="14" t="str">
        <f>IF($C1561="","",IFERROR(INDEX(Productos!$D$5:$D$504,MATCH($C1561,Productos!$A$5:$A$504,0)),""))</f>
        <v/>
      </c>
      <c r="F1561" s="20"/>
      <c r="G1561" s="22" t="str">
        <f>IF($C1561="","",IFERROR(INDEX(Productos!$F$5:$F$504,MATCH($C1561,Productos!$A$5:$A$504,0)),0))</f>
        <v/>
      </c>
      <c r="H1561" s="22" t="str">
        <f t="shared" si="24"/>
        <v/>
      </c>
      <c r="I1561" s="14" t="str">
        <f>IF(OR($C1561="",$F1561=""),"",IFERROR(INDEX(Productos!$I$5:$I$504,MATCH($C1561,Productos!$A$5:$A$504,0)),0)+SUMIFS($F$5:$F1561,$C$5:$C1561,$C1561,$B$5:$B1561,"Entrada")-SUMIFS($F$5:$F1561,$C$5:$C1561,$C1561,$B$5:$B1561,"Salida"))</f>
        <v/>
      </c>
      <c r="J1561" s="20"/>
      <c r="K1561" s="20"/>
      <c r="L1561" s="20"/>
      <c r="M1561" s="14" t="str">
        <f>IF(AND($C1561&lt;&gt;"",$C1561=Kardex!$C$4),COUNTIF($C$5:$C1561,Kardex!$C$4),"")</f>
        <v/>
      </c>
    </row>
    <row r="1562" spans="1:13" x14ac:dyDescent="0.25">
      <c r="A1562" s="24"/>
      <c r="B1562" s="20"/>
      <c r="C1562" s="20"/>
      <c r="D1562" s="14" t="str">
        <f>IF($C1562="","",IFERROR(INDEX(Productos!$B$5:$B$504,MATCH($C1562,Productos!$A$5:$A$504,0)),"Clave no existe"))</f>
        <v/>
      </c>
      <c r="E1562" s="14" t="str">
        <f>IF($C1562="","",IFERROR(INDEX(Productos!$D$5:$D$504,MATCH($C1562,Productos!$A$5:$A$504,0)),""))</f>
        <v/>
      </c>
      <c r="F1562" s="20"/>
      <c r="G1562" s="22" t="str">
        <f>IF($C1562="","",IFERROR(INDEX(Productos!$F$5:$F$504,MATCH($C1562,Productos!$A$5:$A$504,0)),0))</f>
        <v/>
      </c>
      <c r="H1562" s="22" t="str">
        <f t="shared" si="24"/>
        <v/>
      </c>
      <c r="I1562" s="14" t="str">
        <f>IF(OR($C1562="",$F1562=""),"",IFERROR(INDEX(Productos!$I$5:$I$504,MATCH($C1562,Productos!$A$5:$A$504,0)),0)+SUMIFS($F$5:$F1562,$C$5:$C1562,$C1562,$B$5:$B1562,"Entrada")-SUMIFS($F$5:$F1562,$C$5:$C1562,$C1562,$B$5:$B1562,"Salida"))</f>
        <v/>
      </c>
      <c r="J1562" s="20"/>
      <c r="K1562" s="20"/>
      <c r="L1562" s="20"/>
      <c r="M1562" s="14" t="str">
        <f>IF(AND($C1562&lt;&gt;"",$C1562=Kardex!$C$4),COUNTIF($C$5:$C1562,Kardex!$C$4),"")</f>
        <v/>
      </c>
    </row>
    <row r="1563" spans="1:13" x14ac:dyDescent="0.25">
      <c r="A1563" s="24"/>
      <c r="B1563" s="20"/>
      <c r="C1563" s="20"/>
      <c r="D1563" s="14" t="str">
        <f>IF($C1563="","",IFERROR(INDEX(Productos!$B$5:$B$504,MATCH($C1563,Productos!$A$5:$A$504,0)),"Clave no existe"))</f>
        <v/>
      </c>
      <c r="E1563" s="14" t="str">
        <f>IF($C1563="","",IFERROR(INDEX(Productos!$D$5:$D$504,MATCH($C1563,Productos!$A$5:$A$504,0)),""))</f>
        <v/>
      </c>
      <c r="F1563" s="20"/>
      <c r="G1563" s="22" t="str">
        <f>IF($C1563="","",IFERROR(INDEX(Productos!$F$5:$F$504,MATCH($C1563,Productos!$A$5:$A$504,0)),0))</f>
        <v/>
      </c>
      <c r="H1563" s="22" t="str">
        <f t="shared" si="24"/>
        <v/>
      </c>
      <c r="I1563" s="14" t="str">
        <f>IF(OR($C1563="",$F1563=""),"",IFERROR(INDEX(Productos!$I$5:$I$504,MATCH($C1563,Productos!$A$5:$A$504,0)),0)+SUMIFS($F$5:$F1563,$C$5:$C1563,$C1563,$B$5:$B1563,"Entrada")-SUMIFS($F$5:$F1563,$C$5:$C1563,$C1563,$B$5:$B1563,"Salida"))</f>
        <v/>
      </c>
      <c r="J1563" s="20"/>
      <c r="K1563" s="20"/>
      <c r="L1563" s="20"/>
      <c r="M1563" s="14" t="str">
        <f>IF(AND($C1563&lt;&gt;"",$C1563=Kardex!$C$4),COUNTIF($C$5:$C1563,Kardex!$C$4),"")</f>
        <v/>
      </c>
    </row>
    <row r="1564" spans="1:13" x14ac:dyDescent="0.25">
      <c r="A1564" s="24"/>
      <c r="B1564" s="20"/>
      <c r="C1564" s="20"/>
      <c r="D1564" s="14" t="str">
        <f>IF($C1564="","",IFERROR(INDEX(Productos!$B$5:$B$504,MATCH($C1564,Productos!$A$5:$A$504,0)),"Clave no existe"))</f>
        <v/>
      </c>
      <c r="E1564" s="14" t="str">
        <f>IF($C1564="","",IFERROR(INDEX(Productos!$D$5:$D$504,MATCH($C1564,Productos!$A$5:$A$504,0)),""))</f>
        <v/>
      </c>
      <c r="F1564" s="20"/>
      <c r="G1564" s="22" t="str">
        <f>IF($C1564="","",IFERROR(INDEX(Productos!$F$5:$F$504,MATCH($C1564,Productos!$A$5:$A$504,0)),0))</f>
        <v/>
      </c>
      <c r="H1564" s="22" t="str">
        <f t="shared" si="24"/>
        <v/>
      </c>
      <c r="I1564" s="14" t="str">
        <f>IF(OR($C1564="",$F1564=""),"",IFERROR(INDEX(Productos!$I$5:$I$504,MATCH($C1564,Productos!$A$5:$A$504,0)),0)+SUMIFS($F$5:$F1564,$C$5:$C1564,$C1564,$B$5:$B1564,"Entrada")-SUMIFS($F$5:$F1564,$C$5:$C1564,$C1564,$B$5:$B1564,"Salida"))</f>
        <v/>
      </c>
      <c r="J1564" s="20"/>
      <c r="K1564" s="20"/>
      <c r="L1564" s="20"/>
      <c r="M1564" s="14" t="str">
        <f>IF(AND($C1564&lt;&gt;"",$C1564=Kardex!$C$4),COUNTIF($C$5:$C1564,Kardex!$C$4),"")</f>
        <v/>
      </c>
    </row>
    <row r="1565" spans="1:13" x14ac:dyDescent="0.25">
      <c r="A1565" s="24"/>
      <c r="B1565" s="20"/>
      <c r="C1565" s="20"/>
      <c r="D1565" s="14" t="str">
        <f>IF($C1565="","",IFERROR(INDEX(Productos!$B$5:$B$504,MATCH($C1565,Productos!$A$5:$A$504,0)),"Clave no existe"))</f>
        <v/>
      </c>
      <c r="E1565" s="14" t="str">
        <f>IF($C1565="","",IFERROR(INDEX(Productos!$D$5:$D$504,MATCH($C1565,Productos!$A$5:$A$504,0)),""))</f>
        <v/>
      </c>
      <c r="F1565" s="20"/>
      <c r="G1565" s="22" t="str">
        <f>IF($C1565="","",IFERROR(INDEX(Productos!$F$5:$F$504,MATCH($C1565,Productos!$A$5:$A$504,0)),0))</f>
        <v/>
      </c>
      <c r="H1565" s="22" t="str">
        <f t="shared" si="24"/>
        <v/>
      </c>
      <c r="I1565" s="14" t="str">
        <f>IF(OR($C1565="",$F1565=""),"",IFERROR(INDEX(Productos!$I$5:$I$504,MATCH($C1565,Productos!$A$5:$A$504,0)),0)+SUMIFS($F$5:$F1565,$C$5:$C1565,$C1565,$B$5:$B1565,"Entrada")-SUMIFS($F$5:$F1565,$C$5:$C1565,$C1565,$B$5:$B1565,"Salida"))</f>
        <v/>
      </c>
      <c r="J1565" s="20"/>
      <c r="K1565" s="20"/>
      <c r="L1565" s="20"/>
      <c r="M1565" s="14" t="str">
        <f>IF(AND($C1565&lt;&gt;"",$C1565=Kardex!$C$4),COUNTIF($C$5:$C1565,Kardex!$C$4),"")</f>
        <v/>
      </c>
    </row>
    <row r="1566" spans="1:13" x14ac:dyDescent="0.25">
      <c r="A1566" s="24"/>
      <c r="B1566" s="20"/>
      <c r="C1566" s="20"/>
      <c r="D1566" s="14" t="str">
        <f>IF($C1566="","",IFERROR(INDEX(Productos!$B$5:$B$504,MATCH($C1566,Productos!$A$5:$A$504,0)),"Clave no existe"))</f>
        <v/>
      </c>
      <c r="E1566" s="14" t="str">
        <f>IF($C1566="","",IFERROR(INDEX(Productos!$D$5:$D$504,MATCH($C1566,Productos!$A$5:$A$504,0)),""))</f>
        <v/>
      </c>
      <c r="F1566" s="20"/>
      <c r="G1566" s="22" t="str">
        <f>IF($C1566="","",IFERROR(INDEX(Productos!$F$5:$F$504,MATCH($C1566,Productos!$A$5:$A$504,0)),0))</f>
        <v/>
      </c>
      <c r="H1566" s="22" t="str">
        <f t="shared" si="24"/>
        <v/>
      </c>
      <c r="I1566" s="14" t="str">
        <f>IF(OR($C1566="",$F1566=""),"",IFERROR(INDEX(Productos!$I$5:$I$504,MATCH($C1566,Productos!$A$5:$A$504,0)),0)+SUMIFS($F$5:$F1566,$C$5:$C1566,$C1566,$B$5:$B1566,"Entrada")-SUMIFS($F$5:$F1566,$C$5:$C1566,$C1566,$B$5:$B1566,"Salida"))</f>
        <v/>
      </c>
      <c r="J1566" s="20"/>
      <c r="K1566" s="20"/>
      <c r="L1566" s="20"/>
      <c r="M1566" s="14" t="str">
        <f>IF(AND($C1566&lt;&gt;"",$C1566=Kardex!$C$4),COUNTIF($C$5:$C1566,Kardex!$C$4),"")</f>
        <v/>
      </c>
    </row>
    <row r="1567" spans="1:13" x14ac:dyDescent="0.25">
      <c r="A1567" s="24"/>
      <c r="B1567" s="20"/>
      <c r="C1567" s="20"/>
      <c r="D1567" s="14" t="str">
        <f>IF($C1567="","",IFERROR(INDEX(Productos!$B$5:$B$504,MATCH($C1567,Productos!$A$5:$A$504,0)),"Clave no existe"))</f>
        <v/>
      </c>
      <c r="E1567" s="14" t="str">
        <f>IF($C1567="","",IFERROR(INDEX(Productos!$D$5:$D$504,MATCH($C1567,Productos!$A$5:$A$504,0)),""))</f>
        <v/>
      </c>
      <c r="F1567" s="20"/>
      <c r="G1567" s="22" t="str">
        <f>IF($C1567="","",IFERROR(INDEX(Productos!$F$5:$F$504,MATCH($C1567,Productos!$A$5:$A$504,0)),0))</f>
        <v/>
      </c>
      <c r="H1567" s="22" t="str">
        <f t="shared" si="24"/>
        <v/>
      </c>
      <c r="I1567" s="14" t="str">
        <f>IF(OR($C1567="",$F1567=""),"",IFERROR(INDEX(Productos!$I$5:$I$504,MATCH($C1567,Productos!$A$5:$A$504,0)),0)+SUMIFS($F$5:$F1567,$C$5:$C1567,$C1567,$B$5:$B1567,"Entrada")-SUMIFS($F$5:$F1567,$C$5:$C1567,$C1567,$B$5:$B1567,"Salida"))</f>
        <v/>
      </c>
      <c r="J1567" s="20"/>
      <c r="K1567" s="20"/>
      <c r="L1567" s="20"/>
      <c r="M1567" s="14" t="str">
        <f>IF(AND($C1567&lt;&gt;"",$C1567=Kardex!$C$4),COUNTIF($C$5:$C1567,Kardex!$C$4),"")</f>
        <v/>
      </c>
    </row>
    <row r="1568" spans="1:13" x14ac:dyDescent="0.25">
      <c r="A1568" s="24"/>
      <c r="B1568" s="20"/>
      <c r="C1568" s="20"/>
      <c r="D1568" s="14" t="str">
        <f>IF($C1568="","",IFERROR(INDEX(Productos!$B$5:$B$504,MATCH($C1568,Productos!$A$5:$A$504,0)),"Clave no existe"))</f>
        <v/>
      </c>
      <c r="E1568" s="14" t="str">
        <f>IF($C1568="","",IFERROR(INDEX(Productos!$D$5:$D$504,MATCH($C1568,Productos!$A$5:$A$504,0)),""))</f>
        <v/>
      </c>
      <c r="F1568" s="20"/>
      <c r="G1568" s="22" t="str">
        <f>IF($C1568="","",IFERROR(INDEX(Productos!$F$5:$F$504,MATCH($C1568,Productos!$A$5:$A$504,0)),0))</f>
        <v/>
      </c>
      <c r="H1568" s="22" t="str">
        <f t="shared" si="24"/>
        <v/>
      </c>
      <c r="I1568" s="14" t="str">
        <f>IF(OR($C1568="",$F1568=""),"",IFERROR(INDEX(Productos!$I$5:$I$504,MATCH($C1568,Productos!$A$5:$A$504,0)),0)+SUMIFS($F$5:$F1568,$C$5:$C1568,$C1568,$B$5:$B1568,"Entrada")-SUMIFS($F$5:$F1568,$C$5:$C1568,$C1568,$B$5:$B1568,"Salida"))</f>
        <v/>
      </c>
      <c r="J1568" s="20"/>
      <c r="K1568" s="20"/>
      <c r="L1568" s="20"/>
      <c r="M1568" s="14" t="str">
        <f>IF(AND($C1568&lt;&gt;"",$C1568=Kardex!$C$4),COUNTIF($C$5:$C1568,Kardex!$C$4),"")</f>
        <v/>
      </c>
    </row>
    <row r="1569" spans="1:13" x14ac:dyDescent="0.25">
      <c r="A1569" s="24"/>
      <c r="B1569" s="20"/>
      <c r="C1569" s="20"/>
      <c r="D1569" s="14" t="str">
        <f>IF($C1569="","",IFERROR(INDEX(Productos!$B$5:$B$504,MATCH($C1569,Productos!$A$5:$A$504,0)),"Clave no existe"))</f>
        <v/>
      </c>
      <c r="E1569" s="14" t="str">
        <f>IF($C1569="","",IFERROR(INDEX(Productos!$D$5:$D$504,MATCH($C1569,Productos!$A$5:$A$504,0)),""))</f>
        <v/>
      </c>
      <c r="F1569" s="20"/>
      <c r="G1569" s="22" t="str">
        <f>IF($C1569="","",IFERROR(INDEX(Productos!$F$5:$F$504,MATCH($C1569,Productos!$A$5:$A$504,0)),0))</f>
        <v/>
      </c>
      <c r="H1569" s="22" t="str">
        <f t="shared" si="24"/>
        <v/>
      </c>
      <c r="I1569" s="14" t="str">
        <f>IF(OR($C1569="",$F1569=""),"",IFERROR(INDEX(Productos!$I$5:$I$504,MATCH($C1569,Productos!$A$5:$A$504,0)),0)+SUMIFS($F$5:$F1569,$C$5:$C1569,$C1569,$B$5:$B1569,"Entrada")-SUMIFS($F$5:$F1569,$C$5:$C1569,$C1569,$B$5:$B1569,"Salida"))</f>
        <v/>
      </c>
      <c r="J1569" s="20"/>
      <c r="K1569" s="20"/>
      <c r="L1569" s="20"/>
      <c r="M1569" s="14" t="str">
        <f>IF(AND($C1569&lt;&gt;"",$C1569=Kardex!$C$4),COUNTIF($C$5:$C1569,Kardex!$C$4),"")</f>
        <v/>
      </c>
    </row>
    <row r="1570" spans="1:13" x14ac:dyDescent="0.25">
      <c r="A1570" s="24"/>
      <c r="B1570" s="20"/>
      <c r="C1570" s="20"/>
      <c r="D1570" s="14" t="str">
        <f>IF($C1570="","",IFERROR(INDEX(Productos!$B$5:$B$504,MATCH($C1570,Productos!$A$5:$A$504,0)),"Clave no existe"))</f>
        <v/>
      </c>
      <c r="E1570" s="14" t="str">
        <f>IF($C1570="","",IFERROR(INDEX(Productos!$D$5:$D$504,MATCH($C1570,Productos!$A$5:$A$504,0)),""))</f>
        <v/>
      </c>
      <c r="F1570" s="20"/>
      <c r="G1570" s="22" t="str">
        <f>IF($C1570="","",IFERROR(INDEX(Productos!$F$5:$F$504,MATCH($C1570,Productos!$A$5:$A$504,0)),0))</f>
        <v/>
      </c>
      <c r="H1570" s="22" t="str">
        <f t="shared" si="24"/>
        <v/>
      </c>
      <c r="I1570" s="14" t="str">
        <f>IF(OR($C1570="",$F1570=""),"",IFERROR(INDEX(Productos!$I$5:$I$504,MATCH($C1570,Productos!$A$5:$A$504,0)),0)+SUMIFS($F$5:$F1570,$C$5:$C1570,$C1570,$B$5:$B1570,"Entrada")-SUMIFS($F$5:$F1570,$C$5:$C1570,$C1570,$B$5:$B1570,"Salida"))</f>
        <v/>
      </c>
      <c r="J1570" s="20"/>
      <c r="K1570" s="20"/>
      <c r="L1570" s="20"/>
      <c r="M1570" s="14" t="str">
        <f>IF(AND($C1570&lt;&gt;"",$C1570=Kardex!$C$4),COUNTIF($C$5:$C1570,Kardex!$C$4),"")</f>
        <v/>
      </c>
    </row>
    <row r="1571" spans="1:13" x14ac:dyDescent="0.25">
      <c r="A1571" s="24"/>
      <c r="B1571" s="20"/>
      <c r="C1571" s="20"/>
      <c r="D1571" s="14" t="str">
        <f>IF($C1571="","",IFERROR(INDEX(Productos!$B$5:$B$504,MATCH($C1571,Productos!$A$5:$A$504,0)),"Clave no existe"))</f>
        <v/>
      </c>
      <c r="E1571" s="14" t="str">
        <f>IF($C1571="","",IFERROR(INDEX(Productos!$D$5:$D$504,MATCH($C1571,Productos!$A$5:$A$504,0)),""))</f>
        <v/>
      </c>
      <c r="F1571" s="20"/>
      <c r="G1571" s="22" t="str">
        <f>IF($C1571="","",IFERROR(INDEX(Productos!$F$5:$F$504,MATCH($C1571,Productos!$A$5:$A$504,0)),0))</f>
        <v/>
      </c>
      <c r="H1571" s="22" t="str">
        <f t="shared" si="24"/>
        <v/>
      </c>
      <c r="I1571" s="14" t="str">
        <f>IF(OR($C1571="",$F1571=""),"",IFERROR(INDEX(Productos!$I$5:$I$504,MATCH($C1571,Productos!$A$5:$A$504,0)),0)+SUMIFS($F$5:$F1571,$C$5:$C1571,$C1571,$B$5:$B1571,"Entrada")-SUMIFS($F$5:$F1571,$C$5:$C1571,$C1571,$B$5:$B1571,"Salida"))</f>
        <v/>
      </c>
      <c r="J1571" s="20"/>
      <c r="K1571" s="20"/>
      <c r="L1571" s="20"/>
      <c r="M1571" s="14" t="str">
        <f>IF(AND($C1571&lt;&gt;"",$C1571=Kardex!$C$4),COUNTIF($C$5:$C1571,Kardex!$C$4),"")</f>
        <v/>
      </c>
    </row>
    <row r="1572" spans="1:13" x14ac:dyDescent="0.25">
      <c r="A1572" s="24"/>
      <c r="B1572" s="20"/>
      <c r="C1572" s="20"/>
      <c r="D1572" s="14" t="str">
        <f>IF($C1572="","",IFERROR(INDEX(Productos!$B$5:$B$504,MATCH($C1572,Productos!$A$5:$A$504,0)),"Clave no existe"))</f>
        <v/>
      </c>
      <c r="E1572" s="14" t="str">
        <f>IF($C1572="","",IFERROR(INDEX(Productos!$D$5:$D$504,MATCH($C1572,Productos!$A$5:$A$504,0)),""))</f>
        <v/>
      </c>
      <c r="F1572" s="20"/>
      <c r="G1572" s="22" t="str">
        <f>IF($C1572="","",IFERROR(INDEX(Productos!$F$5:$F$504,MATCH($C1572,Productos!$A$5:$A$504,0)),0))</f>
        <v/>
      </c>
      <c r="H1572" s="22" t="str">
        <f t="shared" si="24"/>
        <v/>
      </c>
      <c r="I1572" s="14" t="str">
        <f>IF(OR($C1572="",$F1572=""),"",IFERROR(INDEX(Productos!$I$5:$I$504,MATCH($C1572,Productos!$A$5:$A$504,0)),0)+SUMIFS($F$5:$F1572,$C$5:$C1572,$C1572,$B$5:$B1572,"Entrada")-SUMIFS($F$5:$F1572,$C$5:$C1572,$C1572,$B$5:$B1572,"Salida"))</f>
        <v/>
      </c>
      <c r="J1572" s="20"/>
      <c r="K1572" s="20"/>
      <c r="L1572" s="20"/>
      <c r="M1572" s="14" t="str">
        <f>IF(AND($C1572&lt;&gt;"",$C1572=Kardex!$C$4),COUNTIF($C$5:$C1572,Kardex!$C$4),"")</f>
        <v/>
      </c>
    </row>
    <row r="1573" spans="1:13" x14ac:dyDescent="0.25">
      <c r="A1573" s="24"/>
      <c r="B1573" s="20"/>
      <c r="C1573" s="20"/>
      <c r="D1573" s="14" t="str">
        <f>IF($C1573="","",IFERROR(INDEX(Productos!$B$5:$B$504,MATCH($C1573,Productos!$A$5:$A$504,0)),"Clave no existe"))</f>
        <v/>
      </c>
      <c r="E1573" s="14" t="str">
        <f>IF($C1573="","",IFERROR(INDEX(Productos!$D$5:$D$504,MATCH($C1573,Productos!$A$5:$A$504,0)),""))</f>
        <v/>
      </c>
      <c r="F1573" s="20"/>
      <c r="G1573" s="22" t="str">
        <f>IF($C1573="","",IFERROR(INDEX(Productos!$F$5:$F$504,MATCH($C1573,Productos!$A$5:$A$504,0)),0))</f>
        <v/>
      </c>
      <c r="H1573" s="22" t="str">
        <f t="shared" si="24"/>
        <v/>
      </c>
      <c r="I1573" s="14" t="str">
        <f>IF(OR($C1573="",$F1573=""),"",IFERROR(INDEX(Productos!$I$5:$I$504,MATCH($C1573,Productos!$A$5:$A$504,0)),0)+SUMIFS($F$5:$F1573,$C$5:$C1573,$C1573,$B$5:$B1573,"Entrada")-SUMIFS($F$5:$F1573,$C$5:$C1573,$C1573,$B$5:$B1573,"Salida"))</f>
        <v/>
      </c>
      <c r="J1573" s="20"/>
      <c r="K1573" s="20"/>
      <c r="L1573" s="20"/>
      <c r="M1573" s="14" t="str">
        <f>IF(AND($C1573&lt;&gt;"",$C1573=Kardex!$C$4),COUNTIF($C$5:$C1573,Kardex!$C$4),"")</f>
        <v/>
      </c>
    </row>
    <row r="1574" spans="1:13" x14ac:dyDescent="0.25">
      <c r="A1574" s="24"/>
      <c r="B1574" s="20"/>
      <c r="C1574" s="20"/>
      <c r="D1574" s="14" t="str">
        <f>IF($C1574="","",IFERROR(INDEX(Productos!$B$5:$B$504,MATCH($C1574,Productos!$A$5:$A$504,0)),"Clave no existe"))</f>
        <v/>
      </c>
      <c r="E1574" s="14" t="str">
        <f>IF($C1574="","",IFERROR(INDEX(Productos!$D$5:$D$504,MATCH($C1574,Productos!$A$5:$A$504,0)),""))</f>
        <v/>
      </c>
      <c r="F1574" s="20"/>
      <c r="G1574" s="22" t="str">
        <f>IF($C1574="","",IFERROR(INDEX(Productos!$F$5:$F$504,MATCH($C1574,Productos!$A$5:$A$504,0)),0))</f>
        <v/>
      </c>
      <c r="H1574" s="22" t="str">
        <f t="shared" si="24"/>
        <v/>
      </c>
      <c r="I1574" s="14" t="str">
        <f>IF(OR($C1574="",$F1574=""),"",IFERROR(INDEX(Productos!$I$5:$I$504,MATCH($C1574,Productos!$A$5:$A$504,0)),0)+SUMIFS($F$5:$F1574,$C$5:$C1574,$C1574,$B$5:$B1574,"Entrada")-SUMIFS($F$5:$F1574,$C$5:$C1574,$C1574,$B$5:$B1574,"Salida"))</f>
        <v/>
      </c>
      <c r="J1574" s="20"/>
      <c r="K1574" s="20"/>
      <c r="L1574" s="20"/>
      <c r="M1574" s="14" t="str">
        <f>IF(AND($C1574&lt;&gt;"",$C1574=Kardex!$C$4),COUNTIF($C$5:$C1574,Kardex!$C$4),"")</f>
        <v/>
      </c>
    </row>
    <row r="1575" spans="1:13" x14ac:dyDescent="0.25">
      <c r="A1575" s="24"/>
      <c r="B1575" s="20"/>
      <c r="C1575" s="20"/>
      <c r="D1575" s="14" t="str">
        <f>IF($C1575="","",IFERROR(INDEX(Productos!$B$5:$B$504,MATCH($C1575,Productos!$A$5:$A$504,0)),"Clave no existe"))</f>
        <v/>
      </c>
      <c r="E1575" s="14" t="str">
        <f>IF($C1575="","",IFERROR(INDEX(Productos!$D$5:$D$504,MATCH($C1575,Productos!$A$5:$A$504,0)),""))</f>
        <v/>
      </c>
      <c r="F1575" s="20"/>
      <c r="G1575" s="22" t="str">
        <f>IF($C1575="","",IFERROR(INDEX(Productos!$F$5:$F$504,MATCH($C1575,Productos!$A$5:$A$504,0)),0))</f>
        <v/>
      </c>
      <c r="H1575" s="22" t="str">
        <f t="shared" si="24"/>
        <v/>
      </c>
      <c r="I1575" s="14" t="str">
        <f>IF(OR($C1575="",$F1575=""),"",IFERROR(INDEX(Productos!$I$5:$I$504,MATCH($C1575,Productos!$A$5:$A$504,0)),0)+SUMIFS($F$5:$F1575,$C$5:$C1575,$C1575,$B$5:$B1575,"Entrada")-SUMIFS($F$5:$F1575,$C$5:$C1575,$C1575,$B$5:$B1575,"Salida"))</f>
        <v/>
      </c>
      <c r="J1575" s="20"/>
      <c r="K1575" s="20"/>
      <c r="L1575" s="20"/>
      <c r="M1575" s="14" t="str">
        <f>IF(AND($C1575&lt;&gt;"",$C1575=Kardex!$C$4),COUNTIF($C$5:$C1575,Kardex!$C$4),"")</f>
        <v/>
      </c>
    </row>
    <row r="1576" spans="1:13" x14ac:dyDescent="0.25">
      <c r="A1576" s="24"/>
      <c r="B1576" s="20"/>
      <c r="C1576" s="20"/>
      <c r="D1576" s="14" t="str">
        <f>IF($C1576="","",IFERROR(INDEX(Productos!$B$5:$B$504,MATCH($C1576,Productos!$A$5:$A$504,0)),"Clave no existe"))</f>
        <v/>
      </c>
      <c r="E1576" s="14" t="str">
        <f>IF($C1576="","",IFERROR(INDEX(Productos!$D$5:$D$504,MATCH($C1576,Productos!$A$5:$A$504,0)),""))</f>
        <v/>
      </c>
      <c r="F1576" s="20"/>
      <c r="G1576" s="22" t="str">
        <f>IF($C1576="","",IFERROR(INDEX(Productos!$F$5:$F$504,MATCH($C1576,Productos!$A$5:$A$504,0)),0))</f>
        <v/>
      </c>
      <c r="H1576" s="22" t="str">
        <f t="shared" si="24"/>
        <v/>
      </c>
      <c r="I1576" s="14" t="str">
        <f>IF(OR($C1576="",$F1576=""),"",IFERROR(INDEX(Productos!$I$5:$I$504,MATCH($C1576,Productos!$A$5:$A$504,0)),0)+SUMIFS($F$5:$F1576,$C$5:$C1576,$C1576,$B$5:$B1576,"Entrada")-SUMIFS($F$5:$F1576,$C$5:$C1576,$C1576,$B$5:$B1576,"Salida"))</f>
        <v/>
      </c>
      <c r="J1576" s="20"/>
      <c r="K1576" s="20"/>
      <c r="L1576" s="20"/>
      <c r="M1576" s="14" t="str">
        <f>IF(AND($C1576&lt;&gt;"",$C1576=Kardex!$C$4),COUNTIF($C$5:$C1576,Kardex!$C$4),"")</f>
        <v/>
      </c>
    </row>
    <row r="1577" spans="1:13" x14ac:dyDescent="0.25">
      <c r="A1577" s="24"/>
      <c r="B1577" s="20"/>
      <c r="C1577" s="20"/>
      <c r="D1577" s="14" t="str">
        <f>IF($C1577="","",IFERROR(INDEX(Productos!$B$5:$B$504,MATCH($C1577,Productos!$A$5:$A$504,0)),"Clave no existe"))</f>
        <v/>
      </c>
      <c r="E1577" s="14" t="str">
        <f>IF($C1577="","",IFERROR(INDEX(Productos!$D$5:$D$504,MATCH($C1577,Productos!$A$5:$A$504,0)),""))</f>
        <v/>
      </c>
      <c r="F1577" s="20"/>
      <c r="G1577" s="22" t="str">
        <f>IF($C1577="","",IFERROR(INDEX(Productos!$F$5:$F$504,MATCH($C1577,Productos!$A$5:$A$504,0)),0))</f>
        <v/>
      </c>
      <c r="H1577" s="22" t="str">
        <f t="shared" si="24"/>
        <v/>
      </c>
      <c r="I1577" s="14" t="str">
        <f>IF(OR($C1577="",$F1577=""),"",IFERROR(INDEX(Productos!$I$5:$I$504,MATCH($C1577,Productos!$A$5:$A$504,0)),0)+SUMIFS($F$5:$F1577,$C$5:$C1577,$C1577,$B$5:$B1577,"Entrada")-SUMIFS($F$5:$F1577,$C$5:$C1577,$C1577,$B$5:$B1577,"Salida"))</f>
        <v/>
      </c>
      <c r="J1577" s="20"/>
      <c r="K1577" s="20"/>
      <c r="L1577" s="20"/>
      <c r="M1577" s="14" t="str">
        <f>IF(AND($C1577&lt;&gt;"",$C1577=Kardex!$C$4),COUNTIF($C$5:$C1577,Kardex!$C$4),"")</f>
        <v/>
      </c>
    </row>
    <row r="1578" spans="1:13" x14ac:dyDescent="0.25">
      <c r="A1578" s="24"/>
      <c r="B1578" s="20"/>
      <c r="C1578" s="20"/>
      <c r="D1578" s="14" t="str">
        <f>IF($C1578="","",IFERROR(INDEX(Productos!$B$5:$B$504,MATCH($C1578,Productos!$A$5:$A$504,0)),"Clave no existe"))</f>
        <v/>
      </c>
      <c r="E1578" s="14" t="str">
        <f>IF($C1578="","",IFERROR(INDEX(Productos!$D$5:$D$504,MATCH($C1578,Productos!$A$5:$A$504,0)),""))</f>
        <v/>
      </c>
      <c r="F1578" s="20"/>
      <c r="G1578" s="22" t="str">
        <f>IF($C1578="","",IFERROR(INDEX(Productos!$F$5:$F$504,MATCH($C1578,Productos!$A$5:$A$504,0)),0))</f>
        <v/>
      </c>
      <c r="H1578" s="22" t="str">
        <f t="shared" si="24"/>
        <v/>
      </c>
      <c r="I1578" s="14" t="str">
        <f>IF(OR($C1578="",$F1578=""),"",IFERROR(INDEX(Productos!$I$5:$I$504,MATCH($C1578,Productos!$A$5:$A$504,0)),0)+SUMIFS($F$5:$F1578,$C$5:$C1578,$C1578,$B$5:$B1578,"Entrada")-SUMIFS($F$5:$F1578,$C$5:$C1578,$C1578,$B$5:$B1578,"Salida"))</f>
        <v/>
      </c>
      <c r="J1578" s="20"/>
      <c r="K1578" s="20"/>
      <c r="L1578" s="20"/>
      <c r="M1578" s="14" t="str">
        <f>IF(AND($C1578&lt;&gt;"",$C1578=Kardex!$C$4),COUNTIF($C$5:$C1578,Kardex!$C$4),"")</f>
        <v/>
      </c>
    </row>
    <row r="1579" spans="1:13" x14ac:dyDescent="0.25">
      <c r="A1579" s="24"/>
      <c r="B1579" s="20"/>
      <c r="C1579" s="20"/>
      <c r="D1579" s="14" t="str">
        <f>IF($C1579="","",IFERROR(INDEX(Productos!$B$5:$B$504,MATCH($C1579,Productos!$A$5:$A$504,0)),"Clave no existe"))</f>
        <v/>
      </c>
      <c r="E1579" s="14" t="str">
        <f>IF($C1579="","",IFERROR(INDEX(Productos!$D$5:$D$504,MATCH($C1579,Productos!$A$5:$A$504,0)),""))</f>
        <v/>
      </c>
      <c r="F1579" s="20"/>
      <c r="G1579" s="22" t="str">
        <f>IF($C1579="","",IFERROR(INDEX(Productos!$F$5:$F$504,MATCH($C1579,Productos!$A$5:$A$504,0)),0))</f>
        <v/>
      </c>
      <c r="H1579" s="22" t="str">
        <f t="shared" si="24"/>
        <v/>
      </c>
      <c r="I1579" s="14" t="str">
        <f>IF(OR($C1579="",$F1579=""),"",IFERROR(INDEX(Productos!$I$5:$I$504,MATCH($C1579,Productos!$A$5:$A$504,0)),0)+SUMIFS($F$5:$F1579,$C$5:$C1579,$C1579,$B$5:$B1579,"Entrada")-SUMIFS($F$5:$F1579,$C$5:$C1579,$C1579,$B$5:$B1579,"Salida"))</f>
        <v/>
      </c>
      <c r="J1579" s="20"/>
      <c r="K1579" s="20"/>
      <c r="L1579" s="20"/>
      <c r="M1579" s="14" t="str">
        <f>IF(AND($C1579&lt;&gt;"",$C1579=Kardex!$C$4),COUNTIF($C$5:$C1579,Kardex!$C$4),"")</f>
        <v/>
      </c>
    </row>
    <row r="1580" spans="1:13" x14ac:dyDescent="0.25">
      <c r="A1580" s="24"/>
      <c r="B1580" s="20"/>
      <c r="C1580" s="20"/>
      <c r="D1580" s="14" t="str">
        <f>IF($C1580="","",IFERROR(INDEX(Productos!$B$5:$B$504,MATCH($C1580,Productos!$A$5:$A$504,0)),"Clave no existe"))</f>
        <v/>
      </c>
      <c r="E1580" s="14" t="str">
        <f>IF($C1580="","",IFERROR(INDEX(Productos!$D$5:$D$504,MATCH($C1580,Productos!$A$5:$A$504,0)),""))</f>
        <v/>
      </c>
      <c r="F1580" s="20"/>
      <c r="G1580" s="22" t="str">
        <f>IF($C1580="","",IFERROR(INDEX(Productos!$F$5:$F$504,MATCH($C1580,Productos!$A$5:$A$504,0)),0))</f>
        <v/>
      </c>
      <c r="H1580" s="22" t="str">
        <f t="shared" si="24"/>
        <v/>
      </c>
      <c r="I1580" s="14" t="str">
        <f>IF(OR($C1580="",$F1580=""),"",IFERROR(INDEX(Productos!$I$5:$I$504,MATCH($C1580,Productos!$A$5:$A$504,0)),0)+SUMIFS($F$5:$F1580,$C$5:$C1580,$C1580,$B$5:$B1580,"Entrada")-SUMIFS($F$5:$F1580,$C$5:$C1580,$C1580,$B$5:$B1580,"Salida"))</f>
        <v/>
      </c>
      <c r="J1580" s="20"/>
      <c r="K1580" s="20"/>
      <c r="L1580" s="20"/>
      <c r="M1580" s="14" t="str">
        <f>IF(AND($C1580&lt;&gt;"",$C1580=Kardex!$C$4),COUNTIF($C$5:$C1580,Kardex!$C$4),"")</f>
        <v/>
      </c>
    </row>
    <row r="1581" spans="1:13" x14ac:dyDescent="0.25">
      <c r="A1581" s="24"/>
      <c r="B1581" s="20"/>
      <c r="C1581" s="20"/>
      <c r="D1581" s="14" t="str">
        <f>IF($C1581="","",IFERROR(INDEX(Productos!$B$5:$B$504,MATCH($C1581,Productos!$A$5:$A$504,0)),"Clave no existe"))</f>
        <v/>
      </c>
      <c r="E1581" s="14" t="str">
        <f>IF($C1581="","",IFERROR(INDEX(Productos!$D$5:$D$504,MATCH($C1581,Productos!$A$5:$A$504,0)),""))</f>
        <v/>
      </c>
      <c r="F1581" s="20"/>
      <c r="G1581" s="22" t="str">
        <f>IF($C1581="","",IFERROR(INDEX(Productos!$F$5:$F$504,MATCH($C1581,Productos!$A$5:$A$504,0)),0))</f>
        <v/>
      </c>
      <c r="H1581" s="22" t="str">
        <f t="shared" si="24"/>
        <v/>
      </c>
      <c r="I1581" s="14" t="str">
        <f>IF(OR($C1581="",$F1581=""),"",IFERROR(INDEX(Productos!$I$5:$I$504,MATCH($C1581,Productos!$A$5:$A$504,0)),0)+SUMIFS($F$5:$F1581,$C$5:$C1581,$C1581,$B$5:$B1581,"Entrada")-SUMIFS($F$5:$F1581,$C$5:$C1581,$C1581,$B$5:$B1581,"Salida"))</f>
        <v/>
      </c>
      <c r="J1581" s="20"/>
      <c r="K1581" s="20"/>
      <c r="L1581" s="20"/>
      <c r="M1581" s="14" t="str">
        <f>IF(AND($C1581&lt;&gt;"",$C1581=Kardex!$C$4),COUNTIF($C$5:$C1581,Kardex!$C$4),"")</f>
        <v/>
      </c>
    </row>
    <row r="1582" spans="1:13" x14ac:dyDescent="0.25">
      <c r="A1582" s="24"/>
      <c r="B1582" s="20"/>
      <c r="C1582" s="20"/>
      <c r="D1582" s="14" t="str">
        <f>IF($C1582="","",IFERROR(INDEX(Productos!$B$5:$B$504,MATCH($C1582,Productos!$A$5:$A$504,0)),"Clave no existe"))</f>
        <v/>
      </c>
      <c r="E1582" s="14" t="str">
        <f>IF($C1582="","",IFERROR(INDEX(Productos!$D$5:$D$504,MATCH($C1582,Productos!$A$5:$A$504,0)),""))</f>
        <v/>
      </c>
      <c r="F1582" s="20"/>
      <c r="G1582" s="22" t="str">
        <f>IF($C1582="","",IFERROR(INDEX(Productos!$F$5:$F$504,MATCH($C1582,Productos!$A$5:$A$504,0)),0))</f>
        <v/>
      </c>
      <c r="H1582" s="22" t="str">
        <f t="shared" si="24"/>
        <v/>
      </c>
      <c r="I1582" s="14" t="str">
        <f>IF(OR($C1582="",$F1582=""),"",IFERROR(INDEX(Productos!$I$5:$I$504,MATCH($C1582,Productos!$A$5:$A$504,0)),0)+SUMIFS($F$5:$F1582,$C$5:$C1582,$C1582,$B$5:$B1582,"Entrada")-SUMIFS($F$5:$F1582,$C$5:$C1582,$C1582,$B$5:$B1582,"Salida"))</f>
        <v/>
      </c>
      <c r="J1582" s="20"/>
      <c r="K1582" s="20"/>
      <c r="L1582" s="20"/>
      <c r="M1582" s="14" t="str">
        <f>IF(AND($C1582&lt;&gt;"",$C1582=Kardex!$C$4),COUNTIF($C$5:$C1582,Kardex!$C$4),"")</f>
        <v/>
      </c>
    </row>
    <row r="1583" spans="1:13" x14ac:dyDescent="0.25">
      <c r="A1583" s="24"/>
      <c r="B1583" s="20"/>
      <c r="C1583" s="20"/>
      <c r="D1583" s="14" t="str">
        <f>IF($C1583="","",IFERROR(INDEX(Productos!$B$5:$B$504,MATCH($C1583,Productos!$A$5:$A$504,0)),"Clave no existe"))</f>
        <v/>
      </c>
      <c r="E1583" s="14" t="str">
        <f>IF($C1583="","",IFERROR(INDEX(Productos!$D$5:$D$504,MATCH($C1583,Productos!$A$5:$A$504,0)),""))</f>
        <v/>
      </c>
      <c r="F1583" s="20"/>
      <c r="G1583" s="22" t="str">
        <f>IF($C1583="","",IFERROR(INDEX(Productos!$F$5:$F$504,MATCH($C1583,Productos!$A$5:$A$504,0)),0))</f>
        <v/>
      </c>
      <c r="H1583" s="22" t="str">
        <f t="shared" si="24"/>
        <v/>
      </c>
      <c r="I1583" s="14" t="str">
        <f>IF(OR($C1583="",$F1583=""),"",IFERROR(INDEX(Productos!$I$5:$I$504,MATCH($C1583,Productos!$A$5:$A$504,0)),0)+SUMIFS($F$5:$F1583,$C$5:$C1583,$C1583,$B$5:$B1583,"Entrada")-SUMIFS($F$5:$F1583,$C$5:$C1583,$C1583,$B$5:$B1583,"Salida"))</f>
        <v/>
      </c>
      <c r="J1583" s="20"/>
      <c r="K1583" s="20"/>
      <c r="L1583" s="20"/>
      <c r="M1583" s="14" t="str">
        <f>IF(AND($C1583&lt;&gt;"",$C1583=Kardex!$C$4),COUNTIF($C$5:$C1583,Kardex!$C$4),"")</f>
        <v/>
      </c>
    </row>
    <row r="1584" spans="1:13" x14ac:dyDescent="0.25">
      <c r="A1584" s="24"/>
      <c r="B1584" s="20"/>
      <c r="C1584" s="20"/>
      <c r="D1584" s="14" t="str">
        <f>IF($C1584="","",IFERROR(INDEX(Productos!$B$5:$B$504,MATCH($C1584,Productos!$A$5:$A$504,0)),"Clave no existe"))</f>
        <v/>
      </c>
      <c r="E1584" s="14" t="str">
        <f>IF($C1584="","",IFERROR(INDEX(Productos!$D$5:$D$504,MATCH($C1584,Productos!$A$5:$A$504,0)),""))</f>
        <v/>
      </c>
      <c r="F1584" s="20"/>
      <c r="G1584" s="22" t="str">
        <f>IF($C1584="","",IFERROR(INDEX(Productos!$F$5:$F$504,MATCH($C1584,Productos!$A$5:$A$504,0)),0))</f>
        <v/>
      </c>
      <c r="H1584" s="22" t="str">
        <f t="shared" si="24"/>
        <v/>
      </c>
      <c r="I1584" s="14" t="str">
        <f>IF(OR($C1584="",$F1584=""),"",IFERROR(INDEX(Productos!$I$5:$I$504,MATCH($C1584,Productos!$A$5:$A$504,0)),0)+SUMIFS($F$5:$F1584,$C$5:$C1584,$C1584,$B$5:$B1584,"Entrada")-SUMIFS($F$5:$F1584,$C$5:$C1584,$C1584,$B$5:$B1584,"Salida"))</f>
        <v/>
      </c>
      <c r="J1584" s="20"/>
      <c r="K1584" s="20"/>
      <c r="L1584" s="20"/>
      <c r="M1584" s="14" t="str">
        <f>IF(AND($C1584&lt;&gt;"",$C1584=Kardex!$C$4),COUNTIF($C$5:$C1584,Kardex!$C$4),"")</f>
        <v/>
      </c>
    </row>
    <row r="1585" spans="1:13" x14ac:dyDescent="0.25">
      <c r="A1585" s="24"/>
      <c r="B1585" s="20"/>
      <c r="C1585" s="20"/>
      <c r="D1585" s="14" t="str">
        <f>IF($C1585="","",IFERROR(INDEX(Productos!$B$5:$B$504,MATCH($C1585,Productos!$A$5:$A$504,0)),"Clave no existe"))</f>
        <v/>
      </c>
      <c r="E1585" s="14" t="str">
        <f>IF($C1585="","",IFERROR(INDEX(Productos!$D$5:$D$504,MATCH($C1585,Productos!$A$5:$A$504,0)),""))</f>
        <v/>
      </c>
      <c r="F1585" s="20"/>
      <c r="G1585" s="22" t="str">
        <f>IF($C1585="","",IFERROR(INDEX(Productos!$F$5:$F$504,MATCH($C1585,Productos!$A$5:$A$504,0)),0))</f>
        <v/>
      </c>
      <c r="H1585" s="22" t="str">
        <f t="shared" si="24"/>
        <v/>
      </c>
      <c r="I1585" s="14" t="str">
        <f>IF(OR($C1585="",$F1585=""),"",IFERROR(INDEX(Productos!$I$5:$I$504,MATCH($C1585,Productos!$A$5:$A$504,0)),0)+SUMIFS($F$5:$F1585,$C$5:$C1585,$C1585,$B$5:$B1585,"Entrada")-SUMIFS($F$5:$F1585,$C$5:$C1585,$C1585,$B$5:$B1585,"Salida"))</f>
        <v/>
      </c>
      <c r="J1585" s="20"/>
      <c r="K1585" s="20"/>
      <c r="L1585" s="20"/>
      <c r="M1585" s="14" t="str">
        <f>IF(AND($C1585&lt;&gt;"",$C1585=Kardex!$C$4),COUNTIF($C$5:$C1585,Kardex!$C$4),"")</f>
        <v/>
      </c>
    </row>
    <row r="1586" spans="1:13" x14ac:dyDescent="0.25">
      <c r="A1586" s="24"/>
      <c r="B1586" s="20"/>
      <c r="C1586" s="20"/>
      <c r="D1586" s="14" t="str">
        <f>IF($C1586="","",IFERROR(INDEX(Productos!$B$5:$B$504,MATCH($C1586,Productos!$A$5:$A$504,0)),"Clave no existe"))</f>
        <v/>
      </c>
      <c r="E1586" s="14" t="str">
        <f>IF($C1586="","",IFERROR(INDEX(Productos!$D$5:$D$504,MATCH($C1586,Productos!$A$5:$A$504,0)),""))</f>
        <v/>
      </c>
      <c r="F1586" s="20"/>
      <c r="G1586" s="22" t="str">
        <f>IF($C1586="","",IFERROR(INDEX(Productos!$F$5:$F$504,MATCH($C1586,Productos!$A$5:$A$504,0)),0))</f>
        <v/>
      </c>
      <c r="H1586" s="22" t="str">
        <f t="shared" si="24"/>
        <v/>
      </c>
      <c r="I1586" s="14" t="str">
        <f>IF(OR($C1586="",$F1586=""),"",IFERROR(INDEX(Productos!$I$5:$I$504,MATCH($C1586,Productos!$A$5:$A$504,0)),0)+SUMIFS($F$5:$F1586,$C$5:$C1586,$C1586,$B$5:$B1586,"Entrada")-SUMIFS($F$5:$F1586,$C$5:$C1586,$C1586,$B$5:$B1586,"Salida"))</f>
        <v/>
      </c>
      <c r="J1586" s="20"/>
      <c r="K1586" s="20"/>
      <c r="L1586" s="20"/>
      <c r="M1586" s="14" t="str">
        <f>IF(AND($C1586&lt;&gt;"",$C1586=Kardex!$C$4),COUNTIF($C$5:$C1586,Kardex!$C$4),"")</f>
        <v/>
      </c>
    </row>
    <row r="1587" spans="1:13" x14ac:dyDescent="0.25">
      <c r="A1587" s="24"/>
      <c r="B1587" s="20"/>
      <c r="C1587" s="20"/>
      <c r="D1587" s="14" t="str">
        <f>IF($C1587="","",IFERROR(INDEX(Productos!$B$5:$B$504,MATCH($C1587,Productos!$A$5:$A$504,0)),"Clave no existe"))</f>
        <v/>
      </c>
      <c r="E1587" s="14" t="str">
        <f>IF($C1587="","",IFERROR(INDEX(Productos!$D$5:$D$504,MATCH($C1587,Productos!$A$5:$A$504,0)),""))</f>
        <v/>
      </c>
      <c r="F1587" s="20"/>
      <c r="G1587" s="22" t="str">
        <f>IF($C1587="","",IFERROR(INDEX(Productos!$F$5:$F$504,MATCH($C1587,Productos!$A$5:$A$504,0)),0))</f>
        <v/>
      </c>
      <c r="H1587" s="22" t="str">
        <f t="shared" si="24"/>
        <v/>
      </c>
      <c r="I1587" s="14" t="str">
        <f>IF(OR($C1587="",$F1587=""),"",IFERROR(INDEX(Productos!$I$5:$I$504,MATCH($C1587,Productos!$A$5:$A$504,0)),0)+SUMIFS($F$5:$F1587,$C$5:$C1587,$C1587,$B$5:$B1587,"Entrada")-SUMIFS($F$5:$F1587,$C$5:$C1587,$C1587,$B$5:$B1587,"Salida"))</f>
        <v/>
      </c>
      <c r="J1587" s="20"/>
      <c r="K1587" s="20"/>
      <c r="L1587" s="20"/>
      <c r="M1587" s="14" t="str">
        <f>IF(AND($C1587&lt;&gt;"",$C1587=Kardex!$C$4),COUNTIF($C$5:$C1587,Kardex!$C$4),"")</f>
        <v/>
      </c>
    </row>
    <row r="1588" spans="1:13" x14ac:dyDescent="0.25">
      <c r="A1588" s="24"/>
      <c r="B1588" s="20"/>
      <c r="C1588" s="20"/>
      <c r="D1588" s="14" t="str">
        <f>IF($C1588="","",IFERROR(INDEX(Productos!$B$5:$B$504,MATCH($C1588,Productos!$A$5:$A$504,0)),"Clave no existe"))</f>
        <v/>
      </c>
      <c r="E1588" s="14" t="str">
        <f>IF($C1588="","",IFERROR(INDEX(Productos!$D$5:$D$504,MATCH($C1588,Productos!$A$5:$A$504,0)),""))</f>
        <v/>
      </c>
      <c r="F1588" s="20"/>
      <c r="G1588" s="22" t="str">
        <f>IF($C1588="","",IFERROR(INDEX(Productos!$F$5:$F$504,MATCH($C1588,Productos!$A$5:$A$504,0)),0))</f>
        <v/>
      </c>
      <c r="H1588" s="22" t="str">
        <f t="shared" si="24"/>
        <v/>
      </c>
      <c r="I1588" s="14" t="str">
        <f>IF(OR($C1588="",$F1588=""),"",IFERROR(INDEX(Productos!$I$5:$I$504,MATCH($C1588,Productos!$A$5:$A$504,0)),0)+SUMIFS($F$5:$F1588,$C$5:$C1588,$C1588,$B$5:$B1588,"Entrada")-SUMIFS($F$5:$F1588,$C$5:$C1588,$C1588,$B$5:$B1588,"Salida"))</f>
        <v/>
      </c>
      <c r="J1588" s="20"/>
      <c r="K1588" s="20"/>
      <c r="L1588" s="20"/>
      <c r="M1588" s="14" t="str">
        <f>IF(AND($C1588&lt;&gt;"",$C1588=Kardex!$C$4),COUNTIF($C$5:$C1588,Kardex!$C$4),"")</f>
        <v/>
      </c>
    </row>
    <row r="1589" spans="1:13" x14ac:dyDescent="0.25">
      <c r="A1589" s="24"/>
      <c r="B1589" s="20"/>
      <c r="C1589" s="20"/>
      <c r="D1589" s="14" t="str">
        <f>IF($C1589="","",IFERROR(INDEX(Productos!$B$5:$B$504,MATCH($C1589,Productos!$A$5:$A$504,0)),"Clave no existe"))</f>
        <v/>
      </c>
      <c r="E1589" s="14" t="str">
        <f>IF($C1589="","",IFERROR(INDEX(Productos!$D$5:$D$504,MATCH($C1589,Productos!$A$5:$A$504,0)),""))</f>
        <v/>
      </c>
      <c r="F1589" s="20"/>
      <c r="G1589" s="22" t="str">
        <f>IF($C1589="","",IFERROR(INDEX(Productos!$F$5:$F$504,MATCH($C1589,Productos!$A$5:$A$504,0)),0))</f>
        <v/>
      </c>
      <c r="H1589" s="22" t="str">
        <f t="shared" si="24"/>
        <v/>
      </c>
      <c r="I1589" s="14" t="str">
        <f>IF(OR($C1589="",$F1589=""),"",IFERROR(INDEX(Productos!$I$5:$I$504,MATCH($C1589,Productos!$A$5:$A$504,0)),0)+SUMIFS($F$5:$F1589,$C$5:$C1589,$C1589,$B$5:$B1589,"Entrada")-SUMIFS($F$5:$F1589,$C$5:$C1589,$C1589,$B$5:$B1589,"Salida"))</f>
        <v/>
      </c>
      <c r="J1589" s="20"/>
      <c r="K1589" s="20"/>
      <c r="L1589" s="20"/>
      <c r="M1589" s="14" t="str">
        <f>IF(AND($C1589&lt;&gt;"",$C1589=Kardex!$C$4),COUNTIF($C$5:$C1589,Kardex!$C$4),"")</f>
        <v/>
      </c>
    </row>
    <row r="1590" spans="1:13" x14ac:dyDescent="0.25">
      <c r="A1590" s="24"/>
      <c r="B1590" s="20"/>
      <c r="C1590" s="20"/>
      <c r="D1590" s="14" t="str">
        <f>IF($C1590="","",IFERROR(INDEX(Productos!$B$5:$B$504,MATCH($C1590,Productos!$A$5:$A$504,0)),"Clave no existe"))</f>
        <v/>
      </c>
      <c r="E1590" s="14" t="str">
        <f>IF($C1590="","",IFERROR(INDEX(Productos!$D$5:$D$504,MATCH($C1590,Productos!$A$5:$A$504,0)),""))</f>
        <v/>
      </c>
      <c r="F1590" s="20"/>
      <c r="G1590" s="22" t="str">
        <f>IF($C1590="","",IFERROR(INDEX(Productos!$F$5:$F$504,MATCH($C1590,Productos!$A$5:$A$504,0)),0))</f>
        <v/>
      </c>
      <c r="H1590" s="22" t="str">
        <f t="shared" si="24"/>
        <v/>
      </c>
      <c r="I1590" s="14" t="str">
        <f>IF(OR($C1590="",$F1590=""),"",IFERROR(INDEX(Productos!$I$5:$I$504,MATCH($C1590,Productos!$A$5:$A$504,0)),0)+SUMIFS($F$5:$F1590,$C$5:$C1590,$C1590,$B$5:$B1590,"Entrada")-SUMIFS($F$5:$F1590,$C$5:$C1590,$C1590,$B$5:$B1590,"Salida"))</f>
        <v/>
      </c>
      <c r="J1590" s="20"/>
      <c r="K1590" s="20"/>
      <c r="L1590" s="20"/>
      <c r="M1590" s="14" t="str">
        <f>IF(AND($C1590&lt;&gt;"",$C1590=Kardex!$C$4),COUNTIF($C$5:$C1590,Kardex!$C$4),"")</f>
        <v/>
      </c>
    </row>
    <row r="1591" spans="1:13" x14ac:dyDescent="0.25">
      <c r="A1591" s="24"/>
      <c r="B1591" s="20"/>
      <c r="C1591" s="20"/>
      <c r="D1591" s="14" t="str">
        <f>IF($C1591="","",IFERROR(INDEX(Productos!$B$5:$B$504,MATCH($C1591,Productos!$A$5:$A$504,0)),"Clave no existe"))</f>
        <v/>
      </c>
      <c r="E1591" s="14" t="str">
        <f>IF($C1591="","",IFERROR(INDEX(Productos!$D$5:$D$504,MATCH($C1591,Productos!$A$5:$A$504,0)),""))</f>
        <v/>
      </c>
      <c r="F1591" s="20"/>
      <c r="G1591" s="22" t="str">
        <f>IF($C1591="","",IFERROR(INDEX(Productos!$F$5:$F$504,MATCH($C1591,Productos!$A$5:$A$504,0)),0))</f>
        <v/>
      </c>
      <c r="H1591" s="22" t="str">
        <f t="shared" si="24"/>
        <v/>
      </c>
      <c r="I1591" s="14" t="str">
        <f>IF(OR($C1591="",$F1591=""),"",IFERROR(INDEX(Productos!$I$5:$I$504,MATCH($C1591,Productos!$A$5:$A$504,0)),0)+SUMIFS($F$5:$F1591,$C$5:$C1591,$C1591,$B$5:$B1591,"Entrada")-SUMIFS($F$5:$F1591,$C$5:$C1591,$C1591,$B$5:$B1591,"Salida"))</f>
        <v/>
      </c>
      <c r="J1591" s="20"/>
      <c r="K1591" s="20"/>
      <c r="L1591" s="20"/>
      <c r="M1591" s="14" t="str">
        <f>IF(AND($C1591&lt;&gt;"",$C1591=Kardex!$C$4),COUNTIF($C$5:$C1591,Kardex!$C$4),"")</f>
        <v/>
      </c>
    </row>
    <row r="1592" spans="1:13" x14ac:dyDescent="0.25">
      <c r="A1592" s="24"/>
      <c r="B1592" s="20"/>
      <c r="C1592" s="20"/>
      <c r="D1592" s="14" t="str">
        <f>IF($C1592="","",IFERROR(INDEX(Productos!$B$5:$B$504,MATCH($C1592,Productos!$A$5:$A$504,0)),"Clave no existe"))</f>
        <v/>
      </c>
      <c r="E1592" s="14" t="str">
        <f>IF($C1592="","",IFERROR(INDEX(Productos!$D$5:$D$504,MATCH($C1592,Productos!$A$5:$A$504,0)),""))</f>
        <v/>
      </c>
      <c r="F1592" s="20"/>
      <c r="G1592" s="22" t="str">
        <f>IF($C1592="","",IFERROR(INDEX(Productos!$F$5:$F$504,MATCH($C1592,Productos!$A$5:$A$504,0)),0))</f>
        <v/>
      </c>
      <c r="H1592" s="22" t="str">
        <f t="shared" si="24"/>
        <v/>
      </c>
      <c r="I1592" s="14" t="str">
        <f>IF(OR($C1592="",$F1592=""),"",IFERROR(INDEX(Productos!$I$5:$I$504,MATCH($C1592,Productos!$A$5:$A$504,0)),0)+SUMIFS($F$5:$F1592,$C$5:$C1592,$C1592,$B$5:$B1592,"Entrada")-SUMIFS($F$5:$F1592,$C$5:$C1592,$C1592,$B$5:$B1592,"Salida"))</f>
        <v/>
      </c>
      <c r="J1592" s="20"/>
      <c r="K1592" s="20"/>
      <c r="L1592" s="20"/>
      <c r="M1592" s="14" t="str">
        <f>IF(AND($C1592&lt;&gt;"",$C1592=Kardex!$C$4),COUNTIF($C$5:$C1592,Kardex!$C$4),"")</f>
        <v/>
      </c>
    </row>
    <row r="1593" spans="1:13" x14ac:dyDescent="0.25">
      <c r="A1593" s="24"/>
      <c r="B1593" s="20"/>
      <c r="C1593" s="20"/>
      <c r="D1593" s="14" t="str">
        <f>IF($C1593="","",IFERROR(INDEX(Productos!$B$5:$B$504,MATCH($C1593,Productos!$A$5:$A$504,0)),"Clave no existe"))</f>
        <v/>
      </c>
      <c r="E1593" s="14" t="str">
        <f>IF($C1593="","",IFERROR(INDEX(Productos!$D$5:$D$504,MATCH($C1593,Productos!$A$5:$A$504,0)),""))</f>
        <v/>
      </c>
      <c r="F1593" s="20"/>
      <c r="G1593" s="22" t="str">
        <f>IF($C1593="","",IFERROR(INDEX(Productos!$F$5:$F$504,MATCH($C1593,Productos!$A$5:$A$504,0)),0))</f>
        <v/>
      </c>
      <c r="H1593" s="22" t="str">
        <f t="shared" si="24"/>
        <v/>
      </c>
      <c r="I1593" s="14" t="str">
        <f>IF(OR($C1593="",$F1593=""),"",IFERROR(INDEX(Productos!$I$5:$I$504,MATCH($C1593,Productos!$A$5:$A$504,0)),0)+SUMIFS($F$5:$F1593,$C$5:$C1593,$C1593,$B$5:$B1593,"Entrada")-SUMIFS($F$5:$F1593,$C$5:$C1593,$C1593,$B$5:$B1593,"Salida"))</f>
        <v/>
      </c>
      <c r="J1593" s="20"/>
      <c r="K1593" s="20"/>
      <c r="L1593" s="20"/>
      <c r="M1593" s="14" t="str">
        <f>IF(AND($C1593&lt;&gt;"",$C1593=Kardex!$C$4),COUNTIF($C$5:$C1593,Kardex!$C$4),"")</f>
        <v/>
      </c>
    </row>
    <row r="1594" spans="1:13" x14ac:dyDescent="0.25">
      <c r="A1594" s="24"/>
      <c r="B1594" s="20"/>
      <c r="C1594" s="20"/>
      <c r="D1594" s="14" t="str">
        <f>IF($C1594="","",IFERROR(INDEX(Productos!$B$5:$B$504,MATCH($C1594,Productos!$A$5:$A$504,0)),"Clave no existe"))</f>
        <v/>
      </c>
      <c r="E1594" s="14" t="str">
        <f>IF($C1594="","",IFERROR(INDEX(Productos!$D$5:$D$504,MATCH($C1594,Productos!$A$5:$A$504,0)),""))</f>
        <v/>
      </c>
      <c r="F1594" s="20"/>
      <c r="G1594" s="22" t="str">
        <f>IF($C1594="","",IFERROR(INDEX(Productos!$F$5:$F$504,MATCH($C1594,Productos!$A$5:$A$504,0)),0))</f>
        <v/>
      </c>
      <c r="H1594" s="22" t="str">
        <f t="shared" si="24"/>
        <v/>
      </c>
      <c r="I1594" s="14" t="str">
        <f>IF(OR($C1594="",$F1594=""),"",IFERROR(INDEX(Productos!$I$5:$I$504,MATCH($C1594,Productos!$A$5:$A$504,0)),0)+SUMIFS($F$5:$F1594,$C$5:$C1594,$C1594,$B$5:$B1594,"Entrada")-SUMIFS($F$5:$F1594,$C$5:$C1594,$C1594,$B$5:$B1594,"Salida"))</f>
        <v/>
      </c>
      <c r="J1594" s="20"/>
      <c r="K1594" s="20"/>
      <c r="L1594" s="20"/>
      <c r="M1594" s="14" t="str">
        <f>IF(AND($C1594&lt;&gt;"",$C1594=Kardex!$C$4),COUNTIF($C$5:$C1594,Kardex!$C$4),"")</f>
        <v/>
      </c>
    </row>
    <row r="1595" spans="1:13" x14ac:dyDescent="0.25">
      <c r="A1595" s="24"/>
      <c r="B1595" s="20"/>
      <c r="C1595" s="20"/>
      <c r="D1595" s="14" t="str">
        <f>IF($C1595="","",IFERROR(INDEX(Productos!$B$5:$B$504,MATCH($C1595,Productos!$A$5:$A$504,0)),"Clave no existe"))</f>
        <v/>
      </c>
      <c r="E1595" s="14" t="str">
        <f>IF($C1595="","",IFERROR(INDEX(Productos!$D$5:$D$504,MATCH($C1595,Productos!$A$5:$A$504,0)),""))</f>
        <v/>
      </c>
      <c r="F1595" s="20"/>
      <c r="G1595" s="22" t="str">
        <f>IF($C1595="","",IFERROR(INDEX(Productos!$F$5:$F$504,MATCH($C1595,Productos!$A$5:$A$504,0)),0))</f>
        <v/>
      </c>
      <c r="H1595" s="22" t="str">
        <f t="shared" si="24"/>
        <v/>
      </c>
      <c r="I1595" s="14" t="str">
        <f>IF(OR($C1595="",$F1595=""),"",IFERROR(INDEX(Productos!$I$5:$I$504,MATCH($C1595,Productos!$A$5:$A$504,0)),0)+SUMIFS($F$5:$F1595,$C$5:$C1595,$C1595,$B$5:$B1595,"Entrada")-SUMIFS($F$5:$F1595,$C$5:$C1595,$C1595,$B$5:$B1595,"Salida"))</f>
        <v/>
      </c>
      <c r="J1595" s="20"/>
      <c r="K1595" s="20"/>
      <c r="L1595" s="20"/>
      <c r="M1595" s="14" t="str">
        <f>IF(AND($C1595&lt;&gt;"",$C1595=Kardex!$C$4),COUNTIF($C$5:$C1595,Kardex!$C$4),"")</f>
        <v/>
      </c>
    </row>
    <row r="1596" spans="1:13" x14ac:dyDescent="0.25">
      <c r="A1596" s="24"/>
      <c r="B1596" s="20"/>
      <c r="C1596" s="20"/>
      <c r="D1596" s="14" t="str">
        <f>IF($C1596="","",IFERROR(INDEX(Productos!$B$5:$B$504,MATCH($C1596,Productos!$A$5:$A$504,0)),"Clave no existe"))</f>
        <v/>
      </c>
      <c r="E1596" s="14" t="str">
        <f>IF($C1596="","",IFERROR(INDEX(Productos!$D$5:$D$504,MATCH($C1596,Productos!$A$5:$A$504,0)),""))</f>
        <v/>
      </c>
      <c r="F1596" s="20"/>
      <c r="G1596" s="22" t="str">
        <f>IF($C1596="","",IFERROR(INDEX(Productos!$F$5:$F$504,MATCH($C1596,Productos!$A$5:$A$504,0)),0))</f>
        <v/>
      </c>
      <c r="H1596" s="22" t="str">
        <f t="shared" si="24"/>
        <v/>
      </c>
      <c r="I1596" s="14" t="str">
        <f>IF(OR($C1596="",$F1596=""),"",IFERROR(INDEX(Productos!$I$5:$I$504,MATCH($C1596,Productos!$A$5:$A$504,0)),0)+SUMIFS($F$5:$F1596,$C$5:$C1596,$C1596,$B$5:$B1596,"Entrada")-SUMIFS($F$5:$F1596,$C$5:$C1596,$C1596,$B$5:$B1596,"Salida"))</f>
        <v/>
      </c>
      <c r="J1596" s="20"/>
      <c r="K1596" s="20"/>
      <c r="L1596" s="20"/>
      <c r="M1596" s="14" t="str">
        <f>IF(AND($C1596&lt;&gt;"",$C1596=Kardex!$C$4),COUNTIF($C$5:$C1596,Kardex!$C$4),"")</f>
        <v/>
      </c>
    </row>
    <row r="1597" spans="1:13" x14ac:dyDescent="0.25">
      <c r="A1597" s="24"/>
      <c r="B1597" s="20"/>
      <c r="C1597" s="20"/>
      <c r="D1597" s="14" t="str">
        <f>IF($C1597="","",IFERROR(INDEX(Productos!$B$5:$B$504,MATCH($C1597,Productos!$A$5:$A$504,0)),"Clave no existe"))</f>
        <v/>
      </c>
      <c r="E1597" s="14" t="str">
        <f>IF($C1597="","",IFERROR(INDEX(Productos!$D$5:$D$504,MATCH($C1597,Productos!$A$5:$A$504,0)),""))</f>
        <v/>
      </c>
      <c r="F1597" s="20"/>
      <c r="G1597" s="22" t="str">
        <f>IF($C1597="","",IFERROR(INDEX(Productos!$F$5:$F$504,MATCH($C1597,Productos!$A$5:$A$504,0)),0))</f>
        <v/>
      </c>
      <c r="H1597" s="22" t="str">
        <f t="shared" si="24"/>
        <v/>
      </c>
      <c r="I1597" s="14" t="str">
        <f>IF(OR($C1597="",$F1597=""),"",IFERROR(INDEX(Productos!$I$5:$I$504,MATCH($C1597,Productos!$A$5:$A$504,0)),0)+SUMIFS($F$5:$F1597,$C$5:$C1597,$C1597,$B$5:$B1597,"Entrada")-SUMIFS($F$5:$F1597,$C$5:$C1597,$C1597,$B$5:$B1597,"Salida"))</f>
        <v/>
      </c>
      <c r="J1597" s="20"/>
      <c r="K1597" s="20"/>
      <c r="L1597" s="20"/>
      <c r="M1597" s="14" t="str">
        <f>IF(AND($C1597&lt;&gt;"",$C1597=Kardex!$C$4),COUNTIF($C$5:$C1597,Kardex!$C$4),"")</f>
        <v/>
      </c>
    </row>
    <row r="1598" spans="1:13" x14ac:dyDescent="0.25">
      <c r="A1598" s="24"/>
      <c r="B1598" s="20"/>
      <c r="C1598" s="20"/>
      <c r="D1598" s="14" t="str">
        <f>IF($C1598="","",IFERROR(INDEX(Productos!$B$5:$B$504,MATCH($C1598,Productos!$A$5:$A$504,0)),"Clave no existe"))</f>
        <v/>
      </c>
      <c r="E1598" s="14" t="str">
        <f>IF($C1598="","",IFERROR(INDEX(Productos!$D$5:$D$504,MATCH($C1598,Productos!$A$5:$A$504,0)),""))</f>
        <v/>
      </c>
      <c r="F1598" s="20"/>
      <c r="G1598" s="22" t="str">
        <f>IF($C1598="","",IFERROR(INDEX(Productos!$F$5:$F$504,MATCH($C1598,Productos!$A$5:$A$504,0)),0))</f>
        <v/>
      </c>
      <c r="H1598" s="22" t="str">
        <f t="shared" si="24"/>
        <v/>
      </c>
      <c r="I1598" s="14" t="str">
        <f>IF(OR($C1598="",$F1598=""),"",IFERROR(INDEX(Productos!$I$5:$I$504,MATCH($C1598,Productos!$A$5:$A$504,0)),0)+SUMIFS($F$5:$F1598,$C$5:$C1598,$C1598,$B$5:$B1598,"Entrada")-SUMIFS($F$5:$F1598,$C$5:$C1598,$C1598,$B$5:$B1598,"Salida"))</f>
        <v/>
      </c>
      <c r="J1598" s="20"/>
      <c r="K1598" s="20"/>
      <c r="L1598" s="20"/>
      <c r="M1598" s="14" t="str">
        <f>IF(AND($C1598&lt;&gt;"",$C1598=Kardex!$C$4),COUNTIF($C$5:$C1598,Kardex!$C$4),"")</f>
        <v/>
      </c>
    </row>
    <row r="1599" spans="1:13" x14ac:dyDescent="0.25">
      <c r="A1599" s="24"/>
      <c r="B1599" s="20"/>
      <c r="C1599" s="20"/>
      <c r="D1599" s="14" t="str">
        <f>IF($C1599="","",IFERROR(INDEX(Productos!$B$5:$B$504,MATCH($C1599,Productos!$A$5:$A$504,0)),"Clave no existe"))</f>
        <v/>
      </c>
      <c r="E1599" s="14" t="str">
        <f>IF($C1599="","",IFERROR(INDEX(Productos!$D$5:$D$504,MATCH($C1599,Productos!$A$5:$A$504,0)),""))</f>
        <v/>
      </c>
      <c r="F1599" s="20"/>
      <c r="G1599" s="22" t="str">
        <f>IF($C1599="","",IFERROR(INDEX(Productos!$F$5:$F$504,MATCH($C1599,Productos!$A$5:$A$504,0)),0))</f>
        <v/>
      </c>
      <c r="H1599" s="22" t="str">
        <f t="shared" si="24"/>
        <v/>
      </c>
      <c r="I1599" s="14" t="str">
        <f>IF(OR($C1599="",$F1599=""),"",IFERROR(INDEX(Productos!$I$5:$I$504,MATCH($C1599,Productos!$A$5:$A$504,0)),0)+SUMIFS($F$5:$F1599,$C$5:$C1599,$C1599,$B$5:$B1599,"Entrada")-SUMIFS($F$5:$F1599,$C$5:$C1599,$C1599,$B$5:$B1599,"Salida"))</f>
        <v/>
      </c>
      <c r="J1599" s="20"/>
      <c r="K1599" s="20"/>
      <c r="L1599" s="20"/>
      <c r="M1599" s="14" t="str">
        <f>IF(AND($C1599&lt;&gt;"",$C1599=Kardex!$C$4),COUNTIF($C$5:$C1599,Kardex!$C$4),"")</f>
        <v/>
      </c>
    </row>
    <row r="1600" spans="1:13" x14ac:dyDescent="0.25">
      <c r="A1600" s="24"/>
      <c r="B1600" s="20"/>
      <c r="C1600" s="20"/>
      <c r="D1600" s="14" t="str">
        <f>IF($C1600="","",IFERROR(INDEX(Productos!$B$5:$B$504,MATCH($C1600,Productos!$A$5:$A$504,0)),"Clave no existe"))</f>
        <v/>
      </c>
      <c r="E1600" s="14" t="str">
        <f>IF($C1600="","",IFERROR(INDEX(Productos!$D$5:$D$504,MATCH($C1600,Productos!$A$5:$A$504,0)),""))</f>
        <v/>
      </c>
      <c r="F1600" s="20"/>
      <c r="G1600" s="22" t="str">
        <f>IF($C1600="","",IFERROR(INDEX(Productos!$F$5:$F$504,MATCH($C1600,Productos!$A$5:$A$504,0)),0))</f>
        <v/>
      </c>
      <c r="H1600" s="22" t="str">
        <f t="shared" si="24"/>
        <v/>
      </c>
      <c r="I1600" s="14" t="str">
        <f>IF(OR($C1600="",$F1600=""),"",IFERROR(INDEX(Productos!$I$5:$I$504,MATCH($C1600,Productos!$A$5:$A$504,0)),0)+SUMIFS($F$5:$F1600,$C$5:$C1600,$C1600,$B$5:$B1600,"Entrada")-SUMIFS($F$5:$F1600,$C$5:$C1600,$C1600,$B$5:$B1600,"Salida"))</f>
        <v/>
      </c>
      <c r="J1600" s="20"/>
      <c r="K1600" s="20"/>
      <c r="L1600" s="20"/>
      <c r="M1600" s="14" t="str">
        <f>IF(AND($C1600&lt;&gt;"",$C1600=Kardex!$C$4),COUNTIF($C$5:$C1600,Kardex!$C$4),"")</f>
        <v/>
      </c>
    </row>
    <row r="1601" spans="1:13" x14ac:dyDescent="0.25">
      <c r="A1601" s="24"/>
      <c r="B1601" s="20"/>
      <c r="C1601" s="20"/>
      <c r="D1601" s="14" t="str">
        <f>IF($C1601="","",IFERROR(INDEX(Productos!$B$5:$B$504,MATCH($C1601,Productos!$A$5:$A$504,0)),"Clave no existe"))</f>
        <v/>
      </c>
      <c r="E1601" s="14" t="str">
        <f>IF($C1601="","",IFERROR(INDEX(Productos!$D$5:$D$504,MATCH($C1601,Productos!$A$5:$A$504,0)),""))</f>
        <v/>
      </c>
      <c r="F1601" s="20"/>
      <c r="G1601" s="22" t="str">
        <f>IF($C1601="","",IFERROR(INDEX(Productos!$F$5:$F$504,MATCH($C1601,Productos!$A$5:$A$504,0)),0))</f>
        <v/>
      </c>
      <c r="H1601" s="22" t="str">
        <f t="shared" si="24"/>
        <v/>
      </c>
      <c r="I1601" s="14" t="str">
        <f>IF(OR($C1601="",$F1601=""),"",IFERROR(INDEX(Productos!$I$5:$I$504,MATCH($C1601,Productos!$A$5:$A$504,0)),0)+SUMIFS($F$5:$F1601,$C$5:$C1601,$C1601,$B$5:$B1601,"Entrada")-SUMIFS($F$5:$F1601,$C$5:$C1601,$C1601,$B$5:$B1601,"Salida"))</f>
        <v/>
      </c>
      <c r="J1601" s="20"/>
      <c r="K1601" s="20"/>
      <c r="L1601" s="20"/>
      <c r="M1601" s="14" t="str">
        <f>IF(AND($C1601&lt;&gt;"",$C1601=Kardex!$C$4),COUNTIF($C$5:$C1601,Kardex!$C$4),"")</f>
        <v/>
      </c>
    </row>
    <row r="1602" spans="1:13" x14ac:dyDescent="0.25">
      <c r="A1602" s="24"/>
      <c r="B1602" s="20"/>
      <c r="C1602" s="20"/>
      <c r="D1602" s="14" t="str">
        <f>IF($C1602="","",IFERROR(INDEX(Productos!$B$5:$B$504,MATCH($C1602,Productos!$A$5:$A$504,0)),"Clave no existe"))</f>
        <v/>
      </c>
      <c r="E1602" s="14" t="str">
        <f>IF($C1602="","",IFERROR(INDEX(Productos!$D$5:$D$504,MATCH($C1602,Productos!$A$5:$A$504,0)),""))</f>
        <v/>
      </c>
      <c r="F1602" s="20"/>
      <c r="G1602" s="22" t="str">
        <f>IF($C1602="","",IFERROR(INDEX(Productos!$F$5:$F$504,MATCH($C1602,Productos!$A$5:$A$504,0)),0))</f>
        <v/>
      </c>
      <c r="H1602" s="22" t="str">
        <f t="shared" si="24"/>
        <v/>
      </c>
      <c r="I1602" s="14" t="str">
        <f>IF(OR($C1602="",$F1602=""),"",IFERROR(INDEX(Productos!$I$5:$I$504,MATCH($C1602,Productos!$A$5:$A$504,0)),0)+SUMIFS($F$5:$F1602,$C$5:$C1602,$C1602,$B$5:$B1602,"Entrada")-SUMIFS($F$5:$F1602,$C$5:$C1602,$C1602,$B$5:$B1602,"Salida"))</f>
        <v/>
      </c>
      <c r="J1602" s="20"/>
      <c r="K1602" s="20"/>
      <c r="L1602" s="20"/>
      <c r="M1602" s="14" t="str">
        <f>IF(AND($C1602&lt;&gt;"",$C1602=Kardex!$C$4),COUNTIF($C$5:$C1602,Kardex!$C$4),"")</f>
        <v/>
      </c>
    </row>
    <row r="1603" spans="1:13" x14ac:dyDescent="0.25">
      <c r="A1603" s="24"/>
      <c r="B1603" s="20"/>
      <c r="C1603" s="20"/>
      <c r="D1603" s="14" t="str">
        <f>IF($C1603="","",IFERROR(INDEX(Productos!$B$5:$B$504,MATCH($C1603,Productos!$A$5:$A$504,0)),"Clave no existe"))</f>
        <v/>
      </c>
      <c r="E1603" s="14" t="str">
        <f>IF($C1603="","",IFERROR(INDEX(Productos!$D$5:$D$504,MATCH($C1603,Productos!$A$5:$A$504,0)),""))</f>
        <v/>
      </c>
      <c r="F1603" s="20"/>
      <c r="G1603" s="22" t="str">
        <f>IF($C1603="","",IFERROR(INDEX(Productos!$F$5:$F$504,MATCH($C1603,Productos!$A$5:$A$504,0)),0))</f>
        <v/>
      </c>
      <c r="H1603" s="22" t="str">
        <f t="shared" si="24"/>
        <v/>
      </c>
      <c r="I1603" s="14" t="str">
        <f>IF(OR($C1603="",$F1603=""),"",IFERROR(INDEX(Productos!$I$5:$I$504,MATCH($C1603,Productos!$A$5:$A$504,0)),0)+SUMIFS($F$5:$F1603,$C$5:$C1603,$C1603,$B$5:$B1603,"Entrada")-SUMIFS($F$5:$F1603,$C$5:$C1603,$C1603,$B$5:$B1603,"Salida"))</f>
        <v/>
      </c>
      <c r="J1603" s="20"/>
      <c r="K1603" s="20"/>
      <c r="L1603" s="20"/>
      <c r="M1603" s="14" t="str">
        <f>IF(AND($C1603&lt;&gt;"",$C1603=Kardex!$C$4),COUNTIF($C$5:$C1603,Kardex!$C$4),"")</f>
        <v/>
      </c>
    </row>
    <row r="1604" spans="1:13" x14ac:dyDescent="0.25">
      <c r="A1604" s="24"/>
      <c r="B1604" s="20"/>
      <c r="C1604" s="20"/>
      <c r="D1604" s="14" t="str">
        <f>IF($C1604="","",IFERROR(INDEX(Productos!$B$5:$B$504,MATCH($C1604,Productos!$A$5:$A$504,0)),"Clave no existe"))</f>
        <v/>
      </c>
      <c r="E1604" s="14" t="str">
        <f>IF($C1604="","",IFERROR(INDEX(Productos!$D$5:$D$504,MATCH($C1604,Productos!$A$5:$A$504,0)),""))</f>
        <v/>
      </c>
      <c r="F1604" s="20"/>
      <c r="G1604" s="22" t="str">
        <f>IF($C1604="","",IFERROR(INDEX(Productos!$F$5:$F$504,MATCH($C1604,Productos!$A$5:$A$504,0)),0))</f>
        <v/>
      </c>
      <c r="H1604" s="22" t="str">
        <f t="shared" si="24"/>
        <v/>
      </c>
      <c r="I1604" s="14" t="str">
        <f>IF(OR($C1604="",$F1604=""),"",IFERROR(INDEX(Productos!$I$5:$I$504,MATCH($C1604,Productos!$A$5:$A$504,0)),0)+SUMIFS($F$5:$F1604,$C$5:$C1604,$C1604,$B$5:$B1604,"Entrada")-SUMIFS($F$5:$F1604,$C$5:$C1604,$C1604,$B$5:$B1604,"Salida"))</f>
        <v/>
      </c>
      <c r="J1604" s="20"/>
      <c r="K1604" s="20"/>
      <c r="L1604" s="20"/>
      <c r="M1604" s="14" t="str">
        <f>IF(AND($C1604&lt;&gt;"",$C1604=Kardex!$C$4),COUNTIF($C$5:$C1604,Kardex!$C$4),"")</f>
        <v/>
      </c>
    </row>
    <row r="1605" spans="1:13" x14ac:dyDescent="0.25">
      <c r="A1605" s="24"/>
      <c r="B1605" s="20"/>
      <c r="C1605" s="20"/>
      <c r="D1605" s="14" t="str">
        <f>IF($C1605="","",IFERROR(INDEX(Productos!$B$5:$B$504,MATCH($C1605,Productos!$A$5:$A$504,0)),"Clave no existe"))</f>
        <v/>
      </c>
      <c r="E1605" s="14" t="str">
        <f>IF($C1605="","",IFERROR(INDEX(Productos!$D$5:$D$504,MATCH($C1605,Productos!$A$5:$A$504,0)),""))</f>
        <v/>
      </c>
      <c r="F1605" s="20"/>
      <c r="G1605" s="22" t="str">
        <f>IF($C1605="","",IFERROR(INDEX(Productos!$F$5:$F$504,MATCH($C1605,Productos!$A$5:$A$504,0)),0))</f>
        <v/>
      </c>
      <c r="H1605" s="22" t="str">
        <f t="shared" ref="H1605:H1668" si="25">IF(OR($C1605="",$F1605=""),"",F1605*G1605)</f>
        <v/>
      </c>
      <c r="I1605" s="14" t="str">
        <f>IF(OR($C1605="",$F1605=""),"",IFERROR(INDEX(Productos!$I$5:$I$504,MATCH($C1605,Productos!$A$5:$A$504,0)),0)+SUMIFS($F$5:$F1605,$C$5:$C1605,$C1605,$B$5:$B1605,"Entrada")-SUMIFS($F$5:$F1605,$C$5:$C1605,$C1605,$B$5:$B1605,"Salida"))</f>
        <v/>
      </c>
      <c r="J1605" s="20"/>
      <c r="K1605" s="20"/>
      <c r="L1605" s="20"/>
      <c r="M1605" s="14" t="str">
        <f>IF(AND($C1605&lt;&gt;"",$C1605=Kardex!$C$4),COUNTIF($C$5:$C1605,Kardex!$C$4),"")</f>
        <v/>
      </c>
    </row>
    <row r="1606" spans="1:13" x14ac:dyDescent="0.25">
      <c r="A1606" s="24"/>
      <c r="B1606" s="20"/>
      <c r="C1606" s="20"/>
      <c r="D1606" s="14" t="str">
        <f>IF($C1606="","",IFERROR(INDEX(Productos!$B$5:$B$504,MATCH($C1606,Productos!$A$5:$A$504,0)),"Clave no existe"))</f>
        <v/>
      </c>
      <c r="E1606" s="14" t="str">
        <f>IF($C1606="","",IFERROR(INDEX(Productos!$D$5:$D$504,MATCH($C1606,Productos!$A$5:$A$504,0)),""))</f>
        <v/>
      </c>
      <c r="F1606" s="20"/>
      <c r="G1606" s="22" t="str">
        <f>IF($C1606="","",IFERROR(INDEX(Productos!$F$5:$F$504,MATCH($C1606,Productos!$A$5:$A$504,0)),0))</f>
        <v/>
      </c>
      <c r="H1606" s="22" t="str">
        <f t="shared" si="25"/>
        <v/>
      </c>
      <c r="I1606" s="14" t="str">
        <f>IF(OR($C1606="",$F1606=""),"",IFERROR(INDEX(Productos!$I$5:$I$504,MATCH($C1606,Productos!$A$5:$A$504,0)),0)+SUMIFS($F$5:$F1606,$C$5:$C1606,$C1606,$B$5:$B1606,"Entrada")-SUMIFS($F$5:$F1606,$C$5:$C1606,$C1606,$B$5:$B1606,"Salida"))</f>
        <v/>
      </c>
      <c r="J1606" s="20"/>
      <c r="K1606" s="20"/>
      <c r="L1606" s="20"/>
      <c r="M1606" s="14" t="str">
        <f>IF(AND($C1606&lt;&gt;"",$C1606=Kardex!$C$4),COUNTIF($C$5:$C1606,Kardex!$C$4),"")</f>
        <v/>
      </c>
    </row>
    <row r="1607" spans="1:13" x14ac:dyDescent="0.25">
      <c r="A1607" s="24"/>
      <c r="B1607" s="20"/>
      <c r="C1607" s="20"/>
      <c r="D1607" s="14" t="str">
        <f>IF($C1607="","",IFERROR(INDEX(Productos!$B$5:$B$504,MATCH($C1607,Productos!$A$5:$A$504,0)),"Clave no existe"))</f>
        <v/>
      </c>
      <c r="E1607" s="14" t="str">
        <f>IF($C1607="","",IFERROR(INDEX(Productos!$D$5:$D$504,MATCH($C1607,Productos!$A$5:$A$504,0)),""))</f>
        <v/>
      </c>
      <c r="F1607" s="20"/>
      <c r="G1607" s="22" t="str">
        <f>IF($C1607="","",IFERROR(INDEX(Productos!$F$5:$F$504,MATCH($C1607,Productos!$A$5:$A$504,0)),0))</f>
        <v/>
      </c>
      <c r="H1607" s="22" t="str">
        <f t="shared" si="25"/>
        <v/>
      </c>
      <c r="I1607" s="14" t="str">
        <f>IF(OR($C1607="",$F1607=""),"",IFERROR(INDEX(Productos!$I$5:$I$504,MATCH($C1607,Productos!$A$5:$A$504,0)),0)+SUMIFS($F$5:$F1607,$C$5:$C1607,$C1607,$B$5:$B1607,"Entrada")-SUMIFS($F$5:$F1607,$C$5:$C1607,$C1607,$B$5:$B1607,"Salida"))</f>
        <v/>
      </c>
      <c r="J1607" s="20"/>
      <c r="K1607" s="20"/>
      <c r="L1607" s="20"/>
      <c r="M1607" s="14" t="str">
        <f>IF(AND($C1607&lt;&gt;"",$C1607=Kardex!$C$4),COUNTIF($C$5:$C1607,Kardex!$C$4),"")</f>
        <v/>
      </c>
    </row>
    <row r="1608" spans="1:13" x14ac:dyDescent="0.25">
      <c r="A1608" s="24"/>
      <c r="B1608" s="20"/>
      <c r="C1608" s="20"/>
      <c r="D1608" s="14" t="str">
        <f>IF($C1608="","",IFERROR(INDEX(Productos!$B$5:$B$504,MATCH($C1608,Productos!$A$5:$A$504,0)),"Clave no existe"))</f>
        <v/>
      </c>
      <c r="E1608" s="14" t="str">
        <f>IF($C1608="","",IFERROR(INDEX(Productos!$D$5:$D$504,MATCH($C1608,Productos!$A$5:$A$504,0)),""))</f>
        <v/>
      </c>
      <c r="F1608" s="20"/>
      <c r="G1608" s="22" t="str">
        <f>IF($C1608="","",IFERROR(INDEX(Productos!$F$5:$F$504,MATCH($C1608,Productos!$A$5:$A$504,0)),0))</f>
        <v/>
      </c>
      <c r="H1608" s="22" t="str">
        <f t="shared" si="25"/>
        <v/>
      </c>
      <c r="I1608" s="14" t="str">
        <f>IF(OR($C1608="",$F1608=""),"",IFERROR(INDEX(Productos!$I$5:$I$504,MATCH($C1608,Productos!$A$5:$A$504,0)),0)+SUMIFS($F$5:$F1608,$C$5:$C1608,$C1608,$B$5:$B1608,"Entrada")-SUMIFS($F$5:$F1608,$C$5:$C1608,$C1608,$B$5:$B1608,"Salida"))</f>
        <v/>
      </c>
      <c r="J1608" s="20"/>
      <c r="K1608" s="20"/>
      <c r="L1608" s="20"/>
      <c r="M1608" s="14" t="str">
        <f>IF(AND($C1608&lt;&gt;"",$C1608=Kardex!$C$4),COUNTIF($C$5:$C1608,Kardex!$C$4),"")</f>
        <v/>
      </c>
    </row>
    <row r="1609" spans="1:13" x14ac:dyDescent="0.25">
      <c r="A1609" s="24"/>
      <c r="B1609" s="20"/>
      <c r="C1609" s="20"/>
      <c r="D1609" s="14" t="str">
        <f>IF($C1609="","",IFERROR(INDEX(Productos!$B$5:$B$504,MATCH($C1609,Productos!$A$5:$A$504,0)),"Clave no existe"))</f>
        <v/>
      </c>
      <c r="E1609" s="14" t="str">
        <f>IF($C1609="","",IFERROR(INDEX(Productos!$D$5:$D$504,MATCH($C1609,Productos!$A$5:$A$504,0)),""))</f>
        <v/>
      </c>
      <c r="F1609" s="20"/>
      <c r="G1609" s="22" t="str">
        <f>IF($C1609="","",IFERROR(INDEX(Productos!$F$5:$F$504,MATCH($C1609,Productos!$A$5:$A$504,0)),0))</f>
        <v/>
      </c>
      <c r="H1609" s="22" t="str">
        <f t="shared" si="25"/>
        <v/>
      </c>
      <c r="I1609" s="14" t="str">
        <f>IF(OR($C1609="",$F1609=""),"",IFERROR(INDEX(Productos!$I$5:$I$504,MATCH($C1609,Productos!$A$5:$A$504,0)),0)+SUMIFS($F$5:$F1609,$C$5:$C1609,$C1609,$B$5:$B1609,"Entrada")-SUMIFS($F$5:$F1609,$C$5:$C1609,$C1609,$B$5:$B1609,"Salida"))</f>
        <v/>
      </c>
      <c r="J1609" s="20"/>
      <c r="K1609" s="20"/>
      <c r="L1609" s="20"/>
      <c r="M1609" s="14" t="str">
        <f>IF(AND($C1609&lt;&gt;"",$C1609=Kardex!$C$4),COUNTIF($C$5:$C1609,Kardex!$C$4),"")</f>
        <v/>
      </c>
    </row>
    <row r="1610" spans="1:13" x14ac:dyDescent="0.25">
      <c r="A1610" s="24"/>
      <c r="B1610" s="20"/>
      <c r="C1610" s="20"/>
      <c r="D1610" s="14" t="str">
        <f>IF($C1610="","",IFERROR(INDEX(Productos!$B$5:$B$504,MATCH($C1610,Productos!$A$5:$A$504,0)),"Clave no existe"))</f>
        <v/>
      </c>
      <c r="E1610" s="14" t="str">
        <f>IF($C1610="","",IFERROR(INDEX(Productos!$D$5:$D$504,MATCH($C1610,Productos!$A$5:$A$504,0)),""))</f>
        <v/>
      </c>
      <c r="F1610" s="20"/>
      <c r="G1610" s="22" t="str">
        <f>IF($C1610="","",IFERROR(INDEX(Productos!$F$5:$F$504,MATCH($C1610,Productos!$A$5:$A$504,0)),0))</f>
        <v/>
      </c>
      <c r="H1610" s="22" t="str">
        <f t="shared" si="25"/>
        <v/>
      </c>
      <c r="I1610" s="14" t="str">
        <f>IF(OR($C1610="",$F1610=""),"",IFERROR(INDEX(Productos!$I$5:$I$504,MATCH($C1610,Productos!$A$5:$A$504,0)),0)+SUMIFS($F$5:$F1610,$C$5:$C1610,$C1610,$B$5:$B1610,"Entrada")-SUMIFS($F$5:$F1610,$C$5:$C1610,$C1610,$B$5:$B1610,"Salida"))</f>
        <v/>
      </c>
      <c r="J1610" s="20"/>
      <c r="K1610" s="20"/>
      <c r="L1610" s="20"/>
      <c r="M1610" s="14" t="str">
        <f>IF(AND($C1610&lt;&gt;"",$C1610=Kardex!$C$4),COUNTIF($C$5:$C1610,Kardex!$C$4),"")</f>
        <v/>
      </c>
    </row>
    <row r="1611" spans="1:13" x14ac:dyDescent="0.25">
      <c r="A1611" s="24"/>
      <c r="B1611" s="20"/>
      <c r="C1611" s="20"/>
      <c r="D1611" s="14" t="str">
        <f>IF($C1611="","",IFERROR(INDEX(Productos!$B$5:$B$504,MATCH($C1611,Productos!$A$5:$A$504,0)),"Clave no existe"))</f>
        <v/>
      </c>
      <c r="E1611" s="14" t="str">
        <f>IF($C1611="","",IFERROR(INDEX(Productos!$D$5:$D$504,MATCH($C1611,Productos!$A$5:$A$504,0)),""))</f>
        <v/>
      </c>
      <c r="F1611" s="20"/>
      <c r="G1611" s="22" t="str">
        <f>IF($C1611="","",IFERROR(INDEX(Productos!$F$5:$F$504,MATCH($C1611,Productos!$A$5:$A$504,0)),0))</f>
        <v/>
      </c>
      <c r="H1611" s="22" t="str">
        <f t="shared" si="25"/>
        <v/>
      </c>
      <c r="I1611" s="14" t="str">
        <f>IF(OR($C1611="",$F1611=""),"",IFERROR(INDEX(Productos!$I$5:$I$504,MATCH($C1611,Productos!$A$5:$A$504,0)),0)+SUMIFS($F$5:$F1611,$C$5:$C1611,$C1611,$B$5:$B1611,"Entrada")-SUMIFS($F$5:$F1611,$C$5:$C1611,$C1611,$B$5:$B1611,"Salida"))</f>
        <v/>
      </c>
      <c r="J1611" s="20"/>
      <c r="K1611" s="20"/>
      <c r="L1611" s="20"/>
      <c r="M1611" s="14" t="str">
        <f>IF(AND($C1611&lt;&gt;"",$C1611=Kardex!$C$4),COUNTIF($C$5:$C1611,Kardex!$C$4),"")</f>
        <v/>
      </c>
    </row>
    <row r="1612" spans="1:13" x14ac:dyDescent="0.25">
      <c r="A1612" s="24"/>
      <c r="B1612" s="20"/>
      <c r="C1612" s="20"/>
      <c r="D1612" s="14" t="str">
        <f>IF($C1612="","",IFERROR(INDEX(Productos!$B$5:$B$504,MATCH($C1612,Productos!$A$5:$A$504,0)),"Clave no existe"))</f>
        <v/>
      </c>
      <c r="E1612" s="14" t="str">
        <f>IF($C1612="","",IFERROR(INDEX(Productos!$D$5:$D$504,MATCH($C1612,Productos!$A$5:$A$504,0)),""))</f>
        <v/>
      </c>
      <c r="F1612" s="20"/>
      <c r="G1612" s="22" t="str">
        <f>IF($C1612="","",IFERROR(INDEX(Productos!$F$5:$F$504,MATCH($C1612,Productos!$A$5:$A$504,0)),0))</f>
        <v/>
      </c>
      <c r="H1612" s="22" t="str">
        <f t="shared" si="25"/>
        <v/>
      </c>
      <c r="I1612" s="14" t="str">
        <f>IF(OR($C1612="",$F1612=""),"",IFERROR(INDEX(Productos!$I$5:$I$504,MATCH($C1612,Productos!$A$5:$A$504,0)),0)+SUMIFS($F$5:$F1612,$C$5:$C1612,$C1612,$B$5:$B1612,"Entrada")-SUMIFS($F$5:$F1612,$C$5:$C1612,$C1612,$B$5:$B1612,"Salida"))</f>
        <v/>
      </c>
      <c r="J1612" s="20"/>
      <c r="K1612" s="20"/>
      <c r="L1612" s="20"/>
      <c r="M1612" s="14" t="str">
        <f>IF(AND($C1612&lt;&gt;"",$C1612=Kardex!$C$4),COUNTIF($C$5:$C1612,Kardex!$C$4),"")</f>
        <v/>
      </c>
    </row>
    <row r="1613" spans="1:13" x14ac:dyDescent="0.25">
      <c r="A1613" s="24"/>
      <c r="B1613" s="20"/>
      <c r="C1613" s="20"/>
      <c r="D1613" s="14" t="str">
        <f>IF($C1613="","",IFERROR(INDEX(Productos!$B$5:$B$504,MATCH($C1613,Productos!$A$5:$A$504,0)),"Clave no existe"))</f>
        <v/>
      </c>
      <c r="E1613" s="14" t="str">
        <f>IF($C1613="","",IFERROR(INDEX(Productos!$D$5:$D$504,MATCH($C1613,Productos!$A$5:$A$504,0)),""))</f>
        <v/>
      </c>
      <c r="F1613" s="20"/>
      <c r="G1613" s="22" t="str">
        <f>IF($C1613="","",IFERROR(INDEX(Productos!$F$5:$F$504,MATCH($C1613,Productos!$A$5:$A$504,0)),0))</f>
        <v/>
      </c>
      <c r="H1613" s="22" t="str">
        <f t="shared" si="25"/>
        <v/>
      </c>
      <c r="I1613" s="14" t="str">
        <f>IF(OR($C1613="",$F1613=""),"",IFERROR(INDEX(Productos!$I$5:$I$504,MATCH($C1613,Productos!$A$5:$A$504,0)),0)+SUMIFS($F$5:$F1613,$C$5:$C1613,$C1613,$B$5:$B1613,"Entrada")-SUMIFS($F$5:$F1613,$C$5:$C1613,$C1613,$B$5:$B1613,"Salida"))</f>
        <v/>
      </c>
      <c r="J1613" s="20"/>
      <c r="K1613" s="20"/>
      <c r="L1613" s="20"/>
      <c r="M1613" s="14" t="str">
        <f>IF(AND($C1613&lt;&gt;"",$C1613=Kardex!$C$4),COUNTIF($C$5:$C1613,Kardex!$C$4),"")</f>
        <v/>
      </c>
    </row>
    <row r="1614" spans="1:13" x14ac:dyDescent="0.25">
      <c r="A1614" s="24"/>
      <c r="B1614" s="20"/>
      <c r="C1614" s="20"/>
      <c r="D1614" s="14" t="str">
        <f>IF($C1614="","",IFERROR(INDEX(Productos!$B$5:$B$504,MATCH($C1614,Productos!$A$5:$A$504,0)),"Clave no existe"))</f>
        <v/>
      </c>
      <c r="E1614" s="14" t="str">
        <f>IF($C1614="","",IFERROR(INDEX(Productos!$D$5:$D$504,MATCH($C1614,Productos!$A$5:$A$504,0)),""))</f>
        <v/>
      </c>
      <c r="F1614" s="20"/>
      <c r="G1614" s="22" t="str">
        <f>IF($C1614="","",IFERROR(INDEX(Productos!$F$5:$F$504,MATCH($C1614,Productos!$A$5:$A$504,0)),0))</f>
        <v/>
      </c>
      <c r="H1614" s="22" t="str">
        <f t="shared" si="25"/>
        <v/>
      </c>
      <c r="I1614" s="14" t="str">
        <f>IF(OR($C1614="",$F1614=""),"",IFERROR(INDEX(Productos!$I$5:$I$504,MATCH($C1614,Productos!$A$5:$A$504,0)),0)+SUMIFS($F$5:$F1614,$C$5:$C1614,$C1614,$B$5:$B1614,"Entrada")-SUMIFS($F$5:$F1614,$C$5:$C1614,$C1614,$B$5:$B1614,"Salida"))</f>
        <v/>
      </c>
      <c r="J1614" s="20"/>
      <c r="K1614" s="20"/>
      <c r="L1614" s="20"/>
      <c r="M1614" s="14" t="str">
        <f>IF(AND($C1614&lt;&gt;"",$C1614=Kardex!$C$4),COUNTIF($C$5:$C1614,Kardex!$C$4),"")</f>
        <v/>
      </c>
    </row>
    <row r="1615" spans="1:13" x14ac:dyDescent="0.25">
      <c r="A1615" s="24"/>
      <c r="B1615" s="20"/>
      <c r="C1615" s="20"/>
      <c r="D1615" s="14" t="str">
        <f>IF($C1615="","",IFERROR(INDEX(Productos!$B$5:$B$504,MATCH($C1615,Productos!$A$5:$A$504,0)),"Clave no existe"))</f>
        <v/>
      </c>
      <c r="E1615" s="14" t="str">
        <f>IF($C1615="","",IFERROR(INDEX(Productos!$D$5:$D$504,MATCH($C1615,Productos!$A$5:$A$504,0)),""))</f>
        <v/>
      </c>
      <c r="F1615" s="20"/>
      <c r="G1615" s="22" t="str">
        <f>IF($C1615="","",IFERROR(INDEX(Productos!$F$5:$F$504,MATCH($C1615,Productos!$A$5:$A$504,0)),0))</f>
        <v/>
      </c>
      <c r="H1615" s="22" t="str">
        <f t="shared" si="25"/>
        <v/>
      </c>
      <c r="I1615" s="14" t="str">
        <f>IF(OR($C1615="",$F1615=""),"",IFERROR(INDEX(Productos!$I$5:$I$504,MATCH($C1615,Productos!$A$5:$A$504,0)),0)+SUMIFS($F$5:$F1615,$C$5:$C1615,$C1615,$B$5:$B1615,"Entrada")-SUMIFS($F$5:$F1615,$C$5:$C1615,$C1615,$B$5:$B1615,"Salida"))</f>
        <v/>
      </c>
      <c r="J1615" s="20"/>
      <c r="K1615" s="20"/>
      <c r="L1615" s="20"/>
      <c r="M1615" s="14" t="str">
        <f>IF(AND($C1615&lt;&gt;"",$C1615=Kardex!$C$4),COUNTIF($C$5:$C1615,Kardex!$C$4),"")</f>
        <v/>
      </c>
    </row>
    <row r="1616" spans="1:13" x14ac:dyDescent="0.25">
      <c r="A1616" s="24"/>
      <c r="B1616" s="20"/>
      <c r="C1616" s="20"/>
      <c r="D1616" s="14" t="str">
        <f>IF($C1616="","",IFERROR(INDEX(Productos!$B$5:$B$504,MATCH($C1616,Productos!$A$5:$A$504,0)),"Clave no existe"))</f>
        <v/>
      </c>
      <c r="E1616" s="14" t="str">
        <f>IF($C1616="","",IFERROR(INDEX(Productos!$D$5:$D$504,MATCH($C1616,Productos!$A$5:$A$504,0)),""))</f>
        <v/>
      </c>
      <c r="F1616" s="20"/>
      <c r="G1616" s="22" t="str">
        <f>IF($C1616="","",IFERROR(INDEX(Productos!$F$5:$F$504,MATCH($C1616,Productos!$A$5:$A$504,0)),0))</f>
        <v/>
      </c>
      <c r="H1616" s="22" t="str">
        <f t="shared" si="25"/>
        <v/>
      </c>
      <c r="I1616" s="14" t="str">
        <f>IF(OR($C1616="",$F1616=""),"",IFERROR(INDEX(Productos!$I$5:$I$504,MATCH($C1616,Productos!$A$5:$A$504,0)),0)+SUMIFS($F$5:$F1616,$C$5:$C1616,$C1616,$B$5:$B1616,"Entrada")-SUMIFS($F$5:$F1616,$C$5:$C1616,$C1616,$B$5:$B1616,"Salida"))</f>
        <v/>
      </c>
      <c r="J1616" s="20"/>
      <c r="K1616" s="20"/>
      <c r="L1616" s="20"/>
      <c r="M1616" s="14" t="str">
        <f>IF(AND($C1616&lt;&gt;"",$C1616=Kardex!$C$4),COUNTIF($C$5:$C1616,Kardex!$C$4),"")</f>
        <v/>
      </c>
    </row>
    <row r="1617" spans="1:13" x14ac:dyDescent="0.25">
      <c r="A1617" s="24"/>
      <c r="B1617" s="20"/>
      <c r="C1617" s="20"/>
      <c r="D1617" s="14" t="str">
        <f>IF($C1617="","",IFERROR(INDEX(Productos!$B$5:$B$504,MATCH($C1617,Productos!$A$5:$A$504,0)),"Clave no existe"))</f>
        <v/>
      </c>
      <c r="E1617" s="14" t="str">
        <f>IF($C1617="","",IFERROR(INDEX(Productos!$D$5:$D$504,MATCH($C1617,Productos!$A$5:$A$504,0)),""))</f>
        <v/>
      </c>
      <c r="F1617" s="20"/>
      <c r="G1617" s="22" t="str">
        <f>IF($C1617="","",IFERROR(INDEX(Productos!$F$5:$F$504,MATCH($C1617,Productos!$A$5:$A$504,0)),0))</f>
        <v/>
      </c>
      <c r="H1617" s="22" t="str">
        <f t="shared" si="25"/>
        <v/>
      </c>
      <c r="I1617" s="14" t="str">
        <f>IF(OR($C1617="",$F1617=""),"",IFERROR(INDEX(Productos!$I$5:$I$504,MATCH($C1617,Productos!$A$5:$A$504,0)),0)+SUMIFS($F$5:$F1617,$C$5:$C1617,$C1617,$B$5:$B1617,"Entrada")-SUMIFS($F$5:$F1617,$C$5:$C1617,$C1617,$B$5:$B1617,"Salida"))</f>
        <v/>
      </c>
      <c r="J1617" s="20"/>
      <c r="K1617" s="20"/>
      <c r="L1617" s="20"/>
      <c r="M1617" s="14" t="str">
        <f>IF(AND($C1617&lt;&gt;"",$C1617=Kardex!$C$4),COUNTIF($C$5:$C1617,Kardex!$C$4),"")</f>
        <v/>
      </c>
    </row>
    <row r="1618" spans="1:13" x14ac:dyDescent="0.25">
      <c r="A1618" s="24"/>
      <c r="B1618" s="20"/>
      <c r="C1618" s="20"/>
      <c r="D1618" s="14" t="str">
        <f>IF($C1618="","",IFERROR(INDEX(Productos!$B$5:$B$504,MATCH($C1618,Productos!$A$5:$A$504,0)),"Clave no existe"))</f>
        <v/>
      </c>
      <c r="E1618" s="14" t="str">
        <f>IF($C1618="","",IFERROR(INDEX(Productos!$D$5:$D$504,MATCH($C1618,Productos!$A$5:$A$504,0)),""))</f>
        <v/>
      </c>
      <c r="F1618" s="20"/>
      <c r="G1618" s="22" t="str">
        <f>IF($C1618="","",IFERROR(INDEX(Productos!$F$5:$F$504,MATCH($C1618,Productos!$A$5:$A$504,0)),0))</f>
        <v/>
      </c>
      <c r="H1618" s="22" t="str">
        <f t="shared" si="25"/>
        <v/>
      </c>
      <c r="I1618" s="14" t="str">
        <f>IF(OR($C1618="",$F1618=""),"",IFERROR(INDEX(Productos!$I$5:$I$504,MATCH($C1618,Productos!$A$5:$A$504,0)),0)+SUMIFS($F$5:$F1618,$C$5:$C1618,$C1618,$B$5:$B1618,"Entrada")-SUMIFS($F$5:$F1618,$C$5:$C1618,$C1618,$B$5:$B1618,"Salida"))</f>
        <v/>
      </c>
      <c r="J1618" s="20"/>
      <c r="K1618" s="20"/>
      <c r="L1618" s="20"/>
      <c r="M1618" s="14" t="str">
        <f>IF(AND($C1618&lt;&gt;"",$C1618=Kardex!$C$4),COUNTIF($C$5:$C1618,Kardex!$C$4),"")</f>
        <v/>
      </c>
    </row>
    <row r="1619" spans="1:13" x14ac:dyDescent="0.25">
      <c r="A1619" s="24"/>
      <c r="B1619" s="20"/>
      <c r="C1619" s="20"/>
      <c r="D1619" s="14" t="str">
        <f>IF($C1619="","",IFERROR(INDEX(Productos!$B$5:$B$504,MATCH($C1619,Productos!$A$5:$A$504,0)),"Clave no existe"))</f>
        <v/>
      </c>
      <c r="E1619" s="14" t="str">
        <f>IF($C1619="","",IFERROR(INDEX(Productos!$D$5:$D$504,MATCH($C1619,Productos!$A$5:$A$504,0)),""))</f>
        <v/>
      </c>
      <c r="F1619" s="20"/>
      <c r="G1619" s="22" t="str">
        <f>IF($C1619="","",IFERROR(INDEX(Productos!$F$5:$F$504,MATCH($C1619,Productos!$A$5:$A$504,0)),0))</f>
        <v/>
      </c>
      <c r="H1619" s="22" t="str">
        <f t="shared" si="25"/>
        <v/>
      </c>
      <c r="I1619" s="14" t="str">
        <f>IF(OR($C1619="",$F1619=""),"",IFERROR(INDEX(Productos!$I$5:$I$504,MATCH($C1619,Productos!$A$5:$A$504,0)),0)+SUMIFS($F$5:$F1619,$C$5:$C1619,$C1619,$B$5:$B1619,"Entrada")-SUMIFS($F$5:$F1619,$C$5:$C1619,$C1619,$B$5:$B1619,"Salida"))</f>
        <v/>
      </c>
      <c r="J1619" s="20"/>
      <c r="K1619" s="20"/>
      <c r="L1619" s="20"/>
      <c r="M1619" s="14" t="str">
        <f>IF(AND($C1619&lt;&gt;"",$C1619=Kardex!$C$4),COUNTIF($C$5:$C1619,Kardex!$C$4),"")</f>
        <v/>
      </c>
    </row>
    <row r="1620" spans="1:13" x14ac:dyDescent="0.25">
      <c r="A1620" s="24"/>
      <c r="B1620" s="20"/>
      <c r="C1620" s="20"/>
      <c r="D1620" s="14" t="str">
        <f>IF($C1620="","",IFERROR(INDEX(Productos!$B$5:$B$504,MATCH($C1620,Productos!$A$5:$A$504,0)),"Clave no existe"))</f>
        <v/>
      </c>
      <c r="E1620" s="14" t="str">
        <f>IF($C1620="","",IFERROR(INDEX(Productos!$D$5:$D$504,MATCH($C1620,Productos!$A$5:$A$504,0)),""))</f>
        <v/>
      </c>
      <c r="F1620" s="20"/>
      <c r="G1620" s="22" t="str">
        <f>IF($C1620="","",IFERROR(INDEX(Productos!$F$5:$F$504,MATCH($C1620,Productos!$A$5:$A$504,0)),0))</f>
        <v/>
      </c>
      <c r="H1620" s="22" t="str">
        <f t="shared" si="25"/>
        <v/>
      </c>
      <c r="I1620" s="14" t="str">
        <f>IF(OR($C1620="",$F1620=""),"",IFERROR(INDEX(Productos!$I$5:$I$504,MATCH($C1620,Productos!$A$5:$A$504,0)),0)+SUMIFS($F$5:$F1620,$C$5:$C1620,$C1620,$B$5:$B1620,"Entrada")-SUMIFS($F$5:$F1620,$C$5:$C1620,$C1620,$B$5:$B1620,"Salida"))</f>
        <v/>
      </c>
      <c r="J1620" s="20"/>
      <c r="K1620" s="20"/>
      <c r="L1620" s="20"/>
      <c r="M1620" s="14" t="str">
        <f>IF(AND($C1620&lt;&gt;"",$C1620=Kardex!$C$4),COUNTIF($C$5:$C1620,Kardex!$C$4),"")</f>
        <v/>
      </c>
    </row>
    <row r="1621" spans="1:13" x14ac:dyDescent="0.25">
      <c r="A1621" s="24"/>
      <c r="B1621" s="20"/>
      <c r="C1621" s="20"/>
      <c r="D1621" s="14" t="str">
        <f>IF($C1621="","",IFERROR(INDEX(Productos!$B$5:$B$504,MATCH($C1621,Productos!$A$5:$A$504,0)),"Clave no existe"))</f>
        <v/>
      </c>
      <c r="E1621" s="14" t="str">
        <f>IF($C1621="","",IFERROR(INDEX(Productos!$D$5:$D$504,MATCH($C1621,Productos!$A$5:$A$504,0)),""))</f>
        <v/>
      </c>
      <c r="F1621" s="20"/>
      <c r="G1621" s="22" t="str">
        <f>IF($C1621="","",IFERROR(INDEX(Productos!$F$5:$F$504,MATCH($C1621,Productos!$A$5:$A$504,0)),0))</f>
        <v/>
      </c>
      <c r="H1621" s="22" t="str">
        <f t="shared" si="25"/>
        <v/>
      </c>
      <c r="I1621" s="14" t="str">
        <f>IF(OR($C1621="",$F1621=""),"",IFERROR(INDEX(Productos!$I$5:$I$504,MATCH($C1621,Productos!$A$5:$A$504,0)),0)+SUMIFS($F$5:$F1621,$C$5:$C1621,$C1621,$B$5:$B1621,"Entrada")-SUMIFS($F$5:$F1621,$C$5:$C1621,$C1621,$B$5:$B1621,"Salida"))</f>
        <v/>
      </c>
      <c r="J1621" s="20"/>
      <c r="K1621" s="20"/>
      <c r="L1621" s="20"/>
      <c r="M1621" s="14" t="str">
        <f>IF(AND($C1621&lt;&gt;"",$C1621=Kardex!$C$4),COUNTIF($C$5:$C1621,Kardex!$C$4),"")</f>
        <v/>
      </c>
    </row>
    <row r="1622" spans="1:13" x14ac:dyDescent="0.25">
      <c r="A1622" s="24"/>
      <c r="B1622" s="20"/>
      <c r="C1622" s="20"/>
      <c r="D1622" s="14" t="str">
        <f>IF($C1622="","",IFERROR(INDEX(Productos!$B$5:$B$504,MATCH($C1622,Productos!$A$5:$A$504,0)),"Clave no existe"))</f>
        <v/>
      </c>
      <c r="E1622" s="14" t="str">
        <f>IF($C1622="","",IFERROR(INDEX(Productos!$D$5:$D$504,MATCH($C1622,Productos!$A$5:$A$504,0)),""))</f>
        <v/>
      </c>
      <c r="F1622" s="20"/>
      <c r="G1622" s="22" t="str">
        <f>IF($C1622="","",IFERROR(INDEX(Productos!$F$5:$F$504,MATCH($C1622,Productos!$A$5:$A$504,0)),0))</f>
        <v/>
      </c>
      <c r="H1622" s="22" t="str">
        <f t="shared" si="25"/>
        <v/>
      </c>
      <c r="I1622" s="14" t="str">
        <f>IF(OR($C1622="",$F1622=""),"",IFERROR(INDEX(Productos!$I$5:$I$504,MATCH($C1622,Productos!$A$5:$A$504,0)),0)+SUMIFS($F$5:$F1622,$C$5:$C1622,$C1622,$B$5:$B1622,"Entrada")-SUMIFS($F$5:$F1622,$C$5:$C1622,$C1622,$B$5:$B1622,"Salida"))</f>
        <v/>
      </c>
      <c r="J1622" s="20"/>
      <c r="K1622" s="20"/>
      <c r="L1622" s="20"/>
      <c r="M1622" s="14" t="str">
        <f>IF(AND($C1622&lt;&gt;"",$C1622=Kardex!$C$4),COUNTIF($C$5:$C1622,Kardex!$C$4),"")</f>
        <v/>
      </c>
    </row>
    <row r="1623" spans="1:13" x14ac:dyDescent="0.25">
      <c r="A1623" s="24"/>
      <c r="B1623" s="20"/>
      <c r="C1623" s="20"/>
      <c r="D1623" s="14" t="str">
        <f>IF($C1623="","",IFERROR(INDEX(Productos!$B$5:$B$504,MATCH($C1623,Productos!$A$5:$A$504,0)),"Clave no existe"))</f>
        <v/>
      </c>
      <c r="E1623" s="14" t="str">
        <f>IF($C1623="","",IFERROR(INDEX(Productos!$D$5:$D$504,MATCH($C1623,Productos!$A$5:$A$504,0)),""))</f>
        <v/>
      </c>
      <c r="F1623" s="20"/>
      <c r="G1623" s="22" t="str">
        <f>IF($C1623="","",IFERROR(INDEX(Productos!$F$5:$F$504,MATCH($C1623,Productos!$A$5:$A$504,0)),0))</f>
        <v/>
      </c>
      <c r="H1623" s="22" t="str">
        <f t="shared" si="25"/>
        <v/>
      </c>
      <c r="I1623" s="14" t="str">
        <f>IF(OR($C1623="",$F1623=""),"",IFERROR(INDEX(Productos!$I$5:$I$504,MATCH($C1623,Productos!$A$5:$A$504,0)),0)+SUMIFS($F$5:$F1623,$C$5:$C1623,$C1623,$B$5:$B1623,"Entrada")-SUMIFS($F$5:$F1623,$C$5:$C1623,$C1623,$B$5:$B1623,"Salida"))</f>
        <v/>
      </c>
      <c r="J1623" s="20"/>
      <c r="K1623" s="20"/>
      <c r="L1623" s="20"/>
      <c r="M1623" s="14" t="str">
        <f>IF(AND($C1623&lt;&gt;"",$C1623=Kardex!$C$4),COUNTIF($C$5:$C1623,Kardex!$C$4),"")</f>
        <v/>
      </c>
    </row>
    <row r="1624" spans="1:13" x14ac:dyDescent="0.25">
      <c r="A1624" s="24"/>
      <c r="B1624" s="20"/>
      <c r="C1624" s="20"/>
      <c r="D1624" s="14" t="str">
        <f>IF($C1624="","",IFERROR(INDEX(Productos!$B$5:$B$504,MATCH($C1624,Productos!$A$5:$A$504,0)),"Clave no existe"))</f>
        <v/>
      </c>
      <c r="E1624" s="14" t="str">
        <f>IF($C1624="","",IFERROR(INDEX(Productos!$D$5:$D$504,MATCH($C1624,Productos!$A$5:$A$504,0)),""))</f>
        <v/>
      </c>
      <c r="F1624" s="20"/>
      <c r="G1624" s="22" t="str">
        <f>IF($C1624="","",IFERROR(INDEX(Productos!$F$5:$F$504,MATCH($C1624,Productos!$A$5:$A$504,0)),0))</f>
        <v/>
      </c>
      <c r="H1624" s="22" t="str">
        <f t="shared" si="25"/>
        <v/>
      </c>
      <c r="I1624" s="14" t="str">
        <f>IF(OR($C1624="",$F1624=""),"",IFERROR(INDEX(Productos!$I$5:$I$504,MATCH($C1624,Productos!$A$5:$A$504,0)),0)+SUMIFS($F$5:$F1624,$C$5:$C1624,$C1624,$B$5:$B1624,"Entrada")-SUMIFS($F$5:$F1624,$C$5:$C1624,$C1624,$B$5:$B1624,"Salida"))</f>
        <v/>
      </c>
      <c r="J1624" s="20"/>
      <c r="K1624" s="20"/>
      <c r="L1624" s="20"/>
      <c r="M1624" s="14" t="str">
        <f>IF(AND($C1624&lt;&gt;"",$C1624=Kardex!$C$4),COUNTIF($C$5:$C1624,Kardex!$C$4),"")</f>
        <v/>
      </c>
    </row>
    <row r="1625" spans="1:13" x14ac:dyDescent="0.25">
      <c r="A1625" s="24"/>
      <c r="B1625" s="20"/>
      <c r="C1625" s="20"/>
      <c r="D1625" s="14" t="str">
        <f>IF($C1625="","",IFERROR(INDEX(Productos!$B$5:$B$504,MATCH($C1625,Productos!$A$5:$A$504,0)),"Clave no existe"))</f>
        <v/>
      </c>
      <c r="E1625" s="14" t="str">
        <f>IF($C1625="","",IFERROR(INDEX(Productos!$D$5:$D$504,MATCH($C1625,Productos!$A$5:$A$504,0)),""))</f>
        <v/>
      </c>
      <c r="F1625" s="20"/>
      <c r="G1625" s="22" t="str">
        <f>IF($C1625="","",IFERROR(INDEX(Productos!$F$5:$F$504,MATCH($C1625,Productos!$A$5:$A$504,0)),0))</f>
        <v/>
      </c>
      <c r="H1625" s="22" t="str">
        <f t="shared" si="25"/>
        <v/>
      </c>
      <c r="I1625" s="14" t="str">
        <f>IF(OR($C1625="",$F1625=""),"",IFERROR(INDEX(Productos!$I$5:$I$504,MATCH($C1625,Productos!$A$5:$A$504,0)),0)+SUMIFS($F$5:$F1625,$C$5:$C1625,$C1625,$B$5:$B1625,"Entrada")-SUMIFS($F$5:$F1625,$C$5:$C1625,$C1625,$B$5:$B1625,"Salida"))</f>
        <v/>
      </c>
      <c r="J1625" s="20"/>
      <c r="K1625" s="20"/>
      <c r="L1625" s="20"/>
      <c r="M1625" s="14" t="str">
        <f>IF(AND($C1625&lt;&gt;"",$C1625=Kardex!$C$4),COUNTIF($C$5:$C1625,Kardex!$C$4),"")</f>
        <v/>
      </c>
    </row>
    <row r="1626" spans="1:13" x14ac:dyDescent="0.25">
      <c r="A1626" s="24"/>
      <c r="B1626" s="20"/>
      <c r="C1626" s="20"/>
      <c r="D1626" s="14" t="str">
        <f>IF($C1626="","",IFERROR(INDEX(Productos!$B$5:$B$504,MATCH($C1626,Productos!$A$5:$A$504,0)),"Clave no existe"))</f>
        <v/>
      </c>
      <c r="E1626" s="14" t="str">
        <f>IF($C1626="","",IFERROR(INDEX(Productos!$D$5:$D$504,MATCH($C1626,Productos!$A$5:$A$504,0)),""))</f>
        <v/>
      </c>
      <c r="F1626" s="20"/>
      <c r="G1626" s="22" t="str">
        <f>IF($C1626="","",IFERROR(INDEX(Productos!$F$5:$F$504,MATCH($C1626,Productos!$A$5:$A$504,0)),0))</f>
        <v/>
      </c>
      <c r="H1626" s="22" t="str">
        <f t="shared" si="25"/>
        <v/>
      </c>
      <c r="I1626" s="14" t="str">
        <f>IF(OR($C1626="",$F1626=""),"",IFERROR(INDEX(Productos!$I$5:$I$504,MATCH($C1626,Productos!$A$5:$A$504,0)),0)+SUMIFS($F$5:$F1626,$C$5:$C1626,$C1626,$B$5:$B1626,"Entrada")-SUMIFS($F$5:$F1626,$C$5:$C1626,$C1626,$B$5:$B1626,"Salida"))</f>
        <v/>
      </c>
      <c r="J1626" s="20"/>
      <c r="K1626" s="20"/>
      <c r="L1626" s="20"/>
      <c r="M1626" s="14" t="str">
        <f>IF(AND($C1626&lt;&gt;"",$C1626=Kardex!$C$4),COUNTIF($C$5:$C1626,Kardex!$C$4),"")</f>
        <v/>
      </c>
    </row>
    <row r="1627" spans="1:13" x14ac:dyDescent="0.25">
      <c r="A1627" s="24"/>
      <c r="B1627" s="20"/>
      <c r="C1627" s="20"/>
      <c r="D1627" s="14" t="str">
        <f>IF($C1627="","",IFERROR(INDEX(Productos!$B$5:$B$504,MATCH($C1627,Productos!$A$5:$A$504,0)),"Clave no existe"))</f>
        <v/>
      </c>
      <c r="E1627" s="14" t="str">
        <f>IF($C1627="","",IFERROR(INDEX(Productos!$D$5:$D$504,MATCH($C1627,Productos!$A$5:$A$504,0)),""))</f>
        <v/>
      </c>
      <c r="F1627" s="20"/>
      <c r="G1627" s="22" t="str">
        <f>IF($C1627="","",IFERROR(INDEX(Productos!$F$5:$F$504,MATCH($C1627,Productos!$A$5:$A$504,0)),0))</f>
        <v/>
      </c>
      <c r="H1627" s="22" t="str">
        <f t="shared" si="25"/>
        <v/>
      </c>
      <c r="I1627" s="14" t="str">
        <f>IF(OR($C1627="",$F1627=""),"",IFERROR(INDEX(Productos!$I$5:$I$504,MATCH($C1627,Productos!$A$5:$A$504,0)),0)+SUMIFS($F$5:$F1627,$C$5:$C1627,$C1627,$B$5:$B1627,"Entrada")-SUMIFS($F$5:$F1627,$C$5:$C1627,$C1627,$B$5:$B1627,"Salida"))</f>
        <v/>
      </c>
      <c r="J1627" s="20"/>
      <c r="K1627" s="20"/>
      <c r="L1627" s="20"/>
      <c r="M1627" s="14" t="str">
        <f>IF(AND($C1627&lt;&gt;"",$C1627=Kardex!$C$4),COUNTIF($C$5:$C1627,Kardex!$C$4),"")</f>
        <v/>
      </c>
    </row>
    <row r="1628" spans="1:13" x14ac:dyDescent="0.25">
      <c r="A1628" s="24"/>
      <c r="B1628" s="20"/>
      <c r="C1628" s="20"/>
      <c r="D1628" s="14" t="str">
        <f>IF($C1628="","",IFERROR(INDEX(Productos!$B$5:$B$504,MATCH($C1628,Productos!$A$5:$A$504,0)),"Clave no existe"))</f>
        <v/>
      </c>
      <c r="E1628" s="14" t="str">
        <f>IF($C1628="","",IFERROR(INDEX(Productos!$D$5:$D$504,MATCH($C1628,Productos!$A$5:$A$504,0)),""))</f>
        <v/>
      </c>
      <c r="F1628" s="20"/>
      <c r="G1628" s="22" t="str">
        <f>IF($C1628="","",IFERROR(INDEX(Productos!$F$5:$F$504,MATCH($C1628,Productos!$A$5:$A$504,0)),0))</f>
        <v/>
      </c>
      <c r="H1628" s="22" t="str">
        <f t="shared" si="25"/>
        <v/>
      </c>
      <c r="I1628" s="14" t="str">
        <f>IF(OR($C1628="",$F1628=""),"",IFERROR(INDEX(Productos!$I$5:$I$504,MATCH($C1628,Productos!$A$5:$A$504,0)),0)+SUMIFS($F$5:$F1628,$C$5:$C1628,$C1628,$B$5:$B1628,"Entrada")-SUMIFS($F$5:$F1628,$C$5:$C1628,$C1628,$B$5:$B1628,"Salida"))</f>
        <v/>
      </c>
      <c r="J1628" s="20"/>
      <c r="K1628" s="20"/>
      <c r="L1628" s="20"/>
      <c r="M1628" s="14" t="str">
        <f>IF(AND($C1628&lt;&gt;"",$C1628=Kardex!$C$4),COUNTIF($C$5:$C1628,Kardex!$C$4),"")</f>
        <v/>
      </c>
    </row>
    <row r="1629" spans="1:13" x14ac:dyDescent="0.25">
      <c r="A1629" s="24"/>
      <c r="B1629" s="20"/>
      <c r="C1629" s="20"/>
      <c r="D1629" s="14" t="str">
        <f>IF($C1629="","",IFERROR(INDEX(Productos!$B$5:$B$504,MATCH($C1629,Productos!$A$5:$A$504,0)),"Clave no existe"))</f>
        <v/>
      </c>
      <c r="E1629" s="14" t="str">
        <f>IF($C1629="","",IFERROR(INDEX(Productos!$D$5:$D$504,MATCH($C1629,Productos!$A$5:$A$504,0)),""))</f>
        <v/>
      </c>
      <c r="F1629" s="20"/>
      <c r="G1629" s="22" t="str">
        <f>IF($C1629="","",IFERROR(INDEX(Productos!$F$5:$F$504,MATCH($C1629,Productos!$A$5:$A$504,0)),0))</f>
        <v/>
      </c>
      <c r="H1629" s="22" t="str">
        <f t="shared" si="25"/>
        <v/>
      </c>
      <c r="I1629" s="14" t="str">
        <f>IF(OR($C1629="",$F1629=""),"",IFERROR(INDEX(Productos!$I$5:$I$504,MATCH($C1629,Productos!$A$5:$A$504,0)),0)+SUMIFS($F$5:$F1629,$C$5:$C1629,$C1629,$B$5:$B1629,"Entrada")-SUMIFS($F$5:$F1629,$C$5:$C1629,$C1629,$B$5:$B1629,"Salida"))</f>
        <v/>
      </c>
      <c r="J1629" s="20"/>
      <c r="K1629" s="20"/>
      <c r="L1629" s="20"/>
      <c r="M1629" s="14" t="str">
        <f>IF(AND($C1629&lt;&gt;"",$C1629=Kardex!$C$4),COUNTIF($C$5:$C1629,Kardex!$C$4),"")</f>
        <v/>
      </c>
    </row>
    <row r="1630" spans="1:13" x14ac:dyDescent="0.25">
      <c r="A1630" s="24"/>
      <c r="B1630" s="20"/>
      <c r="C1630" s="20"/>
      <c r="D1630" s="14" t="str">
        <f>IF($C1630="","",IFERROR(INDEX(Productos!$B$5:$B$504,MATCH($C1630,Productos!$A$5:$A$504,0)),"Clave no existe"))</f>
        <v/>
      </c>
      <c r="E1630" s="14" t="str">
        <f>IF($C1630="","",IFERROR(INDEX(Productos!$D$5:$D$504,MATCH($C1630,Productos!$A$5:$A$504,0)),""))</f>
        <v/>
      </c>
      <c r="F1630" s="20"/>
      <c r="G1630" s="22" t="str">
        <f>IF($C1630="","",IFERROR(INDEX(Productos!$F$5:$F$504,MATCH($C1630,Productos!$A$5:$A$504,0)),0))</f>
        <v/>
      </c>
      <c r="H1630" s="22" t="str">
        <f t="shared" si="25"/>
        <v/>
      </c>
      <c r="I1630" s="14" t="str">
        <f>IF(OR($C1630="",$F1630=""),"",IFERROR(INDEX(Productos!$I$5:$I$504,MATCH($C1630,Productos!$A$5:$A$504,0)),0)+SUMIFS($F$5:$F1630,$C$5:$C1630,$C1630,$B$5:$B1630,"Entrada")-SUMIFS($F$5:$F1630,$C$5:$C1630,$C1630,$B$5:$B1630,"Salida"))</f>
        <v/>
      </c>
      <c r="J1630" s="20"/>
      <c r="K1630" s="20"/>
      <c r="L1630" s="20"/>
      <c r="M1630" s="14" t="str">
        <f>IF(AND($C1630&lt;&gt;"",$C1630=Kardex!$C$4),COUNTIF($C$5:$C1630,Kardex!$C$4),"")</f>
        <v/>
      </c>
    </row>
    <row r="1631" spans="1:13" x14ac:dyDescent="0.25">
      <c r="A1631" s="24"/>
      <c r="B1631" s="20"/>
      <c r="C1631" s="20"/>
      <c r="D1631" s="14" t="str">
        <f>IF($C1631="","",IFERROR(INDEX(Productos!$B$5:$B$504,MATCH($C1631,Productos!$A$5:$A$504,0)),"Clave no existe"))</f>
        <v/>
      </c>
      <c r="E1631" s="14" t="str">
        <f>IF($C1631="","",IFERROR(INDEX(Productos!$D$5:$D$504,MATCH($C1631,Productos!$A$5:$A$504,0)),""))</f>
        <v/>
      </c>
      <c r="F1631" s="20"/>
      <c r="G1631" s="22" t="str">
        <f>IF($C1631="","",IFERROR(INDEX(Productos!$F$5:$F$504,MATCH($C1631,Productos!$A$5:$A$504,0)),0))</f>
        <v/>
      </c>
      <c r="H1631" s="22" t="str">
        <f t="shared" si="25"/>
        <v/>
      </c>
      <c r="I1631" s="14" t="str">
        <f>IF(OR($C1631="",$F1631=""),"",IFERROR(INDEX(Productos!$I$5:$I$504,MATCH($C1631,Productos!$A$5:$A$504,0)),0)+SUMIFS($F$5:$F1631,$C$5:$C1631,$C1631,$B$5:$B1631,"Entrada")-SUMIFS($F$5:$F1631,$C$5:$C1631,$C1631,$B$5:$B1631,"Salida"))</f>
        <v/>
      </c>
      <c r="J1631" s="20"/>
      <c r="K1631" s="20"/>
      <c r="L1631" s="20"/>
      <c r="M1631" s="14" t="str">
        <f>IF(AND($C1631&lt;&gt;"",$C1631=Kardex!$C$4),COUNTIF($C$5:$C1631,Kardex!$C$4),"")</f>
        <v/>
      </c>
    </row>
    <row r="1632" spans="1:13" x14ac:dyDescent="0.25">
      <c r="A1632" s="24"/>
      <c r="B1632" s="20"/>
      <c r="C1632" s="20"/>
      <c r="D1632" s="14" t="str">
        <f>IF($C1632="","",IFERROR(INDEX(Productos!$B$5:$B$504,MATCH($C1632,Productos!$A$5:$A$504,0)),"Clave no existe"))</f>
        <v/>
      </c>
      <c r="E1632" s="14" t="str">
        <f>IF($C1632="","",IFERROR(INDEX(Productos!$D$5:$D$504,MATCH($C1632,Productos!$A$5:$A$504,0)),""))</f>
        <v/>
      </c>
      <c r="F1632" s="20"/>
      <c r="G1632" s="22" t="str">
        <f>IF($C1632="","",IFERROR(INDEX(Productos!$F$5:$F$504,MATCH($C1632,Productos!$A$5:$A$504,0)),0))</f>
        <v/>
      </c>
      <c r="H1632" s="22" t="str">
        <f t="shared" si="25"/>
        <v/>
      </c>
      <c r="I1632" s="14" t="str">
        <f>IF(OR($C1632="",$F1632=""),"",IFERROR(INDEX(Productos!$I$5:$I$504,MATCH($C1632,Productos!$A$5:$A$504,0)),0)+SUMIFS($F$5:$F1632,$C$5:$C1632,$C1632,$B$5:$B1632,"Entrada")-SUMIFS($F$5:$F1632,$C$5:$C1632,$C1632,$B$5:$B1632,"Salida"))</f>
        <v/>
      </c>
      <c r="J1632" s="20"/>
      <c r="K1632" s="20"/>
      <c r="L1632" s="20"/>
      <c r="M1632" s="14" t="str">
        <f>IF(AND($C1632&lt;&gt;"",$C1632=Kardex!$C$4),COUNTIF($C$5:$C1632,Kardex!$C$4),"")</f>
        <v/>
      </c>
    </row>
    <row r="1633" spans="1:13" x14ac:dyDescent="0.25">
      <c r="A1633" s="24"/>
      <c r="B1633" s="20"/>
      <c r="C1633" s="20"/>
      <c r="D1633" s="14" t="str">
        <f>IF($C1633="","",IFERROR(INDEX(Productos!$B$5:$B$504,MATCH($C1633,Productos!$A$5:$A$504,0)),"Clave no existe"))</f>
        <v/>
      </c>
      <c r="E1633" s="14" t="str">
        <f>IF($C1633="","",IFERROR(INDEX(Productos!$D$5:$D$504,MATCH($C1633,Productos!$A$5:$A$504,0)),""))</f>
        <v/>
      </c>
      <c r="F1633" s="20"/>
      <c r="G1633" s="22" t="str">
        <f>IF($C1633="","",IFERROR(INDEX(Productos!$F$5:$F$504,MATCH($C1633,Productos!$A$5:$A$504,0)),0))</f>
        <v/>
      </c>
      <c r="H1633" s="22" t="str">
        <f t="shared" si="25"/>
        <v/>
      </c>
      <c r="I1633" s="14" t="str">
        <f>IF(OR($C1633="",$F1633=""),"",IFERROR(INDEX(Productos!$I$5:$I$504,MATCH($C1633,Productos!$A$5:$A$504,0)),0)+SUMIFS($F$5:$F1633,$C$5:$C1633,$C1633,$B$5:$B1633,"Entrada")-SUMIFS($F$5:$F1633,$C$5:$C1633,$C1633,$B$5:$B1633,"Salida"))</f>
        <v/>
      </c>
      <c r="J1633" s="20"/>
      <c r="K1633" s="20"/>
      <c r="L1633" s="20"/>
      <c r="M1633" s="14" t="str">
        <f>IF(AND($C1633&lt;&gt;"",$C1633=Kardex!$C$4),COUNTIF($C$5:$C1633,Kardex!$C$4),"")</f>
        <v/>
      </c>
    </row>
    <row r="1634" spans="1:13" x14ac:dyDescent="0.25">
      <c r="A1634" s="24"/>
      <c r="B1634" s="20"/>
      <c r="C1634" s="20"/>
      <c r="D1634" s="14" t="str">
        <f>IF($C1634="","",IFERROR(INDEX(Productos!$B$5:$B$504,MATCH($C1634,Productos!$A$5:$A$504,0)),"Clave no existe"))</f>
        <v/>
      </c>
      <c r="E1634" s="14" t="str">
        <f>IF($C1634="","",IFERROR(INDEX(Productos!$D$5:$D$504,MATCH($C1634,Productos!$A$5:$A$504,0)),""))</f>
        <v/>
      </c>
      <c r="F1634" s="20"/>
      <c r="G1634" s="22" t="str">
        <f>IF($C1634="","",IFERROR(INDEX(Productos!$F$5:$F$504,MATCH($C1634,Productos!$A$5:$A$504,0)),0))</f>
        <v/>
      </c>
      <c r="H1634" s="22" t="str">
        <f t="shared" si="25"/>
        <v/>
      </c>
      <c r="I1634" s="14" t="str">
        <f>IF(OR($C1634="",$F1634=""),"",IFERROR(INDEX(Productos!$I$5:$I$504,MATCH($C1634,Productos!$A$5:$A$504,0)),0)+SUMIFS($F$5:$F1634,$C$5:$C1634,$C1634,$B$5:$B1634,"Entrada")-SUMIFS($F$5:$F1634,$C$5:$C1634,$C1634,$B$5:$B1634,"Salida"))</f>
        <v/>
      </c>
      <c r="J1634" s="20"/>
      <c r="K1634" s="20"/>
      <c r="L1634" s="20"/>
      <c r="M1634" s="14" t="str">
        <f>IF(AND($C1634&lt;&gt;"",$C1634=Kardex!$C$4),COUNTIF($C$5:$C1634,Kardex!$C$4),"")</f>
        <v/>
      </c>
    </row>
    <row r="1635" spans="1:13" x14ac:dyDescent="0.25">
      <c r="A1635" s="24"/>
      <c r="B1635" s="20"/>
      <c r="C1635" s="20"/>
      <c r="D1635" s="14" t="str">
        <f>IF($C1635="","",IFERROR(INDEX(Productos!$B$5:$B$504,MATCH($C1635,Productos!$A$5:$A$504,0)),"Clave no existe"))</f>
        <v/>
      </c>
      <c r="E1635" s="14" t="str">
        <f>IF($C1635="","",IFERROR(INDEX(Productos!$D$5:$D$504,MATCH($C1635,Productos!$A$5:$A$504,0)),""))</f>
        <v/>
      </c>
      <c r="F1635" s="20"/>
      <c r="G1635" s="22" t="str">
        <f>IF($C1635="","",IFERROR(INDEX(Productos!$F$5:$F$504,MATCH($C1635,Productos!$A$5:$A$504,0)),0))</f>
        <v/>
      </c>
      <c r="H1635" s="22" t="str">
        <f t="shared" si="25"/>
        <v/>
      </c>
      <c r="I1635" s="14" t="str">
        <f>IF(OR($C1635="",$F1635=""),"",IFERROR(INDEX(Productos!$I$5:$I$504,MATCH($C1635,Productos!$A$5:$A$504,0)),0)+SUMIFS($F$5:$F1635,$C$5:$C1635,$C1635,$B$5:$B1635,"Entrada")-SUMIFS($F$5:$F1635,$C$5:$C1635,$C1635,$B$5:$B1635,"Salida"))</f>
        <v/>
      </c>
      <c r="J1635" s="20"/>
      <c r="K1635" s="20"/>
      <c r="L1635" s="20"/>
      <c r="M1635" s="14" t="str">
        <f>IF(AND($C1635&lt;&gt;"",$C1635=Kardex!$C$4),COUNTIF($C$5:$C1635,Kardex!$C$4),"")</f>
        <v/>
      </c>
    </row>
    <row r="1636" spans="1:13" x14ac:dyDescent="0.25">
      <c r="A1636" s="24"/>
      <c r="B1636" s="20"/>
      <c r="C1636" s="20"/>
      <c r="D1636" s="14" t="str">
        <f>IF($C1636="","",IFERROR(INDEX(Productos!$B$5:$B$504,MATCH($C1636,Productos!$A$5:$A$504,0)),"Clave no existe"))</f>
        <v/>
      </c>
      <c r="E1636" s="14" t="str">
        <f>IF($C1636="","",IFERROR(INDEX(Productos!$D$5:$D$504,MATCH($C1636,Productos!$A$5:$A$504,0)),""))</f>
        <v/>
      </c>
      <c r="F1636" s="20"/>
      <c r="G1636" s="22" t="str">
        <f>IF($C1636="","",IFERROR(INDEX(Productos!$F$5:$F$504,MATCH($C1636,Productos!$A$5:$A$504,0)),0))</f>
        <v/>
      </c>
      <c r="H1636" s="22" t="str">
        <f t="shared" si="25"/>
        <v/>
      </c>
      <c r="I1636" s="14" t="str">
        <f>IF(OR($C1636="",$F1636=""),"",IFERROR(INDEX(Productos!$I$5:$I$504,MATCH($C1636,Productos!$A$5:$A$504,0)),0)+SUMIFS($F$5:$F1636,$C$5:$C1636,$C1636,$B$5:$B1636,"Entrada")-SUMIFS($F$5:$F1636,$C$5:$C1636,$C1636,$B$5:$B1636,"Salida"))</f>
        <v/>
      </c>
      <c r="J1636" s="20"/>
      <c r="K1636" s="20"/>
      <c r="L1636" s="20"/>
      <c r="M1636" s="14" t="str">
        <f>IF(AND($C1636&lt;&gt;"",$C1636=Kardex!$C$4),COUNTIF($C$5:$C1636,Kardex!$C$4),"")</f>
        <v/>
      </c>
    </row>
    <row r="1637" spans="1:13" x14ac:dyDescent="0.25">
      <c r="A1637" s="24"/>
      <c r="B1637" s="20"/>
      <c r="C1637" s="20"/>
      <c r="D1637" s="14" t="str">
        <f>IF($C1637="","",IFERROR(INDEX(Productos!$B$5:$B$504,MATCH($C1637,Productos!$A$5:$A$504,0)),"Clave no existe"))</f>
        <v/>
      </c>
      <c r="E1637" s="14" t="str">
        <f>IF($C1637="","",IFERROR(INDEX(Productos!$D$5:$D$504,MATCH($C1637,Productos!$A$5:$A$504,0)),""))</f>
        <v/>
      </c>
      <c r="F1637" s="20"/>
      <c r="G1637" s="22" t="str">
        <f>IF($C1637="","",IFERROR(INDEX(Productos!$F$5:$F$504,MATCH($C1637,Productos!$A$5:$A$504,0)),0))</f>
        <v/>
      </c>
      <c r="H1637" s="22" t="str">
        <f t="shared" si="25"/>
        <v/>
      </c>
      <c r="I1637" s="14" t="str">
        <f>IF(OR($C1637="",$F1637=""),"",IFERROR(INDEX(Productos!$I$5:$I$504,MATCH($C1637,Productos!$A$5:$A$504,0)),0)+SUMIFS($F$5:$F1637,$C$5:$C1637,$C1637,$B$5:$B1637,"Entrada")-SUMIFS($F$5:$F1637,$C$5:$C1637,$C1637,$B$5:$B1637,"Salida"))</f>
        <v/>
      </c>
      <c r="J1637" s="20"/>
      <c r="K1637" s="20"/>
      <c r="L1637" s="20"/>
      <c r="M1637" s="14" t="str">
        <f>IF(AND($C1637&lt;&gt;"",$C1637=Kardex!$C$4),COUNTIF($C$5:$C1637,Kardex!$C$4),"")</f>
        <v/>
      </c>
    </row>
    <row r="1638" spans="1:13" x14ac:dyDescent="0.25">
      <c r="A1638" s="24"/>
      <c r="B1638" s="20"/>
      <c r="C1638" s="20"/>
      <c r="D1638" s="14" t="str">
        <f>IF($C1638="","",IFERROR(INDEX(Productos!$B$5:$B$504,MATCH($C1638,Productos!$A$5:$A$504,0)),"Clave no existe"))</f>
        <v/>
      </c>
      <c r="E1638" s="14" t="str">
        <f>IF($C1638="","",IFERROR(INDEX(Productos!$D$5:$D$504,MATCH($C1638,Productos!$A$5:$A$504,0)),""))</f>
        <v/>
      </c>
      <c r="F1638" s="20"/>
      <c r="G1638" s="22" t="str">
        <f>IF($C1638="","",IFERROR(INDEX(Productos!$F$5:$F$504,MATCH($C1638,Productos!$A$5:$A$504,0)),0))</f>
        <v/>
      </c>
      <c r="H1638" s="22" t="str">
        <f t="shared" si="25"/>
        <v/>
      </c>
      <c r="I1638" s="14" t="str">
        <f>IF(OR($C1638="",$F1638=""),"",IFERROR(INDEX(Productos!$I$5:$I$504,MATCH($C1638,Productos!$A$5:$A$504,0)),0)+SUMIFS($F$5:$F1638,$C$5:$C1638,$C1638,$B$5:$B1638,"Entrada")-SUMIFS($F$5:$F1638,$C$5:$C1638,$C1638,$B$5:$B1638,"Salida"))</f>
        <v/>
      </c>
      <c r="J1638" s="20"/>
      <c r="K1638" s="20"/>
      <c r="L1638" s="20"/>
      <c r="M1638" s="14" t="str">
        <f>IF(AND($C1638&lt;&gt;"",$C1638=Kardex!$C$4),COUNTIF($C$5:$C1638,Kardex!$C$4),"")</f>
        <v/>
      </c>
    </row>
    <row r="1639" spans="1:13" x14ac:dyDescent="0.25">
      <c r="A1639" s="24"/>
      <c r="B1639" s="20"/>
      <c r="C1639" s="20"/>
      <c r="D1639" s="14" t="str">
        <f>IF($C1639="","",IFERROR(INDEX(Productos!$B$5:$B$504,MATCH($C1639,Productos!$A$5:$A$504,0)),"Clave no existe"))</f>
        <v/>
      </c>
      <c r="E1639" s="14" t="str">
        <f>IF($C1639="","",IFERROR(INDEX(Productos!$D$5:$D$504,MATCH($C1639,Productos!$A$5:$A$504,0)),""))</f>
        <v/>
      </c>
      <c r="F1639" s="20"/>
      <c r="G1639" s="22" t="str">
        <f>IF($C1639="","",IFERROR(INDEX(Productos!$F$5:$F$504,MATCH($C1639,Productos!$A$5:$A$504,0)),0))</f>
        <v/>
      </c>
      <c r="H1639" s="22" t="str">
        <f t="shared" si="25"/>
        <v/>
      </c>
      <c r="I1639" s="14" t="str">
        <f>IF(OR($C1639="",$F1639=""),"",IFERROR(INDEX(Productos!$I$5:$I$504,MATCH($C1639,Productos!$A$5:$A$504,0)),0)+SUMIFS($F$5:$F1639,$C$5:$C1639,$C1639,$B$5:$B1639,"Entrada")-SUMIFS($F$5:$F1639,$C$5:$C1639,$C1639,$B$5:$B1639,"Salida"))</f>
        <v/>
      </c>
      <c r="J1639" s="20"/>
      <c r="K1639" s="20"/>
      <c r="L1639" s="20"/>
      <c r="M1639" s="14" t="str">
        <f>IF(AND($C1639&lt;&gt;"",$C1639=Kardex!$C$4),COUNTIF($C$5:$C1639,Kardex!$C$4),"")</f>
        <v/>
      </c>
    </row>
    <row r="1640" spans="1:13" x14ac:dyDescent="0.25">
      <c r="A1640" s="24"/>
      <c r="B1640" s="20"/>
      <c r="C1640" s="20"/>
      <c r="D1640" s="14" t="str">
        <f>IF($C1640="","",IFERROR(INDEX(Productos!$B$5:$B$504,MATCH($C1640,Productos!$A$5:$A$504,0)),"Clave no existe"))</f>
        <v/>
      </c>
      <c r="E1640" s="14" t="str">
        <f>IF($C1640="","",IFERROR(INDEX(Productos!$D$5:$D$504,MATCH($C1640,Productos!$A$5:$A$504,0)),""))</f>
        <v/>
      </c>
      <c r="F1640" s="20"/>
      <c r="G1640" s="22" t="str">
        <f>IF($C1640="","",IFERROR(INDEX(Productos!$F$5:$F$504,MATCH($C1640,Productos!$A$5:$A$504,0)),0))</f>
        <v/>
      </c>
      <c r="H1640" s="22" t="str">
        <f t="shared" si="25"/>
        <v/>
      </c>
      <c r="I1640" s="14" t="str">
        <f>IF(OR($C1640="",$F1640=""),"",IFERROR(INDEX(Productos!$I$5:$I$504,MATCH($C1640,Productos!$A$5:$A$504,0)),0)+SUMIFS($F$5:$F1640,$C$5:$C1640,$C1640,$B$5:$B1640,"Entrada")-SUMIFS($F$5:$F1640,$C$5:$C1640,$C1640,$B$5:$B1640,"Salida"))</f>
        <v/>
      </c>
      <c r="J1640" s="20"/>
      <c r="K1640" s="20"/>
      <c r="L1640" s="20"/>
      <c r="M1640" s="14" t="str">
        <f>IF(AND($C1640&lt;&gt;"",$C1640=Kardex!$C$4),COUNTIF($C$5:$C1640,Kardex!$C$4),"")</f>
        <v/>
      </c>
    </row>
    <row r="1641" spans="1:13" x14ac:dyDescent="0.25">
      <c r="A1641" s="24"/>
      <c r="B1641" s="20"/>
      <c r="C1641" s="20"/>
      <c r="D1641" s="14" t="str">
        <f>IF($C1641="","",IFERROR(INDEX(Productos!$B$5:$B$504,MATCH($C1641,Productos!$A$5:$A$504,0)),"Clave no existe"))</f>
        <v/>
      </c>
      <c r="E1641" s="14" t="str">
        <f>IF($C1641="","",IFERROR(INDEX(Productos!$D$5:$D$504,MATCH($C1641,Productos!$A$5:$A$504,0)),""))</f>
        <v/>
      </c>
      <c r="F1641" s="20"/>
      <c r="G1641" s="22" t="str">
        <f>IF($C1641="","",IFERROR(INDEX(Productos!$F$5:$F$504,MATCH($C1641,Productos!$A$5:$A$504,0)),0))</f>
        <v/>
      </c>
      <c r="H1641" s="22" t="str">
        <f t="shared" si="25"/>
        <v/>
      </c>
      <c r="I1641" s="14" t="str">
        <f>IF(OR($C1641="",$F1641=""),"",IFERROR(INDEX(Productos!$I$5:$I$504,MATCH($C1641,Productos!$A$5:$A$504,0)),0)+SUMIFS($F$5:$F1641,$C$5:$C1641,$C1641,$B$5:$B1641,"Entrada")-SUMIFS($F$5:$F1641,$C$5:$C1641,$C1641,$B$5:$B1641,"Salida"))</f>
        <v/>
      </c>
      <c r="J1641" s="20"/>
      <c r="K1641" s="20"/>
      <c r="L1641" s="20"/>
      <c r="M1641" s="14" t="str">
        <f>IF(AND($C1641&lt;&gt;"",$C1641=Kardex!$C$4),COUNTIF($C$5:$C1641,Kardex!$C$4),"")</f>
        <v/>
      </c>
    </row>
    <row r="1642" spans="1:13" x14ac:dyDescent="0.25">
      <c r="A1642" s="24"/>
      <c r="B1642" s="20"/>
      <c r="C1642" s="20"/>
      <c r="D1642" s="14" t="str">
        <f>IF($C1642="","",IFERROR(INDEX(Productos!$B$5:$B$504,MATCH($C1642,Productos!$A$5:$A$504,0)),"Clave no existe"))</f>
        <v/>
      </c>
      <c r="E1642" s="14" t="str">
        <f>IF($C1642="","",IFERROR(INDEX(Productos!$D$5:$D$504,MATCH($C1642,Productos!$A$5:$A$504,0)),""))</f>
        <v/>
      </c>
      <c r="F1642" s="20"/>
      <c r="G1642" s="22" t="str">
        <f>IF($C1642="","",IFERROR(INDEX(Productos!$F$5:$F$504,MATCH($C1642,Productos!$A$5:$A$504,0)),0))</f>
        <v/>
      </c>
      <c r="H1642" s="22" t="str">
        <f t="shared" si="25"/>
        <v/>
      </c>
      <c r="I1642" s="14" t="str">
        <f>IF(OR($C1642="",$F1642=""),"",IFERROR(INDEX(Productos!$I$5:$I$504,MATCH($C1642,Productos!$A$5:$A$504,0)),0)+SUMIFS($F$5:$F1642,$C$5:$C1642,$C1642,$B$5:$B1642,"Entrada")-SUMIFS($F$5:$F1642,$C$5:$C1642,$C1642,$B$5:$B1642,"Salida"))</f>
        <v/>
      </c>
      <c r="J1642" s="20"/>
      <c r="K1642" s="20"/>
      <c r="L1642" s="20"/>
      <c r="M1642" s="14" t="str">
        <f>IF(AND($C1642&lt;&gt;"",$C1642=Kardex!$C$4),COUNTIF($C$5:$C1642,Kardex!$C$4),"")</f>
        <v/>
      </c>
    </row>
    <row r="1643" spans="1:13" x14ac:dyDescent="0.25">
      <c r="A1643" s="24"/>
      <c r="B1643" s="20"/>
      <c r="C1643" s="20"/>
      <c r="D1643" s="14" t="str">
        <f>IF($C1643="","",IFERROR(INDEX(Productos!$B$5:$B$504,MATCH($C1643,Productos!$A$5:$A$504,0)),"Clave no existe"))</f>
        <v/>
      </c>
      <c r="E1643" s="14" t="str">
        <f>IF($C1643="","",IFERROR(INDEX(Productos!$D$5:$D$504,MATCH($C1643,Productos!$A$5:$A$504,0)),""))</f>
        <v/>
      </c>
      <c r="F1643" s="20"/>
      <c r="G1643" s="22" t="str">
        <f>IF($C1643="","",IFERROR(INDEX(Productos!$F$5:$F$504,MATCH($C1643,Productos!$A$5:$A$504,0)),0))</f>
        <v/>
      </c>
      <c r="H1643" s="22" t="str">
        <f t="shared" si="25"/>
        <v/>
      </c>
      <c r="I1643" s="14" t="str">
        <f>IF(OR($C1643="",$F1643=""),"",IFERROR(INDEX(Productos!$I$5:$I$504,MATCH($C1643,Productos!$A$5:$A$504,0)),0)+SUMIFS($F$5:$F1643,$C$5:$C1643,$C1643,$B$5:$B1643,"Entrada")-SUMIFS($F$5:$F1643,$C$5:$C1643,$C1643,$B$5:$B1643,"Salida"))</f>
        <v/>
      </c>
      <c r="J1643" s="20"/>
      <c r="K1643" s="20"/>
      <c r="L1643" s="20"/>
      <c r="M1643" s="14" t="str">
        <f>IF(AND($C1643&lt;&gt;"",$C1643=Kardex!$C$4),COUNTIF($C$5:$C1643,Kardex!$C$4),"")</f>
        <v/>
      </c>
    </row>
    <row r="1644" spans="1:13" x14ac:dyDescent="0.25">
      <c r="A1644" s="24"/>
      <c r="B1644" s="20"/>
      <c r="C1644" s="20"/>
      <c r="D1644" s="14" t="str">
        <f>IF($C1644="","",IFERROR(INDEX(Productos!$B$5:$B$504,MATCH($C1644,Productos!$A$5:$A$504,0)),"Clave no existe"))</f>
        <v/>
      </c>
      <c r="E1644" s="14" t="str">
        <f>IF($C1644="","",IFERROR(INDEX(Productos!$D$5:$D$504,MATCH($C1644,Productos!$A$5:$A$504,0)),""))</f>
        <v/>
      </c>
      <c r="F1644" s="20"/>
      <c r="G1644" s="22" t="str">
        <f>IF($C1644="","",IFERROR(INDEX(Productos!$F$5:$F$504,MATCH($C1644,Productos!$A$5:$A$504,0)),0))</f>
        <v/>
      </c>
      <c r="H1644" s="22" t="str">
        <f t="shared" si="25"/>
        <v/>
      </c>
      <c r="I1644" s="14" t="str">
        <f>IF(OR($C1644="",$F1644=""),"",IFERROR(INDEX(Productos!$I$5:$I$504,MATCH($C1644,Productos!$A$5:$A$504,0)),0)+SUMIFS($F$5:$F1644,$C$5:$C1644,$C1644,$B$5:$B1644,"Entrada")-SUMIFS($F$5:$F1644,$C$5:$C1644,$C1644,$B$5:$B1644,"Salida"))</f>
        <v/>
      </c>
      <c r="J1644" s="20"/>
      <c r="K1644" s="20"/>
      <c r="L1644" s="20"/>
      <c r="M1644" s="14" t="str">
        <f>IF(AND($C1644&lt;&gt;"",$C1644=Kardex!$C$4),COUNTIF($C$5:$C1644,Kardex!$C$4),"")</f>
        <v/>
      </c>
    </row>
    <row r="1645" spans="1:13" x14ac:dyDescent="0.25">
      <c r="A1645" s="24"/>
      <c r="B1645" s="20"/>
      <c r="C1645" s="20"/>
      <c r="D1645" s="14" t="str">
        <f>IF($C1645="","",IFERROR(INDEX(Productos!$B$5:$B$504,MATCH($C1645,Productos!$A$5:$A$504,0)),"Clave no existe"))</f>
        <v/>
      </c>
      <c r="E1645" s="14" t="str">
        <f>IF($C1645="","",IFERROR(INDEX(Productos!$D$5:$D$504,MATCH($C1645,Productos!$A$5:$A$504,0)),""))</f>
        <v/>
      </c>
      <c r="F1645" s="20"/>
      <c r="G1645" s="22" t="str">
        <f>IF($C1645="","",IFERROR(INDEX(Productos!$F$5:$F$504,MATCH($C1645,Productos!$A$5:$A$504,0)),0))</f>
        <v/>
      </c>
      <c r="H1645" s="22" t="str">
        <f t="shared" si="25"/>
        <v/>
      </c>
      <c r="I1645" s="14" t="str">
        <f>IF(OR($C1645="",$F1645=""),"",IFERROR(INDEX(Productos!$I$5:$I$504,MATCH($C1645,Productos!$A$5:$A$504,0)),0)+SUMIFS($F$5:$F1645,$C$5:$C1645,$C1645,$B$5:$B1645,"Entrada")-SUMIFS($F$5:$F1645,$C$5:$C1645,$C1645,$B$5:$B1645,"Salida"))</f>
        <v/>
      </c>
      <c r="J1645" s="20"/>
      <c r="K1645" s="20"/>
      <c r="L1645" s="20"/>
      <c r="M1645" s="14" t="str">
        <f>IF(AND($C1645&lt;&gt;"",$C1645=Kardex!$C$4),COUNTIF($C$5:$C1645,Kardex!$C$4),"")</f>
        <v/>
      </c>
    </row>
    <row r="1646" spans="1:13" x14ac:dyDescent="0.25">
      <c r="A1646" s="24"/>
      <c r="B1646" s="20"/>
      <c r="C1646" s="20"/>
      <c r="D1646" s="14" t="str">
        <f>IF($C1646="","",IFERROR(INDEX(Productos!$B$5:$B$504,MATCH($C1646,Productos!$A$5:$A$504,0)),"Clave no existe"))</f>
        <v/>
      </c>
      <c r="E1646" s="14" t="str">
        <f>IF($C1646="","",IFERROR(INDEX(Productos!$D$5:$D$504,MATCH($C1646,Productos!$A$5:$A$504,0)),""))</f>
        <v/>
      </c>
      <c r="F1646" s="20"/>
      <c r="G1646" s="22" t="str">
        <f>IF($C1646="","",IFERROR(INDEX(Productos!$F$5:$F$504,MATCH($C1646,Productos!$A$5:$A$504,0)),0))</f>
        <v/>
      </c>
      <c r="H1646" s="22" t="str">
        <f t="shared" si="25"/>
        <v/>
      </c>
      <c r="I1646" s="14" t="str">
        <f>IF(OR($C1646="",$F1646=""),"",IFERROR(INDEX(Productos!$I$5:$I$504,MATCH($C1646,Productos!$A$5:$A$504,0)),0)+SUMIFS($F$5:$F1646,$C$5:$C1646,$C1646,$B$5:$B1646,"Entrada")-SUMIFS($F$5:$F1646,$C$5:$C1646,$C1646,$B$5:$B1646,"Salida"))</f>
        <v/>
      </c>
      <c r="J1646" s="20"/>
      <c r="K1646" s="20"/>
      <c r="L1646" s="20"/>
      <c r="M1646" s="14" t="str">
        <f>IF(AND($C1646&lt;&gt;"",$C1646=Kardex!$C$4),COUNTIF($C$5:$C1646,Kardex!$C$4),"")</f>
        <v/>
      </c>
    </row>
    <row r="1647" spans="1:13" x14ac:dyDescent="0.25">
      <c r="A1647" s="24"/>
      <c r="B1647" s="20"/>
      <c r="C1647" s="20"/>
      <c r="D1647" s="14" t="str">
        <f>IF($C1647="","",IFERROR(INDEX(Productos!$B$5:$B$504,MATCH($C1647,Productos!$A$5:$A$504,0)),"Clave no existe"))</f>
        <v/>
      </c>
      <c r="E1647" s="14" t="str">
        <f>IF($C1647="","",IFERROR(INDEX(Productos!$D$5:$D$504,MATCH($C1647,Productos!$A$5:$A$504,0)),""))</f>
        <v/>
      </c>
      <c r="F1647" s="20"/>
      <c r="G1647" s="22" t="str">
        <f>IF($C1647="","",IFERROR(INDEX(Productos!$F$5:$F$504,MATCH($C1647,Productos!$A$5:$A$504,0)),0))</f>
        <v/>
      </c>
      <c r="H1647" s="22" t="str">
        <f t="shared" si="25"/>
        <v/>
      </c>
      <c r="I1647" s="14" t="str">
        <f>IF(OR($C1647="",$F1647=""),"",IFERROR(INDEX(Productos!$I$5:$I$504,MATCH($C1647,Productos!$A$5:$A$504,0)),0)+SUMIFS($F$5:$F1647,$C$5:$C1647,$C1647,$B$5:$B1647,"Entrada")-SUMIFS($F$5:$F1647,$C$5:$C1647,$C1647,$B$5:$B1647,"Salida"))</f>
        <v/>
      </c>
      <c r="J1647" s="20"/>
      <c r="K1647" s="20"/>
      <c r="L1647" s="20"/>
      <c r="M1647" s="14" t="str">
        <f>IF(AND($C1647&lt;&gt;"",$C1647=Kardex!$C$4),COUNTIF($C$5:$C1647,Kardex!$C$4),"")</f>
        <v/>
      </c>
    </row>
    <row r="1648" spans="1:13" x14ac:dyDescent="0.25">
      <c r="A1648" s="24"/>
      <c r="B1648" s="20"/>
      <c r="C1648" s="20"/>
      <c r="D1648" s="14" t="str">
        <f>IF($C1648="","",IFERROR(INDEX(Productos!$B$5:$B$504,MATCH($C1648,Productos!$A$5:$A$504,0)),"Clave no existe"))</f>
        <v/>
      </c>
      <c r="E1648" s="14" t="str">
        <f>IF($C1648="","",IFERROR(INDEX(Productos!$D$5:$D$504,MATCH($C1648,Productos!$A$5:$A$504,0)),""))</f>
        <v/>
      </c>
      <c r="F1648" s="20"/>
      <c r="G1648" s="22" t="str">
        <f>IF($C1648="","",IFERROR(INDEX(Productos!$F$5:$F$504,MATCH($C1648,Productos!$A$5:$A$504,0)),0))</f>
        <v/>
      </c>
      <c r="H1648" s="22" t="str">
        <f t="shared" si="25"/>
        <v/>
      </c>
      <c r="I1648" s="14" t="str">
        <f>IF(OR($C1648="",$F1648=""),"",IFERROR(INDEX(Productos!$I$5:$I$504,MATCH($C1648,Productos!$A$5:$A$504,0)),0)+SUMIFS($F$5:$F1648,$C$5:$C1648,$C1648,$B$5:$B1648,"Entrada")-SUMIFS($F$5:$F1648,$C$5:$C1648,$C1648,$B$5:$B1648,"Salida"))</f>
        <v/>
      </c>
      <c r="J1648" s="20"/>
      <c r="K1648" s="20"/>
      <c r="L1648" s="20"/>
      <c r="M1648" s="14" t="str">
        <f>IF(AND($C1648&lt;&gt;"",$C1648=Kardex!$C$4),COUNTIF($C$5:$C1648,Kardex!$C$4),"")</f>
        <v/>
      </c>
    </row>
    <row r="1649" spans="1:13" x14ac:dyDescent="0.25">
      <c r="A1649" s="24"/>
      <c r="B1649" s="20"/>
      <c r="C1649" s="20"/>
      <c r="D1649" s="14" t="str">
        <f>IF($C1649="","",IFERROR(INDEX(Productos!$B$5:$B$504,MATCH($C1649,Productos!$A$5:$A$504,0)),"Clave no existe"))</f>
        <v/>
      </c>
      <c r="E1649" s="14" t="str">
        <f>IF($C1649="","",IFERROR(INDEX(Productos!$D$5:$D$504,MATCH($C1649,Productos!$A$5:$A$504,0)),""))</f>
        <v/>
      </c>
      <c r="F1649" s="20"/>
      <c r="G1649" s="22" t="str">
        <f>IF($C1649="","",IFERROR(INDEX(Productos!$F$5:$F$504,MATCH($C1649,Productos!$A$5:$A$504,0)),0))</f>
        <v/>
      </c>
      <c r="H1649" s="22" t="str">
        <f t="shared" si="25"/>
        <v/>
      </c>
      <c r="I1649" s="14" t="str">
        <f>IF(OR($C1649="",$F1649=""),"",IFERROR(INDEX(Productos!$I$5:$I$504,MATCH($C1649,Productos!$A$5:$A$504,0)),0)+SUMIFS($F$5:$F1649,$C$5:$C1649,$C1649,$B$5:$B1649,"Entrada")-SUMIFS($F$5:$F1649,$C$5:$C1649,$C1649,$B$5:$B1649,"Salida"))</f>
        <v/>
      </c>
      <c r="J1649" s="20"/>
      <c r="K1649" s="20"/>
      <c r="L1649" s="20"/>
      <c r="M1649" s="14" t="str">
        <f>IF(AND($C1649&lt;&gt;"",$C1649=Kardex!$C$4),COUNTIF($C$5:$C1649,Kardex!$C$4),"")</f>
        <v/>
      </c>
    </row>
    <row r="1650" spans="1:13" x14ac:dyDescent="0.25">
      <c r="A1650" s="24"/>
      <c r="B1650" s="20"/>
      <c r="C1650" s="20"/>
      <c r="D1650" s="14" t="str">
        <f>IF($C1650="","",IFERROR(INDEX(Productos!$B$5:$B$504,MATCH($C1650,Productos!$A$5:$A$504,0)),"Clave no existe"))</f>
        <v/>
      </c>
      <c r="E1650" s="14" t="str">
        <f>IF($C1650="","",IFERROR(INDEX(Productos!$D$5:$D$504,MATCH($C1650,Productos!$A$5:$A$504,0)),""))</f>
        <v/>
      </c>
      <c r="F1650" s="20"/>
      <c r="G1650" s="22" t="str">
        <f>IF($C1650="","",IFERROR(INDEX(Productos!$F$5:$F$504,MATCH($C1650,Productos!$A$5:$A$504,0)),0))</f>
        <v/>
      </c>
      <c r="H1650" s="22" t="str">
        <f t="shared" si="25"/>
        <v/>
      </c>
      <c r="I1650" s="14" t="str">
        <f>IF(OR($C1650="",$F1650=""),"",IFERROR(INDEX(Productos!$I$5:$I$504,MATCH($C1650,Productos!$A$5:$A$504,0)),0)+SUMIFS($F$5:$F1650,$C$5:$C1650,$C1650,$B$5:$B1650,"Entrada")-SUMIFS($F$5:$F1650,$C$5:$C1650,$C1650,$B$5:$B1650,"Salida"))</f>
        <v/>
      </c>
      <c r="J1650" s="20"/>
      <c r="K1650" s="20"/>
      <c r="L1650" s="20"/>
      <c r="M1650" s="14" t="str">
        <f>IF(AND($C1650&lt;&gt;"",$C1650=Kardex!$C$4),COUNTIF($C$5:$C1650,Kardex!$C$4),"")</f>
        <v/>
      </c>
    </row>
    <row r="1651" spans="1:13" x14ac:dyDescent="0.25">
      <c r="A1651" s="24"/>
      <c r="B1651" s="20"/>
      <c r="C1651" s="20"/>
      <c r="D1651" s="14" t="str">
        <f>IF($C1651="","",IFERROR(INDEX(Productos!$B$5:$B$504,MATCH($C1651,Productos!$A$5:$A$504,0)),"Clave no existe"))</f>
        <v/>
      </c>
      <c r="E1651" s="14" t="str">
        <f>IF($C1651="","",IFERROR(INDEX(Productos!$D$5:$D$504,MATCH($C1651,Productos!$A$5:$A$504,0)),""))</f>
        <v/>
      </c>
      <c r="F1651" s="20"/>
      <c r="G1651" s="22" t="str">
        <f>IF($C1651="","",IFERROR(INDEX(Productos!$F$5:$F$504,MATCH($C1651,Productos!$A$5:$A$504,0)),0))</f>
        <v/>
      </c>
      <c r="H1651" s="22" t="str">
        <f t="shared" si="25"/>
        <v/>
      </c>
      <c r="I1651" s="14" t="str">
        <f>IF(OR($C1651="",$F1651=""),"",IFERROR(INDEX(Productos!$I$5:$I$504,MATCH($C1651,Productos!$A$5:$A$504,0)),0)+SUMIFS($F$5:$F1651,$C$5:$C1651,$C1651,$B$5:$B1651,"Entrada")-SUMIFS($F$5:$F1651,$C$5:$C1651,$C1651,$B$5:$B1651,"Salida"))</f>
        <v/>
      </c>
      <c r="J1651" s="20"/>
      <c r="K1651" s="20"/>
      <c r="L1651" s="20"/>
      <c r="M1651" s="14" t="str">
        <f>IF(AND($C1651&lt;&gt;"",$C1651=Kardex!$C$4),COUNTIF($C$5:$C1651,Kardex!$C$4),"")</f>
        <v/>
      </c>
    </row>
    <row r="1652" spans="1:13" x14ac:dyDescent="0.25">
      <c r="A1652" s="24"/>
      <c r="B1652" s="20"/>
      <c r="C1652" s="20"/>
      <c r="D1652" s="14" t="str">
        <f>IF($C1652="","",IFERROR(INDEX(Productos!$B$5:$B$504,MATCH($C1652,Productos!$A$5:$A$504,0)),"Clave no existe"))</f>
        <v/>
      </c>
      <c r="E1652" s="14" t="str">
        <f>IF($C1652="","",IFERROR(INDEX(Productos!$D$5:$D$504,MATCH($C1652,Productos!$A$5:$A$504,0)),""))</f>
        <v/>
      </c>
      <c r="F1652" s="20"/>
      <c r="G1652" s="22" t="str">
        <f>IF($C1652="","",IFERROR(INDEX(Productos!$F$5:$F$504,MATCH($C1652,Productos!$A$5:$A$504,0)),0))</f>
        <v/>
      </c>
      <c r="H1652" s="22" t="str">
        <f t="shared" si="25"/>
        <v/>
      </c>
      <c r="I1652" s="14" t="str">
        <f>IF(OR($C1652="",$F1652=""),"",IFERROR(INDEX(Productos!$I$5:$I$504,MATCH($C1652,Productos!$A$5:$A$504,0)),0)+SUMIFS($F$5:$F1652,$C$5:$C1652,$C1652,$B$5:$B1652,"Entrada")-SUMIFS($F$5:$F1652,$C$5:$C1652,$C1652,$B$5:$B1652,"Salida"))</f>
        <v/>
      </c>
      <c r="J1652" s="20"/>
      <c r="K1652" s="20"/>
      <c r="L1652" s="20"/>
      <c r="M1652" s="14" t="str">
        <f>IF(AND($C1652&lt;&gt;"",$C1652=Kardex!$C$4),COUNTIF($C$5:$C1652,Kardex!$C$4),"")</f>
        <v/>
      </c>
    </row>
    <row r="1653" spans="1:13" x14ac:dyDescent="0.25">
      <c r="A1653" s="24"/>
      <c r="B1653" s="20"/>
      <c r="C1653" s="20"/>
      <c r="D1653" s="14" t="str">
        <f>IF($C1653="","",IFERROR(INDEX(Productos!$B$5:$B$504,MATCH($C1653,Productos!$A$5:$A$504,0)),"Clave no existe"))</f>
        <v/>
      </c>
      <c r="E1653" s="14" t="str">
        <f>IF($C1653="","",IFERROR(INDEX(Productos!$D$5:$D$504,MATCH($C1653,Productos!$A$5:$A$504,0)),""))</f>
        <v/>
      </c>
      <c r="F1653" s="20"/>
      <c r="G1653" s="22" t="str">
        <f>IF($C1653="","",IFERROR(INDEX(Productos!$F$5:$F$504,MATCH($C1653,Productos!$A$5:$A$504,0)),0))</f>
        <v/>
      </c>
      <c r="H1653" s="22" t="str">
        <f t="shared" si="25"/>
        <v/>
      </c>
      <c r="I1653" s="14" t="str">
        <f>IF(OR($C1653="",$F1653=""),"",IFERROR(INDEX(Productos!$I$5:$I$504,MATCH($C1653,Productos!$A$5:$A$504,0)),0)+SUMIFS($F$5:$F1653,$C$5:$C1653,$C1653,$B$5:$B1653,"Entrada")-SUMIFS($F$5:$F1653,$C$5:$C1653,$C1653,$B$5:$B1653,"Salida"))</f>
        <v/>
      </c>
      <c r="J1653" s="20"/>
      <c r="K1653" s="20"/>
      <c r="L1653" s="20"/>
      <c r="M1653" s="14" t="str">
        <f>IF(AND($C1653&lt;&gt;"",$C1653=Kardex!$C$4),COUNTIF($C$5:$C1653,Kardex!$C$4),"")</f>
        <v/>
      </c>
    </row>
    <row r="1654" spans="1:13" x14ac:dyDescent="0.25">
      <c r="A1654" s="24"/>
      <c r="B1654" s="20"/>
      <c r="C1654" s="20"/>
      <c r="D1654" s="14" t="str">
        <f>IF($C1654="","",IFERROR(INDEX(Productos!$B$5:$B$504,MATCH($C1654,Productos!$A$5:$A$504,0)),"Clave no existe"))</f>
        <v/>
      </c>
      <c r="E1654" s="14" t="str">
        <f>IF($C1654="","",IFERROR(INDEX(Productos!$D$5:$D$504,MATCH($C1654,Productos!$A$5:$A$504,0)),""))</f>
        <v/>
      </c>
      <c r="F1654" s="20"/>
      <c r="G1654" s="22" t="str">
        <f>IF($C1654="","",IFERROR(INDEX(Productos!$F$5:$F$504,MATCH($C1654,Productos!$A$5:$A$504,0)),0))</f>
        <v/>
      </c>
      <c r="H1654" s="22" t="str">
        <f t="shared" si="25"/>
        <v/>
      </c>
      <c r="I1654" s="14" t="str">
        <f>IF(OR($C1654="",$F1654=""),"",IFERROR(INDEX(Productos!$I$5:$I$504,MATCH($C1654,Productos!$A$5:$A$504,0)),0)+SUMIFS($F$5:$F1654,$C$5:$C1654,$C1654,$B$5:$B1654,"Entrada")-SUMIFS($F$5:$F1654,$C$5:$C1654,$C1654,$B$5:$B1654,"Salida"))</f>
        <v/>
      </c>
      <c r="J1654" s="20"/>
      <c r="K1654" s="20"/>
      <c r="L1654" s="20"/>
      <c r="M1654" s="14" t="str">
        <f>IF(AND($C1654&lt;&gt;"",$C1654=Kardex!$C$4),COUNTIF($C$5:$C1654,Kardex!$C$4),"")</f>
        <v/>
      </c>
    </row>
    <row r="1655" spans="1:13" x14ac:dyDescent="0.25">
      <c r="A1655" s="24"/>
      <c r="B1655" s="20"/>
      <c r="C1655" s="20"/>
      <c r="D1655" s="14" t="str">
        <f>IF($C1655="","",IFERROR(INDEX(Productos!$B$5:$B$504,MATCH($C1655,Productos!$A$5:$A$504,0)),"Clave no existe"))</f>
        <v/>
      </c>
      <c r="E1655" s="14" t="str">
        <f>IF($C1655="","",IFERROR(INDEX(Productos!$D$5:$D$504,MATCH($C1655,Productos!$A$5:$A$504,0)),""))</f>
        <v/>
      </c>
      <c r="F1655" s="20"/>
      <c r="G1655" s="22" t="str">
        <f>IF($C1655="","",IFERROR(INDEX(Productos!$F$5:$F$504,MATCH($C1655,Productos!$A$5:$A$504,0)),0))</f>
        <v/>
      </c>
      <c r="H1655" s="22" t="str">
        <f t="shared" si="25"/>
        <v/>
      </c>
      <c r="I1655" s="14" t="str">
        <f>IF(OR($C1655="",$F1655=""),"",IFERROR(INDEX(Productos!$I$5:$I$504,MATCH($C1655,Productos!$A$5:$A$504,0)),0)+SUMIFS($F$5:$F1655,$C$5:$C1655,$C1655,$B$5:$B1655,"Entrada")-SUMIFS($F$5:$F1655,$C$5:$C1655,$C1655,$B$5:$B1655,"Salida"))</f>
        <v/>
      </c>
      <c r="J1655" s="20"/>
      <c r="K1655" s="20"/>
      <c r="L1655" s="20"/>
      <c r="M1655" s="14" t="str">
        <f>IF(AND($C1655&lt;&gt;"",$C1655=Kardex!$C$4),COUNTIF($C$5:$C1655,Kardex!$C$4),"")</f>
        <v/>
      </c>
    </row>
    <row r="1656" spans="1:13" x14ac:dyDescent="0.25">
      <c r="A1656" s="24"/>
      <c r="B1656" s="20"/>
      <c r="C1656" s="20"/>
      <c r="D1656" s="14" t="str">
        <f>IF($C1656="","",IFERROR(INDEX(Productos!$B$5:$B$504,MATCH($C1656,Productos!$A$5:$A$504,0)),"Clave no existe"))</f>
        <v/>
      </c>
      <c r="E1656" s="14" t="str">
        <f>IF($C1656="","",IFERROR(INDEX(Productos!$D$5:$D$504,MATCH($C1656,Productos!$A$5:$A$504,0)),""))</f>
        <v/>
      </c>
      <c r="F1656" s="20"/>
      <c r="G1656" s="22" t="str">
        <f>IF($C1656="","",IFERROR(INDEX(Productos!$F$5:$F$504,MATCH($C1656,Productos!$A$5:$A$504,0)),0))</f>
        <v/>
      </c>
      <c r="H1656" s="22" t="str">
        <f t="shared" si="25"/>
        <v/>
      </c>
      <c r="I1656" s="14" t="str">
        <f>IF(OR($C1656="",$F1656=""),"",IFERROR(INDEX(Productos!$I$5:$I$504,MATCH($C1656,Productos!$A$5:$A$504,0)),0)+SUMIFS($F$5:$F1656,$C$5:$C1656,$C1656,$B$5:$B1656,"Entrada")-SUMIFS($F$5:$F1656,$C$5:$C1656,$C1656,$B$5:$B1656,"Salida"))</f>
        <v/>
      </c>
      <c r="J1656" s="20"/>
      <c r="K1656" s="20"/>
      <c r="L1656" s="20"/>
      <c r="M1656" s="14" t="str">
        <f>IF(AND($C1656&lt;&gt;"",$C1656=Kardex!$C$4),COUNTIF($C$5:$C1656,Kardex!$C$4),"")</f>
        <v/>
      </c>
    </row>
    <row r="1657" spans="1:13" x14ac:dyDescent="0.25">
      <c r="A1657" s="24"/>
      <c r="B1657" s="20"/>
      <c r="C1657" s="20"/>
      <c r="D1657" s="14" t="str">
        <f>IF($C1657="","",IFERROR(INDEX(Productos!$B$5:$B$504,MATCH($C1657,Productos!$A$5:$A$504,0)),"Clave no existe"))</f>
        <v/>
      </c>
      <c r="E1657" s="14" t="str">
        <f>IF($C1657="","",IFERROR(INDEX(Productos!$D$5:$D$504,MATCH($C1657,Productos!$A$5:$A$504,0)),""))</f>
        <v/>
      </c>
      <c r="F1657" s="20"/>
      <c r="G1657" s="22" t="str">
        <f>IF($C1657="","",IFERROR(INDEX(Productos!$F$5:$F$504,MATCH($C1657,Productos!$A$5:$A$504,0)),0))</f>
        <v/>
      </c>
      <c r="H1657" s="22" t="str">
        <f t="shared" si="25"/>
        <v/>
      </c>
      <c r="I1657" s="14" t="str">
        <f>IF(OR($C1657="",$F1657=""),"",IFERROR(INDEX(Productos!$I$5:$I$504,MATCH($C1657,Productos!$A$5:$A$504,0)),0)+SUMIFS($F$5:$F1657,$C$5:$C1657,$C1657,$B$5:$B1657,"Entrada")-SUMIFS($F$5:$F1657,$C$5:$C1657,$C1657,$B$5:$B1657,"Salida"))</f>
        <v/>
      </c>
      <c r="J1657" s="20"/>
      <c r="K1657" s="20"/>
      <c r="L1657" s="20"/>
      <c r="M1657" s="14" t="str">
        <f>IF(AND($C1657&lt;&gt;"",$C1657=Kardex!$C$4),COUNTIF($C$5:$C1657,Kardex!$C$4),"")</f>
        <v/>
      </c>
    </row>
    <row r="1658" spans="1:13" x14ac:dyDescent="0.25">
      <c r="A1658" s="24"/>
      <c r="B1658" s="20"/>
      <c r="C1658" s="20"/>
      <c r="D1658" s="14" t="str">
        <f>IF($C1658="","",IFERROR(INDEX(Productos!$B$5:$B$504,MATCH($C1658,Productos!$A$5:$A$504,0)),"Clave no existe"))</f>
        <v/>
      </c>
      <c r="E1658" s="14" t="str">
        <f>IF($C1658="","",IFERROR(INDEX(Productos!$D$5:$D$504,MATCH($C1658,Productos!$A$5:$A$504,0)),""))</f>
        <v/>
      </c>
      <c r="F1658" s="20"/>
      <c r="G1658" s="22" t="str">
        <f>IF($C1658="","",IFERROR(INDEX(Productos!$F$5:$F$504,MATCH($C1658,Productos!$A$5:$A$504,0)),0))</f>
        <v/>
      </c>
      <c r="H1658" s="22" t="str">
        <f t="shared" si="25"/>
        <v/>
      </c>
      <c r="I1658" s="14" t="str">
        <f>IF(OR($C1658="",$F1658=""),"",IFERROR(INDEX(Productos!$I$5:$I$504,MATCH($C1658,Productos!$A$5:$A$504,0)),0)+SUMIFS($F$5:$F1658,$C$5:$C1658,$C1658,$B$5:$B1658,"Entrada")-SUMIFS($F$5:$F1658,$C$5:$C1658,$C1658,$B$5:$B1658,"Salida"))</f>
        <v/>
      </c>
      <c r="J1658" s="20"/>
      <c r="K1658" s="20"/>
      <c r="L1658" s="20"/>
      <c r="M1658" s="14" t="str">
        <f>IF(AND($C1658&lt;&gt;"",$C1658=Kardex!$C$4),COUNTIF($C$5:$C1658,Kardex!$C$4),"")</f>
        <v/>
      </c>
    </row>
    <row r="1659" spans="1:13" x14ac:dyDescent="0.25">
      <c r="A1659" s="24"/>
      <c r="B1659" s="20"/>
      <c r="C1659" s="20"/>
      <c r="D1659" s="14" t="str">
        <f>IF($C1659="","",IFERROR(INDEX(Productos!$B$5:$B$504,MATCH($C1659,Productos!$A$5:$A$504,0)),"Clave no existe"))</f>
        <v/>
      </c>
      <c r="E1659" s="14" t="str">
        <f>IF($C1659="","",IFERROR(INDEX(Productos!$D$5:$D$504,MATCH($C1659,Productos!$A$5:$A$504,0)),""))</f>
        <v/>
      </c>
      <c r="F1659" s="20"/>
      <c r="G1659" s="22" t="str">
        <f>IF($C1659="","",IFERROR(INDEX(Productos!$F$5:$F$504,MATCH($C1659,Productos!$A$5:$A$504,0)),0))</f>
        <v/>
      </c>
      <c r="H1659" s="22" t="str">
        <f t="shared" si="25"/>
        <v/>
      </c>
      <c r="I1659" s="14" t="str">
        <f>IF(OR($C1659="",$F1659=""),"",IFERROR(INDEX(Productos!$I$5:$I$504,MATCH($C1659,Productos!$A$5:$A$504,0)),0)+SUMIFS($F$5:$F1659,$C$5:$C1659,$C1659,$B$5:$B1659,"Entrada")-SUMIFS($F$5:$F1659,$C$5:$C1659,$C1659,$B$5:$B1659,"Salida"))</f>
        <v/>
      </c>
      <c r="J1659" s="20"/>
      <c r="K1659" s="20"/>
      <c r="L1659" s="20"/>
      <c r="M1659" s="14" t="str">
        <f>IF(AND($C1659&lt;&gt;"",$C1659=Kardex!$C$4),COUNTIF($C$5:$C1659,Kardex!$C$4),"")</f>
        <v/>
      </c>
    </row>
    <row r="1660" spans="1:13" x14ac:dyDescent="0.25">
      <c r="A1660" s="24"/>
      <c r="B1660" s="20"/>
      <c r="C1660" s="20"/>
      <c r="D1660" s="14" t="str">
        <f>IF($C1660="","",IFERROR(INDEX(Productos!$B$5:$B$504,MATCH($C1660,Productos!$A$5:$A$504,0)),"Clave no existe"))</f>
        <v/>
      </c>
      <c r="E1660" s="14" t="str">
        <f>IF($C1660="","",IFERROR(INDEX(Productos!$D$5:$D$504,MATCH($C1660,Productos!$A$5:$A$504,0)),""))</f>
        <v/>
      </c>
      <c r="F1660" s="20"/>
      <c r="G1660" s="22" t="str">
        <f>IF($C1660="","",IFERROR(INDEX(Productos!$F$5:$F$504,MATCH($C1660,Productos!$A$5:$A$504,0)),0))</f>
        <v/>
      </c>
      <c r="H1660" s="22" t="str">
        <f t="shared" si="25"/>
        <v/>
      </c>
      <c r="I1660" s="14" t="str">
        <f>IF(OR($C1660="",$F1660=""),"",IFERROR(INDEX(Productos!$I$5:$I$504,MATCH($C1660,Productos!$A$5:$A$504,0)),0)+SUMIFS($F$5:$F1660,$C$5:$C1660,$C1660,$B$5:$B1660,"Entrada")-SUMIFS($F$5:$F1660,$C$5:$C1660,$C1660,$B$5:$B1660,"Salida"))</f>
        <v/>
      </c>
      <c r="J1660" s="20"/>
      <c r="K1660" s="20"/>
      <c r="L1660" s="20"/>
      <c r="M1660" s="14" t="str">
        <f>IF(AND($C1660&lt;&gt;"",$C1660=Kardex!$C$4),COUNTIF($C$5:$C1660,Kardex!$C$4),"")</f>
        <v/>
      </c>
    </row>
    <row r="1661" spans="1:13" x14ac:dyDescent="0.25">
      <c r="A1661" s="24"/>
      <c r="B1661" s="20"/>
      <c r="C1661" s="20"/>
      <c r="D1661" s="14" t="str">
        <f>IF($C1661="","",IFERROR(INDEX(Productos!$B$5:$B$504,MATCH($C1661,Productos!$A$5:$A$504,0)),"Clave no existe"))</f>
        <v/>
      </c>
      <c r="E1661" s="14" t="str">
        <f>IF($C1661="","",IFERROR(INDEX(Productos!$D$5:$D$504,MATCH($C1661,Productos!$A$5:$A$504,0)),""))</f>
        <v/>
      </c>
      <c r="F1661" s="20"/>
      <c r="G1661" s="22" t="str">
        <f>IF($C1661="","",IFERROR(INDEX(Productos!$F$5:$F$504,MATCH($C1661,Productos!$A$5:$A$504,0)),0))</f>
        <v/>
      </c>
      <c r="H1661" s="22" t="str">
        <f t="shared" si="25"/>
        <v/>
      </c>
      <c r="I1661" s="14" t="str">
        <f>IF(OR($C1661="",$F1661=""),"",IFERROR(INDEX(Productos!$I$5:$I$504,MATCH($C1661,Productos!$A$5:$A$504,0)),0)+SUMIFS($F$5:$F1661,$C$5:$C1661,$C1661,$B$5:$B1661,"Entrada")-SUMIFS($F$5:$F1661,$C$5:$C1661,$C1661,$B$5:$B1661,"Salida"))</f>
        <v/>
      </c>
      <c r="J1661" s="20"/>
      <c r="K1661" s="20"/>
      <c r="L1661" s="20"/>
      <c r="M1661" s="14" t="str">
        <f>IF(AND($C1661&lt;&gt;"",$C1661=Kardex!$C$4),COUNTIF($C$5:$C1661,Kardex!$C$4),"")</f>
        <v/>
      </c>
    </row>
    <row r="1662" spans="1:13" x14ac:dyDescent="0.25">
      <c r="A1662" s="24"/>
      <c r="B1662" s="20"/>
      <c r="C1662" s="20"/>
      <c r="D1662" s="14" t="str">
        <f>IF($C1662="","",IFERROR(INDEX(Productos!$B$5:$B$504,MATCH($C1662,Productos!$A$5:$A$504,0)),"Clave no existe"))</f>
        <v/>
      </c>
      <c r="E1662" s="14" t="str">
        <f>IF($C1662="","",IFERROR(INDEX(Productos!$D$5:$D$504,MATCH($C1662,Productos!$A$5:$A$504,0)),""))</f>
        <v/>
      </c>
      <c r="F1662" s="20"/>
      <c r="G1662" s="22" t="str">
        <f>IF($C1662="","",IFERROR(INDEX(Productos!$F$5:$F$504,MATCH($C1662,Productos!$A$5:$A$504,0)),0))</f>
        <v/>
      </c>
      <c r="H1662" s="22" t="str">
        <f t="shared" si="25"/>
        <v/>
      </c>
      <c r="I1662" s="14" t="str">
        <f>IF(OR($C1662="",$F1662=""),"",IFERROR(INDEX(Productos!$I$5:$I$504,MATCH($C1662,Productos!$A$5:$A$504,0)),0)+SUMIFS($F$5:$F1662,$C$5:$C1662,$C1662,$B$5:$B1662,"Entrada")-SUMIFS($F$5:$F1662,$C$5:$C1662,$C1662,$B$5:$B1662,"Salida"))</f>
        <v/>
      </c>
      <c r="J1662" s="20"/>
      <c r="K1662" s="20"/>
      <c r="L1662" s="20"/>
      <c r="M1662" s="14" t="str">
        <f>IF(AND($C1662&lt;&gt;"",$C1662=Kardex!$C$4),COUNTIF($C$5:$C1662,Kardex!$C$4),"")</f>
        <v/>
      </c>
    </row>
    <row r="1663" spans="1:13" x14ac:dyDescent="0.25">
      <c r="A1663" s="24"/>
      <c r="B1663" s="20"/>
      <c r="C1663" s="20"/>
      <c r="D1663" s="14" t="str">
        <f>IF($C1663="","",IFERROR(INDEX(Productos!$B$5:$B$504,MATCH($C1663,Productos!$A$5:$A$504,0)),"Clave no existe"))</f>
        <v/>
      </c>
      <c r="E1663" s="14" t="str">
        <f>IF($C1663="","",IFERROR(INDEX(Productos!$D$5:$D$504,MATCH($C1663,Productos!$A$5:$A$504,0)),""))</f>
        <v/>
      </c>
      <c r="F1663" s="20"/>
      <c r="G1663" s="22" t="str">
        <f>IF($C1663="","",IFERROR(INDEX(Productos!$F$5:$F$504,MATCH($C1663,Productos!$A$5:$A$504,0)),0))</f>
        <v/>
      </c>
      <c r="H1663" s="22" t="str">
        <f t="shared" si="25"/>
        <v/>
      </c>
      <c r="I1663" s="14" t="str">
        <f>IF(OR($C1663="",$F1663=""),"",IFERROR(INDEX(Productos!$I$5:$I$504,MATCH($C1663,Productos!$A$5:$A$504,0)),0)+SUMIFS($F$5:$F1663,$C$5:$C1663,$C1663,$B$5:$B1663,"Entrada")-SUMIFS($F$5:$F1663,$C$5:$C1663,$C1663,$B$5:$B1663,"Salida"))</f>
        <v/>
      </c>
      <c r="J1663" s="20"/>
      <c r="K1663" s="20"/>
      <c r="L1663" s="20"/>
      <c r="M1663" s="14" t="str">
        <f>IF(AND($C1663&lt;&gt;"",$C1663=Kardex!$C$4),COUNTIF($C$5:$C1663,Kardex!$C$4),"")</f>
        <v/>
      </c>
    </row>
    <row r="1664" spans="1:13" x14ac:dyDescent="0.25">
      <c r="A1664" s="24"/>
      <c r="B1664" s="20"/>
      <c r="C1664" s="20"/>
      <c r="D1664" s="14" t="str">
        <f>IF($C1664="","",IFERROR(INDEX(Productos!$B$5:$B$504,MATCH($C1664,Productos!$A$5:$A$504,0)),"Clave no existe"))</f>
        <v/>
      </c>
      <c r="E1664" s="14" t="str">
        <f>IF($C1664="","",IFERROR(INDEX(Productos!$D$5:$D$504,MATCH($C1664,Productos!$A$5:$A$504,0)),""))</f>
        <v/>
      </c>
      <c r="F1664" s="20"/>
      <c r="G1664" s="22" t="str">
        <f>IF($C1664="","",IFERROR(INDEX(Productos!$F$5:$F$504,MATCH($C1664,Productos!$A$5:$A$504,0)),0))</f>
        <v/>
      </c>
      <c r="H1664" s="22" t="str">
        <f t="shared" si="25"/>
        <v/>
      </c>
      <c r="I1664" s="14" t="str">
        <f>IF(OR($C1664="",$F1664=""),"",IFERROR(INDEX(Productos!$I$5:$I$504,MATCH($C1664,Productos!$A$5:$A$504,0)),0)+SUMIFS($F$5:$F1664,$C$5:$C1664,$C1664,$B$5:$B1664,"Entrada")-SUMIFS($F$5:$F1664,$C$5:$C1664,$C1664,$B$5:$B1664,"Salida"))</f>
        <v/>
      </c>
      <c r="J1664" s="20"/>
      <c r="K1664" s="20"/>
      <c r="L1664" s="20"/>
      <c r="M1664" s="14" t="str">
        <f>IF(AND($C1664&lt;&gt;"",$C1664=Kardex!$C$4),COUNTIF($C$5:$C1664,Kardex!$C$4),"")</f>
        <v/>
      </c>
    </row>
    <row r="1665" spans="1:13" x14ac:dyDescent="0.25">
      <c r="A1665" s="24"/>
      <c r="B1665" s="20"/>
      <c r="C1665" s="20"/>
      <c r="D1665" s="14" t="str">
        <f>IF($C1665="","",IFERROR(INDEX(Productos!$B$5:$B$504,MATCH($C1665,Productos!$A$5:$A$504,0)),"Clave no existe"))</f>
        <v/>
      </c>
      <c r="E1665" s="14" t="str">
        <f>IF($C1665="","",IFERROR(INDEX(Productos!$D$5:$D$504,MATCH($C1665,Productos!$A$5:$A$504,0)),""))</f>
        <v/>
      </c>
      <c r="F1665" s="20"/>
      <c r="G1665" s="22" t="str">
        <f>IF($C1665="","",IFERROR(INDEX(Productos!$F$5:$F$504,MATCH($C1665,Productos!$A$5:$A$504,0)),0))</f>
        <v/>
      </c>
      <c r="H1665" s="22" t="str">
        <f t="shared" si="25"/>
        <v/>
      </c>
      <c r="I1665" s="14" t="str">
        <f>IF(OR($C1665="",$F1665=""),"",IFERROR(INDEX(Productos!$I$5:$I$504,MATCH($C1665,Productos!$A$5:$A$504,0)),0)+SUMIFS($F$5:$F1665,$C$5:$C1665,$C1665,$B$5:$B1665,"Entrada")-SUMIFS($F$5:$F1665,$C$5:$C1665,$C1665,$B$5:$B1665,"Salida"))</f>
        <v/>
      </c>
      <c r="J1665" s="20"/>
      <c r="K1665" s="20"/>
      <c r="L1665" s="20"/>
      <c r="M1665" s="14" t="str">
        <f>IF(AND($C1665&lt;&gt;"",$C1665=Kardex!$C$4),COUNTIF($C$5:$C1665,Kardex!$C$4),"")</f>
        <v/>
      </c>
    </row>
    <row r="1666" spans="1:13" x14ac:dyDescent="0.25">
      <c r="A1666" s="24"/>
      <c r="B1666" s="20"/>
      <c r="C1666" s="20"/>
      <c r="D1666" s="14" t="str">
        <f>IF($C1666="","",IFERROR(INDEX(Productos!$B$5:$B$504,MATCH($C1666,Productos!$A$5:$A$504,0)),"Clave no existe"))</f>
        <v/>
      </c>
      <c r="E1666" s="14" t="str">
        <f>IF($C1666="","",IFERROR(INDEX(Productos!$D$5:$D$504,MATCH($C1666,Productos!$A$5:$A$504,0)),""))</f>
        <v/>
      </c>
      <c r="F1666" s="20"/>
      <c r="G1666" s="22" t="str">
        <f>IF($C1666="","",IFERROR(INDEX(Productos!$F$5:$F$504,MATCH($C1666,Productos!$A$5:$A$504,0)),0))</f>
        <v/>
      </c>
      <c r="H1666" s="22" t="str">
        <f t="shared" si="25"/>
        <v/>
      </c>
      <c r="I1666" s="14" t="str">
        <f>IF(OR($C1666="",$F1666=""),"",IFERROR(INDEX(Productos!$I$5:$I$504,MATCH($C1666,Productos!$A$5:$A$504,0)),0)+SUMIFS($F$5:$F1666,$C$5:$C1666,$C1666,$B$5:$B1666,"Entrada")-SUMIFS($F$5:$F1666,$C$5:$C1666,$C1666,$B$5:$B1666,"Salida"))</f>
        <v/>
      </c>
      <c r="J1666" s="20"/>
      <c r="K1666" s="20"/>
      <c r="L1666" s="20"/>
      <c r="M1666" s="14" t="str">
        <f>IF(AND($C1666&lt;&gt;"",$C1666=Kardex!$C$4),COUNTIF($C$5:$C1666,Kardex!$C$4),"")</f>
        <v/>
      </c>
    </row>
    <row r="1667" spans="1:13" x14ac:dyDescent="0.25">
      <c r="A1667" s="24"/>
      <c r="B1667" s="20"/>
      <c r="C1667" s="20"/>
      <c r="D1667" s="14" t="str">
        <f>IF($C1667="","",IFERROR(INDEX(Productos!$B$5:$B$504,MATCH($C1667,Productos!$A$5:$A$504,0)),"Clave no existe"))</f>
        <v/>
      </c>
      <c r="E1667" s="14" t="str">
        <f>IF($C1667="","",IFERROR(INDEX(Productos!$D$5:$D$504,MATCH($C1667,Productos!$A$5:$A$504,0)),""))</f>
        <v/>
      </c>
      <c r="F1667" s="20"/>
      <c r="G1667" s="22" t="str">
        <f>IF($C1667="","",IFERROR(INDEX(Productos!$F$5:$F$504,MATCH($C1667,Productos!$A$5:$A$504,0)),0))</f>
        <v/>
      </c>
      <c r="H1667" s="22" t="str">
        <f t="shared" si="25"/>
        <v/>
      </c>
      <c r="I1667" s="14" t="str">
        <f>IF(OR($C1667="",$F1667=""),"",IFERROR(INDEX(Productos!$I$5:$I$504,MATCH($C1667,Productos!$A$5:$A$504,0)),0)+SUMIFS($F$5:$F1667,$C$5:$C1667,$C1667,$B$5:$B1667,"Entrada")-SUMIFS($F$5:$F1667,$C$5:$C1667,$C1667,$B$5:$B1667,"Salida"))</f>
        <v/>
      </c>
      <c r="J1667" s="20"/>
      <c r="K1667" s="20"/>
      <c r="L1667" s="20"/>
      <c r="M1667" s="14" t="str">
        <f>IF(AND($C1667&lt;&gt;"",$C1667=Kardex!$C$4),COUNTIF($C$5:$C1667,Kardex!$C$4),"")</f>
        <v/>
      </c>
    </row>
    <row r="1668" spans="1:13" x14ac:dyDescent="0.25">
      <c r="A1668" s="24"/>
      <c r="B1668" s="20"/>
      <c r="C1668" s="20"/>
      <c r="D1668" s="14" t="str">
        <f>IF($C1668="","",IFERROR(INDEX(Productos!$B$5:$B$504,MATCH($C1668,Productos!$A$5:$A$504,0)),"Clave no existe"))</f>
        <v/>
      </c>
      <c r="E1668" s="14" t="str">
        <f>IF($C1668="","",IFERROR(INDEX(Productos!$D$5:$D$504,MATCH($C1668,Productos!$A$5:$A$504,0)),""))</f>
        <v/>
      </c>
      <c r="F1668" s="20"/>
      <c r="G1668" s="22" t="str">
        <f>IF($C1668="","",IFERROR(INDEX(Productos!$F$5:$F$504,MATCH($C1668,Productos!$A$5:$A$504,0)),0))</f>
        <v/>
      </c>
      <c r="H1668" s="22" t="str">
        <f t="shared" si="25"/>
        <v/>
      </c>
      <c r="I1668" s="14" t="str">
        <f>IF(OR($C1668="",$F1668=""),"",IFERROR(INDEX(Productos!$I$5:$I$504,MATCH($C1668,Productos!$A$5:$A$504,0)),0)+SUMIFS($F$5:$F1668,$C$5:$C1668,$C1668,$B$5:$B1668,"Entrada")-SUMIFS($F$5:$F1668,$C$5:$C1668,$C1668,$B$5:$B1668,"Salida"))</f>
        <v/>
      </c>
      <c r="J1668" s="20"/>
      <c r="K1668" s="20"/>
      <c r="L1668" s="20"/>
      <c r="M1668" s="14" t="str">
        <f>IF(AND($C1668&lt;&gt;"",$C1668=Kardex!$C$4),COUNTIF($C$5:$C1668,Kardex!$C$4),"")</f>
        <v/>
      </c>
    </row>
    <row r="1669" spans="1:13" x14ac:dyDescent="0.25">
      <c r="A1669" s="24"/>
      <c r="B1669" s="20"/>
      <c r="C1669" s="20"/>
      <c r="D1669" s="14" t="str">
        <f>IF($C1669="","",IFERROR(INDEX(Productos!$B$5:$B$504,MATCH($C1669,Productos!$A$5:$A$504,0)),"Clave no existe"))</f>
        <v/>
      </c>
      <c r="E1669" s="14" t="str">
        <f>IF($C1669="","",IFERROR(INDEX(Productos!$D$5:$D$504,MATCH($C1669,Productos!$A$5:$A$504,0)),""))</f>
        <v/>
      </c>
      <c r="F1669" s="20"/>
      <c r="G1669" s="22" t="str">
        <f>IF($C1669="","",IFERROR(INDEX(Productos!$F$5:$F$504,MATCH($C1669,Productos!$A$5:$A$504,0)),0))</f>
        <v/>
      </c>
      <c r="H1669" s="22" t="str">
        <f t="shared" ref="H1669:H1732" si="26">IF(OR($C1669="",$F1669=""),"",F1669*G1669)</f>
        <v/>
      </c>
      <c r="I1669" s="14" t="str">
        <f>IF(OR($C1669="",$F1669=""),"",IFERROR(INDEX(Productos!$I$5:$I$504,MATCH($C1669,Productos!$A$5:$A$504,0)),0)+SUMIFS($F$5:$F1669,$C$5:$C1669,$C1669,$B$5:$B1669,"Entrada")-SUMIFS($F$5:$F1669,$C$5:$C1669,$C1669,$B$5:$B1669,"Salida"))</f>
        <v/>
      </c>
      <c r="J1669" s="20"/>
      <c r="K1669" s="20"/>
      <c r="L1669" s="20"/>
      <c r="M1669" s="14" t="str">
        <f>IF(AND($C1669&lt;&gt;"",$C1669=Kardex!$C$4),COUNTIF($C$5:$C1669,Kardex!$C$4),"")</f>
        <v/>
      </c>
    </row>
    <row r="1670" spans="1:13" x14ac:dyDescent="0.25">
      <c r="A1670" s="24"/>
      <c r="B1670" s="20"/>
      <c r="C1670" s="20"/>
      <c r="D1670" s="14" t="str">
        <f>IF($C1670="","",IFERROR(INDEX(Productos!$B$5:$B$504,MATCH($C1670,Productos!$A$5:$A$504,0)),"Clave no existe"))</f>
        <v/>
      </c>
      <c r="E1670" s="14" t="str">
        <f>IF($C1670="","",IFERROR(INDEX(Productos!$D$5:$D$504,MATCH($C1670,Productos!$A$5:$A$504,0)),""))</f>
        <v/>
      </c>
      <c r="F1670" s="20"/>
      <c r="G1670" s="22" t="str">
        <f>IF($C1670="","",IFERROR(INDEX(Productos!$F$5:$F$504,MATCH($C1670,Productos!$A$5:$A$504,0)),0))</f>
        <v/>
      </c>
      <c r="H1670" s="22" t="str">
        <f t="shared" si="26"/>
        <v/>
      </c>
      <c r="I1670" s="14" t="str">
        <f>IF(OR($C1670="",$F1670=""),"",IFERROR(INDEX(Productos!$I$5:$I$504,MATCH($C1670,Productos!$A$5:$A$504,0)),0)+SUMIFS($F$5:$F1670,$C$5:$C1670,$C1670,$B$5:$B1670,"Entrada")-SUMIFS($F$5:$F1670,$C$5:$C1670,$C1670,$B$5:$B1670,"Salida"))</f>
        <v/>
      </c>
      <c r="J1670" s="20"/>
      <c r="K1670" s="20"/>
      <c r="L1670" s="20"/>
      <c r="M1670" s="14" t="str">
        <f>IF(AND($C1670&lt;&gt;"",$C1670=Kardex!$C$4),COUNTIF($C$5:$C1670,Kardex!$C$4),"")</f>
        <v/>
      </c>
    </row>
    <row r="1671" spans="1:13" x14ac:dyDescent="0.25">
      <c r="A1671" s="24"/>
      <c r="B1671" s="20"/>
      <c r="C1671" s="20"/>
      <c r="D1671" s="14" t="str">
        <f>IF($C1671="","",IFERROR(INDEX(Productos!$B$5:$B$504,MATCH($C1671,Productos!$A$5:$A$504,0)),"Clave no existe"))</f>
        <v/>
      </c>
      <c r="E1671" s="14" t="str">
        <f>IF($C1671="","",IFERROR(INDEX(Productos!$D$5:$D$504,MATCH($C1671,Productos!$A$5:$A$504,0)),""))</f>
        <v/>
      </c>
      <c r="F1671" s="20"/>
      <c r="G1671" s="22" t="str">
        <f>IF($C1671="","",IFERROR(INDEX(Productos!$F$5:$F$504,MATCH($C1671,Productos!$A$5:$A$504,0)),0))</f>
        <v/>
      </c>
      <c r="H1671" s="22" t="str">
        <f t="shared" si="26"/>
        <v/>
      </c>
      <c r="I1671" s="14" t="str">
        <f>IF(OR($C1671="",$F1671=""),"",IFERROR(INDEX(Productos!$I$5:$I$504,MATCH($C1671,Productos!$A$5:$A$504,0)),0)+SUMIFS($F$5:$F1671,$C$5:$C1671,$C1671,$B$5:$B1671,"Entrada")-SUMIFS($F$5:$F1671,$C$5:$C1671,$C1671,$B$5:$B1671,"Salida"))</f>
        <v/>
      </c>
      <c r="J1671" s="20"/>
      <c r="K1671" s="20"/>
      <c r="L1671" s="20"/>
      <c r="M1671" s="14" t="str">
        <f>IF(AND($C1671&lt;&gt;"",$C1671=Kardex!$C$4),COUNTIF($C$5:$C1671,Kardex!$C$4),"")</f>
        <v/>
      </c>
    </row>
    <row r="1672" spans="1:13" x14ac:dyDescent="0.25">
      <c r="A1672" s="24"/>
      <c r="B1672" s="20"/>
      <c r="C1672" s="20"/>
      <c r="D1672" s="14" t="str">
        <f>IF($C1672="","",IFERROR(INDEX(Productos!$B$5:$B$504,MATCH($C1672,Productos!$A$5:$A$504,0)),"Clave no existe"))</f>
        <v/>
      </c>
      <c r="E1672" s="14" t="str">
        <f>IF($C1672="","",IFERROR(INDEX(Productos!$D$5:$D$504,MATCH($C1672,Productos!$A$5:$A$504,0)),""))</f>
        <v/>
      </c>
      <c r="F1672" s="20"/>
      <c r="G1672" s="22" t="str">
        <f>IF($C1672="","",IFERROR(INDEX(Productos!$F$5:$F$504,MATCH($C1672,Productos!$A$5:$A$504,0)),0))</f>
        <v/>
      </c>
      <c r="H1672" s="22" t="str">
        <f t="shared" si="26"/>
        <v/>
      </c>
      <c r="I1672" s="14" t="str">
        <f>IF(OR($C1672="",$F1672=""),"",IFERROR(INDEX(Productos!$I$5:$I$504,MATCH($C1672,Productos!$A$5:$A$504,0)),0)+SUMIFS($F$5:$F1672,$C$5:$C1672,$C1672,$B$5:$B1672,"Entrada")-SUMIFS($F$5:$F1672,$C$5:$C1672,$C1672,$B$5:$B1672,"Salida"))</f>
        <v/>
      </c>
      <c r="J1672" s="20"/>
      <c r="K1672" s="20"/>
      <c r="L1672" s="20"/>
      <c r="M1672" s="14" t="str">
        <f>IF(AND($C1672&lt;&gt;"",$C1672=Kardex!$C$4),COUNTIF($C$5:$C1672,Kardex!$C$4),"")</f>
        <v/>
      </c>
    </row>
    <row r="1673" spans="1:13" x14ac:dyDescent="0.25">
      <c r="A1673" s="24"/>
      <c r="B1673" s="20"/>
      <c r="C1673" s="20"/>
      <c r="D1673" s="14" t="str">
        <f>IF($C1673="","",IFERROR(INDEX(Productos!$B$5:$B$504,MATCH($C1673,Productos!$A$5:$A$504,0)),"Clave no existe"))</f>
        <v/>
      </c>
      <c r="E1673" s="14" t="str">
        <f>IF($C1673="","",IFERROR(INDEX(Productos!$D$5:$D$504,MATCH($C1673,Productos!$A$5:$A$504,0)),""))</f>
        <v/>
      </c>
      <c r="F1673" s="20"/>
      <c r="G1673" s="22" t="str">
        <f>IF($C1673="","",IFERROR(INDEX(Productos!$F$5:$F$504,MATCH($C1673,Productos!$A$5:$A$504,0)),0))</f>
        <v/>
      </c>
      <c r="H1673" s="22" t="str">
        <f t="shared" si="26"/>
        <v/>
      </c>
      <c r="I1673" s="14" t="str">
        <f>IF(OR($C1673="",$F1673=""),"",IFERROR(INDEX(Productos!$I$5:$I$504,MATCH($C1673,Productos!$A$5:$A$504,0)),0)+SUMIFS($F$5:$F1673,$C$5:$C1673,$C1673,$B$5:$B1673,"Entrada")-SUMIFS($F$5:$F1673,$C$5:$C1673,$C1673,$B$5:$B1673,"Salida"))</f>
        <v/>
      </c>
      <c r="J1673" s="20"/>
      <c r="K1673" s="20"/>
      <c r="L1673" s="20"/>
      <c r="M1673" s="14" t="str">
        <f>IF(AND($C1673&lt;&gt;"",$C1673=Kardex!$C$4),COUNTIF($C$5:$C1673,Kardex!$C$4),"")</f>
        <v/>
      </c>
    </row>
    <row r="1674" spans="1:13" x14ac:dyDescent="0.25">
      <c r="A1674" s="24"/>
      <c r="B1674" s="20"/>
      <c r="C1674" s="20"/>
      <c r="D1674" s="14" t="str">
        <f>IF($C1674="","",IFERROR(INDEX(Productos!$B$5:$B$504,MATCH($C1674,Productos!$A$5:$A$504,0)),"Clave no existe"))</f>
        <v/>
      </c>
      <c r="E1674" s="14" t="str">
        <f>IF($C1674="","",IFERROR(INDEX(Productos!$D$5:$D$504,MATCH($C1674,Productos!$A$5:$A$504,0)),""))</f>
        <v/>
      </c>
      <c r="F1674" s="20"/>
      <c r="G1674" s="22" t="str">
        <f>IF($C1674="","",IFERROR(INDEX(Productos!$F$5:$F$504,MATCH($C1674,Productos!$A$5:$A$504,0)),0))</f>
        <v/>
      </c>
      <c r="H1674" s="22" t="str">
        <f t="shared" si="26"/>
        <v/>
      </c>
      <c r="I1674" s="14" t="str">
        <f>IF(OR($C1674="",$F1674=""),"",IFERROR(INDEX(Productos!$I$5:$I$504,MATCH($C1674,Productos!$A$5:$A$504,0)),0)+SUMIFS($F$5:$F1674,$C$5:$C1674,$C1674,$B$5:$B1674,"Entrada")-SUMIFS($F$5:$F1674,$C$5:$C1674,$C1674,$B$5:$B1674,"Salida"))</f>
        <v/>
      </c>
      <c r="J1674" s="20"/>
      <c r="K1674" s="20"/>
      <c r="L1674" s="20"/>
      <c r="M1674" s="14" t="str">
        <f>IF(AND($C1674&lt;&gt;"",$C1674=Kardex!$C$4),COUNTIF($C$5:$C1674,Kardex!$C$4),"")</f>
        <v/>
      </c>
    </row>
    <row r="1675" spans="1:13" x14ac:dyDescent="0.25">
      <c r="A1675" s="24"/>
      <c r="B1675" s="20"/>
      <c r="C1675" s="20"/>
      <c r="D1675" s="14" t="str">
        <f>IF($C1675="","",IFERROR(INDEX(Productos!$B$5:$B$504,MATCH($C1675,Productos!$A$5:$A$504,0)),"Clave no existe"))</f>
        <v/>
      </c>
      <c r="E1675" s="14" t="str">
        <f>IF($C1675="","",IFERROR(INDEX(Productos!$D$5:$D$504,MATCH($C1675,Productos!$A$5:$A$504,0)),""))</f>
        <v/>
      </c>
      <c r="F1675" s="20"/>
      <c r="G1675" s="22" t="str">
        <f>IF($C1675="","",IFERROR(INDEX(Productos!$F$5:$F$504,MATCH($C1675,Productos!$A$5:$A$504,0)),0))</f>
        <v/>
      </c>
      <c r="H1675" s="22" t="str">
        <f t="shared" si="26"/>
        <v/>
      </c>
      <c r="I1675" s="14" t="str">
        <f>IF(OR($C1675="",$F1675=""),"",IFERROR(INDEX(Productos!$I$5:$I$504,MATCH($C1675,Productos!$A$5:$A$504,0)),0)+SUMIFS($F$5:$F1675,$C$5:$C1675,$C1675,$B$5:$B1675,"Entrada")-SUMIFS($F$5:$F1675,$C$5:$C1675,$C1675,$B$5:$B1675,"Salida"))</f>
        <v/>
      </c>
      <c r="J1675" s="20"/>
      <c r="K1675" s="20"/>
      <c r="L1675" s="20"/>
      <c r="M1675" s="14" t="str">
        <f>IF(AND($C1675&lt;&gt;"",$C1675=Kardex!$C$4),COUNTIF($C$5:$C1675,Kardex!$C$4),"")</f>
        <v/>
      </c>
    </row>
    <row r="1676" spans="1:13" x14ac:dyDescent="0.25">
      <c r="A1676" s="24"/>
      <c r="B1676" s="20"/>
      <c r="C1676" s="20"/>
      <c r="D1676" s="14" t="str">
        <f>IF($C1676="","",IFERROR(INDEX(Productos!$B$5:$B$504,MATCH($C1676,Productos!$A$5:$A$504,0)),"Clave no existe"))</f>
        <v/>
      </c>
      <c r="E1676" s="14" t="str">
        <f>IF($C1676="","",IFERROR(INDEX(Productos!$D$5:$D$504,MATCH($C1676,Productos!$A$5:$A$504,0)),""))</f>
        <v/>
      </c>
      <c r="F1676" s="20"/>
      <c r="G1676" s="22" t="str">
        <f>IF($C1676="","",IFERROR(INDEX(Productos!$F$5:$F$504,MATCH($C1676,Productos!$A$5:$A$504,0)),0))</f>
        <v/>
      </c>
      <c r="H1676" s="22" t="str">
        <f t="shared" si="26"/>
        <v/>
      </c>
      <c r="I1676" s="14" t="str">
        <f>IF(OR($C1676="",$F1676=""),"",IFERROR(INDEX(Productos!$I$5:$I$504,MATCH($C1676,Productos!$A$5:$A$504,0)),0)+SUMIFS($F$5:$F1676,$C$5:$C1676,$C1676,$B$5:$B1676,"Entrada")-SUMIFS($F$5:$F1676,$C$5:$C1676,$C1676,$B$5:$B1676,"Salida"))</f>
        <v/>
      </c>
      <c r="J1676" s="20"/>
      <c r="K1676" s="20"/>
      <c r="L1676" s="20"/>
      <c r="M1676" s="14" t="str">
        <f>IF(AND($C1676&lt;&gt;"",$C1676=Kardex!$C$4),COUNTIF($C$5:$C1676,Kardex!$C$4),"")</f>
        <v/>
      </c>
    </row>
    <row r="1677" spans="1:13" x14ac:dyDescent="0.25">
      <c r="A1677" s="24"/>
      <c r="B1677" s="20"/>
      <c r="C1677" s="20"/>
      <c r="D1677" s="14" t="str">
        <f>IF($C1677="","",IFERROR(INDEX(Productos!$B$5:$B$504,MATCH($C1677,Productos!$A$5:$A$504,0)),"Clave no existe"))</f>
        <v/>
      </c>
      <c r="E1677" s="14" t="str">
        <f>IF($C1677="","",IFERROR(INDEX(Productos!$D$5:$D$504,MATCH($C1677,Productos!$A$5:$A$504,0)),""))</f>
        <v/>
      </c>
      <c r="F1677" s="20"/>
      <c r="G1677" s="22" t="str">
        <f>IF($C1677="","",IFERROR(INDEX(Productos!$F$5:$F$504,MATCH($C1677,Productos!$A$5:$A$504,0)),0))</f>
        <v/>
      </c>
      <c r="H1677" s="22" t="str">
        <f t="shared" si="26"/>
        <v/>
      </c>
      <c r="I1677" s="14" t="str">
        <f>IF(OR($C1677="",$F1677=""),"",IFERROR(INDEX(Productos!$I$5:$I$504,MATCH($C1677,Productos!$A$5:$A$504,0)),0)+SUMIFS($F$5:$F1677,$C$5:$C1677,$C1677,$B$5:$B1677,"Entrada")-SUMIFS($F$5:$F1677,$C$5:$C1677,$C1677,$B$5:$B1677,"Salida"))</f>
        <v/>
      </c>
      <c r="J1677" s="20"/>
      <c r="K1677" s="20"/>
      <c r="L1677" s="20"/>
      <c r="M1677" s="14" t="str">
        <f>IF(AND($C1677&lt;&gt;"",$C1677=Kardex!$C$4),COUNTIF($C$5:$C1677,Kardex!$C$4),"")</f>
        <v/>
      </c>
    </row>
    <row r="1678" spans="1:13" x14ac:dyDescent="0.25">
      <c r="A1678" s="24"/>
      <c r="B1678" s="20"/>
      <c r="C1678" s="20"/>
      <c r="D1678" s="14" t="str">
        <f>IF($C1678="","",IFERROR(INDEX(Productos!$B$5:$B$504,MATCH($C1678,Productos!$A$5:$A$504,0)),"Clave no existe"))</f>
        <v/>
      </c>
      <c r="E1678" s="14" t="str">
        <f>IF($C1678="","",IFERROR(INDEX(Productos!$D$5:$D$504,MATCH($C1678,Productos!$A$5:$A$504,0)),""))</f>
        <v/>
      </c>
      <c r="F1678" s="20"/>
      <c r="G1678" s="22" t="str">
        <f>IF($C1678="","",IFERROR(INDEX(Productos!$F$5:$F$504,MATCH($C1678,Productos!$A$5:$A$504,0)),0))</f>
        <v/>
      </c>
      <c r="H1678" s="22" t="str">
        <f t="shared" si="26"/>
        <v/>
      </c>
      <c r="I1678" s="14" t="str">
        <f>IF(OR($C1678="",$F1678=""),"",IFERROR(INDEX(Productos!$I$5:$I$504,MATCH($C1678,Productos!$A$5:$A$504,0)),0)+SUMIFS($F$5:$F1678,$C$5:$C1678,$C1678,$B$5:$B1678,"Entrada")-SUMIFS($F$5:$F1678,$C$5:$C1678,$C1678,$B$5:$B1678,"Salida"))</f>
        <v/>
      </c>
      <c r="J1678" s="20"/>
      <c r="K1678" s="20"/>
      <c r="L1678" s="20"/>
      <c r="M1678" s="14" t="str">
        <f>IF(AND($C1678&lt;&gt;"",$C1678=Kardex!$C$4),COUNTIF($C$5:$C1678,Kardex!$C$4),"")</f>
        <v/>
      </c>
    </row>
    <row r="1679" spans="1:13" x14ac:dyDescent="0.25">
      <c r="A1679" s="24"/>
      <c r="B1679" s="20"/>
      <c r="C1679" s="20"/>
      <c r="D1679" s="14" t="str">
        <f>IF($C1679="","",IFERROR(INDEX(Productos!$B$5:$B$504,MATCH($C1679,Productos!$A$5:$A$504,0)),"Clave no existe"))</f>
        <v/>
      </c>
      <c r="E1679" s="14" t="str">
        <f>IF($C1679="","",IFERROR(INDEX(Productos!$D$5:$D$504,MATCH($C1679,Productos!$A$5:$A$504,0)),""))</f>
        <v/>
      </c>
      <c r="F1679" s="20"/>
      <c r="G1679" s="22" t="str">
        <f>IF($C1679="","",IFERROR(INDEX(Productos!$F$5:$F$504,MATCH($C1679,Productos!$A$5:$A$504,0)),0))</f>
        <v/>
      </c>
      <c r="H1679" s="22" t="str">
        <f t="shared" si="26"/>
        <v/>
      </c>
      <c r="I1679" s="14" t="str">
        <f>IF(OR($C1679="",$F1679=""),"",IFERROR(INDEX(Productos!$I$5:$I$504,MATCH($C1679,Productos!$A$5:$A$504,0)),0)+SUMIFS($F$5:$F1679,$C$5:$C1679,$C1679,$B$5:$B1679,"Entrada")-SUMIFS($F$5:$F1679,$C$5:$C1679,$C1679,$B$5:$B1679,"Salida"))</f>
        <v/>
      </c>
      <c r="J1679" s="20"/>
      <c r="K1679" s="20"/>
      <c r="L1679" s="20"/>
      <c r="M1679" s="14" t="str">
        <f>IF(AND($C1679&lt;&gt;"",$C1679=Kardex!$C$4),COUNTIF($C$5:$C1679,Kardex!$C$4),"")</f>
        <v/>
      </c>
    </row>
    <row r="1680" spans="1:13" x14ac:dyDescent="0.25">
      <c r="A1680" s="24"/>
      <c r="B1680" s="20"/>
      <c r="C1680" s="20"/>
      <c r="D1680" s="14" t="str">
        <f>IF($C1680="","",IFERROR(INDEX(Productos!$B$5:$B$504,MATCH($C1680,Productos!$A$5:$A$504,0)),"Clave no existe"))</f>
        <v/>
      </c>
      <c r="E1680" s="14" t="str">
        <f>IF($C1680="","",IFERROR(INDEX(Productos!$D$5:$D$504,MATCH($C1680,Productos!$A$5:$A$504,0)),""))</f>
        <v/>
      </c>
      <c r="F1680" s="20"/>
      <c r="G1680" s="22" t="str">
        <f>IF($C1680="","",IFERROR(INDEX(Productos!$F$5:$F$504,MATCH($C1680,Productos!$A$5:$A$504,0)),0))</f>
        <v/>
      </c>
      <c r="H1680" s="22" t="str">
        <f t="shared" si="26"/>
        <v/>
      </c>
      <c r="I1680" s="14" t="str">
        <f>IF(OR($C1680="",$F1680=""),"",IFERROR(INDEX(Productos!$I$5:$I$504,MATCH($C1680,Productos!$A$5:$A$504,0)),0)+SUMIFS($F$5:$F1680,$C$5:$C1680,$C1680,$B$5:$B1680,"Entrada")-SUMIFS($F$5:$F1680,$C$5:$C1680,$C1680,$B$5:$B1680,"Salida"))</f>
        <v/>
      </c>
      <c r="J1680" s="20"/>
      <c r="K1680" s="20"/>
      <c r="L1680" s="20"/>
      <c r="M1680" s="14" t="str">
        <f>IF(AND($C1680&lt;&gt;"",$C1680=Kardex!$C$4),COUNTIF($C$5:$C1680,Kardex!$C$4),"")</f>
        <v/>
      </c>
    </row>
    <row r="1681" spans="1:13" x14ac:dyDescent="0.25">
      <c r="A1681" s="24"/>
      <c r="B1681" s="20"/>
      <c r="C1681" s="20"/>
      <c r="D1681" s="14" t="str">
        <f>IF($C1681="","",IFERROR(INDEX(Productos!$B$5:$B$504,MATCH($C1681,Productos!$A$5:$A$504,0)),"Clave no existe"))</f>
        <v/>
      </c>
      <c r="E1681" s="14" t="str">
        <f>IF($C1681="","",IFERROR(INDEX(Productos!$D$5:$D$504,MATCH($C1681,Productos!$A$5:$A$504,0)),""))</f>
        <v/>
      </c>
      <c r="F1681" s="20"/>
      <c r="G1681" s="22" t="str">
        <f>IF($C1681="","",IFERROR(INDEX(Productos!$F$5:$F$504,MATCH($C1681,Productos!$A$5:$A$504,0)),0))</f>
        <v/>
      </c>
      <c r="H1681" s="22" t="str">
        <f t="shared" si="26"/>
        <v/>
      </c>
      <c r="I1681" s="14" t="str">
        <f>IF(OR($C1681="",$F1681=""),"",IFERROR(INDEX(Productos!$I$5:$I$504,MATCH($C1681,Productos!$A$5:$A$504,0)),0)+SUMIFS($F$5:$F1681,$C$5:$C1681,$C1681,$B$5:$B1681,"Entrada")-SUMIFS($F$5:$F1681,$C$5:$C1681,$C1681,$B$5:$B1681,"Salida"))</f>
        <v/>
      </c>
      <c r="J1681" s="20"/>
      <c r="K1681" s="20"/>
      <c r="L1681" s="20"/>
      <c r="M1681" s="14" t="str">
        <f>IF(AND($C1681&lt;&gt;"",$C1681=Kardex!$C$4),COUNTIF($C$5:$C1681,Kardex!$C$4),"")</f>
        <v/>
      </c>
    </row>
    <row r="1682" spans="1:13" x14ac:dyDescent="0.25">
      <c r="A1682" s="24"/>
      <c r="B1682" s="20"/>
      <c r="C1682" s="20"/>
      <c r="D1682" s="14" t="str">
        <f>IF($C1682="","",IFERROR(INDEX(Productos!$B$5:$B$504,MATCH($C1682,Productos!$A$5:$A$504,0)),"Clave no existe"))</f>
        <v/>
      </c>
      <c r="E1682" s="14" t="str">
        <f>IF($C1682="","",IFERROR(INDEX(Productos!$D$5:$D$504,MATCH($C1682,Productos!$A$5:$A$504,0)),""))</f>
        <v/>
      </c>
      <c r="F1682" s="20"/>
      <c r="G1682" s="22" t="str">
        <f>IF($C1682="","",IFERROR(INDEX(Productos!$F$5:$F$504,MATCH($C1682,Productos!$A$5:$A$504,0)),0))</f>
        <v/>
      </c>
      <c r="H1682" s="22" t="str">
        <f t="shared" si="26"/>
        <v/>
      </c>
      <c r="I1682" s="14" t="str">
        <f>IF(OR($C1682="",$F1682=""),"",IFERROR(INDEX(Productos!$I$5:$I$504,MATCH($C1682,Productos!$A$5:$A$504,0)),0)+SUMIFS($F$5:$F1682,$C$5:$C1682,$C1682,$B$5:$B1682,"Entrada")-SUMIFS($F$5:$F1682,$C$5:$C1682,$C1682,$B$5:$B1682,"Salida"))</f>
        <v/>
      </c>
      <c r="J1682" s="20"/>
      <c r="K1682" s="20"/>
      <c r="L1682" s="20"/>
      <c r="M1682" s="14" t="str">
        <f>IF(AND($C1682&lt;&gt;"",$C1682=Kardex!$C$4),COUNTIF($C$5:$C1682,Kardex!$C$4),"")</f>
        <v/>
      </c>
    </row>
    <row r="1683" spans="1:13" x14ac:dyDescent="0.25">
      <c r="A1683" s="24"/>
      <c r="B1683" s="20"/>
      <c r="C1683" s="20"/>
      <c r="D1683" s="14" t="str">
        <f>IF($C1683="","",IFERROR(INDEX(Productos!$B$5:$B$504,MATCH($C1683,Productos!$A$5:$A$504,0)),"Clave no existe"))</f>
        <v/>
      </c>
      <c r="E1683" s="14" t="str">
        <f>IF($C1683="","",IFERROR(INDEX(Productos!$D$5:$D$504,MATCH($C1683,Productos!$A$5:$A$504,0)),""))</f>
        <v/>
      </c>
      <c r="F1683" s="20"/>
      <c r="G1683" s="22" t="str">
        <f>IF($C1683="","",IFERROR(INDEX(Productos!$F$5:$F$504,MATCH($C1683,Productos!$A$5:$A$504,0)),0))</f>
        <v/>
      </c>
      <c r="H1683" s="22" t="str">
        <f t="shared" si="26"/>
        <v/>
      </c>
      <c r="I1683" s="14" t="str">
        <f>IF(OR($C1683="",$F1683=""),"",IFERROR(INDEX(Productos!$I$5:$I$504,MATCH($C1683,Productos!$A$5:$A$504,0)),0)+SUMIFS($F$5:$F1683,$C$5:$C1683,$C1683,$B$5:$B1683,"Entrada")-SUMIFS($F$5:$F1683,$C$5:$C1683,$C1683,$B$5:$B1683,"Salida"))</f>
        <v/>
      </c>
      <c r="J1683" s="20"/>
      <c r="K1683" s="20"/>
      <c r="L1683" s="20"/>
      <c r="M1683" s="14" t="str">
        <f>IF(AND($C1683&lt;&gt;"",$C1683=Kardex!$C$4),COUNTIF($C$5:$C1683,Kardex!$C$4),"")</f>
        <v/>
      </c>
    </row>
    <row r="1684" spans="1:13" x14ac:dyDescent="0.25">
      <c r="A1684" s="24"/>
      <c r="B1684" s="20"/>
      <c r="C1684" s="20"/>
      <c r="D1684" s="14" t="str">
        <f>IF($C1684="","",IFERROR(INDEX(Productos!$B$5:$B$504,MATCH($C1684,Productos!$A$5:$A$504,0)),"Clave no existe"))</f>
        <v/>
      </c>
      <c r="E1684" s="14" t="str">
        <f>IF($C1684="","",IFERROR(INDEX(Productos!$D$5:$D$504,MATCH($C1684,Productos!$A$5:$A$504,0)),""))</f>
        <v/>
      </c>
      <c r="F1684" s="20"/>
      <c r="G1684" s="22" t="str">
        <f>IF($C1684="","",IFERROR(INDEX(Productos!$F$5:$F$504,MATCH($C1684,Productos!$A$5:$A$504,0)),0))</f>
        <v/>
      </c>
      <c r="H1684" s="22" t="str">
        <f t="shared" si="26"/>
        <v/>
      </c>
      <c r="I1684" s="14" t="str">
        <f>IF(OR($C1684="",$F1684=""),"",IFERROR(INDEX(Productos!$I$5:$I$504,MATCH($C1684,Productos!$A$5:$A$504,0)),0)+SUMIFS($F$5:$F1684,$C$5:$C1684,$C1684,$B$5:$B1684,"Entrada")-SUMIFS($F$5:$F1684,$C$5:$C1684,$C1684,$B$5:$B1684,"Salida"))</f>
        <v/>
      </c>
      <c r="J1684" s="20"/>
      <c r="K1684" s="20"/>
      <c r="L1684" s="20"/>
      <c r="M1684" s="14" t="str">
        <f>IF(AND($C1684&lt;&gt;"",$C1684=Kardex!$C$4),COUNTIF($C$5:$C1684,Kardex!$C$4),"")</f>
        <v/>
      </c>
    </row>
    <row r="1685" spans="1:13" x14ac:dyDescent="0.25">
      <c r="A1685" s="24"/>
      <c r="B1685" s="20"/>
      <c r="C1685" s="20"/>
      <c r="D1685" s="14" t="str">
        <f>IF($C1685="","",IFERROR(INDEX(Productos!$B$5:$B$504,MATCH($C1685,Productos!$A$5:$A$504,0)),"Clave no existe"))</f>
        <v/>
      </c>
      <c r="E1685" s="14" t="str">
        <f>IF($C1685="","",IFERROR(INDEX(Productos!$D$5:$D$504,MATCH($C1685,Productos!$A$5:$A$504,0)),""))</f>
        <v/>
      </c>
      <c r="F1685" s="20"/>
      <c r="G1685" s="22" t="str">
        <f>IF($C1685="","",IFERROR(INDEX(Productos!$F$5:$F$504,MATCH($C1685,Productos!$A$5:$A$504,0)),0))</f>
        <v/>
      </c>
      <c r="H1685" s="22" t="str">
        <f t="shared" si="26"/>
        <v/>
      </c>
      <c r="I1685" s="14" t="str">
        <f>IF(OR($C1685="",$F1685=""),"",IFERROR(INDEX(Productos!$I$5:$I$504,MATCH($C1685,Productos!$A$5:$A$504,0)),0)+SUMIFS($F$5:$F1685,$C$5:$C1685,$C1685,$B$5:$B1685,"Entrada")-SUMIFS($F$5:$F1685,$C$5:$C1685,$C1685,$B$5:$B1685,"Salida"))</f>
        <v/>
      </c>
      <c r="J1685" s="20"/>
      <c r="K1685" s="20"/>
      <c r="L1685" s="20"/>
      <c r="M1685" s="14" t="str">
        <f>IF(AND($C1685&lt;&gt;"",$C1685=Kardex!$C$4),COUNTIF($C$5:$C1685,Kardex!$C$4),"")</f>
        <v/>
      </c>
    </row>
    <row r="1686" spans="1:13" x14ac:dyDescent="0.25">
      <c r="A1686" s="24"/>
      <c r="B1686" s="20"/>
      <c r="C1686" s="20"/>
      <c r="D1686" s="14" t="str">
        <f>IF($C1686="","",IFERROR(INDEX(Productos!$B$5:$B$504,MATCH($C1686,Productos!$A$5:$A$504,0)),"Clave no existe"))</f>
        <v/>
      </c>
      <c r="E1686" s="14" t="str">
        <f>IF($C1686="","",IFERROR(INDEX(Productos!$D$5:$D$504,MATCH($C1686,Productos!$A$5:$A$504,0)),""))</f>
        <v/>
      </c>
      <c r="F1686" s="20"/>
      <c r="G1686" s="22" t="str">
        <f>IF($C1686="","",IFERROR(INDEX(Productos!$F$5:$F$504,MATCH($C1686,Productos!$A$5:$A$504,0)),0))</f>
        <v/>
      </c>
      <c r="H1686" s="22" t="str">
        <f t="shared" si="26"/>
        <v/>
      </c>
      <c r="I1686" s="14" t="str">
        <f>IF(OR($C1686="",$F1686=""),"",IFERROR(INDEX(Productos!$I$5:$I$504,MATCH($C1686,Productos!$A$5:$A$504,0)),0)+SUMIFS($F$5:$F1686,$C$5:$C1686,$C1686,$B$5:$B1686,"Entrada")-SUMIFS($F$5:$F1686,$C$5:$C1686,$C1686,$B$5:$B1686,"Salida"))</f>
        <v/>
      </c>
      <c r="J1686" s="20"/>
      <c r="K1686" s="20"/>
      <c r="L1686" s="20"/>
      <c r="M1686" s="14" t="str">
        <f>IF(AND($C1686&lt;&gt;"",$C1686=Kardex!$C$4),COUNTIF($C$5:$C1686,Kardex!$C$4),"")</f>
        <v/>
      </c>
    </row>
    <row r="1687" spans="1:13" x14ac:dyDescent="0.25">
      <c r="A1687" s="24"/>
      <c r="B1687" s="20"/>
      <c r="C1687" s="20"/>
      <c r="D1687" s="14" t="str">
        <f>IF($C1687="","",IFERROR(INDEX(Productos!$B$5:$B$504,MATCH($C1687,Productos!$A$5:$A$504,0)),"Clave no existe"))</f>
        <v/>
      </c>
      <c r="E1687" s="14" t="str">
        <f>IF($C1687="","",IFERROR(INDEX(Productos!$D$5:$D$504,MATCH($C1687,Productos!$A$5:$A$504,0)),""))</f>
        <v/>
      </c>
      <c r="F1687" s="20"/>
      <c r="G1687" s="22" t="str">
        <f>IF($C1687="","",IFERROR(INDEX(Productos!$F$5:$F$504,MATCH($C1687,Productos!$A$5:$A$504,0)),0))</f>
        <v/>
      </c>
      <c r="H1687" s="22" t="str">
        <f t="shared" si="26"/>
        <v/>
      </c>
      <c r="I1687" s="14" t="str">
        <f>IF(OR($C1687="",$F1687=""),"",IFERROR(INDEX(Productos!$I$5:$I$504,MATCH($C1687,Productos!$A$5:$A$504,0)),0)+SUMIFS($F$5:$F1687,$C$5:$C1687,$C1687,$B$5:$B1687,"Entrada")-SUMIFS($F$5:$F1687,$C$5:$C1687,$C1687,$B$5:$B1687,"Salida"))</f>
        <v/>
      </c>
      <c r="J1687" s="20"/>
      <c r="K1687" s="20"/>
      <c r="L1687" s="20"/>
      <c r="M1687" s="14" t="str">
        <f>IF(AND($C1687&lt;&gt;"",$C1687=Kardex!$C$4),COUNTIF($C$5:$C1687,Kardex!$C$4),"")</f>
        <v/>
      </c>
    </row>
    <row r="1688" spans="1:13" x14ac:dyDescent="0.25">
      <c r="A1688" s="24"/>
      <c r="B1688" s="20"/>
      <c r="C1688" s="20"/>
      <c r="D1688" s="14" t="str">
        <f>IF($C1688="","",IFERROR(INDEX(Productos!$B$5:$B$504,MATCH($C1688,Productos!$A$5:$A$504,0)),"Clave no existe"))</f>
        <v/>
      </c>
      <c r="E1688" s="14" t="str">
        <f>IF($C1688="","",IFERROR(INDEX(Productos!$D$5:$D$504,MATCH($C1688,Productos!$A$5:$A$504,0)),""))</f>
        <v/>
      </c>
      <c r="F1688" s="20"/>
      <c r="G1688" s="22" t="str">
        <f>IF($C1688="","",IFERROR(INDEX(Productos!$F$5:$F$504,MATCH($C1688,Productos!$A$5:$A$504,0)),0))</f>
        <v/>
      </c>
      <c r="H1688" s="22" t="str">
        <f t="shared" si="26"/>
        <v/>
      </c>
      <c r="I1688" s="14" t="str">
        <f>IF(OR($C1688="",$F1688=""),"",IFERROR(INDEX(Productos!$I$5:$I$504,MATCH($C1688,Productos!$A$5:$A$504,0)),0)+SUMIFS($F$5:$F1688,$C$5:$C1688,$C1688,$B$5:$B1688,"Entrada")-SUMIFS($F$5:$F1688,$C$5:$C1688,$C1688,$B$5:$B1688,"Salida"))</f>
        <v/>
      </c>
      <c r="J1688" s="20"/>
      <c r="K1688" s="20"/>
      <c r="L1688" s="20"/>
      <c r="M1688" s="14" t="str">
        <f>IF(AND($C1688&lt;&gt;"",$C1688=Kardex!$C$4),COUNTIF($C$5:$C1688,Kardex!$C$4),"")</f>
        <v/>
      </c>
    </row>
    <row r="1689" spans="1:13" x14ac:dyDescent="0.25">
      <c r="A1689" s="24"/>
      <c r="B1689" s="20"/>
      <c r="C1689" s="20"/>
      <c r="D1689" s="14" t="str">
        <f>IF($C1689="","",IFERROR(INDEX(Productos!$B$5:$B$504,MATCH($C1689,Productos!$A$5:$A$504,0)),"Clave no existe"))</f>
        <v/>
      </c>
      <c r="E1689" s="14" t="str">
        <f>IF($C1689="","",IFERROR(INDEX(Productos!$D$5:$D$504,MATCH($C1689,Productos!$A$5:$A$504,0)),""))</f>
        <v/>
      </c>
      <c r="F1689" s="20"/>
      <c r="G1689" s="22" t="str">
        <f>IF($C1689="","",IFERROR(INDEX(Productos!$F$5:$F$504,MATCH($C1689,Productos!$A$5:$A$504,0)),0))</f>
        <v/>
      </c>
      <c r="H1689" s="22" t="str">
        <f t="shared" si="26"/>
        <v/>
      </c>
      <c r="I1689" s="14" t="str">
        <f>IF(OR($C1689="",$F1689=""),"",IFERROR(INDEX(Productos!$I$5:$I$504,MATCH($C1689,Productos!$A$5:$A$504,0)),0)+SUMIFS($F$5:$F1689,$C$5:$C1689,$C1689,$B$5:$B1689,"Entrada")-SUMIFS($F$5:$F1689,$C$5:$C1689,$C1689,$B$5:$B1689,"Salida"))</f>
        <v/>
      </c>
      <c r="J1689" s="20"/>
      <c r="K1689" s="20"/>
      <c r="L1689" s="20"/>
      <c r="M1689" s="14" t="str">
        <f>IF(AND($C1689&lt;&gt;"",$C1689=Kardex!$C$4),COUNTIF($C$5:$C1689,Kardex!$C$4),"")</f>
        <v/>
      </c>
    </row>
    <row r="1690" spans="1:13" x14ac:dyDescent="0.25">
      <c r="A1690" s="24"/>
      <c r="B1690" s="20"/>
      <c r="C1690" s="20"/>
      <c r="D1690" s="14" t="str">
        <f>IF($C1690="","",IFERROR(INDEX(Productos!$B$5:$B$504,MATCH($C1690,Productos!$A$5:$A$504,0)),"Clave no existe"))</f>
        <v/>
      </c>
      <c r="E1690" s="14" t="str">
        <f>IF($C1690="","",IFERROR(INDEX(Productos!$D$5:$D$504,MATCH($C1690,Productos!$A$5:$A$504,0)),""))</f>
        <v/>
      </c>
      <c r="F1690" s="20"/>
      <c r="G1690" s="22" t="str">
        <f>IF($C1690="","",IFERROR(INDEX(Productos!$F$5:$F$504,MATCH($C1690,Productos!$A$5:$A$504,0)),0))</f>
        <v/>
      </c>
      <c r="H1690" s="22" t="str">
        <f t="shared" si="26"/>
        <v/>
      </c>
      <c r="I1690" s="14" t="str">
        <f>IF(OR($C1690="",$F1690=""),"",IFERROR(INDEX(Productos!$I$5:$I$504,MATCH($C1690,Productos!$A$5:$A$504,0)),0)+SUMIFS($F$5:$F1690,$C$5:$C1690,$C1690,$B$5:$B1690,"Entrada")-SUMIFS($F$5:$F1690,$C$5:$C1690,$C1690,$B$5:$B1690,"Salida"))</f>
        <v/>
      </c>
      <c r="J1690" s="20"/>
      <c r="K1690" s="20"/>
      <c r="L1690" s="20"/>
      <c r="M1690" s="14" t="str">
        <f>IF(AND($C1690&lt;&gt;"",$C1690=Kardex!$C$4),COUNTIF($C$5:$C1690,Kardex!$C$4),"")</f>
        <v/>
      </c>
    </row>
    <row r="1691" spans="1:13" x14ac:dyDescent="0.25">
      <c r="A1691" s="24"/>
      <c r="B1691" s="20"/>
      <c r="C1691" s="20"/>
      <c r="D1691" s="14" t="str">
        <f>IF($C1691="","",IFERROR(INDEX(Productos!$B$5:$B$504,MATCH($C1691,Productos!$A$5:$A$504,0)),"Clave no existe"))</f>
        <v/>
      </c>
      <c r="E1691" s="14" t="str">
        <f>IF($C1691="","",IFERROR(INDEX(Productos!$D$5:$D$504,MATCH($C1691,Productos!$A$5:$A$504,0)),""))</f>
        <v/>
      </c>
      <c r="F1691" s="20"/>
      <c r="G1691" s="22" t="str">
        <f>IF($C1691="","",IFERROR(INDEX(Productos!$F$5:$F$504,MATCH($C1691,Productos!$A$5:$A$504,0)),0))</f>
        <v/>
      </c>
      <c r="H1691" s="22" t="str">
        <f t="shared" si="26"/>
        <v/>
      </c>
      <c r="I1691" s="14" t="str">
        <f>IF(OR($C1691="",$F1691=""),"",IFERROR(INDEX(Productos!$I$5:$I$504,MATCH($C1691,Productos!$A$5:$A$504,0)),0)+SUMIFS($F$5:$F1691,$C$5:$C1691,$C1691,$B$5:$B1691,"Entrada")-SUMIFS($F$5:$F1691,$C$5:$C1691,$C1691,$B$5:$B1691,"Salida"))</f>
        <v/>
      </c>
      <c r="J1691" s="20"/>
      <c r="K1691" s="20"/>
      <c r="L1691" s="20"/>
      <c r="M1691" s="14" t="str">
        <f>IF(AND($C1691&lt;&gt;"",$C1691=Kardex!$C$4),COUNTIF($C$5:$C1691,Kardex!$C$4),"")</f>
        <v/>
      </c>
    </row>
    <row r="1692" spans="1:13" x14ac:dyDescent="0.25">
      <c r="A1692" s="24"/>
      <c r="B1692" s="20"/>
      <c r="C1692" s="20"/>
      <c r="D1692" s="14" t="str">
        <f>IF($C1692="","",IFERROR(INDEX(Productos!$B$5:$B$504,MATCH($C1692,Productos!$A$5:$A$504,0)),"Clave no existe"))</f>
        <v/>
      </c>
      <c r="E1692" s="14" t="str">
        <f>IF($C1692="","",IFERROR(INDEX(Productos!$D$5:$D$504,MATCH($C1692,Productos!$A$5:$A$504,0)),""))</f>
        <v/>
      </c>
      <c r="F1692" s="20"/>
      <c r="G1692" s="22" t="str">
        <f>IF($C1692="","",IFERROR(INDEX(Productos!$F$5:$F$504,MATCH($C1692,Productos!$A$5:$A$504,0)),0))</f>
        <v/>
      </c>
      <c r="H1692" s="22" t="str">
        <f t="shared" si="26"/>
        <v/>
      </c>
      <c r="I1692" s="14" t="str">
        <f>IF(OR($C1692="",$F1692=""),"",IFERROR(INDEX(Productos!$I$5:$I$504,MATCH($C1692,Productos!$A$5:$A$504,0)),0)+SUMIFS($F$5:$F1692,$C$5:$C1692,$C1692,$B$5:$B1692,"Entrada")-SUMIFS($F$5:$F1692,$C$5:$C1692,$C1692,$B$5:$B1692,"Salida"))</f>
        <v/>
      </c>
      <c r="J1692" s="20"/>
      <c r="K1692" s="20"/>
      <c r="L1692" s="20"/>
      <c r="M1692" s="14" t="str">
        <f>IF(AND($C1692&lt;&gt;"",$C1692=Kardex!$C$4),COUNTIF($C$5:$C1692,Kardex!$C$4),"")</f>
        <v/>
      </c>
    </row>
    <row r="1693" spans="1:13" x14ac:dyDescent="0.25">
      <c r="A1693" s="24"/>
      <c r="B1693" s="20"/>
      <c r="C1693" s="20"/>
      <c r="D1693" s="14" t="str">
        <f>IF($C1693="","",IFERROR(INDEX(Productos!$B$5:$B$504,MATCH($C1693,Productos!$A$5:$A$504,0)),"Clave no existe"))</f>
        <v/>
      </c>
      <c r="E1693" s="14" t="str">
        <f>IF($C1693="","",IFERROR(INDEX(Productos!$D$5:$D$504,MATCH($C1693,Productos!$A$5:$A$504,0)),""))</f>
        <v/>
      </c>
      <c r="F1693" s="20"/>
      <c r="G1693" s="22" t="str">
        <f>IF($C1693="","",IFERROR(INDEX(Productos!$F$5:$F$504,MATCH($C1693,Productos!$A$5:$A$504,0)),0))</f>
        <v/>
      </c>
      <c r="H1693" s="22" t="str">
        <f t="shared" si="26"/>
        <v/>
      </c>
      <c r="I1693" s="14" t="str">
        <f>IF(OR($C1693="",$F1693=""),"",IFERROR(INDEX(Productos!$I$5:$I$504,MATCH($C1693,Productos!$A$5:$A$504,0)),0)+SUMIFS($F$5:$F1693,$C$5:$C1693,$C1693,$B$5:$B1693,"Entrada")-SUMIFS($F$5:$F1693,$C$5:$C1693,$C1693,$B$5:$B1693,"Salida"))</f>
        <v/>
      </c>
      <c r="J1693" s="20"/>
      <c r="K1693" s="20"/>
      <c r="L1693" s="20"/>
      <c r="M1693" s="14" t="str">
        <f>IF(AND($C1693&lt;&gt;"",$C1693=Kardex!$C$4),COUNTIF($C$5:$C1693,Kardex!$C$4),"")</f>
        <v/>
      </c>
    </row>
    <row r="1694" spans="1:13" x14ac:dyDescent="0.25">
      <c r="A1694" s="24"/>
      <c r="B1694" s="20"/>
      <c r="C1694" s="20"/>
      <c r="D1694" s="14" t="str">
        <f>IF($C1694="","",IFERROR(INDEX(Productos!$B$5:$B$504,MATCH($C1694,Productos!$A$5:$A$504,0)),"Clave no existe"))</f>
        <v/>
      </c>
      <c r="E1694" s="14" t="str">
        <f>IF($C1694="","",IFERROR(INDEX(Productos!$D$5:$D$504,MATCH($C1694,Productos!$A$5:$A$504,0)),""))</f>
        <v/>
      </c>
      <c r="F1694" s="20"/>
      <c r="G1694" s="22" t="str">
        <f>IF($C1694="","",IFERROR(INDEX(Productos!$F$5:$F$504,MATCH($C1694,Productos!$A$5:$A$504,0)),0))</f>
        <v/>
      </c>
      <c r="H1694" s="22" t="str">
        <f t="shared" si="26"/>
        <v/>
      </c>
      <c r="I1694" s="14" t="str">
        <f>IF(OR($C1694="",$F1694=""),"",IFERROR(INDEX(Productos!$I$5:$I$504,MATCH($C1694,Productos!$A$5:$A$504,0)),0)+SUMIFS($F$5:$F1694,$C$5:$C1694,$C1694,$B$5:$B1694,"Entrada")-SUMIFS($F$5:$F1694,$C$5:$C1694,$C1694,$B$5:$B1694,"Salida"))</f>
        <v/>
      </c>
      <c r="J1694" s="20"/>
      <c r="K1694" s="20"/>
      <c r="L1694" s="20"/>
      <c r="M1694" s="14" t="str">
        <f>IF(AND($C1694&lt;&gt;"",$C1694=Kardex!$C$4),COUNTIF($C$5:$C1694,Kardex!$C$4),"")</f>
        <v/>
      </c>
    </row>
    <row r="1695" spans="1:13" x14ac:dyDescent="0.25">
      <c r="A1695" s="24"/>
      <c r="B1695" s="20"/>
      <c r="C1695" s="20"/>
      <c r="D1695" s="14" t="str">
        <f>IF($C1695="","",IFERROR(INDEX(Productos!$B$5:$B$504,MATCH($C1695,Productos!$A$5:$A$504,0)),"Clave no existe"))</f>
        <v/>
      </c>
      <c r="E1695" s="14" t="str">
        <f>IF($C1695="","",IFERROR(INDEX(Productos!$D$5:$D$504,MATCH($C1695,Productos!$A$5:$A$504,0)),""))</f>
        <v/>
      </c>
      <c r="F1695" s="20"/>
      <c r="G1695" s="22" t="str">
        <f>IF($C1695="","",IFERROR(INDEX(Productos!$F$5:$F$504,MATCH($C1695,Productos!$A$5:$A$504,0)),0))</f>
        <v/>
      </c>
      <c r="H1695" s="22" t="str">
        <f t="shared" si="26"/>
        <v/>
      </c>
      <c r="I1695" s="14" t="str">
        <f>IF(OR($C1695="",$F1695=""),"",IFERROR(INDEX(Productos!$I$5:$I$504,MATCH($C1695,Productos!$A$5:$A$504,0)),0)+SUMIFS($F$5:$F1695,$C$5:$C1695,$C1695,$B$5:$B1695,"Entrada")-SUMIFS($F$5:$F1695,$C$5:$C1695,$C1695,$B$5:$B1695,"Salida"))</f>
        <v/>
      </c>
      <c r="J1695" s="20"/>
      <c r="K1695" s="20"/>
      <c r="L1695" s="20"/>
      <c r="M1695" s="14" t="str">
        <f>IF(AND($C1695&lt;&gt;"",$C1695=Kardex!$C$4),COUNTIF($C$5:$C1695,Kardex!$C$4),"")</f>
        <v/>
      </c>
    </row>
    <row r="1696" spans="1:13" x14ac:dyDescent="0.25">
      <c r="A1696" s="24"/>
      <c r="B1696" s="20"/>
      <c r="C1696" s="20"/>
      <c r="D1696" s="14" t="str">
        <f>IF($C1696="","",IFERROR(INDEX(Productos!$B$5:$B$504,MATCH($C1696,Productos!$A$5:$A$504,0)),"Clave no existe"))</f>
        <v/>
      </c>
      <c r="E1696" s="14" t="str">
        <f>IF($C1696="","",IFERROR(INDEX(Productos!$D$5:$D$504,MATCH($C1696,Productos!$A$5:$A$504,0)),""))</f>
        <v/>
      </c>
      <c r="F1696" s="20"/>
      <c r="G1696" s="22" t="str">
        <f>IF($C1696="","",IFERROR(INDEX(Productos!$F$5:$F$504,MATCH($C1696,Productos!$A$5:$A$504,0)),0))</f>
        <v/>
      </c>
      <c r="H1696" s="22" t="str">
        <f t="shared" si="26"/>
        <v/>
      </c>
      <c r="I1696" s="14" t="str">
        <f>IF(OR($C1696="",$F1696=""),"",IFERROR(INDEX(Productos!$I$5:$I$504,MATCH($C1696,Productos!$A$5:$A$504,0)),0)+SUMIFS($F$5:$F1696,$C$5:$C1696,$C1696,$B$5:$B1696,"Entrada")-SUMIFS($F$5:$F1696,$C$5:$C1696,$C1696,$B$5:$B1696,"Salida"))</f>
        <v/>
      </c>
      <c r="J1696" s="20"/>
      <c r="K1696" s="20"/>
      <c r="L1696" s="20"/>
      <c r="M1696" s="14" t="str">
        <f>IF(AND($C1696&lt;&gt;"",$C1696=Kardex!$C$4),COUNTIF($C$5:$C1696,Kardex!$C$4),"")</f>
        <v/>
      </c>
    </row>
    <row r="1697" spans="1:13" x14ac:dyDescent="0.25">
      <c r="A1697" s="24"/>
      <c r="B1697" s="20"/>
      <c r="C1697" s="20"/>
      <c r="D1697" s="14" t="str">
        <f>IF($C1697="","",IFERROR(INDEX(Productos!$B$5:$B$504,MATCH($C1697,Productos!$A$5:$A$504,0)),"Clave no existe"))</f>
        <v/>
      </c>
      <c r="E1697" s="14" t="str">
        <f>IF($C1697="","",IFERROR(INDEX(Productos!$D$5:$D$504,MATCH($C1697,Productos!$A$5:$A$504,0)),""))</f>
        <v/>
      </c>
      <c r="F1697" s="20"/>
      <c r="G1697" s="22" t="str">
        <f>IF($C1697="","",IFERROR(INDEX(Productos!$F$5:$F$504,MATCH($C1697,Productos!$A$5:$A$504,0)),0))</f>
        <v/>
      </c>
      <c r="H1697" s="22" t="str">
        <f t="shared" si="26"/>
        <v/>
      </c>
      <c r="I1697" s="14" t="str">
        <f>IF(OR($C1697="",$F1697=""),"",IFERROR(INDEX(Productos!$I$5:$I$504,MATCH($C1697,Productos!$A$5:$A$504,0)),0)+SUMIFS($F$5:$F1697,$C$5:$C1697,$C1697,$B$5:$B1697,"Entrada")-SUMIFS($F$5:$F1697,$C$5:$C1697,$C1697,$B$5:$B1697,"Salida"))</f>
        <v/>
      </c>
      <c r="J1697" s="20"/>
      <c r="K1697" s="20"/>
      <c r="L1697" s="20"/>
      <c r="M1697" s="14" t="str">
        <f>IF(AND($C1697&lt;&gt;"",$C1697=Kardex!$C$4),COUNTIF($C$5:$C1697,Kardex!$C$4),"")</f>
        <v/>
      </c>
    </row>
    <row r="1698" spans="1:13" x14ac:dyDescent="0.25">
      <c r="A1698" s="24"/>
      <c r="B1698" s="20"/>
      <c r="C1698" s="20"/>
      <c r="D1698" s="14" t="str">
        <f>IF($C1698="","",IFERROR(INDEX(Productos!$B$5:$B$504,MATCH($C1698,Productos!$A$5:$A$504,0)),"Clave no existe"))</f>
        <v/>
      </c>
      <c r="E1698" s="14" t="str">
        <f>IF($C1698="","",IFERROR(INDEX(Productos!$D$5:$D$504,MATCH($C1698,Productos!$A$5:$A$504,0)),""))</f>
        <v/>
      </c>
      <c r="F1698" s="20"/>
      <c r="G1698" s="22" t="str">
        <f>IF($C1698="","",IFERROR(INDEX(Productos!$F$5:$F$504,MATCH($C1698,Productos!$A$5:$A$504,0)),0))</f>
        <v/>
      </c>
      <c r="H1698" s="22" t="str">
        <f t="shared" si="26"/>
        <v/>
      </c>
      <c r="I1698" s="14" t="str">
        <f>IF(OR($C1698="",$F1698=""),"",IFERROR(INDEX(Productos!$I$5:$I$504,MATCH($C1698,Productos!$A$5:$A$504,0)),0)+SUMIFS($F$5:$F1698,$C$5:$C1698,$C1698,$B$5:$B1698,"Entrada")-SUMIFS($F$5:$F1698,$C$5:$C1698,$C1698,$B$5:$B1698,"Salida"))</f>
        <v/>
      </c>
      <c r="J1698" s="20"/>
      <c r="K1698" s="20"/>
      <c r="L1698" s="20"/>
      <c r="M1698" s="14" t="str">
        <f>IF(AND($C1698&lt;&gt;"",$C1698=Kardex!$C$4),COUNTIF($C$5:$C1698,Kardex!$C$4),"")</f>
        <v/>
      </c>
    </row>
    <row r="1699" spans="1:13" x14ac:dyDescent="0.25">
      <c r="A1699" s="24"/>
      <c r="B1699" s="20"/>
      <c r="C1699" s="20"/>
      <c r="D1699" s="14" t="str">
        <f>IF($C1699="","",IFERROR(INDEX(Productos!$B$5:$B$504,MATCH($C1699,Productos!$A$5:$A$504,0)),"Clave no existe"))</f>
        <v/>
      </c>
      <c r="E1699" s="14" t="str">
        <f>IF($C1699="","",IFERROR(INDEX(Productos!$D$5:$D$504,MATCH($C1699,Productos!$A$5:$A$504,0)),""))</f>
        <v/>
      </c>
      <c r="F1699" s="20"/>
      <c r="G1699" s="22" t="str">
        <f>IF($C1699="","",IFERROR(INDEX(Productos!$F$5:$F$504,MATCH($C1699,Productos!$A$5:$A$504,0)),0))</f>
        <v/>
      </c>
      <c r="H1699" s="22" t="str">
        <f t="shared" si="26"/>
        <v/>
      </c>
      <c r="I1699" s="14" t="str">
        <f>IF(OR($C1699="",$F1699=""),"",IFERROR(INDEX(Productos!$I$5:$I$504,MATCH($C1699,Productos!$A$5:$A$504,0)),0)+SUMIFS($F$5:$F1699,$C$5:$C1699,$C1699,$B$5:$B1699,"Entrada")-SUMIFS($F$5:$F1699,$C$5:$C1699,$C1699,$B$5:$B1699,"Salida"))</f>
        <v/>
      </c>
      <c r="J1699" s="20"/>
      <c r="K1699" s="20"/>
      <c r="L1699" s="20"/>
      <c r="M1699" s="14" t="str">
        <f>IF(AND($C1699&lt;&gt;"",$C1699=Kardex!$C$4),COUNTIF($C$5:$C1699,Kardex!$C$4),"")</f>
        <v/>
      </c>
    </row>
    <row r="1700" spans="1:13" x14ac:dyDescent="0.25">
      <c r="A1700" s="24"/>
      <c r="B1700" s="20"/>
      <c r="C1700" s="20"/>
      <c r="D1700" s="14" t="str">
        <f>IF($C1700="","",IFERROR(INDEX(Productos!$B$5:$B$504,MATCH($C1700,Productos!$A$5:$A$504,0)),"Clave no existe"))</f>
        <v/>
      </c>
      <c r="E1700" s="14" t="str">
        <f>IF($C1700="","",IFERROR(INDEX(Productos!$D$5:$D$504,MATCH($C1700,Productos!$A$5:$A$504,0)),""))</f>
        <v/>
      </c>
      <c r="F1700" s="20"/>
      <c r="G1700" s="22" t="str">
        <f>IF($C1700="","",IFERROR(INDEX(Productos!$F$5:$F$504,MATCH($C1700,Productos!$A$5:$A$504,0)),0))</f>
        <v/>
      </c>
      <c r="H1700" s="22" t="str">
        <f t="shared" si="26"/>
        <v/>
      </c>
      <c r="I1700" s="14" t="str">
        <f>IF(OR($C1700="",$F1700=""),"",IFERROR(INDEX(Productos!$I$5:$I$504,MATCH($C1700,Productos!$A$5:$A$504,0)),0)+SUMIFS($F$5:$F1700,$C$5:$C1700,$C1700,$B$5:$B1700,"Entrada")-SUMIFS($F$5:$F1700,$C$5:$C1700,$C1700,$B$5:$B1700,"Salida"))</f>
        <v/>
      </c>
      <c r="J1700" s="20"/>
      <c r="K1700" s="20"/>
      <c r="L1700" s="20"/>
      <c r="M1700" s="14" t="str">
        <f>IF(AND($C1700&lt;&gt;"",$C1700=Kardex!$C$4),COUNTIF($C$5:$C1700,Kardex!$C$4),"")</f>
        <v/>
      </c>
    </row>
    <row r="1701" spans="1:13" x14ac:dyDescent="0.25">
      <c r="A1701" s="24"/>
      <c r="B1701" s="20"/>
      <c r="C1701" s="20"/>
      <c r="D1701" s="14" t="str">
        <f>IF($C1701="","",IFERROR(INDEX(Productos!$B$5:$B$504,MATCH($C1701,Productos!$A$5:$A$504,0)),"Clave no existe"))</f>
        <v/>
      </c>
      <c r="E1701" s="14" t="str">
        <f>IF($C1701="","",IFERROR(INDEX(Productos!$D$5:$D$504,MATCH($C1701,Productos!$A$5:$A$504,0)),""))</f>
        <v/>
      </c>
      <c r="F1701" s="20"/>
      <c r="G1701" s="22" t="str">
        <f>IF($C1701="","",IFERROR(INDEX(Productos!$F$5:$F$504,MATCH($C1701,Productos!$A$5:$A$504,0)),0))</f>
        <v/>
      </c>
      <c r="H1701" s="22" t="str">
        <f t="shared" si="26"/>
        <v/>
      </c>
      <c r="I1701" s="14" t="str">
        <f>IF(OR($C1701="",$F1701=""),"",IFERROR(INDEX(Productos!$I$5:$I$504,MATCH($C1701,Productos!$A$5:$A$504,0)),0)+SUMIFS($F$5:$F1701,$C$5:$C1701,$C1701,$B$5:$B1701,"Entrada")-SUMIFS($F$5:$F1701,$C$5:$C1701,$C1701,$B$5:$B1701,"Salida"))</f>
        <v/>
      </c>
      <c r="J1701" s="20"/>
      <c r="K1701" s="20"/>
      <c r="L1701" s="20"/>
      <c r="M1701" s="14" t="str">
        <f>IF(AND($C1701&lt;&gt;"",$C1701=Kardex!$C$4),COUNTIF($C$5:$C1701,Kardex!$C$4),"")</f>
        <v/>
      </c>
    </row>
    <row r="1702" spans="1:13" x14ac:dyDescent="0.25">
      <c r="A1702" s="24"/>
      <c r="B1702" s="20"/>
      <c r="C1702" s="20"/>
      <c r="D1702" s="14" t="str">
        <f>IF($C1702="","",IFERROR(INDEX(Productos!$B$5:$B$504,MATCH($C1702,Productos!$A$5:$A$504,0)),"Clave no existe"))</f>
        <v/>
      </c>
      <c r="E1702" s="14" t="str">
        <f>IF($C1702="","",IFERROR(INDEX(Productos!$D$5:$D$504,MATCH($C1702,Productos!$A$5:$A$504,0)),""))</f>
        <v/>
      </c>
      <c r="F1702" s="20"/>
      <c r="G1702" s="22" t="str">
        <f>IF($C1702="","",IFERROR(INDEX(Productos!$F$5:$F$504,MATCH($C1702,Productos!$A$5:$A$504,0)),0))</f>
        <v/>
      </c>
      <c r="H1702" s="22" t="str">
        <f t="shared" si="26"/>
        <v/>
      </c>
      <c r="I1702" s="14" t="str">
        <f>IF(OR($C1702="",$F1702=""),"",IFERROR(INDEX(Productos!$I$5:$I$504,MATCH($C1702,Productos!$A$5:$A$504,0)),0)+SUMIFS($F$5:$F1702,$C$5:$C1702,$C1702,$B$5:$B1702,"Entrada")-SUMIFS($F$5:$F1702,$C$5:$C1702,$C1702,$B$5:$B1702,"Salida"))</f>
        <v/>
      </c>
      <c r="J1702" s="20"/>
      <c r="K1702" s="20"/>
      <c r="L1702" s="20"/>
      <c r="M1702" s="14" t="str">
        <f>IF(AND($C1702&lt;&gt;"",$C1702=Kardex!$C$4),COUNTIF($C$5:$C1702,Kardex!$C$4),"")</f>
        <v/>
      </c>
    </row>
    <row r="1703" spans="1:13" x14ac:dyDescent="0.25">
      <c r="A1703" s="24"/>
      <c r="B1703" s="20"/>
      <c r="C1703" s="20"/>
      <c r="D1703" s="14" t="str">
        <f>IF($C1703="","",IFERROR(INDEX(Productos!$B$5:$B$504,MATCH($C1703,Productos!$A$5:$A$504,0)),"Clave no existe"))</f>
        <v/>
      </c>
      <c r="E1703" s="14" t="str">
        <f>IF($C1703="","",IFERROR(INDEX(Productos!$D$5:$D$504,MATCH($C1703,Productos!$A$5:$A$504,0)),""))</f>
        <v/>
      </c>
      <c r="F1703" s="20"/>
      <c r="G1703" s="22" t="str">
        <f>IF($C1703="","",IFERROR(INDEX(Productos!$F$5:$F$504,MATCH($C1703,Productos!$A$5:$A$504,0)),0))</f>
        <v/>
      </c>
      <c r="H1703" s="22" t="str">
        <f t="shared" si="26"/>
        <v/>
      </c>
      <c r="I1703" s="14" t="str">
        <f>IF(OR($C1703="",$F1703=""),"",IFERROR(INDEX(Productos!$I$5:$I$504,MATCH($C1703,Productos!$A$5:$A$504,0)),0)+SUMIFS($F$5:$F1703,$C$5:$C1703,$C1703,$B$5:$B1703,"Entrada")-SUMIFS($F$5:$F1703,$C$5:$C1703,$C1703,$B$5:$B1703,"Salida"))</f>
        <v/>
      </c>
      <c r="J1703" s="20"/>
      <c r="K1703" s="20"/>
      <c r="L1703" s="20"/>
      <c r="M1703" s="14" t="str">
        <f>IF(AND($C1703&lt;&gt;"",$C1703=Kardex!$C$4),COUNTIF($C$5:$C1703,Kardex!$C$4),"")</f>
        <v/>
      </c>
    </row>
    <row r="1704" spans="1:13" x14ac:dyDescent="0.25">
      <c r="A1704" s="24"/>
      <c r="B1704" s="20"/>
      <c r="C1704" s="20"/>
      <c r="D1704" s="14" t="str">
        <f>IF($C1704="","",IFERROR(INDEX(Productos!$B$5:$B$504,MATCH($C1704,Productos!$A$5:$A$504,0)),"Clave no existe"))</f>
        <v/>
      </c>
      <c r="E1704" s="14" t="str">
        <f>IF($C1704="","",IFERROR(INDEX(Productos!$D$5:$D$504,MATCH($C1704,Productos!$A$5:$A$504,0)),""))</f>
        <v/>
      </c>
      <c r="F1704" s="20"/>
      <c r="G1704" s="22" t="str">
        <f>IF($C1704="","",IFERROR(INDEX(Productos!$F$5:$F$504,MATCH($C1704,Productos!$A$5:$A$504,0)),0))</f>
        <v/>
      </c>
      <c r="H1704" s="22" t="str">
        <f t="shared" si="26"/>
        <v/>
      </c>
      <c r="I1704" s="14" t="str">
        <f>IF(OR($C1704="",$F1704=""),"",IFERROR(INDEX(Productos!$I$5:$I$504,MATCH($C1704,Productos!$A$5:$A$504,0)),0)+SUMIFS($F$5:$F1704,$C$5:$C1704,$C1704,$B$5:$B1704,"Entrada")-SUMIFS($F$5:$F1704,$C$5:$C1704,$C1704,$B$5:$B1704,"Salida"))</f>
        <v/>
      </c>
      <c r="J1704" s="20"/>
      <c r="K1704" s="20"/>
      <c r="L1704" s="20"/>
      <c r="M1704" s="14" t="str">
        <f>IF(AND($C1704&lt;&gt;"",$C1704=Kardex!$C$4),COUNTIF($C$5:$C1704,Kardex!$C$4),"")</f>
        <v/>
      </c>
    </row>
    <row r="1705" spans="1:13" x14ac:dyDescent="0.25">
      <c r="A1705" s="24"/>
      <c r="B1705" s="20"/>
      <c r="C1705" s="20"/>
      <c r="D1705" s="14" t="str">
        <f>IF($C1705="","",IFERROR(INDEX(Productos!$B$5:$B$504,MATCH($C1705,Productos!$A$5:$A$504,0)),"Clave no existe"))</f>
        <v/>
      </c>
      <c r="E1705" s="14" t="str">
        <f>IF($C1705="","",IFERROR(INDEX(Productos!$D$5:$D$504,MATCH($C1705,Productos!$A$5:$A$504,0)),""))</f>
        <v/>
      </c>
      <c r="F1705" s="20"/>
      <c r="G1705" s="22" t="str">
        <f>IF($C1705="","",IFERROR(INDEX(Productos!$F$5:$F$504,MATCH($C1705,Productos!$A$5:$A$504,0)),0))</f>
        <v/>
      </c>
      <c r="H1705" s="22" t="str">
        <f t="shared" si="26"/>
        <v/>
      </c>
      <c r="I1705" s="14" t="str">
        <f>IF(OR($C1705="",$F1705=""),"",IFERROR(INDEX(Productos!$I$5:$I$504,MATCH($C1705,Productos!$A$5:$A$504,0)),0)+SUMIFS($F$5:$F1705,$C$5:$C1705,$C1705,$B$5:$B1705,"Entrada")-SUMIFS($F$5:$F1705,$C$5:$C1705,$C1705,$B$5:$B1705,"Salida"))</f>
        <v/>
      </c>
      <c r="J1705" s="20"/>
      <c r="K1705" s="20"/>
      <c r="L1705" s="20"/>
      <c r="M1705" s="14" t="str">
        <f>IF(AND($C1705&lt;&gt;"",$C1705=Kardex!$C$4),COUNTIF($C$5:$C1705,Kardex!$C$4),"")</f>
        <v/>
      </c>
    </row>
    <row r="1706" spans="1:13" x14ac:dyDescent="0.25">
      <c r="A1706" s="24"/>
      <c r="B1706" s="20"/>
      <c r="C1706" s="20"/>
      <c r="D1706" s="14" t="str">
        <f>IF($C1706="","",IFERROR(INDEX(Productos!$B$5:$B$504,MATCH($C1706,Productos!$A$5:$A$504,0)),"Clave no existe"))</f>
        <v/>
      </c>
      <c r="E1706" s="14" t="str">
        <f>IF($C1706="","",IFERROR(INDEX(Productos!$D$5:$D$504,MATCH($C1706,Productos!$A$5:$A$504,0)),""))</f>
        <v/>
      </c>
      <c r="F1706" s="20"/>
      <c r="G1706" s="22" t="str">
        <f>IF($C1706="","",IFERROR(INDEX(Productos!$F$5:$F$504,MATCH($C1706,Productos!$A$5:$A$504,0)),0))</f>
        <v/>
      </c>
      <c r="H1706" s="22" t="str">
        <f t="shared" si="26"/>
        <v/>
      </c>
      <c r="I1706" s="14" t="str">
        <f>IF(OR($C1706="",$F1706=""),"",IFERROR(INDEX(Productos!$I$5:$I$504,MATCH($C1706,Productos!$A$5:$A$504,0)),0)+SUMIFS($F$5:$F1706,$C$5:$C1706,$C1706,$B$5:$B1706,"Entrada")-SUMIFS($F$5:$F1706,$C$5:$C1706,$C1706,$B$5:$B1706,"Salida"))</f>
        <v/>
      </c>
      <c r="J1706" s="20"/>
      <c r="K1706" s="20"/>
      <c r="L1706" s="20"/>
      <c r="M1706" s="14" t="str">
        <f>IF(AND($C1706&lt;&gt;"",$C1706=Kardex!$C$4),COUNTIF($C$5:$C1706,Kardex!$C$4),"")</f>
        <v/>
      </c>
    </row>
    <row r="1707" spans="1:13" x14ac:dyDescent="0.25">
      <c r="A1707" s="24"/>
      <c r="B1707" s="20"/>
      <c r="C1707" s="20"/>
      <c r="D1707" s="14" t="str">
        <f>IF($C1707="","",IFERROR(INDEX(Productos!$B$5:$B$504,MATCH($C1707,Productos!$A$5:$A$504,0)),"Clave no existe"))</f>
        <v/>
      </c>
      <c r="E1707" s="14" t="str">
        <f>IF($C1707="","",IFERROR(INDEX(Productos!$D$5:$D$504,MATCH($C1707,Productos!$A$5:$A$504,0)),""))</f>
        <v/>
      </c>
      <c r="F1707" s="20"/>
      <c r="G1707" s="22" t="str">
        <f>IF($C1707="","",IFERROR(INDEX(Productos!$F$5:$F$504,MATCH($C1707,Productos!$A$5:$A$504,0)),0))</f>
        <v/>
      </c>
      <c r="H1707" s="22" t="str">
        <f t="shared" si="26"/>
        <v/>
      </c>
      <c r="I1707" s="14" t="str">
        <f>IF(OR($C1707="",$F1707=""),"",IFERROR(INDEX(Productos!$I$5:$I$504,MATCH($C1707,Productos!$A$5:$A$504,0)),0)+SUMIFS($F$5:$F1707,$C$5:$C1707,$C1707,$B$5:$B1707,"Entrada")-SUMIFS($F$5:$F1707,$C$5:$C1707,$C1707,$B$5:$B1707,"Salida"))</f>
        <v/>
      </c>
      <c r="J1707" s="20"/>
      <c r="K1707" s="20"/>
      <c r="L1707" s="20"/>
      <c r="M1707" s="14" t="str">
        <f>IF(AND($C1707&lt;&gt;"",$C1707=Kardex!$C$4),COUNTIF($C$5:$C1707,Kardex!$C$4),"")</f>
        <v/>
      </c>
    </row>
    <row r="1708" spans="1:13" x14ac:dyDescent="0.25">
      <c r="A1708" s="24"/>
      <c r="B1708" s="20"/>
      <c r="C1708" s="20"/>
      <c r="D1708" s="14" t="str">
        <f>IF($C1708="","",IFERROR(INDEX(Productos!$B$5:$B$504,MATCH($C1708,Productos!$A$5:$A$504,0)),"Clave no existe"))</f>
        <v/>
      </c>
      <c r="E1708" s="14" t="str">
        <f>IF($C1708="","",IFERROR(INDEX(Productos!$D$5:$D$504,MATCH($C1708,Productos!$A$5:$A$504,0)),""))</f>
        <v/>
      </c>
      <c r="F1708" s="20"/>
      <c r="G1708" s="22" t="str">
        <f>IF($C1708="","",IFERROR(INDEX(Productos!$F$5:$F$504,MATCH($C1708,Productos!$A$5:$A$504,0)),0))</f>
        <v/>
      </c>
      <c r="H1708" s="22" t="str">
        <f t="shared" si="26"/>
        <v/>
      </c>
      <c r="I1708" s="14" t="str">
        <f>IF(OR($C1708="",$F1708=""),"",IFERROR(INDEX(Productos!$I$5:$I$504,MATCH($C1708,Productos!$A$5:$A$504,0)),0)+SUMIFS($F$5:$F1708,$C$5:$C1708,$C1708,$B$5:$B1708,"Entrada")-SUMIFS($F$5:$F1708,$C$5:$C1708,$C1708,$B$5:$B1708,"Salida"))</f>
        <v/>
      </c>
      <c r="J1708" s="20"/>
      <c r="K1708" s="20"/>
      <c r="L1708" s="20"/>
      <c r="M1708" s="14" t="str">
        <f>IF(AND($C1708&lt;&gt;"",$C1708=Kardex!$C$4),COUNTIF($C$5:$C1708,Kardex!$C$4),"")</f>
        <v/>
      </c>
    </row>
    <row r="1709" spans="1:13" x14ac:dyDescent="0.25">
      <c r="A1709" s="24"/>
      <c r="B1709" s="20"/>
      <c r="C1709" s="20"/>
      <c r="D1709" s="14" t="str">
        <f>IF($C1709="","",IFERROR(INDEX(Productos!$B$5:$B$504,MATCH($C1709,Productos!$A$5:$A$504,0)),"Clave no existe"))</f>
        <v/>
      </c>
      <c r="E1709" s="14" t="str">
        <f>IF($C1709="","",IFERROR(INDEX(Productos!$D$5:$D$504,MATCH($C1709,Productos!$A$5:$A$504,0)),""))</f>
        <v/>
      </c>
      <c r="F1709" s="20"/>
      <c r="G1709" s="22" t="str">
        <f>IF($C1709="","",IFERROR(INDEX(Productos!$F$5:$F$504,MATCH($C1709,Productos!$A$5:$A$504,0)),0))</f>
        <v/>
      </c>
      <c r="H1709" s="22" t="str">
        <f t="shared" si="26"/>
        <v/>
      </c>
      <c r="I1709" s="14" t="str">
        <f>IF(OR($C1709="",$F1709=""),"",IFERROR(INDEX(Productos!$I$5:$I$504,MATCH($C1709,Productos!$A$5:$A$504,0)),0)+SUMIFS($F$5:$F1709,$C$5:$C1709,$C1709,$B$5:$B1709,"Entrada")-SUMIFS($F$5:$F1709,$C$5:$C1709,$C1709,$B$5:$B1709,"Salida"))</f>
        <v/>
      </c>
      <c r="J1709" s="20"/>
      <c r="K1709" s="20"/>
      <c r="L1709" s="20"/>
      <c r="M1709" s="14" t="str">
        <f>IF(AND($C1709&lt;&gt;"",$C1709=Kardex!$C$4),COUNTIF($C$5:$C1709,Kardex!$C$4),"")</f>
        <v/>
      </c>
    </row>
    <row r="1710" spans="1:13" x14ac:dyDescent="0.25">
      <c r="A1710" s="24"/>
      <c r="B1710" s="20"/>
      <c r="C1710" s="20"/>
      <c r="D1710" s="14" t="str">
        <f>IF($C1710="","",IFERROR(INDEX(Productos!$B$5:$B$504,MATCH($C1710,Productos!$A$5:$A$504,0)),"Clave no existe"))</f>
        <v/>
      </c>
      <c r="E1710" s="14" t="str">
        <f>IF($C1710="","",IFERROR(INDEX(Productos!$D$5:$D$504,MATCH($C1710,Productos!$A$5:$A$504,0)),""))</f>
        <v/>
      </c>
      <c r="F1710" s="20"/>
      <c r="G1710" s="22" t="str">
        <f>IF($C1710="","",IFERROR(INDEX(Productos!$F$5:$F$504,MATCH($C1710,Productos!$A$5:$A$504,0)),0))</f>
        <v/>
      </c>
      <c r="H1710" s="22" t="str">
        <f t="shared" si="26"/>
        <v/>
      </c>
      <c r="I1710" s="14" t="str">
        <f>IF(OR($C1710="",$F1710=""),"",IFERROR(INDEX(Productos!$I$5:$I$504,MATCH($C1710,Productos!$A$5:$A$504,0)),0)+SUMIFS($F$5:$F1710,$C$5:$C1710,$C1710,$B$5:$B1710,"Entrada")-SUMIFS($F$5:$F1710,$C$5:$C1710,$C1710,$B$5:$B1710,"Salida"))</f>
        <v/>
      </c>
      <c r="J1710" s="20"/>
      <c r="K1710" s="20"/>
      <c r="L1710" s="20"/>
      <c r="M1710" s="14" t="str">
        <f>IF(AND($C1710&lt;&gt;"",$C1710=Kardex!$C$4),COUNTIF($C$5:$C1710,Kardex!$C$4),"")</f>
        <v/>
      </c>
    </row>
    <row r="1711" spans="1:13" x14ac:dyDescent="0.25">
      <c r="A1711" s="24"/>
      <c r="B1711" s="20"/>
      <c r="C1711" s="20"/>
      <c r="D1711" s="14" t="str">
        <f>IF($C1711="","",IFERROR(INDEX(Productos!$B$5:$B$504,MATCH($C1711,Productos!$A$5:$A$504,0)),"Clave no existe"))</f>
        <v/>
      </c>
      <c r="E1711" s="14" t="str">
        <f>IF($C1711="","",IFERROR(INDEX(Productos!$D$5:$D$504,MATCH($C1711,Productos!$A$5:$A$504,0)),""))</f>
        <v/>
      </c>
      <c r="F1711" s="20"/>
      <c r="G1711" s="22" t="str">
        <f>IF($C1711="","",IFERROR(INDEX(Productos!$F$5:$F$504,MATCH($C1711,Productos!$A$5:$A$504,0)),0))</f>
        <v/>
      </c>
      <c r="H1711" s="22" t="str">
        <f t="shared" si="26"/>
        <v/>
      </c>
      <c r="I1711" s="14" t="str">
        <f>IF(OR($C1711="",$F1711=""),"",IFERROR(INDEX(Productos!$I$5:$I$504,MATCH($C1711,Productos!$A$5:$A$504,0)),0)+SUMIFS($F$5:$F1711,$C$5:$C1711,$C1711,$B$5:$B1711,"Entrada")-SUMIFS($F$5:$F1711,$C$5:$C1711,$C1711,$B$5:$B1711,"Salida"))</f>
        <v/>
      </c>
      <c r="J1711" s="20"/>
      <c r="K1711" s="20"/>
      <c r="L1711" s="20"/>
      <c r="M1711" s="14" t="str">
        <f>IF(AND($C1711&lt;&gt;"",$C1711=Kardex!$C$4),COUNTIF($C$5:$C1711,Kardex!$C$4),"")</f>
        <v/>
      </c>
    </row>
    <row r="1712" spans="1:13" x14ac:dyDescent="0.25">
      <c r="A1712" s="24"/>
      <c r="B1712" s="20"/>
      <c r="C1712" s="20"/>
      <c r="D1712" s="14" t="str">
        <f>IF($C1712="","",IFERROR(INDEX(Productos!$B$5:$B$504,MATCH($C1712,Productos!$A$5:$A$504,0)),"Clave no existe"))</f>
        <v/>
      </c>
      <c r="E1712" s="14" t="str">
        <f>IF($C1712="","",IFERROR(INDEX(Productos!$D$5:$D$504,MATCH($C1712,Productos!$A$5:$A$504,0)),""))</f>
        <v/>
      </c>
      <c r="F1712" s="20"/>
      <c r="G1712" s="22" t="str">
        <f>IF($C1712="","",IFERROR(INDEX(Productos!$F$5:$F$504,MATCH($C1712,Productos!$A$5:$A$504,0)),0))</f>
        <v/>
      </c>
      <c r="H1712" s="22" t="str">
        <f t="shared" si="26"/>
        <v/>
      </c>
      <c r="I1712" s="14" t="str">
        <f>IF(OR($C1712="",$F1712=""),"",IFERROR(INDEX(Productos!$I$5:$I$504,MATCH($C1712,Productos!$A$5:$A$504,0)),0)+SUMIFS($F$5:$F1712,$C$5:$C1712,$C1712,$B$5:$B1712,"Entrada")-SUMIFS($F$5:$F1712,$C$5:$C1712,$C1712,$B$5:$B1712,"Salida"))</f>
        <v/>
      </c>
      <c r="J1712" s="20"/>
      <c r="K1712" s="20"/>
      <c r="L1712" s="20"/>
      <c r="M1712" s="14" t="str">
        <f>IF(AND($C1712&lt;&gt;"",$C1712=Kardex!$C$4),COUNTIF($C$5:$C1712,Kardex!$C$4),"")</f>
        <v/>
      </c>
    </row>
    <row r="1713" spans="1:13" x14ac:dyDescent="0.25">
      <c r="A1713" s="24"/>
      <c r="B1713" s="20"/>
      <c r="C1713" s="20"/>
      <c r="D1713" s="14" t="str">
        <f>IF($C1713="","",IFERROR(INDEX(Productos!$B$5:$B$504,MATCH($C1713,Productos!$A$5:$A$504,0)),"Clave no existe"))</f>
        <v/>
      </c>
      <c r="E1713" s="14" t="str">
        <f>IF($C1713="","",IFERROR(INDEX(Productos!$D$5:$D$504,MATCH($C1713,Productos!$A$5:$A$504,0)),""))</f>
        <v/>
      </c>
      <c r="F1713" s="20"/>
      <c r="G1713" s="22" t="str">
        <f>IF($C1713="","",IFERROR(INDEX(Productos!$F$5:$F$504,MATCH($C1713,Productos!$A$5:$A$504,0)),0))</f>
        <v/>
      </c>
      <c r="H1713" s="22" t="str">
        <f t="shared" si="26"/>
        <v/>
      </c>
      <c r="I1713" s="14" t="str">
        <f>IF(OR($C1713="",$F1713=""),"",IFERROR(INDEX(Productos!$I$5:$I$504,MATCH($C1713,Productos!$A$5:$A$504,0)),0)+SUMIFS($F$5:$F1713,$C$5:$C1713,$C1713,$B$5:$B1713,"Entrada")-SUMIFS($F$5:$F1713,$C$5:$C1713,$C1713,$B$5:$B1713,"Salida"))</f>
        <v/>
      </c>
      <c r="J1713" s="20"/>
      <c r="K1713" s="20"/>
      <c r="L1713" s="20"/>
      <c r="M1713" s="14" t="str">
        <f>IF(AND($C1713&lt;&gt;"",$C1713=Kardex!$C$4),COUNTIF($C$5:$C1713,Kardex!$C$4),"")</f>
        <v/>
      </c>
    </row>
    <row r="1714" spans="1:13" x14ac:dyDescent="0.25">
      <c r="A1714" s="24"/>
      <c r="B1714" s="20"/>
      <c r="C1714" s="20"/>
      <c r="D1714" s="14" t="str">
        <f>IF($C1714="","",IFERROR(INDEX(Productos!$B$5:$B$504,MATCH($C1714,Productos!$A$5:$A$504,0)),"Clave no existe"))</f>
        <v/>
      </c>
      <c r="E1714" s="14" t="str">
        <f>IF($C1714="","",IFERROR(INDEX(Productos!$D$5:$D$504,MATCH($C1714,Productos!$A$5:$A$504,0)),""))</f>
        <v/>
      </c>
      <c r="F1714" s="20"/>
      <c r="G1714" s="22" t="str">
        <f>IF($C1714="","",IFERROR(INDEX(Productos!$F$5:$F$504,MATCH($C1714,Productos!$A$5:$A$504,0)),0))</f>
        <v/>
      </c>
      <c r="H1714" s="22" t="str">
        <f t="shared" si="26"/>
        <v/>
      </c>
      <c r="I1714" s="14" t="str">
        <f>IF(OR($C1714="",$F1714=""),"",IFERROR(INDEX(Productos!$I$5:$I$504,MATCH($C1714,Productos!$A$5:$A$504,0)),0)+SUMIFS($F$5:$F1714,$C$5:$C1714,$C1714,$B$5:$B1714,"Entrada")-SUMIFS($F$5:$F1714,$C$5:$C1714,$C1714,$B$5:$B1714,"Salida"))</f>
        <v/>
      </c>
      <c r="J1714" s="20"/>
      <c r="K1714" s="20"/>
      <c r="L1714" s="20"/>
      <c r="M1714" s="14" t="str">
        <f>IF(AND($C1714&lt;&gt;"",$C1714=Kardex!$C$4),COUNTIF($C$5:$C1714,Kardex!$C$4),"")</f>
        <v/>
      </c>
    </row>
    <row r="1715" spans="1:13" x14ac:dyDescent="0.25">
      <c r="A1715" s="24"/>
      <c r="B1715" s="20"/>
      <c r="C1715" s="20"/>
      <c r="D1715" s="14" t="str">
        <f>IF($C1715="","",IFERROR(INDEX(Productos!$B$5:$B$504,MATCH($C1715,Productos!$A$5:$A$504,0)),"Clave no existe"))</f>
        <v/>
      </c>
      <c r="E1715" s="14" t="str">
        <f>IF($C1715="","",IFERROR(INDEX(Productos!$D$5:$D$504,MATCH($C1715,Productos!$A$5:$A$504,0)),""))</f>
        <v/>
      </c>
      <c r="F1715" s="20"/>
      <c r="G1715" s="22" t="str">
        <f>IF($C1715="","",IFERROR(INDEX(Productos!$F$5:$F$504,MATCH($C1715,Productos!$A$5:$A$504,0)),0))</f>
        <v/>
      </c>
      <c r="H1715" s="22" t="str">
        <f t="shared" si="26"/>
        <v/>
      </c>
      <c r="I1715" s="14" t="str">
        <f>IF(OR($C1715="",$F1715=""),"",IFERROR(INDEX(Productos!$I$5:$I$504,MATCH($C1715,Productos!$A$5:$A$504,0)),0)+SUMIFS($F$5:$F1715,$C$5:$C1715,$C1715,$B$5:$B1715,"Entrada")-SUMIFS($F$5:$F1715,$C$5:$C1715,$C1715,$B$5:$B1715,"Salida"))</f>
        <v/>
      </c>
      <c r="J1715" s="20"/>
      <c r="K1715" s="20"/>
      <c r="L1715" s="20"/>
      <c r="M1715" s="14" t="str">
        <f>IF(AND($C1715&lt;&gt;"",$C1715=Kardex!$C$4),COUNTIF($C$5:$C1715,Kardex!$C$4),"")</f>
        <v/>
      </c>
    </row>
    <row r="1716" spans="1:13" x14ac:dyDescent="0.25">
      <c r="A1716" s="24"/>
      <c r="B1716" s="20"/>
      <c r="C1716" s="20"/>
      <c r="D1716" s="14" t="str">
        <f>IF($C1716="","",IFERROR(INDEX(Productos!$B$5:$B$504,MATCH($C1716,Productos!$A$5:$A$504,0)),"Clave no existe"))</f>
        <v/>
      </c>
      <c r="E1716" s="14" t="str">
        <f>IF($C1716="","",IFERROR(INDEX(Productos!$D$5:$D$504,MATCH($C1716,Productos!$A$5:$A$504,0)),""))</f>
        <v/>
      </c>
      <c r="F1716" s="20"/>
      <c r="G1716" s="22" t="str">
        <f>IF($C1716="","",IFERROR(INDEX(Productos!$F$5:$F$504,MATCH($C1716,Productos!$A$5:$A$504,0)),0))</f>
        <v/>
      </c>
      <c r="H1716" s="22" t="str">
        <f t="shared" si="26"/>
        <v/>
      </c>
      <c r="I1716" s="14" t="str">
        <f>IF(OR($C1716="",$F1716=""),"",IFERROR(INDEX(Productos!$I$5:$I$504,MATCH($C1716,Productos!$A$5:$A$504,0)),0)+SUMIFS($F$5:$F1716,$C$5:$C1716,$C1716,$B$5:$B1716,"Entrada")-SUMIFS($F$5:$F1716,$C$5:$C1716,$C1716,$B$5:$B1716,"Salida"))</f>
        <v/>
      </c>
      <c r="J1716" s="20"/>
      <c r="K1716" s="20"/>
      <c r="L1716" s="20"/>
      <c r="M1716" s="14" t="str">
        <f>IF(AND($C1716&lt;&gt;"",$C1716=Kardex!$C$4),COUNTIF($C$5:$C1716,Kardex!$C$4),"")</f>
        <v/>
      </c>
    </row>
    <row r="1717" spans="1:13" x14ac:dyDescent="0.25">
      <c r="A1717" s="24"/>
      <c r="B1717" s="20"/>
      <c r="C1717" s="20"/>
      <c r="D1717" s="14" t="str">
        <f>IF($C1717="","",IFERROR(INDEX(Productos!$B$5:$B$504,MATCH($C1717,Productos!$A$5:$A$504,0)),"Clave no existe"))</f>
        <v/>
      </c>
      <c r="E1717" s="14" t="str">
        <f>IF($C1717="","",IFERROR(INDEX(Productos!$D$5:$D$504,MATCH($C1717,Productos!$A$5:$A$504,0)),""))</f>
        <v/>
      </c>
      <c r="F1717" s="20"/>
      <c r="G1717" s="22" t="str">
        <f>IF($C1717="","",IFERROR(INDEX(Productos!$F$5:$F$504,MATCH($C1717,Productos!$A$5:$A$504,0)),0))</f>
        <v/>
      </c>
      <c r="H1717" s="22" t="str">
        <f t="shared" si="26"/>
        <v/>
      </c>
      <c r="I1717" s="14" t="str">
        <f>IF(OR($C1717="",$F1717=""),"",IFERROR(INDEX(Productos!$I$5:$I$504,MATCH($C1717,Productos!$A$5:$A$504,0)),0)+SUMIFS($F$5:$F1717,$C$5:$C1717,$C1717,$B$5:$B1717,"Entrada")-SUMIFS($F$5:$F1717,$C$5:$C1717,$C1717,$B$5:$B1717,"Salida"))</f>
        <v/>
      </c>
      <c r="J1717" s="20"/>
      <c r="K1717" s="20"/>
      <c r="L1717" s="20"/>
      <c r="M1717" s="14" t="str">
        <f>IF(AND($C1717&lt;&gt;"",$C1717=Kardex!$C$4),COUNTIF($C$5:$C1717,Kardex!$C$4),"")</f>
        <v/>
      </c>
    </row>
    <row r="1718" spans="1:13" x14ac:dyDescent="0.25">
      <c r="A1718" s="24"/>
      <c r="B1718" s="20"/>
      <c r="C1718" s="20"/>
      <c r="D1718" s="14" t="str">
        <f>IF($C1718="","",IFERROR(INDEX(Productos!$B$5:$B$504,MATCH($C1718,Productos!$A$5:$A$504,0)),"Clave no existe"))</f>
        <v/>
      </c>
      <c r="E1718" s="14" t="str">
        <f>IF($C1718="","",IFERROR(INDEX(Productos!$D$5:$D$504,MATCH($C1718,Productos!$A$5:$A$504,0)),""))</f>
        <v/>
      </c>
      <c r="F1718" s="20"/>
      <c r="G1718" s="22" t="str">
        <f>IF($C1718="","",IFERROR(INDEX(Productos!$F$5:$F$504,MATCH($C1718,Productos!$A$5:$A$504,0)),0))</f>
        <v/>
      </c>
      <c r="H1718" s="22" t="str">
        <f t="shared" si="26"/>
        <v/>
      </c>
      <c r="I1718" s="14" t="str">
        <f>IF(OR($C1718="",$F1718=""),"",IFERROR(INDEX(Productos!$I$5:$I$504,MATCH($C1718,Productos!$A$5:$A$504,0)),0)+SUMIFS($F$5:$F1718,$C$5:$C1718,$C1718,$B$5:$B1718,"Entrada")-SUMIFS($F$5:$F1718,$C$5:$C1718,$C1718,$B$5:$B1718,"Salida"))</f>
        <v/>
      </c>
      <c r="J1718" s="20"/>
      <c r="K1718" s="20"/>
      <c r="L1718" s="20"/>
      <c r="M1718" s="14" t="str">
        <f>IF(AND($C1718&lt;&gt;"",$C1718=Kardex!$C$4),COUNTIF($C$5:$C1718,Kardex!$C$4),"")</f>
        <v/>
      </c>
    </row>
    <row r="1719" spans="1:13" x14ac:dyDescent="0.25">
      <c r="A1719" s="24"/>
      <c r="B1719" s="20"/>
      <c r="C1719" s="20"/>
      <c r="D1719" s="14" t="str">
        <f>IF($C1719="","",IFERROR(INDEX(Productos!$B$5:$B$504,MATCH($C1719,Productos!$A$5:$A$504,0)),"Clave no existe"))</f>
        <v/>
      </c>
      <c r="E1719" s="14" t="str">
        <f>IF($C1719="","",IFERROR(INDEX(Productos!$D$5:$D$504,MATCH($C1719,Productos!$A$5:$A$504,0)),""))</f>
        <v/>
      </c>
      <c r="F1719" s="20"/>
      <c r="G1719" s="22" t="str">
        <f>IF($C1719="","",IFERROR(INDEX(Productos!$F$5:$F$504,MATCH($C1719,Productos!$A$5:$A$504,0)),0))</f>
        <v/>
      </c>
      <c r="H1719" s="22" t="str">
        <f t="shared" si="26"/>
        <v/>
      </c>
      <c r="I1719" s="14" t="str">
        <f>IF(OR($C1719="",$F1719=""),"",IFERROR(INDEX(Productos!$I$5:$I$504,MATCH($C1719,Productos!$A$5:$A$504,0)),0)+SUMIFS($F$5:$F1719,$C$5:$C1719,$C1719,$B$5:$B1719,"Entrada")-SUMIFS($F$5:$F1719,$C$5:$C1719,$C1719,$B$5:$B1719,"Salida"))</f>
        <v/>
      </c>
      <c r="J1719" s="20"/>
      <c r="K1719" s="20"/>
      <c r="L1719" s="20"/>
      <c r="M1719" s="14" t="str">
        <f>IF(AND($C1719&lt;&gt;"",$C1719=Kardex!$C$4),COUNTIF($C$5:$C1719,Kardex!$C$4),"")</f>
        <v/>
      </c>
    </row>
    <row r="1720" spans="1:13" x14ac:dyDescent="0.25">
      <c r="A1720" s="24"/>
      <c r="B1720" s="20"/>
      <c r="C1720" s="20"/>
      <c r="D1720" s="14" t="str">
        <f>IF($C1720="","",IFERROR(INDEX(Productos!$B$5:$B$504,MATCH($C1720,Productos!$A$5:$A$504,0)),"Clave no existe"))</f>
        <v/>
      </c>
      <c r="E1720" s="14" t="str">
        <f>IF($C1720="","",IFERROR(INDEX(Productos!$D$5:$D$504,MATCH($C1720,Productos!$A$5:$A$504,0)),""))</f>
        <v/>
      </c>
      <c r="F1720" s="20"/>
      <c r="G1720" s="22" t="str">
        <f>IF($C1720="","",IFERROR(INDEX(Productos!$F$5:$F$504,MATCH($C1720,Productos!$A$5:$A$504,0)),0))</f>
        <v/>
      </c>
      <c r="H1720" s="22" t="str">
        <f t="shared" si="26"/>
        <v/>
      </c>
      <c r="I1720" s="14" t="str">
        <f>IF(OR($C1720="",$F1720=""),"",IFERROR(INDEX(Productos!$I$5:$I$504,MATCH($C1720,Productos!$A$5:$A$504,0)),0)+SUMIFS($F$5:$F1720,$C$5:$C1720,$C1720,$B$5:$B1720,"Entrada")-SUMIFS($F$5:$F1720,$C$5:$C1720,$C1720,$B$5:$B1720,"Salida"))</f>
        <v/>
      </c>
      <c r="J1720" s="20"/>
      <c r="K1720" s="20"/>
      <c r="L1720" s="20"/>
      <c r="M1720" s="14" t="str">
        <f>IF(AND($C1720&lt;&gt;"",$C1720=Kardex!$C$4),COUNTIF($C$5:$C1720,Kardex!$C$4),"")</f>
        <v/>
      </c>
    </row>
    <row r="1721" spans="1:13" x14ac:dyDescent="0.25">
      <c r="A1721" s="24"/>
      <c r="B1721" s="20"/>
      <c r="C1721" s="20"/>
      <c r="D1721" s="14" t="str">
        <f>IF($C1721="","",IFERROR(INDEX(Productos!$B$5:$B$504,MATCH($C1721,Productos!$A$5:$A$504,0)),"Clave no existe"))</f>
        <v/>
      </c>
      <c r="E1721" s="14" t="str">
        <f>IF($C1721="","",IFERROR(INDEX(Productos!$D$5:$D$504,MATCH($C1721,Productos!$A$5:$A$504,0)),""))</f>
        <v/>
      </c>
      <c r="F1721" s="20"/>
      <c r="G1721" s="22" t="str">
        <f>IF($C1721="","",IFERROR(INDEX(Productos!$F$5:$F$504,MATCH($C1721,Productos!$A$5:$A$504,0)),0))</f>
        <v/>
      </c>
      <c r="H1721" s="22" t="str">
        <f t="shared" si="26"/>
        <v/>
      </c>
      <c r="I1721" s="14" t="str">
        <f>IF(OR($C1721="",$F1721=""),"",IFERROR(INDEX(Productos!$I$5:$I$504,MATCH($C1721,Productos!$A$5:$A$504,0)),0)+SUMIFS($F$5:$F1721,$C$5:$C1721,$C1721,$B$5:$B1721,"Entrada")-SUMIFS($F$5:$F1721,$C$5:$C1721,$C1721,$B$5:$B1721,"Salida"))</f>
        <v/>
      </c>
      <c r="J1721" s="20"/>
      <c r="K1721" s="20"/>
      <c r="L1721" s="20"/>
      <c r="M1721" s="14" t="str">
        <f>IF(AND($C1721&lt;&gt;"",$C1721=Kardex!$C$4),COUNTIF($C$5:$C1721,Kardex!$C$4),"")</f>
        <v/>
      </c>
    </row>
    <row r="1722" spans="1:13" x14ac:dyDescent="0.25">
      <c r="A1722" s="24"/>
      <c r="B1722" s="20"/>
      <c r="C1722" s="20"/>
      <c r="D1722" s="14" t="str">
        <f>IF($C1722="","",IFERROR(INDEX(Productos!$B$5:$B$504,MATCH($C1722,Productos!$A$5:$A$504,0)),"Clave no existe"))</f>
        <v/>
      </c>
      <c r="E1722" s="14" t="str">
        <f>IF($C1722="","",IFERROR(INDEX(Productos!$D$5:$D$504,MATCH($C1722,Productos!$A$5:$A$504,0)),""))</f>
        <v/>
      </c>
      <c r="F1722" s="20"/>
      <c r="G1722" s="22" t="str">
        <f>IF($C1722="","",IFERROR(INDEX(Productos!$F$5:$F$504,MATCH($C1722,Productos!$A$5:$A$504,0)),0))</f>
        <v/>
      </c>
      <c r="H1722" s="22" t="str">
        <f t="shared" si="26"/>
        <v/>
      </c>
      <c r="I1722" s="14" t="str">
        <f>IF(OR($C1722="",$F1722=""),"",IFERROR(INDEX(Productos!$I$5:$I$504,MATCH($C1722,Productos!$A$5:$A$504,0)),0)+SUMIFS($F$5:$F1722,$C$5:$C1722,$C1722,$B$5:$B1722,"Entrada")-SUMIFS($F$5:$F1722,$C$5:$C1722,$C1722,$B$5:$B1722,"Salida"))</f>
        <v/>
      </c>
      <c r="J1722" s="20"/>
      <c r="K1722" s="20"/>
      <c r="L1722" s="20"/>
      <c r="M1722" s="14" t="str">
        <f>IF(AND($C1722&lt;&gt;"",$C1722=Kardex!$C$4),COUNTIF($C$5:$C1722,Kardex!$C$4),"")</f>
        <v/>
      </c>
    </row>
    <row r="1723" spans="1:13" x14ac:dyDescent="0.25">
      <c r="A1723" s="24"/>
      <c r="B1723" s="20"/>
      <c r="C1723" s="20"/>
      <c r="D1723" s="14" t="str">
        <f>IF($C1723="","",IFERROR(INDEX(Productos!$B$5:$B$504,MATCH($C1723,Productos!$A$5:$A$504,0)),"Clave no existe"))</f>
        <v/>
      </c>
      <c r="E1723" s="14" t="str">
        <f>IF($C1723="","",IFERROR(INDEX(Productos!$D$5:$D$504,MATCH($C1723,Productos!$A$5:$A$504,0)),""))</f>
        <v/>
      </c>
      <c r="F1723" s="20"/>
      <c r="G1723" s="22" t="str">
        <f>IF($C1723="","",IFERROR(INDEX(Productos!$F$5:$F$504,MATCH($C1723,Productos!$A$5:$A$504,0)),0))</f>
        <v/>
      </c>
      <c r="H1723" s="22" t="str">
        <f t="shared" si="26"/>
        <v/>
      </c>
      <c r="I1723" s="14" t="str">
        <f>IF(OR($C1723="",$F1723=""),"",IFERROR(INDEX(Productos!$I$5:$I$504,MATCH($C1723,Productos!$A$5:$A$504,0)),0)+SUMIFS($F$5:$F1723,$C$5:$C1723,$C1723,$B$5:$B1723,"Entrada")-SUMIFS($F$5:$F1723,$C$5:$C1723,$C1723,$B$5:$B1723,"Salida"))</f>
        <v/>
      </c>
      <c r="J1723" s="20"/>
      <c r="K1723" s="20"/>
      <c r="L1723" s="20"/>
      <c r="M1723" s="14" t="str">
        <f>IF(AND($C1723&lt;&gt;"",$C1723=Kardex!$C$4),COUNTIF($C$5:$C1723,Kardex!$C$4),"")</f>
        <v/>
      </c>
    </row>
    <row r="1724" spans="1:13" x14ac:dyDescent="0.25">
      <c r="A1724" s="24"/>
      <c r="B1724" s="20"/>
      <c r="C1724" s="20"/>
      <c r="D1724" s="14" t="str">
        <f>IF($C1724="","",IFERROR(INDEX(Productos!$B$5:$B$504,MATCH($C1724,Productos!$A$5:$A$504,0)),"Clave no existe"))</f>
        <v/>
      </c>
      <c r="E1724" s="14" t="str">
        <f>IF($C1724="","",IFERROR(INDEX(Productos!$D$5:$D$504,MATCH($C1724,Productos!$A$5:$A$504,0)),""))</f>
        <v/>
      </c>
      <c r="F1724" s="20"/>
      <c r="G1724" s="22" t="str">
        <f>IF($C1724="","",IFERROR(INDEX(Productos!$F$5:$F$504,MATCH($C1724,Productos!$A$5:$A$504,0)),0))</f>
        <v/>
      </c>
      <c r="H1724" s="22" t="str">
        <f t="shared" si="26"/>
        <v/>
      </c>
      <c r="I1724" s="14" t="str">
        <f>IF(OR($C1724="",$F1724=""),"",IFERROR(INDEX(Productos!$I$5:$I$504,MATCH($C1724,Productos!$A$5:$A$504,0)),0)+SUMIFS($F$5:$F1724,$C$5:$C1724,$C1724,$B$5:$B1724,"Entrada")-SUMIFS($F$5:$F1724,$C$5:$C1724,$C1724,$B$5:$B1724,"Salida"))</f>
        <v/>
      </c>
      <c r="J1724" s="20"/>
      <c r="K1724" s="20"/>
      <c r="L1724" s="20"/>
      <c r="M1724" s="14" t="str">
        <f>IF(AND($C1724&lt;&gt;"",$C1724=Kardex!$C$4),COUNTIF($C$5:$C1724,Kardex!$C$4),"")</f>
        <v/>
      </c>
    </row>
    <row r="1725" spans="1:13" x14ac:dyDescent="0.25">
      <c r="A1725" s="24"/>
      <c r="B1725" s="20"/>
      <c r="C1725" s="20"/>
      <c r="D1725" s="14" t="str">
        <f>IF($C1725="","",IFERROR(INDEX(Productos!$B$5:$B$504,MATCH($C1725,Productos!$A$5:$A$504,0)),"Clave no existe"))</f>
        <v/>
      </c>
      <c r="E1725" s="14" t="str">
        <f>IF($C1725="","",IFERROR(INDEX(Productos!$D$5:$D$504,MATCH($C1725,Productos!$A$5:$A$504,0)),""))</f>
        <v/>
      </c>
      <c r="F1725" s="20"/>
      <c r="G1725" s="22" t="str">
        <f>IF($C1725="","",IFERROR(INDEX(Productos!$F$5:$F$504,MATCH($C1725,Productos!$A$5:$A$504,0)),0))</f>
        <v/>
      </c>
      <c r="H1725" s="22" t="str">
        <f t="shared" si="26"/>
        <v/>
      </c>
      <c r="I1725" s="14" t="str">
        <f>IF(OR($C1725="",$F1725=""),"",IFERROR(INDEX(Productos!$I$5:$I$504,MATCH($C1725,Productos!$A$5:$A$504,0)),0)+SUMIFS($F$5:$F1725,$C$5:$C1725,$C1725,$B$5:$B1725,"Entrada")-SUMIFS($F$5:$F1725,$C$5:$C1725,$C1725,$B$5:$B1725,"Salida"))</f>
        <v/>
      </c>
      <c r="J1725" s="20"/>
      <c r="K1725" s="20"/>
      <c r="L1725" s="20"/>
      <c r="M1725" s="14" t="str">
        <f>IF(AND($C1725&lt;&gt;"",$C1725=Kardex!$C$4),COUNTIF($C$5:$C1725,Kardex!$C$4),"")</f>
        <v/>
      </c>
    </row>
    <row r="1726" spans="1:13" x14ac:dyDescent="0.25">
      <c r="A1726" s="24"/>
      <c r="B1726" s="20"/>
      <c r="C1726" s="20"/>
      <c r="D1726" s="14" t="str">
        <f>IF($C1726="","",IFERROR(INDEX(Productos!$B$5:$B$504,MATCH($C1726,Productos!$A$5:$A$504,0)),"Clave no existe"))</f>
        <v/>
      </c>
      <c r="E1726" s="14" t="str">
        <f>IF($C1726="","",IFERROR(INDEX(Productos!$D$5:$D$504,MATCH($C1726,Productos!$A$5:$A$504,0)),""))</f>
        <v/>
      </c>
      <c r="F1726" s="20"/>
      <c r="G1726" s="22" t="str">
        <f>IF($C1726="","",IFERROR(INDEX(Productos!$F$5:$F$504,MATCH($C1726,Productos!$A$5:$A$504,0)),0))</f>
        <v/>
      </c>
      <c r="H1726" s="22" t="str">
        <f t="shared" si="26"/>
        <v/>
      </c>
      <c r="I1726" s="14" t="str">
        <f>IF(OR($C1726="",$F1726=""),"",IFERROR(INDEX(Productos!$I$5:$I$504,MATCH($C1726,Productos!$A$5:$A$504,0)),0)+SUMIFS($F$5:$F1726,$C$5:$C1726,$C1726,$B$5:$B1726,"Entrada")-SUMIFS($F$5:$F1726,$C$5:$C1726,$C1726,$B$5:$B1726,"Salida"))</f>
        <v/>
      </c>
      <c r="J1726" s="20"/>
      <c r="K1726" s="20"/>
      <c r="L1726" s="20"/>
      <c r="M1726" s="14" t="str">
        <f>IF(AND($C1726&lt;&gt;"",$C1726=Kardex!$C$4),COUNTIF($C$5:$C1726,Kardex!$C$4),"")</f>
        <v/>
      </c>
    </row>
    <row r="1727" spans="1:13" x14ac:dyDescent="0.25">
      <c r="A1727" s="24"/>
      <c r="B1727" s="20"/>
      <c r="C1727" s="20"/>
      <c r="D1727" s="14" t="str">
        <f>IF($C1727="","",IFERROR(INDEX(Productos!$B$5:$B$504,MATCH($C1727,Productos!$A$5:$A$504,0)),"Clave no existe"))</f>
        <v/>
      </c>
      <c r="E1727" s="14" t="str">
        <f>IF($C1727="","",IFERROR(INDEX(Productos!$D$5:$D$504,MATCH($C1727,Productos!$A$5:$A$504,0)),""))</f>
        <v/>
      </c>
      <c r="F1727" s="20"/>
      <c r="G1727" s="22" t="str">
        <f>IF($C1727="","",IFERROR(INDEX(Productos!$F$5:$F$504,MATCH($C1727,Productos!$A$5:$A$504,0)),0))</f>
        <v/>
      </c>
      <c r="H1727" s="22" t="str">
        <f t="shared" si="26"/>
        <v/>
      </c>
      <c r="I1727" s="14" t="str">
        <f>IF(OR($C1727="",$F1727=""),"",IFERROR(INDEX(Productos!$I$5:$I$504,MATCH($C1727,Productos!$A$5:$A$504,0)),0)+SUMIFS($F$5:$F1727,$C$5:$C1727,$C1727,$B$5:$B1727,"Entrada")-SUMIFS($F$5:$F1727,$C$5:$C1727,$C1727,$B$5:$B1727,"Salida"))</f>
        <v/>
      </c>
      <c r="J1727" s="20"/>
      <c r="K1727" s="20"/>
      <c r="L1727" s="20"/>
      <c r="M1727" s="14" t="str">
        <f>IF(AND($C1727&lt;&gt;"",$C1727=Kardex!$C$4),COUNTIF($C$5:$C1727,Kardex!$C$4),"")</f>
        <v/>
      </c>
    </row>
    <row r="1728" spans="1:13" x14ac:dyDescent="0.25">
      <c r="A1728" s="24"/>
      <c r="B1728" s="20"/>
      <c r="C1728" s="20"/>
      <c r="D1728" s="14" t="str">
        <f>IF($C1728="","",IFERROR(INDEX(Productos!$B$5:$B$504,MATCH($C1728,Productos!$A$5:$A$504,0)),"Clave no existe"))</f>
        <v/>
      </c>
      <c r="E1728" s="14" t="str">
        <f>IF($C1728="","",IFERROR(INDEX(Productos!$D$5:$D$504,MATCH($C1728,Productos!$A$5:$A$504,0)),""))</f>
        <v/>
      </c>
      <c r="F1728" s="20"/>
      <c r="G1728" s="22" t="str">
        <f>IF($C1728="","",IFERROR(INDEX(Productos!$F$5:$F$504,MATCH($C1728,Productos!$A$5:$A$504,0)),0))</f>
        <v/>
      </c>
      <c r="H1728" s="22" t="str">
        <f t="shared" si="26"/>
        <v/>
      </c>
      <c r="I1728" s="14" t="str">
        <f>IF(OR($C1728="",$F1728=""),"",IFERROR(INDEX(Productos!$I$5:$I$504,MATCH($C1728,Productos!$A$5:$A$504,0)),0)+SUMIFS($F$5:$F1728,$C$5:$C1728,$C1728,$B$5:$B1728,"Entrada")-SUMIFS($F$5:$F1728,$C$5:$C1728,$C1728,$B$5:$B1728,"Salida"))</f>
        <v/>
      </c>
      <c r="J1728" s="20"/>
      <c r="K1728" s="20"/>
      <c r="L1728" s="20"/>
      <c r="M1728" s="14" t="str">
        <f>IF(AND($C1728&lt;&gt;"",$C1728=Kardex!$C$4),COUNTIF($C$5:$C1728,Kardex!$C$4),"")</f>
        <v/>
      </c>
    </row>
    <row r="1729" spans="1:13" x14ac:dyDescent="0.25">
      <c r="A1729" s="24"/>
      <c r="B1729" s="20"/>
      <c r="C1729" s="20"/>
      <c r="D1729" s="14" t="str">
        <f>IF($C1729="","",IFERROR(INDEX(Productos!$B$5:$B$504,MATCH($C1729,Productos!$A$5:$A$504,0)),"Clave no existe"))</f>
        <v/>
      </c>
      <c r="E1729" s="14" t="str">
        <f>IF($C1729="","",IFERROR(INDEX(Productos!$D$5:$D$504,MATCH($C1729,Productos!$A$5:$A$504,0)),""))</f>
        <v/>
      </c>
      <c r="F1729" s="20"/>
      <c r="G1729" s="22" t="str">
        <f>IF($C1729="","",IFERROR(INDEX(Productos!$F$5:$F$504,MATCH($C1729,Productos!$A$5:$A$504,0)),0))</f>
        <v/>
      </c>
      <c r="H1729" s="22" t="str">
        <f t="shared" si="26"/>
        <v/>
      </c>
      <c r="I1729" s="14" t="str">
        <f>IF(OR($C1729="",$F1729=""),"",IFERROR(INDEX(Productos!$I$5:$I$504,MATCH($C1729,Productos!$A$5:$A$504,0)),0)+SUMIFS($F$5:$F1729,$C$5:$C1729,$C1729,$B$5:$B1729,"Entrada")-SUMIFS($F$5:$F1729,$C$5:$C1729,$C1729,$B$5:$B1729,"Salida"))</f>
        <v/>
      </c>
      <c r="J1729" s="20"/>
      <c r="K1729" s="20"/>
      <c r="L1729" s="20"/>
      <c r="M1729" s="14" t="str">
        <f>IF(AND($C1729&lt;&gt;"",$C1729=Kardex!$C$4),COUNTIF($C$5:$C1729,Kardex!$C$4),"")</f>
        <v/>
      </c>
    </row>
    <row r="1730" spans="1:13" x14ac:dyDescent="0.25">
      <c r="A1730" s="24"/>
      <c r="B1730" s="20"/>
      <c r="C1730" s="20"/>
      <c r="D1730" s="14" t="str">
        <f>IF($C1730="","",IFERROR(INDEX(Productos!$B$5:$B$504,MATCH($C1730,Productos!$A$5:$A$504,0)),"Clave no existe"))</f>
        <v/>
      </c>
      <c r="E1730" s="14" t="str">
        <f>IF($C1730="","",IFERROR(INDEX(Productos!$D$5:$D$504,MATCH($C1730,Productos!$A$5:$A$504,0)),""))</f>
        <v/>
      </c>
      <c r="F1730" s="20"/>
      <c r="G1730" s="22" t="str">
        <f>IF($C1730="","",IFERROR(INDEX(Productos!$F$5:$F$504,MATCH($C1730,Productos!$A$5:$A$504,0)),0))</f>
        <v/>
      </c>
      <c r="H1730" s="22" t="str">
        <f t="shared" si="26"/>
        <v/>
      </c>
      <c r="I1730" s="14" t="str">
        <f>IF(OR($C1730="",$F1730=""),"",IFERROR(INDEX(Productos!$I$5:$I$504,MATCH($C1730,Productos!$A$5:$A$504,0)),0)+SUMIFS($F$5:$F1730,$C$5:$C1730,$C1730,$B$5:$B1730,"Entrada")-SUMIFS($F$5:$F1730,$C$5:$C1730,$C1730,$B$5:$B1730,"Salida"))</f>
        <v/>
      </c>
      <c r="J1730" s="20"/>
      <c r="K1730" s="20"/>
      <c r="L1730" s="20"/>
      <c r="M1730" s="14" t="str">
        <f>IF(AND($C1730&lt;&gt;"",$C1730=Kardex!$C$4),COUNTIF($C$5:$C1730,Kardex!$C$4),"")</f>
        <v/>
      </c>
    </row>
    <row r="1731" spans="1:13" x14ac:dyDescent="0.25">
      <c r="A1731" s="24"/>
      <c r="B1731" s="20"/>
      <c r="C1731" s="20"/>
      <c r="D1731" s="14" t="str">
        <f>IF($C1731="","",IFERROR(INDEX(Productos!$B$5:$B$504,MATCH($C1731,Productos!$A$5:$A$504,0)),"Clave no existe"))</f>
        <v/>
      </c>
      <c r="E1731" s="14" t="str">
        <f>IF($C1731="","",IFERROR(INDEX(Productos!$D$5:$D$504,MATCH($C1731,Productos!$A$5:$A$504,0)),""))</f>
        <v/>
      </c>
      <c r="F1731" s="20"/>
      <c r="G1731" s="22" t="str">
        <f>IF($C1731="","",IFERROR(INDEX(Productos!$F$5:$F$504,MATCH($C1731,Productos!$A$5:$A$504,0)),0))</f>
        <v/>
      </c>
      <c r="H1731" s="22" t="str">
        <f t="shared" si="26"/>
        <v/>
      </c>
      <c r="I1731" s="14" t="str">
        <f>IF(OR($C1731="",$F1731=""),"",IFERROR(INDEX(Productos!$I$5:$I$504,MATCH($C1731,Productos!$A$5:$A$504,0)),0)+SUMIFS($F$5:$F1731,$C$5:$C1731,$C1731,$B$5:$B1731,"Entrada")-SUMIFS($F$5:$F1731,$C$5:$C1731,$C1731,$B$5:$B1731,"Salida"))</f>
        <v/>
      </c>
      <c r="J1731" s="20"/>
      <c r="K1731" s="20"/>
      <c r="L1731" s="20"/>
      <c r="M1731" s="14" t="str">
        <f>IF(AND($C1731&lt;&gt;"",$C1731=Kardex!$C$4),COUNTIF($C$5:$C1731,Kardex!$C$4),"")</f>
        <v/>
      </c>
    </row>
    <row r="1732" spans="1:13" x14ac:dyDescent="0.25">
      <c r="A1732" s="24"/>
      <c r="B1732" s="20"/>
      <c r="C1732" s="20"/>
      <c r="D1732" s="14" t="str">
        <f>IF($C1732="","",IFERROR(INDEX(Productos!$B$5:$B$504,MATCH($C1732,Productos!$A$5:$A$504,0)),"Clave no existe"))</f>
        <v/>
      </c>
      <c r="E1732" s="14" t="str">
        <f>IF($C1732="","",IFERROR(INDEX(Productos!$D$5:$D$504,MATCH($C1732,Productos!$A$5:$A$504,0)),""))</f>
        <v/>
      </c>
      <c r="F1732" s="20"/>
      <c r="G1732" s="22" t="str">
        <f>IF($C1732="","",IFERROR(INDEX(Productos!$F$5:$F$504,MATCH($C1732,Productos!$A$5:$A$504,0)),0))</f>
        <v/>
      </c>
      <c r="H1732" s="22" t="str">
        <f t="shared" si="26"/>
        <v/>
      </c>
      <c r="I1732" s="14" t="str">
        <f>IF(OR($C1732="",$F1732=""),"",IFERROR(INDEX(Productos!$I$5:$I$504,MATCH($C1732,Productos!$A$5:$A$504,0)),0)+SUMIFS($F$5:$F1732,$C$5:$C1732,$C1732,$B$5:$B1732,"Entrada")-SUMIFS($F$5:$F1732,$C$5:$C1732,$C1732,$B$5:$B1732,"Salida"))</f>
        <v/>
      </c>
      <c r="J1732" s="20"/>
      <c r="K1732" s="20"/>
      <c r="L1732" s="20"/>
      <c r="M1732" s="14" t="str">
        <f>IF(AND($C1732&lt;&gt;"",$C1732=Kardex!$C$4),COUNTIF($C$5:$C1732,Kardex!$C$4),"")</f>
        <v/>
      </c>
    </row>
    <row r="1733" spans="1:13" x14ac:dyDescent="0.25">
      <c r="A1733" s="24"/>
      <c r="B1733" s="20"/>
      <c r="C1733" s="20"/>
      <c r="D1733" s="14" t="str">
        <f>IF($C1733="","",IFERROR(INDEX(Productos!$B$5:$B$504,MATCH($C1733,Productos!$A$5:$A$504,0)),"Clave no existe"))</f>
        <v/>
      </c>
      <c r="E1733" s="14" t="str">
        <f>IF($C1733="","",IFERROR(INDEX(Productos!$D$5:$D$504,MATCH($C1733,Productos!$A$5:$A$504,0)),""))</f>
        <v/>
      </c>
      <c r="F1733" s="20"/>
      <c r="G1733" s="22" t="str">
        <f>IF($C1733="","",IFERROR(INDEX(Productos!$F$5:$F$504,MATCH($C1733,Productos!$A$5:$A$504,0)),0))</f>
        <v/>
      </c>
      <c r="H1733" s="22" t="str">
        <f t="shared" ref="H1733:H1796" si="27">IF(OR($C1733="",$F1733=""),"",F1733*G1733)</f>
        <v/>
      </c>
      <c r="I1733" s="14" t="str">
        <f>IF(OR($C1733="",$F1733=""),"",IFERROR(INDEX(Productos!$I$5:$I$504,MATCH($C1733,Productos!$A$5:$A$504,0)),0)+SUMIFS($F$5:$F1733,$C$5:$C1733,$C1733,$B$5:$B1733,"Entrada")-SUMIFS($F$5:$F1733,$C$5:$C1733,$C1733,$B$5:$B1733,"Salida"))</f>
        <v/>
      </c>
      <c r="J1733" s="20"/>
      <c r="K1733" s="20"/>
      <c r="L1733" s="20"/>
      <c r="M1733" s="14" t="str">
        <f>IF(AND($C1733&lt;&gt;"",$C1733=Kardex!$C$4),COUNTIF($C$5:$C1733,Kardex!$C$4),"")</f>
        <v/>
      </c>
    </row>
    <row r="1734" spans="1:13" x14ac:dyDescent="0.25">
      <c r="A1734" s="24"/>
      <c r="B1734" s="20"/>
      <c r="C1734" s="20"/>
      <c r="D1734" s="14" t="str">
        <f>IF($C1734="","",IFERROR(INDEX(Productos!$B$5:$B$504,MATCH($C1734,Productos!$A$5:$A$504,0)),"Clave no existe"))</f>
        <v/>
      </c>
      <c r="E1734" s="14" t="str">
        <f>IF($C1734="","",IFERROR(INDEX(Productos!$D$5:$D$504,MATCH($C1734,Productos!$A$5:$A$504,0)),""))</f>
        <v/>
      </c>
      <c r="F1734" s="20"/>
      <c r="G1734" s="22" t="str">
        <f>IF($C1734="","",IFERROR(INDEX(Productos!$F$5:$F$504,MATCH($C1734,Productos!$A$5:$A$504,0)),0))</f>
        <v/>
      </c>
      <c r="H1734" s="22" t="str">
        <f t="shared" si="27"/>
        <v/>
      </c>
      <c r="I1734" s="14" t="str">
        <f>IF(OR($C1734="",$F1734=""),"",IFERROR(INDEX(Productos!$I$5:$I$504,MATCH($C1734,Productos!$A$5:$A$504,0)),0)+SUMIFS($F$5:$F1734,$C$5:$C1734,$C1734,$B$5:$B1734,"Entrada")-SUMIFS($F$5:$F1734,$C$5:$C1734,$C1734,$B$5:$B1734,"Salida"))</f>
        <v/>
      </c>
      <c r="J1734" s="20"/>
      <c r="K1734" s="20"/>
      <c r="L1734" s="20"/>
      <c r="M1734" s="14" t="str">
        <f>IF(AND($C1734&lt;&gt;"",$C1734=Kardex!$C$4),COUNTIF($C$5:$C1734,Kardex!$C$4),"")</f>
        <v/>
      </c>
    </row>
    <row r="1735" spans="1:13" x14ac:dyDescent="0.25">
      <c r="A1735" s="24"/>
      <c r="B1735" s="20"/>
      <c r="C1735" s="20"/>
      <c r="D1735" s="14" t="str">
        <f>IF($C1735="","",IFERROR(INDEX(Productos!$B$5:$B$504,MATCH($C1735,Productos!$A$5:$A$504,0)),"Clave no existe"))</f>
        <v/>
      </c>
      <c r="E1735" s="14" t="str">
        <f>IF($C1735="","",IFERROR(INDEX(Productos!$D$5:$D$504,MATCH($C1735,Productos!$A$5:$A$504,0)),""))</f>
        <v/>
      </c>
      <c r="F1735" s="20"/>
      <c r="G1735" s="22" t="str">
        <f>IF($C1735="","",IFERROR(INDEX(Productos!$F$5:$F$504,MATCH($C1735,Productos!$A$5:$A$504,0)),0))</f>
        <v/>
      </c>
      <c r="H1735" s="22" t="str">
        <f t="shared" si="27"/>
        <v/>
      </c>
      <c r="I1735" s="14" t="str">
        <f>IF(OR($C1735="",$F1735=""),"",IFERROR(INDEX(Productos!$I$5:$I$504,MATCH($C1735,Productos!$A$5:$A$504,0)),0)+SUMIFS($F$5:$F1735,$C$5:$C1735,$C1735,$B$5:$B1735,"Entrada")-SUMIFS($F$5:$F1735,$C$5:$C1735,$C1735,$B$5:$B1735,"Salida"))</f>
        <v/>
      </c>
      <c r="J1735" s="20"/>
      <c r="K1735" s="20"/>
      <c r="L1735" s="20"/>
      <c r="M1735" s="14" t="str">
        <f>IF(AND($C1735&lt;&gt;"",$C1735=Kardex!$C$4),COUNTIF($C$5:$C1735,Kardex!$C$4),"")</f>
        <v/>
      </c>
    </row>
    <row r="1736" spans="1:13" x14ac:dyDescent="0.25">
      <c r="A1736" s="24"/>
      <c r="B1736" s="20"/>
      <c r="C1736" s="20"/>
      <c r="D1736" s="14" t="str">
        <f>IF($C1736="","",IFERROR(INDEX(Productos!$B$5:$B$504,MATCH($C1736,Productos!$A$5:$A$504,0)),"Clave no existe"))</f>
        <v/>
      </c>
      <c r="E1736" s="14" t="str">
        <f>IF($C1736="","",IFERROR(INDEX(Productos!$D$5:$D$504,MATCH($C1736,Productos!$A$5:$A$504,0)),""))</f>
        <v/>
      </c>
      <c r="F1736" s="20"/>
      <c r="G1736" s="22" t="str">
        <f>IF($C1736="","",IFERROR(INDEX(Productos!$F$5:$F$504,MATCH($C1736,Productos!$A$5:$A$504,0)),0))</f>
        <v/>
      </c>
      <c r="H1736" s="22" t="str">
        <f t="shared" si="27"/>
        <v/>
      </c>
      <c r="I1736" s="14" t="str">
        <f>IF(OR($C1736="",$F1736=""),"",IFERROR(INDEX(Productos!$I$5:$I$504,MATCH($C1736,Productos!$A$5:$A$504,0)),0)+SUMIFS($F$5:$F1736,$C$5:$C1736,$C1736,$B$5:$B1736,"Entrada")-SUMIFS($F$5:$F1736,$C$5:$C1736,$C1736,$B$5:$B1736,"Salida"))</f>
        <v/>
      </c>
      <c r="J1736" s="20"/>
      <c r="K1736" s="20"/>
      <c r="L1736" s="20"/>
      <c r="M1736" s="14" t="str">
        <f>IF(AND($C1736&lt;&gt;"",$C1736=Kardex!$C$4),COUNTIF($C$5:$C1736,Kardex!$C$4),"")</f>
        <v/>
      </c>
    </row>
    <row r="1737" spans="1:13" x14ac:dyDescent="0.25">
      <c r="A1737" s="24"/>
      <c r="B1737" s="20"/>
      <c r="C1737" s="20"/>
      <c r="D1737" s="14" t="str">
        <f>IF($C1737="","",IFERROR(INDEX(Productos!$B$5:$B$504,MATCH($C1737,Productos!$A$5:$A$504,0)),"Clave no existe"))</f>
        <v/>
      </c>
      <c r="E1737" s="14" t="str">
        <f>IF($C1737="","",IFERROR(INDEX(Productos!$D$5:$D$504,MATCH($C1737,Productos!$A$5:$A$504,0)),""))</f>
        <v/>
      </c>
      <c r="F1737" s="20"/>
      <c r="G1737" s="22" t="str">
        <f>IF($C1737="","",IFERROR(INDEX(Productos!$F$5:$F$504,MATCH($C1737,Productos!$A$5:$A$504,0)),0))</f>
        <v/>
      </c>
      <c r="H1737" s="22" t="str">
        <f t="shared" si="27"/>
        <v/>
      </c>
      <c r="I1737" s="14" t="str">
        <f>IF(OR($C1737="",$F1737=""),"",IFERROR(INDEX(Productos!$I$5:$I$504,MATCH($C1737,Productos!$A$5:$A$504,0)),0)+SUMIFS($F$5:$F1737,$C$5:$C1737,$C1737,$B$5:$B1737,"Entrada")-SUMIFS($F$5:$F1737,$C$5:$C1737,$C1737,$B$5:$B1737,"Salida"))</f>
        <v/>
      </c>
      <c r="J1737" s="20"/>
      <c r="K1737" s="20"/>
      <c r="L1737" s="20"/>
      <c r="M1737" s="14" t="str">
        <f>IF(AND($C1737&lt;&gt;"",$C1737=Kardex!$C$4),COUNTIF($C$5:$C1737,Kardex!$C$4),"")</f>
        <v/>
      </c>
    </row>
    <row r="1738" spans="1:13" x14ac:dyDescent="0.25">
      <c r="A1738" s="24"/>
      <c r="B1738" s="20"/>
      <c r="C1738" s="20"/>
      <c r="D1738" s="14" t="str">
        <f>IF($C1738="","",IFERROR(INDEX(Productos!$B$5:$B$504,MATCH($C1738,Productos!$A$5:$A$504,0)),"Clave no existe"))</f>
        <v/>
      </c>
      <c r="E1738" s="14" t="str">
        <f>IF($C1738="","",IFERROR(INDEX(Productos!$D$5:$D$504,MATCH($C1738,Productos!$A$5:$A$504,0)),""))</f>
        <v/>
      </c>
      <c r="F1738" s="20"/>
      <c r="G1738" s="22" t="str">
        <f>IF($C1738="","",IFERROR(INDEX(Productos!$F$5:$F$504,MATCH($C1738,Productos!$A$5:$A$504,0)),0))</f>
        <v/>
      </c>
      <c r="H1738" s="22" t="str">
        <f t="shared" si="27"/>
        <v/>
      </c>
      <c r="I1738" s="14" t="str">
        <f>IF(OR($C1738="",$F1738=""),"",IFERROR(INDEX(Productos!$I$5:$I$504,MATCH($C1738,Productos!$A$5:$A$504,0)),0)+SUMIFS($F$5:$F1738,$C$5:$C1738,$C1738,$B$5:$B1738,"Entrada")-SUMIFS($F$5:$F1738,$C$5:$C1738,$C1738,$B$5:$B1738,"Salida"))</f>
        <v/>
      </c>
      <c r="J1738" s="20"/>
      <c r="K1738" s="20"/>
      <c r="L1738" s="20"/>
      <c r="M1738" s="14" t="str">
        <f>IF(AND($C1738&lt;&gt;"",$C1738=Kardex!$C$4),COUNTIF($C$5:$C1738,Kardex!$C$4),"")</f>
        <v/>
      </c>
    </row>
    <row r="1739" spans="1:13" x14ac:dyDescent="0.25">
      <c r="A1739" s="24"/>
      <c r="B1739" s="20"/>
      <c r="C1739" s="20"/>
      <c r="D1739" s="14" t="str">
        <f>IF($C1739="","",IFERROR(INDEX(Productos!$B$5:$B$504,MATCH($C1739,Productos!$A$5:$A$504,0)),"Clave no existe"))</f>
        <v/>
      </c>
      <c r="E1739" s="14" t="str">
        <f>IF($C1739="","",IFERROR(INDEX(Productos!$D$5:$D$504,MATCH($C1739,Productos!$A$5:$A$504,0)),""))</f>
        <v/>
      </c>
      <c r="F1739" s="20"/>
      <c r="G1739" s="22" t="str">
        <f>IF($C1739="","",IFERROR(INDEX(Productos!$F$5:$F$504,MATCH($C1739,Productos!$A$5:$A$504,0)),0))</f>
        <v/>
      </c>
      <c r="H1739" s="22" t="str">
        <f t="shared" si="27"/>
        <v/>
      </c>
      <c r="I1739" s="14" t="str">
        <f>IF(OR($C1739="",$F1739=""),"",IFERROR(INDEX(Productos!$I$5:$I$504,MATCH($C1739,Productos!$A$5:$A$504,0)),0)+SUMIFS($F$5:$F1739,$C$5:$C1739,$C1739,$B$5:$B1739,"Entrada")-SUMIFS($F$5:$F1739,$C$5:$C1739,$C1739,$B$5:$B1739,"Salida"))</f>
        <v/>
      </c>
      <c r="J1739" s="20"/>
      <c r="K1739" s="20"/>
      <c r="L1739" s="20"/>
      <c r="M1739" s="14" t="str">
        <f>IF(AND($C1739&lt;&gt;"",$C1739=Kardex!$C$4),COUNTIF($C$5:$C1739,Kardex!$C$4),"")</f>
        <v/>
      </c>
    </row>
    <row r="1740" spans="1:13" x14ac:dyDescent="0.25">
      <c r="A1740" s="24"/>
      <c r="B1740" s="20"/>
      <c r="C1740" s="20"/>
      <c r="D1740" s="14" t="str">
        <f>IF($C1740="","",IFERROR(INDEX(Productos!$B$5:$B$504,MATCH($C1740,Productos!$A$5:$A$504,0)),"Clave no existe"))</f>
        <v/>
      </c>
      <c r="E1740" s="14" t="str">
        <f>IF($C1740="","",IFERROR(INDEX(Productos!$D$5:$D$504,MATCH($C1740,Productos!$A$5:$A$504,0)),""))</f>
        <v/>
      </c>
      <c r="F1740" s="20"/>
      <c r="G1740" s="22" t="str">
        <f>IF($C1740="","",IFERROR(INDEX(Productos!$F$5:$F$504,MATCH($C1740,Productos!$A$5:$A$504,0)),0))</f>
        <v/>
      </c>
      <c r="H1740" s="22" t="str">
        <f t="shared" si="27"/>
        <v/>
      </c>
      <c r="I1740" s="14" t="str">
        <f>IF(OR($C1740="",$F1740=""),"",IFERROR(INDEX(Productos!$I$5:$I$504,MATCH($C1740,Productos!$A$5:$A$504,0)),0)+SUMIFS($F$5:$F1740,$C$5:$C1740,$C1740,$B$5:$B1740,"Entrada")-SUMIFS($F$5:$F1740,$C$5:$C1740,$C1740,$B$5:$B1740,"Salida"))</f>
        <v/>
      </c>
      <c r="J1740" s="20"/>
      <c r="K1740" s="20"/>
      <c r="L1740" s="20"/>
      <c r="M1740" s="14" t="str">
        <f>IF(AND($C1740&lt;&gt;"",$C1740=Kardex!$C$4),COUNTIF($C$5:$C1740,Kardex!$C$4),"")</f>
        <v/>
      </c>
    </row>
    <row r="1741" spans="1:13" x14ac:dyDescent="0.25">
      <c r="A1741" s="24"/>
      <c r="B1741" s="20"/>
      <c r="C1741" s="20"/>
      <c r="D1741" s="14" t="str">
        <f>IF($C1741="","",IFERROR(INDEX(Productos!$B$5:$B$504,MATCH($C1741,Productos!$A$5:$A$504,0)),"Clave no existe"))</f>
        <v/>
      </c>
      <c r="E1741" s="14" t="str">
        <f>IF($C1741="","",IFERROR(INDEX(Productos!$D$5:$D$504,MATCH($C1741,Productos!$A$5:$A$504,0)),""))</f>
        <v/>
      </c>
      <c r="F1741" s="20"/>
      <c r="G1741" s="22" t="str">
        <f>IF($C1741="","",IFERROR(INDEX(Productos!$F$5:$F$504,MATCH($C1741,Productos!$A$5:$A$504,0)),0))</f>
        <v/>
      </c>
      <c r="H1741" s="22" t="str">
        <f t="shared" si="27"/>
        <v/>
      </c>
      <c r="I1741" s="14" t="str">
        <f>IF(OR($C1741="",$F1741=""),"",IFERROR(INDEX(Productos!$I$5:$I$504,MATCH($C1741,Productos!$A$5:$A$504,0)),0)+SUMIFS($F$5:$F1741,$C$5:$C1741,$C1741,$B$5:$B1741,"Entrada")-SUMIFS($F$5:$F1741,$C$5:$C1741,$C1741,$B$5:$B1741,"Salida"))</f>
        <v/>
      </c>
      <c r="J1741" s="20"/>
      <c r="K1741" s="20"/>
      <c r="L1741" s="20"/>
      <c r="M1741" s="14" t="str">
        <f>IF(AND($C1741&lt;&gt;"",$C1741=Kardex!$C$4),COUNTIF($C$5:$C1741,Kardex!$C$4),"")</f>
        <v/>
      </c>
    </row>
    <row r="1742" spans="1:13" x14ac:dyDescent="0.25">
      <c r="A1742" s="24"/>
      <c r="B1742" s="20"/>
      <c r="C1742" s="20"/>
      <c r="D1742" s="14" t="str">
        <f>IF($C1742="","",IFERROR(INDEX(Productos!$B$5:$B$504,MATCH($C1742,Productos!$A$5:$A$504,0)),"Clave no existe"))</f>
        <v/>
      </c>
      <c r="E1742" s="14" t="str">
        <f>IF($C1742="","",IFERROR(INDEX(Productos!$D$5:$D$504,MATCH($C1742,Productos!$A$5:$A$504,0)),""))</f>
        <v/>
      </c>
      <c r="F1742" s="20"/>
      <c r="G1742" s="22" t="str">
        <f>IF($C1742="","",IFERROR(INDEX(Productos!$F$5:$F$504,MATCH($C1742,Productos!$A$5:$A$504,0)),0))</f>
        <v/>
      </c>
      <c r="H1742" s="22" t="str">
        <f t="shared" si="27"/>
        <v/>
      </c>
      <c r="I1742" s="14" t="str">
        <f>IF(OR($C1742="",$F1742=""),"",IFERROR(INDEX(Productos!$I$5:$I$504,MATCH($C1742,Productos!$A$5:$A$504,0)),0)+SUMIFS($F$5:$F1742,$C$5:$C1742,$C1742,$B$5:$B1742,"Entrada")-SUMIFS($F$5:$F1742,$C$5:$C1742,$C1742,$B$5:$B1742,"Salida"))</f>
        <v/>
      </c>
      <c r="J1742" s="20"/>
      <c r="K1742" s="20"/>
      <c r="L1742" s="20"/>
      <c r="M1742" s="14" t="str">
        <f>IF(AND($C1742&lt;&gt;"",$C1742=Kardex!$C$4),COUNTIF($C$5:$C1742,Kardex!$C$4),"")</f>
        <v/>
      </c>
    </row>
    <row r="1743" spans="1:13" x14ac:dyDescent="0.25">
      <c r="A1743" s="24"/>
      <c r="B1743" s="20"/>
      <c r="C1743" s="20"/>
      <c r="D1743" s="14" t="str">
        <f>IF($C1743="","",IFERROR(INDEX(Productos!$B$5:$B$504,MATCH($C1743,Productos!$A$5:$A$504,0)),"Clave no existe"))</f>
        <v/>
      </c>
      <c r="E1743" s="14" t="str">
        <f>IF($C1743="","",IFERROR(INDEX(Productos!$D$5:$D$504,MATCH($C1743,Productos!$A$5:$A$504,0)),""))</f>
        <v/>
      </c>
      <c r="F1743" s="20"/>
      <c r="G1743" s="22" t="str">
        <f>IF($C1743="","",IFERROR(INDEX(Productos!$F$5:$F$504,MATCH($C1743,Productos!$A$5:$A$504,0)),0))</f>
        <v/>
      </c>
      <c r="H1743" s="22" t="str">
        <f t="shared" si="27"/>
        <v/>
      </c>
      <c r="I1743" s="14" t="str">
        <f>IF(OR($C1743="",$F1743=""),"",IFERROR(INDEX(Productos!$I$5:$I$504,MATCH($C1743,Productos!$A$5:$A$504,0)),0)+SUMIFS($F$5:$F1743,$C$5:$C1743,$C1743,$B$5:$B1743,"Entrada")-SUMIFS($F$5:$F1743,$C$5:$C1743,$C1743,$B$5:$B1743,"Salida"))</f>
        <v/>
      </c>
      <c r="J1743" s="20"/>
      <c r="K1743" s="20"/>
      <c r="L1743" s="20"/>
      <c r="M1743" s="14" t="str">
        <f>IF(AND($C1743&lt;&gt;"",$C1743=Kardex!$C$4),COUNTIF($C$5:$C1743,Kardex!$C$4),"")</f>
        <v/>
      </c>
    </row>
    <row r="1744" spans="1:13" x14ac:dyDescent="0.25">
      <c r="A1744" s="24"/>
      <c r="B1744" s="20"/>
      <c r="C1744" s="20"/>
      <c r="D1744" s="14" t="str">
        <f>IF($C1744="","",IFERROR(INDEX(Productos!$B$5:$B$504,MATCH($C1744,Productos!$A$5:$A$504,0)),"Clave no existe"))</f>
        <v/>
      </c>
      <c r="E1744" s="14" t="str">
        <f>IF($C1744="","",IFERROR(INDEX(Productos!$D$5:$D$504,MATCH($C1744,Productos!$A$5:$A$504,0)),""))</f>
        <v/>
      </c>
      <c r="F1744" s="20"/>
      <c r="G1744" s="22" t="str">
        <f>IF($C1744="","",IFERROR(INDEX(Productos!$F$5:$F$504,MATCH($C1744,Productos!$A$5:$A$504,0)),0))</f>
        <v/>
      </c>
      <c r="H1744" s="22" t="str">
        <f t="shared" si="27"/>
        <v/>
      </c>
      <c r="I1744" s="14" t="str">
        <f>IF(OR($C1744="",$F1744=""),"",IFERROR(INDEX(Productos!$I$5:$I$504,MATCH($C1744,Productos!$A$5:$A$504,0)),0)+SUMIFS($F$5:$F1744,$C$5:$C1744,$C1744,$B$5:$B1744,"Entrada")-SUMIFS($F$5:$F1744,$C$5:$C1744,$C1744,$B$5:$B1744,"Salida"))</f>
        <v/>
      </c>
      <c r="J1744" s="20"/>
      <c r="K1744" s="20"/>
      <c r="L1744" s="20"/>
      <c r="M1744" s="14" t="str">
        <f>IF(AND($C1744&lt;&gt;"",$C1744=Kardex!$C$4),COUNTIF($C$5:$C1744,Kardex!$C$4),"")</f>
        <v/>
      </c>
    </row>
    <row r="1745" spans="1:13" x14ac:dyDescent="0.25">
      <c r="A1745" s="24"/>
      <c r="B1745" s="20"/>
      <c r="C1745" s="20"/>
      <c r="D1745" s="14" t="str">
        <f>IF($C1745="","",IFERROR(INDEX(Productos!$B$5:$B$504,MATCH($C1745,Productos!$A$5:$A$504,0)),"Clave no existe"))</f>
        <v/>
      </c>
      <c r="E1745" s="14" t="str">
        <f>IF($C1745="","",IFERROR(INDEX(Productos!$D$5:$D$504,MATCH($C1745,Productos!$A$5:$A$504,0)),""))</f>
        <v/>
      </c>
      <c r="F1745" s="20"/>
      <c r="G1745" s="22" t="str">
        <f>IF($C1745="","",IFERROR(INDEX(Productos!$F$5:$F$504,MATCH($C1745,Productos!$A$5:$A$504,0)),0))</f>
        <v/>
      </c>
      <c r="H1745" s="22" t="str">
        <f t="shared" si="27"/>
        <v/>
      </c>
      <c r="I1745" s="14" t="str">
        <f>IF(OR($C1745="",$F1745=""),"",IFERROR(INDEX(Productos!$I$5:$I$504,MATCH($C1745,Productos!$A$5:$A$504,0)),0)+SUMIFS($F$5:$F1745,$C$5:$C1745,$C1745,$B$5:$B1745,"Entrada")-SUMIFS($F$5:$F1745,$C$5:$C1745,$C1745,$B$5:$B1745,"Salida"))</f>
        <v/>
      </c>
      <c r="J1745" s="20"/>
      <c r="K1745" s="20"/>
      <c r="L1745" s="20"/>
      <c r="M1745" s="14" t="str">
        <f>IF(AND($C1745&lt;&gt;"",$C1745=Kardex!$C$4),COUNTIF($C$5:$C1745,Kardex!$C$4),"")</f>
        <v/>
      </c>
    </row>
    <row r="1746" spans="1:13" x14ac:dyDescent="0.25">
      <c r="A1746" s="24"/>
      <c r="B1746" s="20"/>
      <c r="C1746" s="20"/>
      <c r="D1746" s="14" t="str">
        <f>IF($C1746="","",IFERROR(INDEX(Productos!$B$5:$B$504,MATCH($C1746,Productos!$A$5:$A$504,0)),"Clave no existe"))</f>
        <v/>
      </c>
      <c r="E1746" s="14" t="str">
        <f>IF($C1746="","",IFERROR(INDEX(Productos!$D$5:$D$504,MATCH($C1746,Productos!$A$5:$A$504,0)),""))</f>
        <v/>
      </c>
      <c r="F1746" s="20"/>
      <c r="G1746" s="22" t="str">
        <f>IF($C1746="","",IFERROR(INDEX(Productos!$F$5:$F$504,MATCH($C1746,Productos!$A$5:$A$504,0)),0))</f>
        <v/>
      </c>
      <c r="H1746" s="22" t="str">
        <f t="shared" si="27"/>
        <v/>
      </c>
      <c r="I1746" s="14" t="str">
        <f>IF(OR($C1746="",$F1746=""),"",IFERROR(INDEX(Productos!$I$5:$I$504,MATCH($C1746,Productos!$A$5:$A$504,0)),0)+SUMIFS($F$5:$F1746,$C$5:$C1746,$C1746,$B$5:$B1746,"Entrada")-SUMIFS($F$5:$F1746,$C$5:$C1746,$C1746,$B$5:$B1746,"Salida"))</f>
        <v/>
      </c>
      <c r="J1746" s="20"/>
      <c r="K1746" s="20"/>
      <c r="L1746" s="20"/>
      <c r="M1746" s="14" t="str">
        <f>IF(AND($C1746&lt;&gt;"",$C1746=Kardex!$C$4),COUNTIF($C$5:$C1746,Kardex!$C$4),"")</f>
        <v/>
      </c>
    </row>
    <row r="1747" spans="1:13" x14ac:dyDescent="0.25">
      <c r="A1747" s="24"/>
      <c r="B1747" s="20"/>
      <c r="C1747" s="20"/>
      <c r="D1747" s="14" t="str">
        <f>IF($C1747="","",IFERROR(INDEX(Productos!$B$5:$B$504,MATCH($C1747,Productos!$A$5:$A$504,0)),"Clave no existe"))</f>
        <v/>
      </c>
      <c r="E1747" s="14" t="str">
        <f>IF($C1747="","",IFERROR(INDEX(Productos!$D$5:$D$504,MATCH($C1747,Productos!$A$5:$A$504,0)),""))</f>
        <v/>
      </c>
      <c r="F1747" s="20"/>
      <c r="G1747" s="22" t="str">
        <f>IF($C1747="","",IFERROR(INDEX(Productos!$F$5:$F$504,MATCH($C1747,Productos!$A$5:$A$504,0)),0))</f>
        <v/>
      </c>
      <c r="H1747" s="22" t="str">
        <f t="shared" si="27"/>
        <v/>
      </c>
      <c r="I1747" s="14" t="str">
        <f>IF(OR($C1747="",$F1747=""),"",IFERROR(INDEX(Productos!$I$5:$I$504,MATCH($C1747,Productos!$A$5:$A$504,0)),0)+SUMIFS($F$5:$F1747,$C$5:$C1747,$C1747,$B$5:$B1747,"Entrada")-SUMIFS($F$5:$F1747,$C$5:$C1747,$C1747,$B$5:$B1747,"Salida"))</f>
        <v/>
      </c>
      <c r="J1747" s="20"/>
      <c r="K1747" s="20"/>
      <c r="L1747" s="20"/>
      <c r="M1747" s="14" t="str">
        <f>IF(AND($C1747&lt;&gt;"",$C1747=Kardex!$C$4),COUNTIF($C$5:$C1747,Kardex!$C$4),"")</f>
        <v/>
      </c>
    </row>
    <row r="1748" spans="1:13" x14ac:dyDescent="0.25">
      <c r="A1748" s="24"/>
      <c r="B1748" s="20"/>
      <c r="C1748" s="20"/>
      <c r="D1748" s="14" t="str">
        <f>IF($C1748="","",IFERROR(INDEX(Productos!$B$5:$B$504,MATCH($C1748,Productos!$A$5:$A$504,0)),"Clave no existe"))</f>
        <v/>
      </c>
      <c r="E1748" s="14" t="str">
        <f>IF($C1748="","",IFERROR(INDEX(Productos!$D$5:$D$504,MATCH($C1748,Productos!$A$5:$A$504,0)),""))</f>
        <v/>
      </c>
      <c r="F1748" s="20"/>
      <c r="G1748" s="22" t="str">
        <f>IF($C1748="","",IFERROR(INDEX(Productos!$F$5:$F$504,MATCH($C1748,Productos!$A$5:$A$504,0)),0))</f>
        <v/>
      </c>
      <c r="H1748" s="22" t="str">
        <f t="shared" si="27"/>
        <v/>
      </c>
      <c r="I1748" s="14" t="str">
        <f>IF(OR($C1748="",$F1748=""),"",IFERROR(INDEX(Productos!$I$5:$I$504,MATCH($C1748,Productos!$A$5:$A$504,0)),0)+SUMIFS($F$5:$F1748,$C$5:$C1748,$C1748,$B$5:$B1748,"Entrada")-SUMIFS($F$5:$F1748,$C$5:$C1748,$C1748,$B$5:$B1748,"Salida"))</f>
        <v/>
      </c>
      <c r="J1748" s="20"/>
      <c r="K1748" s="20"/>
      <c r="L1748" s="20"/>
      <c r="M1748" s="14" t="str">
        <f>IF(AND($C1748&lt;&gt;"",$C1748=Kardex!$C$4),COUNTIF($C$5:$C1748,Kardex!$C$4),"")</f>
        <v/>
      </c>
    </row>
    <row r="1749" spans="1:13" x14ac:dyDescent="0.25">
      <c r="A1749" s="24"/>
      <c r="B1749" s="20"/>
      <c r="C1749" s="20"/>
      <c r="D1749" s="14" t="str">
        <f>IF($C1749="","",IFERROR(INDEX(Productos!$B$5:$B$504,MATCH($C1749,Productos!$A$5:$A$504,0)),"Clave no existe"))</f>
        <v/>
      </c>
      <c r="E1749" s="14" t="str">
        <f>IF($C1749="","",IFERROR(INDEX(Productos!$D$5:$D$504,MATCH($C1749,Productos!$A$5:$A$504,0)),""))</f>
        <v/>
      </c>
      <c r="F1749" s="20"/>
      <c r="G1749" s="22" t="str">
        <f>IF($C1749="","",IFERROR(INDEX(Productos!$F$5:$F$504,MATCH($C1749,Productos!$A$5:$A$504,0)),0))</f>
        <v/>
      </c>
      <c r="H1749" s="22" t="str">
        <f t="shared" si="27"/>
        <v/>
      </c>
      <c r="I1749" s="14" t="str">
        <f>IF(OR($C1749="",$F1749=""),"",IFERROR(INDEX(Productos!$I$5:$I$504,MATCH($C1749,Productos!$A$5:$A$504,0)),0)+SUMIFS($F$5:$F1749,$C$5:$C1749,$C1749,$B$5:$B1749,"Entrada")-SUMIFS($F$5:$F1749,$C$5:$C1749,$C1749,$B$5:$B1749,"Salida"))</f>
        <v/>
      </c>
      <c r="J1749" s="20"/>
      <c r="K1749" s="20"/>
      <c r="L1749" s="20"/>
      <c r="M1749" s="14" t="str">
        <f>IF(AND($C1749&lt;&gt;"",$C1749=Kardex!$C$4),COUNTIF($C$5:$C1749,Kardex!$C$4),"")</f>
        <v/>
      </c>
    </row>
    <row r="1750" spans="1:13" x14ac:dyDescent="0.25">
      <c r="A1750" s="24"/>
      <c r="B1750" s="20"/>
      <c r="C1750" s="20"/>
      <c r="D1750" s="14" t="str">
        <f>IF($C1750="","",IFERROR(INDEX(Productos!$B$5:$B$504,MATCH($C1750,Productos!$A$5:$A$504,0)),"Clave no existe"))</f>
        <v/>
      </c>
      <c r="E1750" s="14" t="str">
        <f>IF($C1750="","",IFERROR(INDEX(Productos!$D$5:$D$504,MATCH($C1750,Productos!$A$5:$A$504,0)),""))</f>
        <v/>
      </c>
      <c r="F1750" s="20"/>
      <c r="G1750" s="22" t="str">
        <f>IF($C1750="","",IFERROR(INDEX(Productos!$F$5:$F$504,MATCH($C1750,Productos!$A$5:$A$504,0)),0))</f>
        <v/>
      </c>
      <c r="H1750" s="22" t="str">
        <f t="shared" si="27"/>
        <v/>
      </c>
      <c r="I1750" s="14" t="str">
        <f>IF(OR($C1750="",$F1750=""),"",IFERROR(INDEX(Productos!$I$5:$I$504,MATCH($C1750,Productos!$A$5:$A$504,0)),0)+SUMIFS($F$5:$F1750,$C$5:$C1750,$C1750,$B$5:$B1750,"Entrada")-SUMIFS($F$5:$F1750,$C$5:$C1750,$C1750,$B$5:$B1750,"Salida"))</f>
        <v/>
      </c>
      <c r="J1750" s="20"/>
      <c r="K1750" s="20"/>
      <c r="L1750" s="20"/>
      <c r="M1750" s="14" t="str">
        <f>IF(AND($C1750&lt;&gt;"",$C1750=Kardex!$C$4),COUNTIF($C$5:$C1750,Kardex!$C$4),"")</f>
        <v/>
      </c>
    </row>
    <row r="1751" spans="1:13" x14ac:dyDescent="0.25">
      <c r="A1751" s="24"/>
      <c r="B1751" s="20"/>
      <c r="C1751" s="20"/>
      <c r="D1751" s="14" t="str">
        <f>IF($C1751="","",IFERROR(INDEX(Productos!$B$5:$B$504,MATCH($C1751,Productos!$A$5:$A$504,0)),"Clave no existe"))</f>
        <v/>
      </c>
      <c r="E1751" s="14" t="str">
        <f>IF($C1751="","",IFERROR(INDEX(Productos!$D$5:$D$504,MATCH($C1751,Productos!$A$5:$A$504,0)),""))</f>
        <v/>
      </c>
      <c r="F1751" s="20"/>
      <c r="G1751" s="22" t="str">
        <f>IF($C1751="","",IFERROR(INDEX(Productos!$F$5:$F$504,MATCH($C1751,Productos!$A$5:$A$504,0)),0))</f>
        <v/>
      </c>
      <c r="H1751" s="22" t="str">
        <f t="shared" si="27"/>
        <v/>
      </c>
      <c r="I1751" s="14" t="str">
        <f>IF(OR($C1751="",$F1751=""),"",IFERROR(INDEX(Productos!$I$5:$I$504,MATCH($C1751,Productos!$A$5:$A$504,0)),0)+SUMIFS($F$5:$F1751,$C$5:$C1751,$C1751,$B$5:$B1751,"Entrada")-SUMIFS($F$5:$F1751,$C$5:$C1751,$C1751,$B$5:$B1751,"Salida"))</f>
        <v/>
      </c>
      <c r="J1751" s="20"/>
      <c r="K1751" s="20"/>
      <c r="L1751" s="20"/>
      <c r="M1751" s="14" t="str">
        <f>IF(AND($C1751&lt;&gt;"",$C1751=Kardex!$C$4),COUNTIF($C$5:$C1751,Kardex!$C$4),"")</f>
        <v/>
      </c>
    </row>
    <row r="1752" spans="1:13" x14ac:dyDescent="0.25">
      <c r="A1752" s="24"/>
      <c r="B1752" s="20"/>
      <c r="C1752" s="20"/>
      <c r="D1752" s="14" t="str">
        <f>IF($C1752="","",IFERROR(INDEX(Productos!$B$5:$B$504,MATCH($C1752,Productos!$A$5:$A$504,0)),"Clave no existe"))</f>
        <v/>
      </c>
      <c r="E1752" s="14" t="str">
        <f>IF($C1752="","",IFERROR(INDEX(Productos!$D$5:$D$504,MATCH($C1752,Productos!$A$5:$A$504,0)),""))</f>
        <v/>
      </c>
      <c r="F1752" s="20"/>
      <c r="G1752" s="22" t="str">
        <f>IF($C1752="","",IFERROR(INDEX(Productos!$F$5:$F$504,MATCH($C1752,Productos!$A$5:$A$504,0)),0))</f>
        <v/>
      </c>
      <c r="H1752" s="22" t="str">
        <f t="shared" si="27"/>
        <v/>
      </c>
      <c r="I1752" s="14" t="str">
        <f>IF(OR($C1752="",$F1752=""),"",IFERROR(INDEX(Productos!$I$5:$I$504,MATCH($C1752,Productos!$A$5:$A$504,0)),0)+SUMIFS($F$5:$F1752,$C$5:$C1752,$C1752,$B$5:$B1752,"Entrada")-SUMIFS($F$5:$F1752,$C$5:$C1752,$C1752,$B$5:$B1752,"Salida"))</f>
        <v/>
      </c>
      <c r="J1752" s="20"/>
      <c r="K1752" s="20"/>
      <c r="L1752" s="20"/>
      <c r="M1752" s="14" t="str">
        <f>IF(AND($C1752&lt;&gt;"",$C1752=Kardex!$C$4),COUNTIF($C$5:$C1752,Kardex!$C$4),"")</f>
        <v/>
      </c>
    </row>
    <row r="1753" spans="1:13" x14ac:dyDescent="0.25">
      <c r="A1753" s="24"/>
      <c r="B1753" s="20"/>
      <c r="C1753" s="20"/>
      <c r="D1753" s="14" t="str">
        <f>IF($C1753="","",IFERROR(INDEX(Productos!$B$5:$B$504,MATCH($C1753,Productos!$A$5:$A$504,0)),"Clave no existe"))</f>
        <v/>
      </c>
      <c r="E1753" s="14" t="str">
        <f>IF($C1753="","",IFERROR(INDEX(Productos!$D$5:$D$504,MATCH($C1753,Productos!$A$5:$A$504,0)),""))</f>
        <v/>
      </c>
      <c r="F1753" s="20"/>
      <c r="G1753" s="22" t="str">
        <f>IF($C1753="","",IFERROR(INDEX(Productos!$F$5:$F$504,MATCH($C1753,Productos!$A$5:$A$504,0)),0))</f>
        <v/>
      </c>
      <c r="H1753" s="22" t="str">
        <f t="shared" si="27"/>
        <v/>
      </c>
      <c r="I1753" s="14" t="str">
        <f>IF(OR($C1753="",$F1753=""),"",IFERROR(INDEX(Productos!$I$5:$I$504,MATCH($C1753,Productos!$A$5:$A$504,0)),0)+SUMIFS($F$5:$F1753,$C$5:$C1753,$C1753,$B$5:$B1753,"Entrada")-SUMIFS($F$5:$F1753,$C$5:$C1753,$C1753,$B$5:$B1753,"Salida"))</f>
        <v/>
      </c>
      <c r="J1753" s="20"/>
      <c r="K1753" s="20"/>
      <c r="L1753" s="20"/>
      <c r="M1753" s="14" t="str">
        <f>IF(AND($C1753&lt;&gt;"",$C1753=Kardex!$C$4),COUNTIF($C$5:$C1753,Kardex!$C$4),"")</f>
        <v/>
      </c>
    </row>
    <row r="1754" spans="1:13" x14ac:dyDescent="0.25">
      <c r="A1754" s="24"/>
      <c r="B1754" s="20"/>
      <c r="C1754" s="20"/>
      <c r="D1754" s="14" t="str">
        <f>IF($C1754="","",IFERROR(INDEX(Productos!$B$5:$B$504,MATCH($C1754,Productos!$A$5:$A$504,0)),"Clave no existe"))</f>
        <v/>
      </c>
      <c r="E1754" s="14" t="str">
        <f>IF($C1754="","",IFERROR(INDEX(Productos!$D$5:$D$504,MATCH($C1754,Productos!$A$5:$A$504,0)),""))</f>
        <v/>
      </c>
      <c r="F1754" s="20"/>
      <c r="G1754" s="22" t="str">
        <f>IF($C1754="","",IFERROR(INDEX(Productos!$F$5:$F$504,MATCH($C1754,Productos!$A$5:$A$504,0)),0))</f>
        <v/>
      </c>
      <c r="H1754" s="22" t="str">
        <f t="shared" si="27"/>
        <v/>
      </c>
      <c r="I1754" s="14" t="str">
        <f>IF(OR($C1754="",$F1754=""),"",IFERROR(INDEX(Productos!$I$5:$I$504,MATCH($C1754,Productos!$A$5:$A$504,0)),0)+SUMIFS($F$5:$F1754,$C$5:$C1754,$C1754,$B$5:$B1754,"Entrada")-SUMIFS($F$5:$F1754,$C$5:$C1754,$C1754,$B$5:$B1754,"Salida"))</f>
        <v/>
      </c>
      <c r="J1754" s="20"/>
      <c r="K1754" s="20"/>
      <c r="L1754" s="20"/>
      <c r="M1754" s="14" t="str">
        <f>IF(AND($C1754&lt;&gt;"",$C1754=Kardex!$C$4),COUNTIF($C$5:$C1754,Kardex!$C$4),"")</f>
        <v/>
      </c>
    </row>
    <row r="1755" spans="1:13" x14ac:dyDescent="0.25">
      <c r="A1755" s="24"/>
      <c r="B1755" s="20"/>
      <c r="C1755" s="20"/>
      <c r="D1755" s="14" t="str">
        <f>IF($C1755="","",IFERROR(INDEX(Productos!$B$5:$B$504,MATCH($C1755,Productos!$A$5:$A$504,0)),"Clave no existe"))</f>
        <v/>
      </c>
      <c r="E1755" s="14" t="str">
        <f>IF($C1755="","",IFERROR(INDEX(Productos!$D$5:$D$504,MATCH($C1755,Productos!$A$5:$A$504,0)),""))</f>
        <v/>
      </c>
      <c r="F1755" s="20"/>
      <c r="G1755" s="22" t="str">
        <f>IF($C1755="","",IFERROR(INDEX(Productos!$F$5:$F$504,MATCH($C1755,Productos!$A$5:$A$504,0)),0))</f>
        <v/>
      </c>
      <c r="H1755" s="22" t="str">
        <f t="shared" si="27"/>
        <v/>
      </c>
      <c r="I1755" s="14" t="str">
        <f>IF(OR($C1755="",$F1755=""),"",IFERROR(INDEX(Productos!$I$5:$I$504,MATCH($C1755,Productos!$A$5:$A$504,0)),0)+SUMIFS($F$5:$F1755,$C$5:$C1755,$C1755,$B$5:$B1755,"Entrada")-SUMIFS($F$5:$F1755,$C$5:$C1755,$C1755,$B$5:$B1755,"Salida"))</f>
        <v/>
      </c>
      <c r="J1755" s="20"/>
      <c r="K1755" s="20"/>
      <c r="L1755" s="20"/>
      <c r="M1755" s="14" t="str">
        <f>IF(AND($C1755&lt;&gt;"",$C1755=Kardex!$C$4),COUNTIF($C$5:$C1755,Kardex!$C$4),"")</f>
        <v/>
      </c>
    </row>
    <row r="1756" spans="1:13" x14ac:dyDescent="0.25">
      <c r="A1756" s="24"/>
      <c r="B1756" s="20"/>
      <c r="C1756" s="20"/>
      <c r="D1756" s="14" t="str">
        <f>IF($C1756="","",IFERROR(INDEX(Productos!$B$5:$B$504,MATCH($C1756,Productos!$A$5:$A$504,0)),"Clave no existe"))</f>
        <v/>
      </c>
      <c r="E1756" s="14" t="str">
        <f>IF($C1756="","",IFERROR(INDEX(Productos!$D$5:$D$504,MATCH($C1756,Productos!$A$5:$A$504,0)),""))</f>
        <v/>
      </c>
      <c r="F1756" s="20"/>
      <c r="G1756" s="22" t="str">
        <f>IF($C1756="","",IFERROR(INDEX(Productos!$F$5:$F$504,MATCH($C1756,Productos!$A$5:$A$504,0)),0))</f>
        <v/>
      </c>
      <c r="H1756" s="22" t="str">
        <f t="shared" si="27"/>
        <v/>
      </c>
      <c r="I1756" s="14" t="str">
        <f>IF(OR($C1756="",$F1756=""),"",IFERROR(INDEX(Productos!$I$5:$I$504,MATCH($C1756,Productos!$A$5:$A$504,0)),0)+SUMIFS($F$5:$F1756,$C$5:$C1756,$C1756,$B$5:$B1756,"Entrada")-SUMIFS($F$5:$F1756,$C$5:$C1756,$C1756,$B$5:$B1756,"Salida"))</f>
        <v/>
      </c>
      <c r="J1756" s="20"/>
      <c r="K1756" s="20"/>
      <c r="L1756" s="20"/>
      <c r="M1756" s="14" t="str">
        <f>IF(AND($C1756&lt;&gt;"",$C1756=Kardex!$C$4),COUNTIF($C$5:$C1756,Kardex!$C$4),"")</f>
        <v/>
      </c>
    </row>
    <row r="1757" spans="1:13" x14ac:dyDescent="0.25">
      <c r="A1757" s="24"/>
      <c r="B1757" s="20"/>
      <c r="C1757" s="20"/>
      <c r="D1757" s="14" t="str">
        <f>IF($C1757="","",IFERROR(INDEX(Productos!$B$5:$B$504,MATCH($C1757,Productos!$A$5:$A$504,0)),"Clave no existe"))</f>
        <v/>
      </c>
      <c r="E1757" s="14" t="str">
        <f>IF($C1757="","",IFERROR(INDEX(Productos!$D$5:$D$504,MATCH($C1757,Productos!$A$5:$A$504,0)),""))</f>
        <v/>
      </c>
      <c r="F1757" s="20"/>
      <c r="G1757" s="22" t="str">
        <f>IF($C1757="","",IFERROR(INDEX(Productos!$F$5:$F$504,MATCH($C1757,Productos!$A$5:$A$504,0)),0))</f>
        <v/>
      </c>
      <c r="H1757" s="22" t="str">
        <f t="shared" si="27"/>
        <v/>
      </c>
      <c r="I1757" s="14" t="str">
        <f>IF(OR($C1757="",$F1757=""),"",IFERROR(INDEX(Productos!$I$5:$I$504,MATCH($C1757,Productos!$A$5:$A$504,0)),0)+SUMIFS($F$5:$F1757,$C$5:$C1757,$C1757,$B$5:$B1757,"Entrada")-SUMIFS($F$5:$F1757,$C$5:$C1757,$C1757,$B$5:$B1757,"Salida"))</f>
        <v/>
      </c>
      <c r="J1757" s="20"/>
      <c r="K1757" s="20"/>
      <c r="L1757" s="20"/>
      <c r="M1757" s="14" t="str">
        <f>IF(AND($C1757&lt;&gt;"",$C1757=Kardex!$C$4),COUNTIF($C$5:$C1757,Kardex!$C$4),"")</f>
        <v/>
      </c>
    </row>
    <row r="1758" spans="1:13" x14ac:dyDescent="0.25">
      <c r="A1758" s="24"/>
      <c r="B1758" s="20"/>
      <c r="C1758" s="20"/>
      <c r="D1758" s="14" t="str">
        <f>IF($C1758="","",IFERROR(INDEX(Productos!$B$5:$B$504,MATCH($C1758,Productos!$A$5:$A$504,0)),"Clave no existe"))</f>
        <v/>
      </c>
      <c r="E1758" s="14" t="str">
        <f>IF($C1758="","",IFERROR(INDEX(Productos!$D$5:$D$504,MATCH($C1758,Productos!$A$5:$A$504,0)),""))</f>
        <v/>
      </c>
      <c r="F1758" s="20"/>
      <c r="G1758" s="22" t="str">
        <f>IF($C1758="","",IFERROR(INDEX(Productos!$F$5:$F$504,MATCH($C1758,Productos!$A$5:$A$504,0)),0))</f>
        <v/>
      </c>
      <c r="H1758" s="22" t="str">
        <f t="shared" si="27"/>
        <v/>
      </c>
      <c r="I1758" s="14" t="str">
        <f>IF(OR($C1758="",$F1758=""),"",IFERROR(INDEX(Productos!$I$5:$I$504,MATCH($C1758,Productos!$A$5:$A$504,0)),0)+SUMIFS($F$5:$F1758,$C$5:$C1758,$C1758,$B$5:$B1758,"Entrada")-SUMIFS($F$5:$F1758,$C$5:$C1758,$C1758,$B$5:$B1758,"Salida"))</f>
        <v/>
      </c>
      <c r="J1758" s="20"/>
      <c r="K1758" s="20"/>
      <c r="L1758" s="20"/>
      <c r="M1758" s="14" t="str">
        <f>IF(AND($C1758&lt;&gt;"",$C1758=Kardex!$C$4),COUNTIF($C$5:$C1758,Kardex!$C$4),"")</f>
        <v/>
      </c>
    </row>
    <row r="1759" spans="1:13" x14ac:dyDescent="0.25">
      <c r="A1759" s="24"/>
      <c r="B1759" s="20"/>
      <c r="C1759" s="20"/>
      <c r="D1759" s="14" t="str">
        <f>IF($C1759="","",IFERROR(INDEX(Productos!$B$5:$B$504,MATCH($C1759,Productos!$A$5:$A$504,0)),"Clave no existe"))</f>
        <v/>
      </c>
      <c r="E1759" s="14" t="str">
        <f>IF($C1759="","",IFERROR(INDEX(Productos!$D$5:$D$504,MATCH($C1759,Productos!$A$5:$A$504,0)),""))</f>
        <v/>
      </c>
      <c r="F1759" s="20"/>
      <c r="G1759" s="22" t="str">
        <f>IF($C1759="","",IFERROR(INDEX(Productos!$F$5:$F$504,MATCH($C1759,Productos!$A$5:$A$504,0)),0))</f>
        <v/>
      </c>
      <c r="H1759" s="22" t="str">
        <f t="shared" si="27"/>
        <v/>
      </c>
      <c r="I1759" s="14" t="str">
        <f>IF(OR($C1759="",$F1759=""),"",IFERROR(INDEX(Productos!$I$5:$I$504,MATCH($C1759,Productos!$A$5:$A$504,0)),0)+SUMIFS($F$5:$F1759,$C$5:$C1759,$C1759,$B$5:$B1759,"Entrada")-SUMIFS($F$5:$F1759,$C$5:$C1759,$C1759,$B$5:$B1759,"Salida"))</f>
        <v/>
      </c>
      <c r="J1759" s="20"/>
      <c r="K1759" s="20"/>
      <c r="L1759" s="20"/>
      <c r="M1759" s="14" t="str">
        <f>IF(AND($C1759&lt;&gt;"",$C1759=Kardex!$C$4),COUNTIF($C$5:$C1759,Kardex!$C$4),"")</f>
        <v/>
      </c>
    </row>
    <row r="1760" spans="1:13" x14ac:dyDescent="0.25">
      <c r="A1760" s="24"/>
      <c r="B1760" s="20"/>
      <c r="C1760" s="20"/>
      <c r="D1760" s="14" t="str">
        <f>IF($C1760="","",IFERROR(INDEX(Productos!$B$5:$B$504,MATCH($C1760,Productos!$A$5:$A$504,0)),"Clave no existe"))</f>
        <v/>
      </c>
      <c r="E1760" s="14" t="str">
        <f>IF($C1760="","",IFERROR(INDEX(Productos!$D$5:$D$504,MATCH($C1760,Productos!$A$5:$A$504,0)),""))</f>
        <v/>
      </c>
      <c r="F1760" s="20"/>
      <c r="G1760" s="22" t="str">
        <f>IF($C1760="","",IFERROR(INDEX(Productos!$F$5:$F$504,MATCH($C1760,Productos!$A$5:$A$504,0)),0))</f>
        <v/>
      </c>
      <c r="H1760" s="22" t="str">
        <f t="shared" si="27"/>
        <v/>
      </c>
      <c r="I1760" s="14" t="str">
        <f>IF(OR($C1760="",$F1760=""),"",IFERROR(INDEX(Productos!$I$5:$I$504,MATCH($C1760,Productos!$A$5:$A$504,0)),0)+SUMIFS($F$5:$F1760,$C$5:$C1760,$C1760,$B$5:$B1760,"Entrada")-SUMIFS($F$5:$F1760,$C$5:$C1760,$C1760,$B$5:$B1760,"Salida"))</f>
        <v/>
      </c>
      <c r="J1760" s="20"/>
      <c r="K1760" s="20"/>
      <c r="L1760" s="20"/>
      <c r="M1760" s="14" t="str">
        <f>IF(AND($C1760&lt;&gt;"",$C1760=Kardex!$C$4),COUNTIF($C$5:$C1760,Kardex!$C$4),"")</f>
        <v/>
      </c>
    </row>
    <row r="1761" spans="1:13" x14ac:dyDescent="0.25">
      <c r="A1761" s="24"/>
      <c r="B1761" s="20"/>
      <c r="C1761" s="20"/>
      <c r="D1761" s="14" t="str">
        <f>IF($C1761="","",IFERROR(INDEX(Productos!$B$5:$B$504,MATCH($C1761,Productos!$A$5:$A$504,0)),"Clave no existe"))</f>
        <v/>
      </c>
      <c r="E1761" s="14" t="str">
        <f>IF($C1761="","",IFERROR(INDEX(Productos!$D$5:$D$504,MATCH($C1761,Productos!$A$5:$A$504,0)),""))</f>
        <v/>
      </c>
      <c r="F1761" s="20"/>
      <c r="G1761" s="22" t="str">
        <f>IF($C1761="","",IFERROR(INDEX(Productos!$F$5:$F$504,MATCH($C1761,Productos!$A$5:$A$504,0)),0))</f>
        <v/>
      </c>
      <c r="H1761" s="22" t="str">
        <f t="shared" si="27"/>
        <v/>
      </c>
      <c r="I1761" s="14" t="str">
        <f>IF(OR($C1761="",$F1761=""),"",IFERROR(INDEX(Productos!$I$5:$I$504,MATCH($C1761,Productos!$A$5:$A$504,0)),0)+SUMIFS($F$5:$F1761,$C$5:$C1761,$C1761,$B$5:$B1761,"Entrada")-SUMIFS($F$5:$F1761,$C$5:$C1761,$C1761,$B$5:$B1761,"Salida"))</f>
        <v/>
      </c>
      <c r="J1761" s="20"/>
      <c r="K1761" s="20"/>
      <c r="L1761" s="20"/>
      <c r="M1761" s="14" t="str">
        <f>IF(AND($C1761&lt;&gt;"",$C1761=Kardex!$C$4),COUNTIF($C$5:$C1761,Kardex!$C$4),"")</f>
        <v/>
      </c>
    </row>
    <row r="1762" spans="1:13" x14ac:dyDescent="0.25">
      <c r="A1762" s="24"/>
      <c r="B1762" s="20"/>
      <c r="C1762" s="20"/>
      <c r="D1762" s="14" t="str">
        <f>IF($C1762="","",IFERROR(INDEX(Productos!$B$5:$B$504,MATCH($C1762,Productos!$A$5:$A$504,0)),"Clave no existe"))</f>
        <v/>
      </c>
      <c r="E1762" s="14" t="str">
        <f>IF($C1762="","",IFERROR(INDEX(Productos!$D$5:$D$504,MATCH($C1762,Productos!$A$5:$A$504,0)),""))</f>
        <v/>
      </c>
      <c r="F1762" s="20"/>
      <c r="G1762" s="22" t="str">
        <f>IF($C1762="","",IFERROR(INDEX(Productos!$F$5:$F$504,MATCH($C1762,Productos!$A$5:$A$504,0)),0))</f>
        <v/>
      </c>
      <c r="H1762" s="22" t="str">
        <f t="shared" si="27"/>
        <v/>
      </c>
      <c r="I1762" s="14" t="str">
        <f>IF(OR($C1762="",$F1762=""),"",IFERROR(INDEX(Productos!$I$5:$I$504,MATCH($C1762,Productos!$A$5:$A$504,0)),0)+SUMIFS($F$5:$F1762,$C$5:$C1762,$C1762,$B$5:$B1762,"Entrada")-SUMIFS($F$5:$F1762,$C$5:$C1762,$C1762,$B$5:$B1762,"Salida"))</f>
        <v/>
      </c>
      <c r="J1762" s="20"/>
      <c r="K1762" s="20"/>
      <c r="L1762" s="20"/>
      <c r="M1762" s="14" t="str">
        <f>IF(AND($C1762&lt;&gt;"",$C1762=Kardex!$C$4),COUNTIF($C$5:$C1762,Kardex!$C$4),"")</f>
        <v/>
      </c>
    </row>
    <row r="1763" spans="1:13" x14ac:dyDescent="0.25">
      <c r="A1763" s="24"/>
      <c r="B1763" s="20"/>
      <c r="C1763" s="20"/>
      <c r="D1763" s="14" t="str">
        <f>IF($C1763="","",IFERROR(INDEX(Productos!$B$5:$B$504,MATCH($C1763,Productos!$A$5:$A$504,0)),"Clave no existe"))</f>
        <v/>
      </c>
      <c r="E1763" s="14" t="str">
        <f>IF($C1763="","",IFERROR(INDEX(Productos!$D$5:$D$504,MATCH($C1763,Productos!$A$5:$A$504,0)),""))</f>
        <v/>
      </c>
      <c r="F1763" s="20"/>
      <c r="G1763" s="22" t="str">
        <f>IF($C1763="","",IFERROR(INDEX(Productos!$F$5:$F$504,MATCH($C1763,Productos!$A$5:$A$504,0)),0))</f>
        <v/>
      </c>
      <c r="H1763" s="22" t="str">
        <f t="shared" si="27"/>
        <v/>
      </c>
      <c r="I1763" s="14" t="str">
        <f>IF(OR($C1763="",$F1763=""),"",IFERROR(INDEX(Productos!$I$5:$I$504,MATCH($C1763,Productos!$A$5:$A$504,0)),0)+SUMIFS($F$5:$F1763,$C$5:$C1763,$C1763,$B$5:$B1763,"Entrada")-SUMIFS($F$5:$F1763,$C$5:$C1763,$C1763,$B$5:$B1763,"Salida"))</f>
        <v/>
      </c>
      <c r="J1763" s="20"/>
      <c r="K1763" s="20"/>
      <c r="L1763" s="20"/>
      <c r="M1763" s="14" t="str">
        <f>IF(AND($C1763&lt;&gt;"",$C1763=Kardex!$C$4),COUNTIF($C$5:$C1763,Kardex!$C$4),"")</f>
        <v/>
      </c>
    </row>
    <row r="1764" spans="1:13" x14ac:dyDescent="0.25">
      <c r="A1764" s="24"/>
      <c r="B1764" s="20"/>
      <c r="C1764" s="20"/>
      <c r="D1764" s="14" t="str">
        <f>IF($C1764="","",IFERROR(INDEX(Productos!$B$5:$B$504,MATCH($C1764,Productos!$A$5:$A$504,0)),"Clave no existe"))</f>
        <v/>
      </c>
      <c r="E1764" s="14" t="str">
        <f>IF($C1764="","",IFERROR(INDEX(Productos!$D$5:$D$504,MATCH($C1764,Productos!$A$5:$A$504,0)),""))</f>
        <v/>
      </c>
      <c r="F1764" s="20"/>
      <c r="G1764" s="22" t="str">
        <f>IF($C1764="","",IFERROR(INDEX(Productos!$F$5:$F$504,MATCH($C1764,Productos!$A$5:$A$504,0)),0))</f>
        <v/>
      </c>
      <c r="H1764" s="22" t="str">
        <f t="shared" si="27"/>
        <v/>
      </c>
      <c r="I1764" s="14" t="str">
        <f>IF(OR($C1764="",$F1764=""),"",IFERROR(INDEX(Productos!$I$5:$I$504,MATCH($C1764,Productos!$A$5:$A$504,0)),0)+SUMIFS($F$5:$F1764,$C$5:$C1764,$C1764,$B$5:$B1764,"Entrada")-SUMIFS($F$5:$F1764,$C$5:$C1764,$C1764,$B$5:$B1764,"Salida"))</f>
        <v/>
      </c>
      <c r="J1764" s="20"/>
      <c r="K1764" s="20"/>
      <c r="L1764" s="20"/>
      <c r="M1764" s="14" t="str">
        <f>IF(AND($C1764&lt;&gt;"",$C1764=Kardex!$C$4),COUNTIF($C$5:$C1764,Kardex!$C$4),"")</f>
        <v/>
      </c>
    </row>
    <row r="1765" spans="1:13" x14ac:dyDescent="0.25">
      <c r="A1765" s="24"/>
      <c r="B1765" s="20"/>
      <c r="C1765" s="20"/>
      <c r="D1765" s="14" t="str">
        <f>IF($C1765="","",IFERROR(INDEX(Productos!$B$5:$B$504,MATCH($C1765,Productos!$A$5:$A$504,0)),"Clave no existe"))</f>
        <v/>
      </c>
      <c r="E1765" s="14" t="str">
        <f>IF($C1765="","",IFERROR(INDEX(Productos!$D$5:$D$504,MATCH($C1765,Productos!$A$5:$A$504,0)),""))</f>
        <v/>
      </c>
      <c r="F1765" s="20"/>
      <c r="G1765" s="22" t="str">
        <f>IF($C1765="","",IFERROR(INDEX(Productos!$F$5:$F$504,MATCH($C1765,Productos!$A$5:$A$504,0)),0))</f>
        <v/>
      </c>
      <c r="H1765" s="22" t="str">
        <f t="shared" si="27"/>
        <v/>
      </c>
      <c r="I1765" s="14" t="str">
        <f>IF(OR($C1765="",$F1765=""),"",IFERROR(INDEX(Productos!$I$5:$I$504,MATCH($C1765,Productos!$A$5:$A$504,0)),0)+SUMIFS($F$5:$F1765,$C$5:$C1765,$C1765,$B$5:$B1765,"Entrada")-SUMIFS($F$5:$F1765,$C$5:$C1765,$C1765,$B$5:$B1765,"Salida"))</f>
        <v/>
      </c>
      <c r="J1765" s="20"/>
      <c r="K1765" s="20"/>
      <c r="L1765" s="20"/>
      <c r="M1765" s="14" t="str">
        <f>IF(AND($C1765&lt;&gt;"",$C1765=Kardex!$C$4),COUNTIF($C$5:$C1765,Kardex!$C$4),"")</f>
        <v/>
      </c>
    </row>
    <row r="1766" spans="1:13" x14ac:dyDescent="0.25">
      <c r="A1766" s="24"/>
      <c r="B1766" s="20"/>
      <c r="C1766" s="20"/>
      <c r="D1766" s="14" t="str">
        <f>IF($C1766="","",IFERROR(INDEX(Productos!$B$5:$B$504,MATCH($C1766,Productos!$A$5:$A$504,0)),"Clave no existe"))</f>
        <v/>
      </c>
      <c r="E1766" s="14" t="str">
        <f>IF($C1766="","",IFERROR(INDEX(Productos!$D$5:$D$504,MATCH($C1766,Productos!$A$5:$A$504,0)),""))</f>
        <v/>
      </c>
      <c r="F1766" s="20"/>
      <c r="G1766" s="22" t="str">
        <f>IF($C1766="","",IFERROR(INDEX(Productos!$F$5:$F$504,MATCH($C1766,Productos!$A$5:$A$504,0)),0))</f>
        <v/>
      </c>
      <c r="H1766" s="22" t="str">
        <f t="shared" si="27"/>
        <v/>
      </c>
      <c r="I1766" s="14" t="str">
        <f>IF(OR($C1766="",$F1766=""),"",IFERROR(INDEX(Productos!$I$5:$I$504,MATCH($C1766,Productos!$A$5:$A$504,0)),0)+SUMIFS($F$5:$F1766,$C$5:$C1766,$C1766,$B$5:$B1766,"Entrada")-SUMIFS($F$5:$F1766,$C$5:$C1766,$C1766,$B$5:$B1766,"Salida"))</f>
        <v/>
      </c>
      <c r="J1766" s="20"/>
      <c r="K1766" s="20"/>
      <c r="L1766" s="20"/>
      <c r="M1766" s="14" t="str">
        <f>IF(AND($C1766&lt;&gt;"",$C1766=Kardex!$C$4),COUNTIF($C$5:$C1766,Kardex!$C$4),"")</f>
        <v/>
      </c>
    </row>
    <row r="1767" spans="1:13" x14ac:dyDescent="0.25">
      <c r="A1767" s="24"/>
      <c r="B1767" s="20"/>
      <c r="C1767" s="20"/>
      <c r="D1767" s="14" t="str">
        <f>IF($C1767="","",IFERROR(INDEX(Productos!$B$5:$B$504,MATCH($C1767,Productos!$A$5:$A$504,0)),"Clave no existe"))</f>
        <v/>
      </c>
      <c r="E1767" s="14" t="str">
        <f>IF($C1767="","",IFERROR(INDEX(Productos!$D$5:$D$504,MATCH($C1767,Productos!$A$5:$A$504,0)),""))</f>
        <v/>
      </c>
      <c r="F1767" s="20"/>
      <c r="G1767" s="22" t="str">
        <f>IF($C1767="","",IFERROR(INDEX(Productos!$F$5:$F$504,MATCH($C1767,Productos!$A$5:$A$504,0)),0))</f>
        <v/>
      </c>
      <c r="H1767" s="22" t="str">
        <f t="shared" si="27"/>
        <v/>
      </c>
      <c r="I1767" s="14" t="str">
        <f>IF(OR($C1767="",$F1767=""),"",IFERROR(INDEX(Productos!$I$5:$I$504,MATCH($C1767,Productos!$A$5:$A$504,0)),0)+SUMIFS($F$5:$F1767,$C$5:$C1767,$C1767,$B$5:$B1767,"Entrada")-SUMIFS($F$5:$F1767,$C$5:$C1767,$C1767,$B$5:$B1767,"Salida"))</f>
        <v/>
      </c>
      <c r="J1767" s="20"/>
      <c r="K1767" s="20"/>
      <c r="L1767" s="20"/>
      <c r="M1767" s="14" t="str">
        <f>IF(AND($C1767&lt;&gt;"",$C1767=Kardex!$C$4),COUNTIF($C$5:$C1767,Kardex!$C$4),"")</f>
        <v/>
      </c>
    </row>
    <row r="1768" spans="1:13" x14ac:dyDescent="0.25">
      <c r="A1768" s="24"/>
      <c r="B1768" s="20"/>
      <c r="C1768" s="20"/>
      <c r="D1768" s="14" t="str">
        <f>IF($C1768="","",IFERROR(INDEX(Productos!$B$5:$B$504,MATCH($C1768,Productos!$A$5:$A$504,0)),"Clave no existe"))</f>
        <v/>
      </c>
      <c r="E1768" s="14" t="str">
        <f>IF($C1768="","",IFERROR(INDEX(Productos!$D$5:$D$504,MATCH($C1768,Productos!$A$5:$A$504,0)),""))</f>
        <v/>
      </c>
      <c r="F1768" s="20"/>
      <c r="G1768" s="22" t="str">
        <f>IF($C1768="","",IFERROR(INDEX(Productos!$F$5:$F$504,MATCH($C1768,Productos!$A$5:$A$504,0)),0))</f>
        <v/>
      </c>
      <c r="H1768" s="22" t="str">
        <f t="shared" si="27"/>
        <v/>
      </c>
      <c r="I1768" s="14" t="str">
        <f>IF(OR($C1768="",$F1768=""),"",IFERROR(INDEX(Productos!$I$5:$I$504,MATCH($C1768,Productos!$A$5:$A$504,0)),0)+SUMIFS($F$5:$F1768,$C$5:$C1768,$C1768,$B$5:$B1768,"Entrada")-SUMIFS($F$5:$F1768,$C$5:$C1768,$C1768,$B$5:$B1768,"Salida"))</f>
        <v/>
      </c>
      <c r="J1768" s="20"/>
      <c r="K1768" s="20"/>
      <c r="L1768" s="20"/>
      <c r="M1768" s="14" t="str">
        <f>IF(AND($C1768&lt;&gt;"",$C1768=Kardex!$C$4),COUNTIF($C$5:$C1768,Kardex!$C$4),"")</f>
        <v/>
      </c>
    </row>
    <row r="1769" spans="1:13" x14ac:dyDescent="0.25">
      <c r="A1769" s="24"/>
      <c r="B1769" s="20"/>
      <c r="C1769" s="20"/>
      <c r="D1769" s="14" t="str">
        <f>IF($C1769="","",IFERROR(INDEX(Productos!$B$5:$B$504,MATCH($C1769,Productos!$A$5:$A$504,0)),"Clave no existe"))</f>
        <v/>
      </c>
      <c r="E1769" s="14" t="str">
        <f>IF($C1769="","",IFERROR(INDEX(Productos!$D$5:$D$504,MATCH($C1769,Productos!$A$5:$A$504,0)),""))</f>
        <v/>
      </c>
      <c r="F1769" s="20"/>
      <c r="G1769" s="22" t="str">
        <f>IF($C1769="","",IFERROR(INDEX(Productos!$F$5:$F$504,MATCH($C1769,Productos!$A$5:$A$504,0)),0))</f>
        <v/>
      </c>
      <c r="H1769" s="22" t="str">
        <f t="shared" si="27"/>
        <v/>
      </c>
      <c r="I1769" s="14" t="str">
        <f>IF(OR($C1769="",$F1769=""),"",IFERROR(INDEX(Productos!$I$5:$I$504,MATCH($C1769,Productos!$A$5:$A$504,0)),0)+SUMIFS($F$5:$F1769,$C$5:$C1769,$C1769,$B$5:$B1769,"Entrada")-SUMIFS($F$5:$F1769,$C$5:$C1769,$C1769,$B$5:$B1769,"Salida"))</f>
        <v/>
      </c>
      <c r="J1769" s="20"/>
      <c r="K1769" s="20"/>
      <c r="L1769" s="20"/>
      <c r="M1769" s="14" t="str">
        <f>IF(AND($C1769&lt;&gt;"",$C1769=Kardex!$C$4),COUNTIF($C$5:$C1769,Kardex!$C$4),"")</f>
        <v/>
      </c>
    </row>
    <row r="1770" spans="1:13" x14ac:dyDescent="0.25">
      <c r="A1770" s="24"/>
      <c r="B1770" s="20"/>
      <c r="C1770" s="20"/>
      <c r="D1770" s="14" t="str">
        <f>IF($C1770="","",IFERROR(INDEX(Productos!$B$5:$B$504,MATCH($C1770,Productos!$A$5:$A$504,0)),"Clave no existe"))</f>
        <v/>
      </c>
      <c r="E1770" s="14" t="str">
        <f>IF($C1770="","",IFERROR(INDEX(Productos!$D$5:$D$504,MATCH($C1770,Productos!$A$5:$A$504,0)),""))</f>
        <v/>
      </c>
      <c r="F1770" s="20"/>
      <c r="G1770" s="22" t="str">
        <f>IF($C1770="","",IFERROR(INDEX(Productos!$F$5:$F$504,MATCH($C1770,Productos!$A$5:$A$504,0)),0))</f>
        <v/>
      </c>
      <c r="H1770" s="22" t="str">
        <f t="shared" si="27"/>
        <v/>
      </c>
      <c r="I1770" s="14" t="str">
        <f>IF(OR($C1770="",$F1770=""),"",IFERROR(INDEX(Productos!$I$5:$I$504,MATCH($C1770,Productos!$A$5:$A$504,0)),0)+SUMIFS($F$5:$F1770,$C$5:$C1770,$C1770,$B$5:$B1770,"Entrada")-SUMIFS($F$5:$F1770,$C$5:$C1770,$C1770,$B$5:$B1770,"Salida"))</f>
        <v/>
      </c>
      <c r="J1770" s="20"/>
      <c r="K1770" s="20"/>
      <c r="L1770" s="20"/>
      <c r="M1770" s="14" t="str">
        <f>IF(AND($C1770&lt;&gt;"",$C1770=Kardex!$C$4),COUNTIF($C$5:$C1770,Kardex!$C$4),"")</f>
        <v/>
      </c>
    </row>
    <row r="1771" spans="1:13" x14ac:dyDescent="0.25">
      <c r="A1771" s="24"/>
      <c r="B1771" s="20"/>
      <c r="C1771" s="20"/>
      <c r="D1771" s="14" t="str">
        <f>IF($C1771="","",IFERROR(INDEX(Productos!$B$5:$B$504,MATCH($C1771,Productos!$A$5:$A$504,0)),"Clave no existe"))</f>
        <v/>
      </c>
      <c r="E1771" s="14" t="str">
        <f>IF($C1771="","",IFERROR(INDEX(Productos!$D$5:$D$504,MATCH($C1771,Productos!$A$5:$A$504,0)),""))</f>
        <v/>
      </c>
      <c r="F1771" s="20"/>
      <c r="G1771" s="22" t="str">
        <f>IF($C1771="","",IFERROR(INDEX(Productos!$F$5:$F$504,MATCH($C1771,Productos!$A$5:$A$504,0)),0))</f>
        <v/>
      </c>
      <c r="H1771" s="22" t="str">
        <f t="shared" si="27"/>
        <v/>
      </c>
      <c r="I1771" s="14" t="str">
        <f>IF(OR($C1771="",$F1771=""),"",IFERROR(INDEX(Productos!$I$5:$I$504,MATCH($C1771,Productos!$A$5:$A$504,0)),0)+SUMIFS($F$5:$F1771,$C$5:$C1771,$C1771,$B$5:$B1771,"Entrada")-SUMIFS($F$5:$F1771,$C$5:$C1771,$C1771,$B$5:$B1771,"Salida"))</f>
        <v/>
      </c>
      <c r="J1771" s="20"/>
      <c r="K1771" s="20"/>
      <c r="L1771" s="20"/>
      <c r="M1771" s="14" t="str">
        <f>IF(AND($C1771&lt;&gt;"",$C1771=Kardex!$C$4),COUNTIF($C$5:$C1771,Kardex!$C$4),"")</f>
        <v/>
      </c>
    </row>
    <row r="1772" spans="1:13" x14ac:dyDescent="0.25">
      <c r="A1772" s="24"/>
      <c r="B1772" s="20"/>
      <c r="C1772" s="20"/>
      <c r="D1772" s="14" t="str">
        <f>IF($C1772="","",IFERROR(INDEX(Productos!$B$5:$B$504,MATCH($C1772,Productos!$A$5:$A$504,0)),"Clave no existe"))</f>
        <v/>
      </c>
      <c r="E1772" s="14" t="str">
        <f>IF($C1772="","",IFERROR(INDEX(Productos!$D$5:$D$504,MATCH($C1772,Productos!$A$5:$A$504,0)),""))</f>
        <v/>
      </c>
      <c r="F1772" s="20"/>
      <c r="G1772" s="22" t="str">
        <f>IF($C1772="","",IFERROR(INDEX(Productos!$F$5:$F$504,MATCH($C1772,Productos!$A$5:$A$504,0)),0))</f>
        <v/>
      </c>
      <c r="H1772" s="22" t="str">
        <f t="shared" si="27"/>
        <v/>
      </c>
      <c r="I1772" s="14" t="str">
        <f>IF(OR($C1772="",$F1772=""),"",IFERROR(INDEX(Productos!$I$5:$I$504,MATCH($C1772,Productos!$A$5:$A$504,0)),0)+SUMIFS($F$5:$F1772,$C$5:$C1772,$C1772,$B$5:$B1772,"Entrada")-SUMIFS($F$5:$F1772,$C$5:$C1772,$C1772,$B$5:$B1772,"Salida"))</f>
        <v/>
      </c>
      <c r="J1772" s="20"/>
      <c r="K1772" s="20"/>
      <c r="L1772" s="20"/>
      <c r="M1772" s="14" t="str">
        <f>IF(AND($C1772&lt;&gt;"",$C1772=Kardex!$C$4),COUNTIF($C$5:$C1772,Kardex!$C$4),"")</f>
        <v/>
      </c>
    </row>
    <row r="1773" spans="1:13" x14ac:dyDescent="0.25">
      <c r="A1773" s="24"/>
      <c r="B1773" s="20"/>
      <c r="C1773" s="20"/>
      <c r="D1773" s="14" t="str">
        <f>IF($C1773="","",IFERROR(INDEX(Productos!$B$5:$B$504,MATCH($C1773,Productos!$A$5:$A$504,0)),"Clave no existe"))</f>
        <v/>
      </c>
      <c r="E1773" s="14" t="str">
        <f>IF($C1773="","",IFERROR(INDEX(Productos!$D$5:$D$504,MATCH($C1773,Productos!$A$5:$A$504,0)),""))</f>
        <v/>
      </c>
      <c r="F1773" s="20"/>
      <c r="G1773" s="22" t="str">
        <f>IF($C1773="","",IFERROR(INDEX(Productos!$F$5:$F$504,MATCH($C1773,Productos!$A$5:$A$504,0)),0))</f>
        <v/>
      </c>
      <c r="H1773" s="22" t="str">
        <f t="shared" si="27"/>
        <v/>
      </c>
      <c r="I1773" s="14" t="str">
        <f>IF(OR($C1773="",$F1773=""),"",IFERROR(INDEX(Productos!$I$5:$I$504,MATCH($C1773,Productos!$A$5:$A$504,0)),0)+SUMIFS($F$5:$F1773,$C$5:$C1773,$C1773,$B$5:$B1773,"Entrada")-SUMIFS($F$5:$F1773,$C$5:$C1773,$C1773,$B$5:$B1773,"Salida"))</f>
        <v/>
      </c>
      <c r="J1773" s="20"/>
      <c r="K1773" s="20"/>
      <c r="L1773" s="20"/>
      <c r="M1773" s="14" t="str">
        <f>IF(AND($C1773&lt;&gt;"",$C1773=Kardex!$C$4),COUNTIF($C$5:$C1773,Kardex!$C$4),"")</f>
        <v/>
      </c>
    </row>
    <row r="1774" spans="1:13" x14ac:dyDescent="0.25">
      <c r="A1774" s="24"/>
      <c r="B1774" s="20"/>
      <c r="C1774" s="20"/>
      <c r="D1774" s="14" t="str">
        <f>IF($C1774="","",IFERROR(INDEX(Productos!$B$5:$B$504,MATCH($C1774,Productos!$A$5:$A$504,0)),"Clave no existe"))</f>
        <v/>
      </c>
      <c r="E1774" s="14" t="str">
        <f>IF($C1774="","",IFERROR(INDEX(Productos!$D$5:$D$504,MATCH($C1774,Productos!$A$5:$A$504,0)),""))</f>
        <v/>
      </c>
      <c r="F1774" s="20"/>
      <c r="G1774" s="22" t="str">
        <f>IF($C1774="","",IFERROR(INDEX(Productos!$F$5:$F$504,MATCH($C1774,Productos!$A$5:$A$504,0)),0))</f>
        <v/>
      </c>
      <c r="H1774" s="22" t="str">
        <f t="shared" si="27"/>
        <v/>
      </c>
      <c r="I1774" s="14" t="str">
        <f>IF(OR($C1774="",$F1774=""),"",IFERROR(INDEX(Productos!$I$5:$I$504,MATCH($C1774,Productos!$A$5:$A$504,0)),0)+SUMIFS($F$5:$F1774,$C$5:$C1774,$C1774,$B$5:$B1774,"Entrada")-SUMIFS($F$5:$F1774,$C$5:$C1774,$C1774,$B$5:$B1774,"Salida"))</f>
        <v/>
      </c>
      <c r="J1774" s="20"/>
      <c r="K1774" s="20"/>
      <c r="L1774" s="20"/>
      <c r="M1774" s="14" t="str">
        <f>IF(AND($C1774&lt;&gt;"",$C1774=Kardex!$C$4),COUNTIF($C$5:$C1774,Kardex!$C$4),"")</f>
        <v/>
      </c>
    </row>
    <row r="1775" spans="1:13" x14ac:dyDescent="0.25">
      <c r="A1775" s="24"/>
      <c r="B1775" s="20"/>
      <c r="C1775" s="20"/>
      <c r="D1775" s="14" t="str">
        <f>IF($C1775="","",IFERROR(INDEX(Productos!$B$5:$B$504,MATCH($C1775,Productos!$A$5:$A$504,0)),"Clave no existe"))</f>
        <v/>
      </c>
      <c r="E1775" s="14" t="str">
        <f>IF($C1775="","",IFERROR(INDEX(Productos!$D$5:$D$504,MATCH($C1775,Productos!$A$5:$A$504,0)),""))</f>
        <v/>
      </c>
      <c r="F1775" s="20"/>
      <c r="G1775" s="22" t="str">
        <f>IF($C1775="","",IFERROR(INDEX(Productos!$F$5:$F$504,MATCH($C1775,Productos!$A$5:$A$504,0)),0))</f>
        <v/>
      </c>
      <c r="H1775" s="22" t="str">
        <f t="shared" si="27"/>
        <v/>
      </c>
      <c r="I1775" s="14" t="str">
        <f>IF(OR($C1775="",$F1775=""),"",IFERROR(INDEX(Productos!$I$5:$I$504,MATCH($C1775,Productos!$A$5:$A$504,0)),0)+SUMIFS($F$5:$F1775,$C$5:$C1775,$C1775,$B$5:$B1775,"Entrada")-SUMIFS($F$5:$F1775,$C$5:$C1775,$C1775,$B$5:$B1775,"Salida"))</f>
        <v/>
      </c>
      <c r="J1775" s="20"/>
      <c r="K1775" s="20"/>
      <c r="L1775" s="20"/>
      <c r="M1775" s="14" t="str">
        <f>IF(AND($C1775&lt;&gt;"",$C1775=Kardex!$C$4),COUNTIF($C$5:$C1775,Kardex!$C$4),"")</f>
        <v/>
      </c>
    </row>
    <row r="1776" spans="1:13" x14ac:dyDescent="0.25">
      <c r="A1776" s="24"/>
      <c r="B1776" s="20"/>
      <c r="C1776" s="20"/>
      <c r="D1776" s="14" t="str">
        <f>IF($C1776="","",IFERROR(INDEX(Productos!$B$5:$B$504,MATCH($C1776,Productos!$A$5:$A$504,0)),"Clave no existe"))</f>
        <v/>
      </c>
      <c r="E1776" s="14" t="str">
        <f>IF($C1776="","",IFERROR(INDEX(Productos!$D$5:$D$504,MATCH($C1776,Productos!$A$5:$A$504,0)),""))</f>
        <v/>
      </c>
      <c r="F1776" s="20"/>
      <c r="G1776" s="22" t="str">
        <f>IF($C1776="","",IFERROR(INDEX(Productos!$F$5:$F$504,MATCH($C1776,Productos!$A$5:$A$504,0)),0))</f>
        <v/>
      </c>
      <c r="H1776" s="22" t="str">
        <f t="shared" si="27"/>
        <v/>
      </c>
      <c r="I1776" s="14" t="str">
        <f>IF(OR($C1776="",$F1776=""),"",IFERROR(INDEX(Productos!$I$5:$I$504,MATCH($C1776,Productos!$A$5:$A$504,0)),0)+SUMIFS($F$5:$F1776,$C$5:$C1776,$C1776,$B$5:$B1776,"Entrada")-SUMIFS($F$5:$F1776,$C$5:$C1776,$C1776,$B$5:$B1776,"Salida"))</f>
        <v/>
      </c>
      <c r="J1776" s="20"/>
      <c r="K1776" s="20"/>
      <c r="L1776" s="20"/>
      <c r="M1776" s="14" t="str">
        <f>IF(AND($C1776&lt;&gt;"",$C1776=Kardex!$C$4),COUNTIF($C$5:$C1776,Kardex!$C$4),"")</f>
        <v/>
      </c>
    </row>
    <row r="1777" spans="1:13" x14ac:dyDescent="0.25">
      <c r="A1777" s="24"/>
      <c r="B1777" s="20"/>
      <c r="C1777" s="20"/>
      <c r="D1777" s="14" t="str">
        <f>IF($C1777="","",IFERROR(INDEX(Productos!$B$5:$B$504,MATCH($C1777,Productos!$A$5:$A$504,0)),"Clave no existe"))</f>
        <v/>
      </c>
      <c r="E1777" s="14" t="str">
        <f>IF($C1777="","",IFERROR(INDEX(Productos!$D$5:$D$504,MATCH($C1777,Productos!$A$5:$A$504,0)),""))</f>
        <v/>
      </c>
      <c r="F1777" s="20"/>
      <c r="G1777" s="22" t="str">
        <f>IF($C1777="","",IFERROR(INDEX(Productos!$F$5:$F$504,MATCH($C1777,Productos!$A$5:$A$504,0)),0))</f>
        <v/>
      </c>
      <c r="H1777" s="22" t="str">
        <f t="shared" si="27"/>
        <v/>
      </c>
      <c r="I1777" s="14" t="str">
        <f>IF(OR($C1777="",$F1777=""),"",IFERROR(INDEX(Productos!$I$5:$I$504,MATCH($C1777,Productos!$A$5:$A$504,0)),0)+SUMIFS($F$5:$F1777,$C$5:$C1777,$C1777,$B$5:$B1777,"Entrada")-SUMIFS($F$5:$F1777,$C$5:$C1777,$C1777,$B$5:$B1777,"Salida"))</f>
        <v/>
      </c>
      <c r="J1777" s="20"/>
      <c r="K1777" s="20"/>
      <c r="L1777" s="20"/>
      <c r="M1777" s="14" t="str">
        <f>IF(AND($C1777&lt;&gt;"",$C1777=Kardex!$C$4),COUNTIF($C$5:$C1777,Kardex!$C$4),"")</f>
        <v/>
      </c>
    </row>
    <row r="1778" spans="1:13" x14ac:dyDescent="0.25">
      <c r="A1778" s="24"/>
      <c r="B1778" s="20"/>
      <c r="C1778" s="20"/>
      <c r="D1778" s="14" t="str">
        <f>IF($C1778="","",IFERROR(INDEX(Productos!$B$5:$B$504,MATCH($C1778,Productos!$A$5:$A$504,0)),"Clave no existe"))</f>
        <v/>
      </c>
      <c r="E1778" s="14" t="str">
        <f>IF($C1778="","",IFERROR(INDEX(Productos!$D$5:$D$504,MATCH($C1778,Productos!$A$5:$A$504,0)),""))</f>
        <v/>
      </c>
      <c r="F1778" s="20"/>
      <c r="G1778" s="22" t="str">
        <f>IF($C1778="","",IFERROR(INDEX(Productos!$F$5:$F$504,MATCH($C1778,Productos!$A$5:$A$504,0)),0))</f>
        <v/>
      </c>
      <c r="H1778" s="22" t="str">
        <f t="shared" si="27"/>
        <v/>
      </c>
      <c r="I1778" s="14" t="str">
        <f>IF(OR($C1778="",$F1778=""),"",IFERROR(INDEX(Productos!$I$5:$I$504,MATCH($C1778,Productos!$A$5:$A$504,0)),0)+SUMIFS($F$5:$F1778,$C$5:$C1778,$C1778,$B$5:$B1778,"Entrada")-SUMIFS($F$5:$F1778,$C$5:$C1778,$C1778,$B$5:$B1778,"Salida"))</f>
        <v/>
      </c>
      <c r="J1778" s="20"/>
      <c r="K1778" s="20"/>
      <c r="L1778" s="20"/>
      <c r="M1778" s="14" t="str">
        <f>IF(AND($C1778&lt;&gt;"",$C1778=Kardex!$C$4),COUNTIF($C$5:$C1778,Kardex!$C$4),"")</f>
        <v/>
      </c>
    </row>
    <row r="1779" spans="1:13" x14ac:dyDescent="0.25">
      <c r="A1779" s="24"/>
      <c r="B1779" s="20"/>
      <c r="C1779" s="20"/>
      <c r="D1779" s="14" t="str">
        <f>IF($C1779="","",IFERROR(INDEX(Productos!$B$5:$B$504,MATCH($C1779,Productos!$A$5:$A$504,0)),"Clave no existe"))</f>
        <v/>
      </c>
      <c r="E1779" s="14" t="str">
        <f>IF($C1779="","",IFERROR(INDEX(Productos!$D$5:$D$504,MATCH($C1779,Productos!$A$5:$A$504,0)),""))</f>
        <v/>
      </c>
      <c r="F1779" s="20"/>
      <c r="G1779" s="22" t="str">
        <f>IF($C1779="","",IFERROR(INDEX(Productos!$F$5:$F$504,MATCH($C1779,Productos!$A$5:$A$504,0)),0))</f>
        <v/>
      </c>
      <c r="H1779" s="22" t="str">
        <f t="shared" si="27"/>
        <v/>
      </c>
      <c r="I1779" s="14" t="str">
        <f>IF(OR($C1779="",$F1779=""),"",IFERROR(INDEX(Productos!$I$5:$I$504,MATCH($C1779,Productos!$A$5:$A$504,0)),0)+SUMIFS($F$5:$F1779,$C$5:$C1779,$C1779,$B$5:$B1779,"Entrada")-SUMIFS($F$5:$F1779,$C$5:$C1779,$C1779,$B$5:$B1779,"Salida"))</f>
        <v/>
      </c>
      <c r="J1779" s="20"/>
      <c r="K1779" s="20"/>
      <c r="L1779" s="20"/>
      <c r="M1779" s="14" t="str">
        <f>IF(AND($C1779&lt;&gt;"",$C1779=Kardex!$C$4),COUNTIF($C$5:$C1779,Kardex!$C$4),"")</f>
        <v/>
      </c>
    </row>
    <row r="1780" spans="1:13" x14ac:dyDescent="0.25">
      <c r="A1780" s="24"/>
      <c r="B1780" s="20"/>
      <c r="C1780" s="20"/>
      <c r="D1780" s="14" t="str">
        <f>IF($C1780="","",IFERROR(INDEX(Productos!$B$5:$B$504,MATCH($C1780,Productos!$A$5:$A$504,0)),"Clave no existe"))</f>
        <v/>
      </c>
      <c r="E1780" s="14" t="str">
        <f>IF($C1780="","",IFERROR(INDEX(Productos!$D$5:$D$504,MATCH($C1780,Productos!$A$5:$A$504,0)),""))</f>
        <v/>
      </c>
      <c r="F1780" s="20"/>
      <c r="G1780" s="22" t="str">
        <f>IF($C1780="","",IFERROR(INDEX(Productos!$F$5:$F$504,MATCH($C1780,Productos!$A$5:$A$504,0)),0))</f>
        <v/>
      </c>
      <c r="H1780" s="22" t="str">
        <f t="shared" si="27"/>
        <v/>
      </c>
      <c r="I1780" s="14" t="str">
        <f>IF(OR($C1780="",$F1780=""),"",IFERROR(INDEX(Productos!$I$5:$I$504,MATCH($C1780,Productos!$A$5:$A$504,0)),0)+SUMIFS($F$5:$F1780,$C$5:$C1780,$C1780,$B$5:$B1780,"Entrada")-SUMIFS($F$5:$F1780,$C$5:$C1780,$C1780,$B$5:$B1780,"Salida"))</f>
        <v/>
      </c>
      <c r="J1780" s="20"/>
      <c r="K1780" s="20"/>
      <c r="L1780" s="20"/>
      <c r="M1780" s="14" t="str">
        <f>IF(AND($C1780&lt;&gt;"",$C1780=Kardex!$C$4),COUNTIF($C$5:$C1780,Kardex!$C$4),"")</f>
        <v/>
      </c>
    </row>
    <row r="1781" spans="1:13" x14ac:dyDescent="0.25">
      <c r="A1781" s="24"/>
      <c r="B1781" s="20"/>
      <c r="C1781" s="20"/>
      <c r="D1781" s="14" t="str">
        <f>IF($C1781="","",IFERROR(INDEX(Productos!$B$5:$B$504,MATCH($C1781,Productos!$A$5:$A$504,0)),"Clave no existe"))</f>
        <v/>
      </c>
      <c r="E1781" s="14" t="str">
        <f>IF($C1781="","",IFERROR(INDEX(Productos!$D$5:$D$504,MATCH($C1781,Productos!$A$5:$A$504,0)),""))</f>
        <v/>
      </c>
      <c r="F1781" s="20"/>
      <c r="G1781" s="22" t="str">
        <f>IF($C1781="","",IFERROR(INDEX(Productos!$F$5:$F$504,MATCH($C1781,Productos!$A$5:$A$504,0)),0))</f>
        <v/>
      </c>
      <c r="H1781" s="22" t="str">
        <f t="shared" si="27"/>
        <v/>
      </c>
      <c r="I1781" s="14" t="str">
        <f>IF(OR($C1781="",$F1781=""),"",IFERROR(INDEX(Productos!$I$5:$I$504,MATCH($C1781,Productos!$A$5:$A$504,0)),0)+SUMIFS($F$5:$F1781,$C$5:$C1781,$C1781,$B$5:$B1781,"Entrada")-SUMIFS($F$5:$F1781,$C$5:$C1781,$C1781,$B$5:$B1781,"Salida"))</f>
        <v/>
      </c>
      <c r="J1781" s="20"/>
      <c r="K1781" s="20"/>
      <c r="L1781" s="20"/>
      <c r="M1781" s="14" t="str">
        <f>IF(AND($C1781&lt;&gt;"",$C1781=Kardex!$C$4),COUNTIF($C$5:$C1781,Kardex!$C$4),"")</f>
        <v/>
      </c>
    </row>
    <row r="1782" spans="1:13" x14ac:dyDescent="0.25">
      <c r="A1782" s="24"/>
      <c r="B1782" s="20"/>
      <c r="C1782" s="20"/>
      <c r="D1782" s="14" t="str">
        <f>IF($C1782="","",IFERROR(INDEX(Productos!$B$5:$B$504,MATCH($C1782,Productos!$A$5:$A$504,0)),"Clave no existe"))</f>
        <v/>
      </c>
      <c r="E1782" s="14" t="str">
        <f>IF($C1782="","",IFERROR(INDEX(Productos!$D$5:$D$504,MATCH($C1782,Productos!$A$5:$A$504,0)),""))</f>
        <v/>
      </c>
      <c r="F1782" s="20"/>
      <c r="G1782" s="22" t="str">
        <f>IF($C1782="","",IFERROR(INDEX(Productos!$F$5:$F$504,MATCH($C1782,Productos!$A$5:$A$504,0)),0))</f>
        <v/>
      </c>
      <c r="H1782" s="22" t="str">
        <f t="shared" si="27"/>
        <v/>
      </c>
      <c r="I1782" s="14" t="str">
        <f>IF(OR($C1782="",$F1782=""),"",IFERROR(INDEX(Productos!$I$5:$I$504,MATCH($C1782,Productos!$A$5:$A$504,0)),0)+SUMIFS($F$5:$F1782,$C$5:$C1782,$C1782,$B$5:$B1782,"Entrada")-SUMIFS($F$5:$F1782,$C$5:$C1782,$C1782,$B$5:$B1782,"Salida"))</f>
        <v/>
      </c>
      <c r="J1782" s="20"/>
      <c r="K1782" s="20"/>
      <c r="L1782" s="20"/>
      <c r="M1782" s="14" t="str">
        <f>IF(AND($C1782&lt;&gt;"",$C1782=Kardex!$C$4),COUNTIF($C$5:$C1782,Kardex!$C$4),"")</f>
        <v/>
      </c>
    </row>
    <row r="1783" spans="1:13" x14ac:dyDescent="0.25">
      <c r="A1783" s="24"/>
      <c r="B1783" s="20"/>
      <c r="C1783" s="20"/>
      <c r="D1783" s="14" t="str">
        <f>IF($C1783="","",IFERROR(INDEX(Productos!$B$5:$B$504,MATCH($C1783,Productos!$A$5:$A$504,0)),"Clave no existe"))</f>
        <v/>
      </c>
      <c r="E1783" s="14" t="str">
        <f>IF($C1783="","",IFERROR(INDEX(Productos!$D$5:$D$504,MATCH($C1783,Productos!$A$5:$A$504,0)),""))</f>
        <v/>
      </c>
      <c r="F1783" s="20"/>
      <c r="G1783" s="22" t="str">
        <f>IF($C1783="","",IFERROR(INDEX(Productos!$F$5:$F$504,MATCH($C1783,Productos!$A$5:$A$504,0)),0))</f>
        <v/>
      </c>
      <c r="H1783" s="22" t="str">
        <f t="shared" si="27"/>
        <v/>
      </c>
      <c r="I1783" s="14" t="str">
        <f>IF(OR($C1783="",$F1783=""),"",IFERROR(INDEX(Productos!$I$5:$I$504,MATCH($C1783,Productos!$A$5:$A$504,0)),0)+SUMIFS($F$5:$F1783,$C$5:$C1783,$C1783,$B$5:$B1783,"Entrada")-SUMIFS($F$5:$F1783,$C$5:$C1783,$C1783,$B$5:$B1783,"Salida"))</f>
        <v/>
      </c>
      <c r="J1783" s="20"/>
      <c r="K1783" s="20"/>
      <c r="L1783" s="20"/>
      <c r="M1783" s="14" t="str">
        <f>IF(AND($C1783&lt;&gt;"",$C1783=Kardex!$C$4),COUNTIF($C$5:$C1783,Kardex!$C$4),"")</f>
        <v/>
      </c>
    </row>
    <row r="1784" spans="1:13" x14ac:dyDescent="0.25">
      <c r="A1784" s="24"/>
      <c r="B1784" s="20"/>
      <c r="C1784" s="20"/>
      <c r="D1784" s="14" t="str">
        <f>IF($C1784="","",IFERROR(INDEX(Productos!$B$5:$B$504,MATCH($C1784,Productos!$A$5:$A$504,0)),"Clave no existe"))</f>
        <v/>
      </c>
      <c r="E1784" s="14" t="str">
        <f>IF($C1784="","",IFERROR(INDEX(Productos!$D$5:$D$504,MATCH($C1784,Productos!$A$5:$A$504,0)),""))</f>
        <v/>
      </c>
      <c r="F1784" s="20"/>
      <c r="G1784" s="22" t="str">
        <f>IF($C1784="","",IFERROR(INDEX(Productos!$F$5:$F$504,MATCH($C1784,Productos!$A$5:$A$504,0)),0))</f>
        <v/>
      </c>
      <c r="H1784" s="22" t="str">
        <f t="shared" si="27"/>
        <v/>
      </c>
      <c r="I1784" s="14" t="str">
        <f>IF(OR($C1784="",$F1784=""),"",IFERROR(INDEX(Productos!$I$5:$I$504,MATCH($C1784,Productos!$A$5:$A$504,0)),0)+SUMIFS($F$5:$F1784,$C$5:$C1784,$C1784,$B$5:$B1784,"Entrada")-SUMIFS($F$5:$F1784,$C$5:$C1784,$C1784,$B$5:$B1784,"Salida"))</f>
        <v/>
      </c>
      <c r="J1784" s="20"/>
      <c r="K1784" s="20"/>
      <c r="L1784" s="20"/>
      <c r="M1784" s="14" t="str">
        <f>IF(AND($C1784&lt;&gt;"",$C1784=Kardex!$C$4),COUNTIF($C$5:$C1784,Kardex!$C$4),"")</f>
        <v/>
      </c>
    </row>
    <row r="1785" spans="1:13" x14ac:dyDescent="0.25">
      <c r="A1785" s="24"/>
      <c r="B1785" s="20"/>
      <c r="C1785" s="20"/>
      <c r="D1785" s="14" t="str">
        <f>IF($C1785="","",IFERROR(INDEX(Productos!$B$5:$B$504,MATCH($C1785,Productos!$A$5:$A$504,0)),"Clave no existe"))</f>
        <v/>
      </c>
      <c r="E1785" s="14" t="str">
        <f>IF($C1785="","",IFERROR(INDEX(Productos!$D$5:$D$504,MATCH($C1785,Productos!$A$5:$A$504,0)),""))</f>
        <v/>
      </c>
      <c r="F1785" s="20"/>
      <c r="G1785" s="22" t="str">
        <f>IF($C1785="","",IFERROR(INDEX(Productos!$F$5:$F$504,MATCH($C1785,Productos!$A$5:$A$504,0)),0))</f>
        <v/>
      </c>
      <c r="H1785" s="22" t="str">
        <f t="shared" si="27"/>
        <v/>
      </c>
      <c r="I1785" s="14" t="str">
        <f>IF(OR($C1785="",$F1785=""),"",IFERROR(INDEX(Productos!$I$5:$I$504,MATCH($C1785,Productos!$A$5:$A$504,0)),0)+SUMIFS($F$5:$F1785,$C$5:$C1785,$C1785,$B$5:$B1785,"Entrada")-SUMIFS($F$5:$F1785,$C$5:$C1785,$C1785,$B$5:$B1785,"Salida"))</f>
        <v/>
      </c>
      <c r="J1785" s="20"/>
      <c r="K1785" s="20"/>
      <c r="L1785" s="20"/>
      <c r="M1785" s="14" t="str">
        <f>IF(AND($C1785&lt;&gt;"",$C1785=Kardex!$C$4),COUNTIF($C$5:$C1785,Kardex!$C$4),"")</f>
        <v/>
      </c>
    </row>
    <row r="1786" spans="1:13" x14ac:dyDescent="0.25">
      <c r="A1786" s="24"/>
      <c r="B1786" s="20"/>
      <c r="C1786" s="20"/>
      <c r="D1786" s="14" t="str">
        <f>IF($C1786="","",IFERROR(INDEX(Productos!$B$5:$B$504,MATCH($C1786,Productos!$A$5:$A$504,0)),"Clave no existe"))</f>
        <v/>
      </c>
      <c r="E1786" s="14" t="str">
        <f>IF($C1786="","",IFERROR(INDEX(Productos!$D$5:$D$504,MATCH($C1786,Productos!$A$5:$A$504,0)),""))</f>
        <v/>
      </c>
      <c r="F1786" s="20"/>
      <c r="G1786" s="22" t="str">
        <f>IF($C1786="","",IFERROR(INDEX(Productos!$F$5:$F$504,MATCH($C1786,Productos!$A$5:$A$504,0)),0))</f>
        <v/>
      </c>
      <c r="H1786" s="22" t="str">
        <f t="shared" si="27"/>
        <v/>
      </c>
      <c r="I1786" s="14" t="str">
        <f>IF(OR($C1786="",$F1786=""),"",IFERROR(INDEX(Productos!$I$5:$I$504,MATCH($C1786,Productos!$A$5:$A$504,0)),0)+SUMIFS($F$5:$F1786,$C$5:$C1786,$C1786,$B$5:$B1786,"Entrada")-SUMIFS($F$5:$F1786,$C$5:$C1786,$C1786,$B$5:$B1786,"Salida"))</f>
        <v/>
      </c>
      <c r="J1786" s="20"/>
      <c r="K1786" s="20"/>
      <c r="L1786" s="20"/>
      <c r="M1786" s="14" t="str">
        <f>IF(AND($C1786&lt;&gt;"",$C1786=Kardex!$C$4),COUNTIF($C$5:$C1786,Kardex!$C$4),"")</f>
        <v/>
      </c>
    </row>
    <row r="1787" spans="1:13" x14ac:dyDescent="0.25">
      <c r="A1787" s="24"/>
      <c r="B1787" s="20"/>
      <c r="C1787" s="20"/>
      <c r="D1787" s="14" t="str">
        <f>IF($C1787="","",IFERROR(INDEX(Productos!$B$5:$B$504,MATCH($C1787,Productos!$A$5:$A$504,0)),"Clave no existe"))</f>
        <v/>
      </c>
      <c r="E1787" s="14" t="str">
        <f>IF($C1787="","",IFERROR(INDEX(Productos!$D$5:$D$504,MATCH($C1787,Productos!$A$5:$A$504,0)),""))</f>
        <v/>
      </c>
      <c r="F1787" s="20"/>
      <c r="G1787" s="22" t="str">
        <f>IF($C1787="","",IFERROR(INDEX(Productos!$F$5:$F$504,MATCH($C1787,Productos!$A$5:$A$504,0)),0))</f>
        <v/>
      </c>
      <c r="H1787" s="22" t="str">
        <f t="shared" si="27"/>
        <v/>
      </c>
      <c r="I1787" s="14" t="str">
        <f>IF(OR($C1787="",$F1787=""),"",IFERROR(INDEX(Productos!$I$5:$I$504,MATCH($C1787,Productos!$A$5:$A$504,0)),0)+SUMIFS($F$5:$F1787,$C$5:$C1787,$C1787,$B$5:$B1787,"Entrada")-SUMIFS($F$5:$F1787,$C$5:$C1787,$C1787,$B$5:$B1787,"Salida"))</f>
        <v/>
      </c>
      <c r="J1787" s="20"/>
      <c r="K1787" s="20"/>
      <c r="L1787" s="20"/>
      <c r="M1787" s="14" t="str">
        <f>IF(AND($C1787&lt;&gt;"",$C1787=Kardex!$C$4),COUNTIF($C$5:$C1787,Kardex!$C$4),"")</f>
        <v/>
      </c>
    </row>
    <row r="1788" spans="1:13" x14ac:dyDescent="0.25">
      <c r="A1788" s="24"/>
      <c r="B1788" s="20"/>
      <c r="C1788" s="20"/>
      <c r="D1788" s="14" t="str">
        <f>IF($C1788="","",IFERROR(INDEX(Productos!$B$5:$B$504,MATCH($C1788,Productos!$A$5:$A$504,0)),"Clave no existe"))</f>
        <v/>
      </c>
      <c r="E1788" s="14" t="str">
        <f>IF($C1788="","",IFERROR(INDEX(Productos!$D$5:$D$504,MATCH($C1788,Productos!$A$5:$A$504,0)),""))</f>
        <v/>
      </c>
      <c r="F1788" s="20"/>
      <c r="G1788" s="22" t="str">
        <f>IF($C1788="","",IFERROR(INDEX(Productos!$F$5:$F$504,MATCH($C1788,Productos!$A$5:$A$504,0)),0))</f>
        <v/>
      </c>
      <c r="H1788" s="22" t="str">
        <f t="shared" si="27"/>
        <v/>
      </c>
      <c r="I1788" s="14" t="str">
        <f>IF(OR($C1788="",$F1788=""),"",IFERROR(INDEX(Productos!$I$5:$I$504,MATCH($C1788,Productos!$A$5:$A$504,0)),0)+SUMIFS($F$5:$F1788,$C$5:$C1788,$C1788,$B$5:$B1788,"Entrada")-SUMIFS($F$5:$F1788,$C$5:$C1788,$C1788,$B$5:$B1788,"Salida"))</f>
        <v/>
      </c>
      <c r="J1788" s="20"/>
      <c r="K1788" s="20"/>
      <c r="L1788" s="20"/>
      <c r="M1788" s="14" t="str">
        <f>IF(AND($C1788&lt;&gt;"",$C1788=Kardex!$C$4),COUNTIF($C$5:$C1788,Kardex!$C$4),"")</f>
        <v/>
      </c>
    </row>
    <row r="1789" spans="1:13" x14ac:dyDescent="0.25">
      <c r="A1789" s="24"/>
      <c r="B1789" s="20"/>
      <c r="C1789" s="20"/>
      <c r="D1789" s="14" t="str">
        <f>IF($C1789="","",IFERROR(INDEX(Productos!$B$5:$B$504,MATCH($C1789,Productos!$A$5:$A$504,0)),"Clave no existe"))</f>
        <v/>
      </c>
      <c r="E1789" s="14" t="str">
        <f>IF($C1789="","",IFERROR(INDEX(Productos!$D$5:$D$504,MATCH($C1789,Productos!$A$5:$A$504,0)),""))</f>
        <v/>
      </c>
      <c r="F1789" s="20"/>
      <c r="G1789" s="22" t="str">
        <f>IF($C1789="","",IFERROR(INDEX(Productos!$F$5:$F$504,MATCH($C1789,Productos!$A$5:$A$504,0)),0))</f>
        <v/>
      </c>
      <c r="H1789" s="22" t="str">
        <f t="shared" si="27"/>
        <v/>
      </c>
      <c r="I1789" s="14" t="str">
        <f>IF(OR($C1789="",$F1789=""),"",IFERROR(INDEX(Productos!$I$5:$I$504,MATCH($C1789,Productos!$A$5:$A$504,0)),0)+SUMIFS($F$5:$F1789,$C$5:$C1789,$C1789,$B$5:$B1789,"Entrada")-SUMIFS($F$5:$F1789,$C$5:$C1789,$C1789,$B$5:$B1789,"Salida"))</f>
        <v/>
      </c>
      <c r="J1789" s="20"/>
      <c r="K1789" s="20"/>
      <c r="L1789" s="20"/>
      <c r="M1789" s="14" t="str">
        <f>IF(AND($C1789&lt;&gt;"",$C1789=Kardex!$C$4),COUNTIF($C$5:$C1789,Kardex!$C$4),"")</f>
        <v/>
      </c>
    </row>
    <row r="1790" spans="1:13" x14ac:dyDescent="0.25">
      <c r="A1790" s="24"/>
      <c r="B1790" s="20"/>
      <c r="C1790" s="20"/>
      <c r="D1790" s="14" t="str">
        <f>IF($C1790="","",IFERROR(INDEX(Productos!$B$5:$B$504,MATCH($C1790,Productos!$A$5:$A$504,0)),"Clave no existe"))</f>
        <v/>
      </c>
      <c r="E1790" s="14" t="str">
        <f>IF($C1790="","",IFERROR(INDEX(Productos!$D$5:$D$504,MATCH($C1790,Productos!$A$5:$A$504,0)),""))</f>
        <v/>
      </c>
      <c r="F1790" s="20"/>
      <c r="G1790" s="22" t="str">
        <f>IF($C1790="","",IFERROR(INDEX(Productos!$F$5:$F$504,MATCH($C1790,Productos!$A$5:$A$504,0)),0))</f>
        <v/>
      </c>
      <c r="H1790" s="22" t="str">
        <f t="shared" si="27"/>
        <v/>
      </c>
      <c r="I1790" s="14" t="str">
        <f>IF(OR($C1790="",$F1790=""),"",IFERROR(INDEX(Productos!$I$5:$I$504,MATCH($C1790,Productos!$A$5:$A$504,0)),0)+SUMIFS($F$5:$F1790,$C$5:$C1790,$C1790,$B$5:$B1790,"Entrada")-SUMIFS($F$5:$F1790,$C$5:$C1790,$C1790,$B$5:$B1790,"Salida"))</f>
        <v/>
      </c>
      <c r="J1790" s="20"/>
      <c r="K1790" s="20"/>
      <c r="L1790" s="20"/>
      <c r="M1790" s="14" t="str">
        <f>IF(AND($C1790&lt;&gt;"",$C1790=Kardex!$C$4),COUNTIF($C$5:$C1790,Kardex!$C$4),"")</f>
        <v/>
      </c>
    </row>
    <row r="1791" spans="1:13" x14ac:dyDescent="0.25">
      <c r="A1791" s="24"/>
      <c r="B1791" s="20"/>
      <c r="C1791" s="20"/>
      <c r="D1791" s="14" t="str">
        <f>IF($C1791="","",IFERROR(INDEX(Productos!$B$5:$B$504,MATCH($C1791,Productos!$A$5:$A$504,0)),"Clave no existe"))</f>
        <v/>
      </c>
      <c r="E1791" s="14" t="str">
        <f>IF($C1791="","",IFERROR(INDEX(Productos!$D$5:$D$504,MATCH($C1791,Productos!$A$5:$A$504,0)),""))</f>
        <v/>
      </c>
      <c r="F1791" s="20"/>
      <c r="G1791" s="22" t="str">
        <f>IF($C1791="","",IFERROR(INDEX(Productos!$F$5:$F$504,MATCH($C1791,Productos!$A$5:$A$504,0)),0))</f>
        <v/>
      </c>
      <c r="H1791" s="22" t="str">
        <f t="shared" si="27"/>
        <v/>
      </c>
      <c r="I1791" s="14" t="str">
        <f>IF(OR($C1791="",$F1791=""),"",IFERROR(INDEX(Productos!$I$5:$I$504,MATCH($C1791,Productos!$A$5:$A$504,0)),0)+SUMIFS($F$5:$F1791,$C$5:$C1791,$C1791,$B$5:$B1791,"Entrada")-SUMIFS($F$5:$F1791,$C$5:$C1791,$C1791,$B$5:$B1791,"Salida"))</f>
        <v/>
      </c>
      <c r="J1791" s="20"/>
      <c r="K1791" s="20"/>
      <c r="L1791" s="20"/>
      <c r="M1791" s="14" t="str">
        <f>IF(AND($C1791&lt;&gt;"",$C1791=Kardex!$C$4),COUNTIF($C$5:$C1791,Kardex!$C$4),"")</f>
        <v/>
      </c>
    </row>
    <row r="1792" spans="1:13" x14ac:dyDescent="0.25">
      <c r="A1792" s="24"/>
      <c r="B1792" s="20"/>
      <c r="C1792" s="20"/>
      <c r="D1792" s="14" t="str">
        <f>IF($C1792="","",IFERROR(INDEX(Productos!$B$5:$B$504,MATCH($C1792,Productos!$A$5:$A$504,0)),"Clave no existe"))</f>
        <v/>
      </c>
      <c r="E1792" s="14" t="str">
        <f>IF($C1792="","",IFERROR(INDEX(Productos!$D$5:$D$504,MATCH($C1792,Productos!$A$5:$A$504,0)),""))</f>
        <v/>
      </c>
      <c r="F1792" s="20"/>
      <c r="G1792" s="22" t="str">
        <f>IF($C1792="","",IFERROR(INDEX(Productos!$F$5:$F$504,MATCH($C1792,Productos!$A$5:$A$504,0)),0))</f>
        <v/>
      </c>
      <c r="H1792" s="22" t="str">
        <f t="shared" si="27"/>
        <v/>
      </c>
      <c r="I1792" s="14" t="str">
        <f>IF(OR($C1792="",$F1792=""),"",IFERROR(INDEX(Productos!$I$5:$I$504,MATCH($C1792,Productos!$A$5:$A$504,0)),0)+SUMIFS($F$5:$F1792,$C$5:$C1792,$C1792,$B$5:$B1792,"Entrada")-SUMIFS($F$5:$F1792,$C$5:$C1792,$C1792,$B$5:$B1792,"Salida"))</f>
        <v/>
      </c>
      <c r="J1792" s="20"/>
      <c r="K1792" s="20"/>
      <c r="L1792" s="20"/>
      <c r="M1792" s="14" t="str">
        <f>IF(AND($C1792&lt;&gt;"",$C1792=Kardex!$C$4),COUNTIF($C$5:$C1792,Kardex!$C$4),"")</f>
        <v/>
      </c>
    </row>
    <row r="1793" spans="1:13" x14ac:dyDescent="0.25">
      <c r="A1793" s="24"/>
      <c r="B1793" s="20"/>
      <c r="C1793" s="20"/>
      <c r="D1793" s="14" t="str">
        <f>IF($C1793="","",IFERROR(INDEX(Productos!$B$5:$B$504,MATCH($C1793,Productos!$A$5:$A$504,0)),"Clave no existe"))</f>
        <v/>
      </c>
      <c r="E1793" s="14" t="str">
        <f>IF($C1793="","",IFERROR(INDEX(Productos!$D$5:$D$504,MATCH($C1793,Productos!$A$5:$A$504,0)),""))</f>
        <v/>
      </c>
      <c r="F1793" s="20"/>
      <c r="G1793" s="22" t="str">
        <f>IF($C1793="","",IFERROR(INDEX(Productos!$F$5:$F$504,MATCH($C1793,Productos!$A$5:$A$504,0)),0))</f>
        <v/>
      </c>
      <c r="H1793" s="22" t="str">
        <f t="shared" si="27"/>
        <v/>
      </c>
      <c r="I1793" s="14" t="str">
        <f>IF(OR($C1793="",$F1793=""),"",IFERROR(INDEX(Productos!$I$5:$I$504,MATCH($C1793,Productos!$A$5:$A$504,0)),0)+SUMIFS($F$5:$F1793,$C$5:$C1793,$C1793,$B$5:$B1793,"Entrada")-SUMIFS($F$5:$F1793,$C$5:$C1793,$C1793,$B$5:$B1793,"Salida"))</f>
        <v/>
      </c>
      <c r="J1793" s="20"/>
      <c r="K1793" s="20"/>
      <c r="L1793" s="20"/>
      <c r="M1793" s="14" t="str">
        <f>IF(AND($C1793&lt;&gt;"",$C1793=Kardex!$C$4),COUNTIF($C$5:$C1793,Kardex!$C$4),"")</f>
        <v/>
      </c>
    </row>
    <row r="1794" spans="1:13" x14ac:dyDescent="0.25">
      <c r="A1794" s="24"/>
      <c r="B1794" s="20"/>
      <c r="C1794" s="20"/>
      <c r="D1794" s="14" t="str">
        <f>IF($C1794="","",IFERROR(INDEX(Productos!$B$5:$B$504,MATCH($C1794,Productos!$A$5:$A$504,0)),"Clave no existe"))</f>
        <v/>
      </c>
      <c r="E1794" s="14" t="str">
        <f>IF($C1794="","",IFERROR(INDEX(Productos!$D$5:$D$504,MATCH($C1794,Productos!$A$5:$A$504,0)),""))</f>
        <v/>
      </c>
      <c r="F1794" s="20"/>
      <c r="G1794" s="22" t="str">
        <f>IF($C1794="","",IFERROR(INDEX(Productos!$F$5:$F$504,MATCH($C1794,Productos!$A$5:$A$504,0)),0))</f>
        <v/>
      </c>
      <c r="H1794" s="22" t="str">
        <f t="shared" si="27"/>
        <v/>
      </c>
      <c r="I1794" s="14" t="str">
        <f>IF(OR($C1794="",$F1794=""),"",IFERROR(INDEX(Productos!$I$5:$I$504,MATCH($C1794,Productos!$A$5:$A$504,0)),0)+SUMIFS($F$5:$F1794,$C$5:$C1794,$C1794,$B$5:$B1794,"Entrada")-SUMIFS($F$5:$F1794,$C$5:$C1794,$C1794,$B$5:$B1794,"Salida"))</f>
        <v/>
      </c>
      <c r="J1794" s="20"/>
      <c r="K1794" s="20"/>
      <c r="L1794" s="20"/>
      <c r="M1794" s="14" t="str">
        <f>IF(AND($C1794&lt;&gt;"",$C1794=Kardex!$C$4),COUNTIF($C$5:$C1794,Kardex!$C$4),"")</f>
        <v/>
      </c>
    </row>
    <row r="1795" spans="1:13" x14ac:dyDescent="0.25">
      <c r="A1795" s="24"/>
      <c r="B1795" s="20"/>
      <c r="C1795" s="20"/>
      <c r="D1795" s="14" t="str">
        <f>IF($C1795="","",IFERROR(INDEX(Productos!$B$5:$B$504,MATCH($C1795,Productos!$A$5:$A$504,0)),"Clave no existe"))</f>
        <v/>
      </c>
      <c r="E1795" s="14" t="str">
        <f>IF($C1795="","",IFERROR(INDEX(Productos!$D$5:$D$504,MATCH($C1795,Productos!$A$5:$A$504,0)),""))</f>
        <v/>
      </c>
      <c r="F1795" s="20"/>
      <c r="G1795" s="22" t="str">
        <f>IF($C1795="","",IFERROR(INDEX(Productos!$F$5:$F$504,MATCH($C1795,Productos!$A$5:$A$504,0)),0))</f>
        <v/>
      </c>
      <c r="H1795" s="22" t="str">
        <f t="shared" si="27"/>
        <v/>
      </c>
      <c r="I1795" s="14" t="str">
        <f>IF(OR($C1795="",$F1795=""),"",IFERROR(INDEX(Productos!$I$5:$I$504,MATCH($C1795,Productos!$A$5:$A$504,0)),0)+SUMIFS($F$5:$F1795,$C$5:$C1795,$C1795,$B$5:$B1795,"Entrada")-SUMIFS($F$5:$F1795,$C$5:$C1795,$C1795,$B$5:$B1795,"Salida"))</f>
        <v/>
      </c>
      <c r="J1795" s="20"/>
      <c r="K1795" s="20"/>
      <c r="L1795" s="20"/>
      <c r="M1795" s="14" t="str">
        <f>IF(AND($C1795&lt;&gt;"",$C1795=Kardex!$C$4),COUNTIF($C$5:$C1795,Kardex!$C$4),"")</f>
        <v/>
      </c>
    </row>
    <row r="1796" spans="1:13" x14ac:dyDescent="0.25">
      <c r="A1796" s="24"/>
      <c r="B1796" s="20"/>
      <c r="C1796" s="20"/>
      <c r="D1796" s="14" t="str">
        <f>IF($C1796="","",IFERROR(INDEX(Productos!$B$5:$B$504,MATCH($C1796,Productos!$A$5:$A$504,0)),"Clave no existe"))</f>
        <v/>
      </c>
      <c r="E1796" s="14" t="str">
        <f>IF($C1796="","",IFERROR(INDEX(Productos!$D$5:$D$504,MATCH($C1796,Productos!$A$5:$A$504,0)),""))</f>
        <v/>
      </c>
      <c r="F1796" s="20"/>
      <c r="G1796" s="22" t="str">
        <f>IF($C1796="","",IFERROR(INDEX(Productos!$F$5:$F$504,MATCH($C1796,Productos!$A$5:$A$504,0)),0))</f>
        <v/>
      </c>
      <c r="H1796" s="22" t="str">
        <f t="shared" si="27"/>
        <v/>
      </c>
      <c r="I1796" s="14" t="str">
        <f>IF(OR($C1796="",$F1796=""),"",IFERROR(INDEX(Productos!$I$5:$I$504,MATCH($C1796,Productos!$A$5:$A$504,0)),0)+SUMIFS($F$5:$F1796,$C$5:$C1796,$C1796,$B$5:$B1796,"Entrada")-SUMIFS($F$5:$F1796,$C$5:$C1796,$C1796,$B$5:$B1796,"Salida"))</f>
        <v/>
      </c>
      <c r="J1796" s="20"/>
      <c r="K1796" s="20"/>
      <c r="L1796" s="20"/>
      <c r="M1796" s="14" t="str">
        <f>IF(AND($C1796&lt;&gt;"",$C1796=Kardex!$C$4),COUNTIF($C$5:$C1796,Kardex!$C$4),"")</f>
        <v/>
      </c>
    </row>
    <row r="1797" spans="1:13" x14ac:dyDescent="0.25">
      <c r="A1797" s="24"/>
      <c r="B1797" s="20"/>
      <c r="C1797" s="20"/>
      <c r="D1797" s="14" t="str">
        <f>IF($C1797="","",IFERROR(INDEX(Productos!$B$5:$B$504,MATCH($C1797,Productos!$A$5:$A$504,0)),"Clave no existe"))</f>
        <v/>
      </c>
      <c r="E1797" s="14" t="str">
        <f>IF($C1797="","",IFERROR(INDEX(Productos!$D$5:$D$504,MATCH($C1797,Productos!$A$5:$A$504,0)),""))</f>
        <v/>
      </c>
      <c r="F1797" s="20"/>
      <c r="G1797" s="22" t="str">
        <f>IF($C1797="","",IFERROR(INDEX(Productos!$F$5:$F$504,MATCH($C1797,Productos!$A$5:$A$504,0)),0))</f>
        <v/>
      </c>
      <c r="H1797" s="22" t="str">
        <f t="shared" ref="H1797:H1860" si="28">IF(OR($C1797="",$F1797=""),"",F1797*G1797)</f>
        <v/>
      </c>
      <c r="I1797" s="14" t="str">
        <f>IF(OR($C1797="",$F1797=""),"",IFERROR(INDEX(Productos!$I$5:$I$504,MATCH($C1797,Productos!$A$5:$A$504,0)),0)+SUMIFS($F$5:$F1797,$C$5:$C1797,$C1797,$B$5:$B1797,"Entrada")-SUMIFS($F$5:$F1797,$C$5:$C1797,$C1797,$B$5:$B1797,"Salida"))</f>
        <v/>
      </c>
      <c r="J1797" s="20"/>
      <c r="K1797" s="20"/>
      <c r="L1797" s="20"/>
      <c r="M1797" s="14" t="str">
        <f>IF(AND($C1797&lt;&gt;"",$C1797=Kardex!$C$4),COUNTIF($C$5:$C1797,Kardex!$C$4),"")</f>
        <v/>
      </c>
    </row>
    <row r="1798" spans="1:13" x14ac:dyDescent="0.25">
      <c r="A1798" s="24"/>
      <c r="B1798" s="20"/>
      <c r="C1798" s="20"/>
      <c r="D1798" s="14" t="str">
        <f>IF($C1798="","",IFERROR(INDEX(Productos!$B$5:$B$504,MATCH($C1798,Productos!$A$5:$A$504,0)),"Clave no existe"))</f>
        <v/>
      </c>
      <c r="E1798" s="14" t="str">
        <f>IF($C1798="","",IFERROR(INDEX(Productos!$D$5:$D$504,MATCH($C1798,Productos!$A$5:$A$504,0)),""))</f>
        <v/>
      </c>
      <c r="F1798" s="20"/>
      <c r="G1798" s="22" t="str">
        <f>IF($C1798="","",IFERROR(INDEX(Productos!$F$5:$F$504,MATCH($C1798,Productos!$A$5:$A$504,0)),0))</f>
        <v/>
      </c>
      <c r="H1798" s="22" t="str">
        <f t="shared" si="28"/>
        <v/>
      </c>
      <c r="I1798" s="14" t="str">
        <f>IF(OR($C1798="",$F1798=""),"",IFERROR(INDEX(Productos!$I$5:$I$504,MATCH($C1798,Productos!$A$5:$A$504,0)),0)+SUMIFS($F$5:$F1798,$C$5:$C1798,$C1798,$B$5:$B1798,"Entrada")-SUMIFS($F$5:$F1798,$C$5:$C1798,$C1798,$B$5:$B1798,"Salida"))</f>
        <v/>
      </c>
      <c r="J1798" s="20"/>
      <c r="K1798" s="20"/>
      <c r="L1798" s="20"/>
      <c r="M1798" s="14" t="str">
        <f>IF(AND($C1798&lt;&gt;"",$C1798=Kardex!$C$4),COUNTIF($C$5:$C1798,Kardex!$C$4),"")</f>
        <v/>
      </c>
    </row>
    <row r="1799" spans="1:13" x14ac:dyDescent="0.25">
      <c r="A1799" s="24"/>
      <c r="B1799" s="20"/>
      <c r="C1799" s="20"/>
      <c r="D1799" s="14" t="str">
        <f>IF($C1799="","",IFERROR(INDEX(Productos!$B$5:$B$504,MATCH($C1799,Productos!$A$5:$A$504,0)),"Clave no existe"))</f>
        <v/>
      </c>
      <c r="E1799" s="14" t="str">
        <f>IF($C1799="","",IFERROR(INDEX(Productos!$D$5:$D$504,MATCH($C1799,Productos!$A$5:$A$504,0)),""))</f>
        <v/>
      </c>
      <c r="F1799" s="20"/>
      <c r="G1799" s="22" t="str">
        <f>IF($C1799="","",IFERROR(INDEX(Productos!$F$5:$F$504,MATCH($C1799,Productos!$A$5:$A$504,0)),0))</f>
        <v/>
      </c>
      <c r="H1799" s="22" t="str">
        <f t="shared" si="28"/>
        <v/>
      </c>
      <c r="I1799" s="14" t="str">
        <f>IF(OR($C1799="",$F1799=""),"",IFERROR(INDEX(Productos!$I$5:$I$504,MATCH($C1799,Productos!$A$5:$A$504,0)),0)+SUMIFS($F$5:$F1799,$C$5:$C1799,$C1799,$B$5:$B1799,"Entrada")-SUMIFS($F$5:$F1799,$C$5:$C1799,$C1799,$B$5:$B1799,"Salida"))</f>
        <v/>
      </c>
      <c r="J1799" s="20"/>
      <c r="K1799" s="20"/>
      <c r="L1799" s="20"/>
      <c r="M1799" s="14" t="str">
        <f>IF(AND($C1799&lt;&gt;"",$C1799=Kardex!$C$4),COUNTIF($C$5:$C1799,Kardex!$C$4),"")</f>
        <v/>
      </c>
    </row>
    <row r="1800" spans="1:13" x14ac:dyDescent="0.25">
      <c r="A1800" s="24"/>
      <c r="B1800" s="20"/>
      <c r="C1800" s="20"/>
      <c r="D1800" s="14" t="str">
        <f>IF($C1800="","",IFERROR(INDEX(Productos!$B$5:$B$504,MATCH($C1800,Productos!$A$5:$A$504,0)),"Clave no existe"))</f>
        <v/>
      </c>
      <c r="E1800" s="14" t="str">
        <f>IF($C1800="","",IFERROR(INDEX(Productos!$D$5:$D$504,MATCH($C1800,Productos!$A$5:$A$504,0)),""))</f>
        <v/>
      </c>
      <c r="F1800" s="20"/>
      <c r="G1800" s="22" t="str">
        <f>IF($C1800="","",IFERROR(INDEX(Productos!$F$5:$F$504,MATCH($C1800,Productos!$A$5:$A$504,0)),0))</f>
        <v/>
      </c>
      <c r="H1800" s="22" t="str">
        <f t="shared" si="28"/>
        <v/>
      </c>
      <c r="I1800" s="14" t="str">
        <f>IF(OR($C1800="",$F1800=""),"",IFERROR(INDEX(Productos!$I$5:$I$504,MATCH($C1800,Productos!$A$5:$A$504,0)),0)+SUMIFS($F$5:$F1800,$C$5:$C1800,$C1800,$B$5:$B1800,"Entrada")-SUMIFS($F$5:$F1800,$C$5:$C1800,$C1800,$B$5:$B1800,"Salida"))</f>
        <v/>
      </c>
      <c r="J1800" s="20"/>
      <c r="K1800" s="20"/>
      <c r="L1800" s="20"/>
      <c r="M1800" s="14" t="str">
        <f>IF(AND($C1800&lt;&gt;"",$C1800=Kardex!$C$4),COUNTIF($C$5:$C1800,Kardex!$C$4),"")</f>
        <v/>
      </c>
    </row>
    <row r="1801" spans="1:13" x14ac:dyDescent="0.25">
      <c r="A1801" s="24"/>
      <c r="B1801" s="20"/>
      <c r="C1801" s="20"/>
      <c r="D1801" s="14" t="str">
        <f>IF($C1801="","",IFERROR(INDEX(Productos!$B$5:$B$504,MATCH($C1801,Productos!$A$5:$A$504,0)),"Clave no existe"))</f>
        <v/>
      </c>
      <c r="E1801" s="14" t="str">
        <f>IF($C1801="","",IFERROR(INDEX(Productos!$D$5:$D$504,MATCH($C1801,Productos!$A$5:$A$504,0)),""))</f>
        <v/>
      </c>
      <c r="F1801" s="20"/>
      <c r="G1801" s="22" t="str">
        <f>IF($C1801="","",IFERROR(INDEX(Productos!$F$5:$F$504,MATCH($C1801,Productos!$A$5:$A$504,0)),0))</f>
        <v/>
      </c>
      <c r="H1801" s="22" t="str">
        <f t="shared" si="28"/>
        <v/>
      </c>
      <c r="I1801" s="14" t="str">
        <f>IF(OR($C1801="",$F1801=""),"",IFERROR(INDEX(Productos!$I$5:$I$504,MATCH($C1801,Productos!$A$5:$A$504,0)),0)+SUMIFS($F$5:$F1801,$C$5:$C1801,$C1801,$B$5:$B1801,"Entrada")-SUMIFS($F$5:$F1801,$C$5:$C1801,$C1801,$B$5:$B1801,"Salida"))</f>
        <v/>
      </c>
      <c r="J1801" s="20"/>
      <c r="K1801" s="20"/>
      <c r="L1801" s="20"/>
      <c r="M1801" s="14" t="str">
        <f>IF(AND($C1801&lt;&gt;"",$C1801=Kardex!$C$4),COUNTIF($C$5:$C1801,Kardex!$C$4),"")</f>
        <v/>
      </c>
    </row>
    <row r="1802" spans="1:13" x14ac:dyDescent="0.25">
      <c r="A1802" s="24"/>
      <c r="B1802" s="20"/>
      <c r="C1802" s="20"/>
      <c r="D1802" s="14" t="str">
        <f>IF($C1802="","",IFERROR(INDEX(Productos!$B$5:$B$504,MATCH($C1802,Productos!$A$5:$A$504,0)),"Clave no existe"))</f>
        <v/>
      </c>
      <c r="E1802" s="14" t="str">
        <f>IF($C1802="","",IFERROR(INDEX(Productos!$D$5:$D$504,MATCH($C1802,Productos!$A$5:$A$504,0)),""))</f>
        <v/>
      </c>
      <c r="F1802" s="20"/>
      <c r="G1802" s="22" t="str">
        <f>IF($C1802="","",IFERROR(INDEX(Productos!$F$5:$F$504,MATCH($C1802,Productos!$A$5:$A$504,0)),0))</f>
        <v/>
      </c>
      <c r="H1802" s="22" t="str">
        <f t="shared" si="28"/>
        <v/>
      </c>
      <c r="I1802" s="14" t="str">
        <f>IF(OR($C1802="",$F1802=""),"",IFERROR(INDEX(Productos!$I$5:$I$504,MATCH($C1802,Productos!$A$5:$A$504,0)),0)+SUMIFS($F$5:$F1802,$C$5:$C1802,$C1802,$B$5:$B1802,"Entrada")-SUMIFS($F$5:$F1802,$C$5:$C1802,$C1802,$B$5:$B1802,"Salida"))</f>
        <v/>
      </c>
      <c r="J1802" s="20"/>
      <c r="K1802" s="20"/>
      <c r="L1802" s="20"/>
      <c r="M1802" s="14" t="str">
        <f>IF(AND($C1802&lt;&gt;"",$C1802=Kardex!$C$4),COUNTIF($C$5:$C1802,Kardex!$C$4),"")</f>
        <v/>
      </c>
    </row>
    <row r="1803" spans="1:13" x14ac:dyDescent="0.25">
      <c r="A1803" s="24"/>
      <c r="B1803" s="20"/>
      <c r="C1803" s="20"/>
      <c r="D1803" s="14" t="str">
        <f>IF($C1803="","",IFERROR(INDEX(Productos!$B$5:$B$504,MATCH($C1803,Productos!$A$5:$A$504,0)),"Clave no existe"))</f>
        <v/>
      </c>
      <c r="E1803" s="14" t="str">
        <f>IF($C1803="","",IFERROR(INDEX(Productos!$D$5:$D$504,MATCH($C1803,Productos!$A$5:$A$504,0)),""))</f>
        <v/>
      </c>
      <c r="F1803" s="20"/>
      <c r="G1803" s="22" t="str">
        <f>IF($C1803="","",IFERROR(INDEX(Productos!$F$5:$F$504,MATCH($C1803,Productos!$A$5:$A$504,0)),0))</f>
        <v/>
      </c>
      <c r="H1803" s="22" t="str">
        <f t="shared" si="28"/>
        <v/>
      </c>
      <c r="I1803" s="14" t="str">
        <f>IF(OR($C1803="",$F1803=""),"",IFERROR(INDEX(Productos!$I$5:$I$504,MATCH($C1803,Productos!$A$5:$A$504,0)),0)+SUMIFS($F$5:$F1803,$C$5:$C1803,$C1803,$B$5:$B1803,"Entrada")-SUMIFS($F$5:$F1803,$C$5:$C1803,$C1803,$B$5:$B1803,"Salida"))</f>
        <v/>
      </c>
      <c r="J1803" s="20"/>
      <c r="K1803" s="20"/>
      <c r="L1803" s="20"/>
      <c r="M1803" s="14" t="str">
        <f>IF(AND($C1803&lt;&gt;"",$C1803=Kardex!$C$4),COUNTIF($C$5:$C1803,Kardex!$C$4),"")</f>
        <v/>
      </c>
    </row>
    <row r="1804" spans="1:13" x14ac:dyDescent="0.25">
      <c r="A1804" s="24"/>
      <c r="B1804" s="20"/>
      <c r="C1804" s="20"/>
      <c r="D1804" s="14" t="str">
        <f>IF($C1804="","",IFERROR(INDEX(Productos!$B$5:$B$504,MATCH($C1804,Productos!$A$5:$A$504,0)),"Clave no existe"))</f>
        <v/>
      </c>
      <c r="E1804" s="14" t="str">
        <f>IF($C1804="","",IFERROR(INDEX(Productos!$D$5:$D$504,MATCH($C1804,Productos!$A$5:$A$504,0)),""))</f>
        <v/>
      </c>
      <c r="F1804" s="20"/>
      <c r="G1804" s="22" t="str">
        <f>IF($C1804="","",IFERROR(INDEX(Productos!$F$5:$F$504,MATCH($C1804,Productos!$A$5:$A$504,0)),0))</f>
        <v/>
      </c>
      <c r="H1804" s="22" t="str">
        <f t="shared" si="28"/>
        <v/>
      </c>
      <c r="I1804" s="14" t="str">
        <f>IF(OR($C1804="",$F1804=""),"",IFERROR(INDEX(Productos!$I$5:$I$504,MATCH($C1804,Productos!$A$5:$A$504,0)),0)+SUMIFS($F$5:$F1804,$C$5:$C1804,$C1804,$B$5:$B1804,"Entrada")-SUMIFS($F$5:$F1804,$C$5:$C1804,$C1804,$B$5:$B1804,"Salida"))</f>
        <v/>
      </c>
      <c r="J1804" s="20"/>
      <c r="K1804" s="20"/>
      <c r="L1804" s="20"/>
      <c r="M1804" s="14" t="str">
        <f>IF(AND($C1804&lt;&gt;"",$C1804=Kardex!$C$4),COUNTIF($C$5:$C1804,Kardex!$C$4),"")</f>
        <v/>
      </c>
    </row>
    <row r="1805" spans="1:13" x14ac:dyDescent="0.25">
      <c r="A1805" s="24"/>
      <c r="B1805" s="20"/>
      <c r="C1805" s="20"/>
      <c r="D1805" s="14" t="str">
        <f>IF($C1805="","",IFERROR(INDEX(Productos!$B$5:$B$504,MATCH($C1805,Productos!$A$5:$A$504,0)),"Clave no existe"))</f>
        <v/>
      </c>
      <c r="E1805" s="14" t="str">
        <f>IF($C1805="","",IFERROR(INDEX(Productos!$D$5:$D$504,MATCH($C1805,Productos!$A$5:$A$504,0)),""))</f>
        <v/>
      </c>
      <c r="F1805" s="20"/>
      <c r="G1805" s="22" t="str">
        <f>IF($C1805="","",IFERROR(INDEX(Productos!$F$5:$F$504,MATCH($C1805,Productos!$A$5:$A$504,0)),0))</f>
        <v/>
      </c>
      <c r="H1805" s="22" t="str">
        <f t="shared" si="28"/>
        <v/>
      </c>
      <c r="I1805" s="14" t="str">
        <f>IF(OR($C1805="",$F1805=""),"",IFERROR(INDEX(Productos!$I$5:$I$504,MATCH($C1805,Productos!$A$5:$A$504,0)),0)+SUMIFS($F$5:$F1805,$C$5:$C1805,$C1805,$B$5:$B1805,"Entrada")-SUMIFS($F$5:$F1805,$C$5:$C1805,$C1805,$B$5:$B1805,"Salida"))</f>
        <v/>
      </c>
      <c r="J1805" s="20"/>
      <c r="K1805" s="20"/>
      <c r="L1805" s="20"/>
      <c r="M1805" s="14" t="str">
        <f>IF(AND($C1805&lt;&gt;"",$C1805=Kardex!$C$4),COUNTIF($C$5:$C1805,Kardex!$C$4),"")</f>
        <v/>
      </c>
    </row>
    <row r="1806" spans="1:13" x14ac:dyDescent="0.25">
      <c r="A1806" s="24"/>
      <c r="B1806" s="20"/>
      <c r="C1806" s="20"/>
      <c r="D1806" s="14" t="str">
        <f>IF($C1806="","",IFERROR(INDEX(Productos!$B$5:$B$504,MATCH($C1806,Productos!$A$5:$A$504,0)),"Clave no existe"))</f>
        <v/>
      </c>
      <c r="E1806" s="14" t="str">
        <f>IF($C1806="","",IFERROR(INDEX(Productos!$D$5:$D$504,MATCH($C1806,Productos!$A$5:$A$504,0)),""))</f>
        <v/>
      </c>
      <c r="F1806" s="20"/>
      <c r="G1806" s="22" t="str">
        <f>IF($C1806="","",IFERROR(INDEX(Productos!$F$5:$F$504,MATCH($C1806,Productos!$A$5:$A$504,0)),0))</f>
        <v/>
      </c>
      <c r="H1806" s="22" t="str">
        <f t="shared" si="28"/>
        <v/>
      </c>
      <c r="I1806" s="14" t="str">
        <f>IF(OR($C1806="",$F1806=""),"",IFERROR(INDEX(Productos!$I$5:$I$504,MATCH($C1806,Productos!$A$5:$A$504,0)),0)+SUMIFS($F$5:$F1806,$C$5:$C1806,$C1806,$B$5:$B1806,"Entrada")-SUMIFS($F$5:$F1806,$C$5:$C1806,$C1806,$B$5:$B1806,"Salida"))</f>
        <v/>
      </c>
      <c r="J1806" s="20"/>
      <c r="K1806" s="20"/>
      <c r="L1806" s="20"/>
      <c r="M1806" s="14" t="str">
        <f>IF(AND($C1806&lt;&gt;"",$C1806=Kardex!$C$4),COUNTIF($C$5:$C1806,Kardex!$C$4),"")</f>
        <v/>
      </c>
    </row>
    <row r="1807" spans="1:13" x14ac:dyDescent="0.25">
      <c r="A1807" s="24"/>
      <c r="B1807" s="20"/>
      <c r="C1807" s="20"/>
      <c r="D1807" s="14" t="str">
        <f>IF($C1807="","",IFERROR(INDEX(Productos!$B$5:$B$504,MATCH($C1807,Productos!$A$5:$A$504,0)),"Clave no existe"))</f>
        <v/>
      </c>
      <c r="E1807" s="14" t="str">
        <f>IF($C1807="","",IFERROR(INDEX(Productos!$D$5:$D$504,MATCH($C1807,Productos!$A$5:$A$504,0)),""))</f>
        <v/>
      </c>
      <c r="F1807" s="20"/>
      <c r="G1807" s="22" t="str">
        <f>IF($C1807="","",IFERROR(INDEX(Productos!$F$5:$F$504,MATCH($C1807,Productos!$A$5:$A$504,0)),0))</f>
        <v/>
      </c>
      <c r="H1807" s="22" t="str">
        <f t="shared" si="28"/>
        <v/>
      </c>
      <c r="I1807" s="14" t="str">
        <f>IF(OR($C1807="",$F1807=""),"",IFERROR(INDEX(Productos!$I$5:$I$504,MATCH($C1807,Productos!$A$5:$A$504,0)),0)+SUMIFS($F$5:$F1807,$C$5:$C1807,$C1807,$B$5:$B1807,"Entrada")-SUMIFS($F$5:$F1807,$C$5:$C1807,$C1807,$B$5:$B1807,"Salida"))</f>
        <v/>
      </c>
      <c r="J1807" s="20"/>
      <c r="K1807" s="20"/>
      <c r="L1807" s="20"/>
      <c r="M1807" s="14" t="str">
        <f>IF(AND($C1807&lt;&gt;"",$C1807=Kardex!$C$4),COUNTIF($C$5:$C1807,Kardex!$C$4),"")</f>
        <v/>
      </c>
    </row>
    <row r="1808" spans="1:13" x14ac:dyDescent="0.25">
      <c r="A1808" s="24"/>
      <c r="B1808" s="20"/>
      <c r="C1808" s="20"/>
      <c r="D1808" s="14" t="str">
        <f>IF($C1808="","",IFERROR(INDEX(Productos!$B$5:$B$504,MATCH($C1808,Productos!$A$5:$A$504,0)),"Clave no existe"))</f>
        <v/>
      </c>
      <c r="E1808" s="14" t="str">
        <f>IF($C1808="","",IFERROR(INDEX(Productos!$D$5:$D$504,MATCH($C1808,Productos!$A$5:$A$504,0)),""))</f>
        <v/>
      </c>
      <c r="F1808" s="20"/>
      <c r="G1808" s="22" t="str">
        <f>IF($C1808="","",IFERROR(INDEX(Productos!$F$5:$F$504,MATCH($C1808,Productos!$A$5:$A$504,0)),0))</f>
        <v/>
      </c>
      <c r="H1808" s="22" t="str">
        <f t="shared" si="28"/>
        <v/>
      </c>
      <c r="I1808" s="14" t="str">
        <f>IF(OR($C1808="",$F1808=""),"",IFERROR(INDEX(Productos!$I$5:$I$504,MATCH($C1808,Productos!$A$5:$A$504,0)),0)+SUMIFS($F$5:$F1808,$C$5:$C1808,$C1808,$B$5:$B1808,"Entrada")-SUMIFS($F$5:$F1808,$C$5:$C1808,$C1808,$B$5:$B1808,"Salida"))</f>
        <v/>
      </c>
      <c r="J1808" s="20"/>
      <c r="K1808" s="20"/>
      <c r="L1808" s="20"/>
      <c r="M1808" s="14" t="str">
        <f>IF(AND($C1808&lt;&gt;"",$C1808=Kardex!$C$4),COUNTIF($C$5:$C1808,Kardex!$C$4),"")</f>
        <v/>
      </c>
    </row>
    <row r="1809" spans="1:13" x14ac:dyDescent="0.25">
      <c r="A1809" s="24"/>
      <c r="B1809" s="20"/>
      <c r="C1809" s="20"/>
      <c r="D1809" s="14" t="str">
        <f>IF($C1809="","",IFERROR(INDEX(Productos!$B$5:$B$504,MATCH($C1809,Productos!$A$5:$A$504,0)),"Clave no existe"))</f>
        <v/>
      </c>
      <c r="E1809" s="14" t="str">
        <f>IF($C1809="","",IFERROR(INDEX(Productos!$D$5:$D$504,MATCH($C1809,Productos!$A$5:$A$504,0)),""))</f>
        <v/>
      </c>
      <c r="F1809" s="20"/>
      <c r="G1809" s="22" t="str">
        <f>IF($C1809="","",IFERROR(INDEX(Productos!$F$5:$F$504,MATCH($C1809,Productos!$A$5:$A$504,0)),0))</f>
        <v/>
      </c>
      <c r="H1809" s="22" t="str">
        <f t="shared" si="28"/>
        <v/>
      </c>
      <c r="I1809" s="14" t="str">
        <f>IF(OR($C1809="",$F1809=""),"",IFERROR(INDEX(Productos!$I$5:$I$504,MATCH($C1809,Productos!$A$5:$A$504,0)),0)+SUMIFS($F$5:$F1809,$C$5:$C1809,$C1809,$B$5:$B1809,"Entrada")-SUMIFS($F$5:$F1809,$C$5:$C1809,$C1809,$B$5:$B1809,"Salida"))</f>
        <v/>
      </c>
      <c r="J1809" s="20"/>
      <c r="K1809" s="20"/>
      <c r="L1809" s="20"/>
      <c r="M1809" s="14" t="str">
        <f>IF(AND($C1809&lt;&gt;"",$C1809=Kardex!$C$4),COUNTIF($C$5:$C1809,Kardex!$C$4),"")</f>
        <v/>
      </c>
    </row>
    <row r="1810" spans="1:13" x14ac:dyDescent="0.25">
      <c r="A1810" s="24"/>
      <c r="B1810" s="20"/>
      <c r="C1810" s="20"/>
      <c r="D1810" s="14" t="str">
        <f>IF($C1810="","",IFERROR(INDEX(Productos!$B$5:$B$504,MATCH($C1810,Productos!$A$5:$A$504,0)),"Clave no existe"))</f>
        <v/>
      </c>
      <c r="E1810" s="14" t="str">
        <f>IF($C1810="","",IFERROR(INDEX(Productos!$D$5:$D$504,MATCH($C1810,Productos!$A$5:$A$504,0)),""))</f>
        <v/>
      </c>
      <c r="F1810" s="20"/>
      <c r="G1810" s="22" t="str">
        <f>IF($C1810="","",IFERROR(INDEX(Productos!$F$5:$F$504,MATCH($C1810,Productos!$A$5:$A$504,0)),0))</f>
        <v/>
      </c>
      <c r="H1810" s="22" t="str">
        <f t="shared" si="28"/>
        <v/>
      </c>
      <c r="I1810" s="14" t="str">
        <f>IF(OR($C1810="",$F1810=""),"",IFERROR(INDEX(Productos!$I$5:$I$504,MATCH($C1810,Productos!$A$5:$A$504,0)),0)+SUMIFS($F$5:$F1810,$C$5:$C1810,$C1810,$B$5:$B1810,"Entrada")-SUMIFS($F$5:$F1810,$C$5:$C1810,$C1810,$B$5:$B1810,"Salida"))</f>
        <v/>
      </c>
      <c r="J1810" s="20"/>
      <c r="K1810" s="20"/>
      <c r="L1810" s="20"/>
      <c r="M1810" s="14" t="str">
        <f>IF(AND($C1810&lt;&gt;"",$C1810=Kardex!$C$4),COUNTIF($C$5:$C1810,Kardex!$C$4),"")</f>
        <v/>
      </c>
    </row>
    <row r="1811" spans="1:13" x14ac:dyDescent="0.25">
      <c r="A1811" s="24"/>
      <c r="B1811" s="20"/>
      <c r="C1811" s="20"/>
      <c r="D1811" s="14" t="str">
        <f>IF($C1811="","",IFERROR(INDEX(Productos!$B$5:$B$504,MATCH($C1811,Productos!$A$5:$A$504,0)),"Clave no existe"))</f>
        <v/>
      </c>
      <c r="E1811" s="14" t="str">
        <f>IF($C1811="","",IFERROR(INDEX(Productos!$D$5:$D$504,MATCH($C1811,Productos!$A$5:$A$504,0)),""))</f>
        <v/>
      </c>
      <c r="F1811" s="20"/>
      <c r="G1811" s="22" t="str">
        <f>IF($C1811="","",IFERROR(INDEX(Productos!$F$5:$F$504,MATCH($C1811,Productos!$A$5:$A$504,0)),0))</f>
        <v/>
      </c>
      <c r="H1811" s="22" t="str">
        <f t="shared" si="28"/>
        <v/>
      </c>
      <c r="I1811" s="14" t="str">
        <f>IF(OR($C1811="",$F1811=""),"",IFERROR(INDEX(Productos!$I$5:$I$504,MATCH($C1811,Productos!$A$5:$A$504,0)),0)+SUMIFS($F$5:$F1811,$C$5:$C1811,$C1811,$B$5:$B1811,"Entrada")-SUMIFS($F$5:$F1811,$C$5:$C1811,$C1811,$B$5:$B1811,"Salida"))</f>
        <v/>
      </c>
      <c r="J1811" s="20"/>
      <c r="K1811" s="20"/>
      <c r="L1811" s="20"/>
      <c r="M1811" s="14" t="str">
        <f>IF(AND($C1811&lt;&gt;"",$C1811=Kardex!$C$4),COUNTIF($C$5:$C1811,Kardex!$C$4),"")</f>
        <v/>
      </c>
    </row>
    <row r="1812" spans="1:13" x14ac:dyDescent="0.25">
      <c r="A1812" s="24"/>
      <c r="B1812" s="20"/>
      <c r="C1812" s="20"/>
      <c r="D1812" s="14" t="str">
        <f>IF($C1812="","",IFERROR(INDEX(Productos!$B$5:$B$504,MATCH($C1812,Productos!$A$5:$A$504,0)),"Clave no existe"))</f>
        <v/>
      </c>
      <c r="E1812" s="14" t="str">
        <f>IF($C1812="","",IFERROR(INDEX(Productos!$D$5:$D$504,MATCH($C1812,Productos!$A$5:$A$504,0)),""))</f>
        <v/>
      </c>
      <c r="F1812" s="20"/>
      <c r="G1812" s="22" t="str">
        <f>IF($C1812="","",IFERROR(INDEX(Productos!$F$5:$F$504,MATCH($C1812,Productos!$A$5:$A$504,0)),0))</f>
        <v/>
      </c>
      <c r="H1812" s="22" t="str">
        <f t="shared" si="28"/>
        <v/>
      </c>
      <c r="I1812" s="14" t="str">
        <f>IF(OR($C1812="",$F1812=""),"",IFERROR(INDEX(Productos!$I$5:$I$504,MATCH($C1812,Productos!$A$5:$A$504,0)),0)+SUMIFS($F$5:$F1812,$C$5:$C1812,$C1812,$B$5:$B1812,"Entrada")-SUMIFS($F$5:$F1812,$C$5:$C1812,$C1812,$B$5:$B1812,"Salida"))</f>
        <v/>
      </c>
      <c r="J1812" s="20"/>
      <c r="K1812" s="20"/>
      <c r="L1812" s="20"/>
      <c r="M1812" s="14" t="str">
        <f>IF(AND($C1812&lt;&gt;"",$C1812=Kardex!$C$4),COUNTIF($C$5:$C1812,Kardex!$C$4),"")</f>
        <v/>
      </c>
    </row>
    <row r="1813" spans="1:13" x14ac:dyDescent="0.25">
      <c r="A1813" s="24"/>
      <c r="B1813" s="20"/>
      <c r="C1813" s="20"/>
      <c r="D1813" s="14" t="str">
        <f>IF($C1813="","",IFERROR(INDEX(Productos!$B$5:$B$504,MATCH($C1813,Productos!$A$5:$A$504,0)),"Clave no existe"))</f>
        <v/>
      </c>
      <c r="E1813" s="14" t="str">
        <f>IF($C1813="","",IFERROR(INDEX(Productos!$D$5:$D$504,MATCH($C1813,Productos!$A$5:$A$504,0)),""))</f>
        <v/>
      </c>
      <c r="F1813" s="20"/>
      <c r="G1813" s="22" t="str">
        <f>IF($C1813="","",IFERROR(INDEX(Productos!$F$5:$F$504,MATCH($C1813,Productos!$A$5:$A$504,0)),0))</f>
        <v/>
      </c>
      <c r="H1813" s="22" t="str">
        <f t="shared" si="28"/>
        <v/>
      </c>
      <c r="I1813" s="14" t="str">
        <f>IF(OR($C1813="",$F1813=""),"",IFERROR(INDEX(Productos!$I$5:$I$504,MATCH($C1813,Productos!$A$5:$A$504,0)),0)+SUMIFS($F$5:$F1813,$C$5:$C1813,$C1813,$B$5:$B1813,"Entrada")-SUMIFS($F$5:$F1813,$C$5:$C1813,$C1813,$B$5:$B1813,"Salida"))</f>
        <v/>
      </c>
      <c r="J1813" s="20"/>
      <c r="K1813" s="20"/>
      <c r="L1813" s="20"/>
      <c r="M1813" s="14" t="str">
        <f>IF(AND($C1813&lt;&gt;"",$C1813=Kardex!$C$4),COUNTIF($C$5:$C1813,Kardex!$C$4),"")</f>
        <v/>
      </c>
    </row>
    <row r="1814" spans="1:13" x14ac:dyDescent="0.25">
      <c r="A1814" s="24"/>
      <c r="B1814" s="20"/>
      <c r="C1814" s="20"/>
      <c r="D1814" s="14" t="str">
        <f>IF($C1814="","",IFERROR(INDEX(Productos!$B$5:$B$504,MATCH($C1814,Productos!$A$5:$A$504,0)),"Clave no existe"))</f>
        <v/>
      </c>
      <c r="E1814" s="14" t="str">
        <f>IF($C1814="","",IFERROR(INDEX(Productos!$D$5:$D$504,MATCH($C1814,Productos!$A$5:$A$504,0)),""))</f>
        <v/>
      </c>
      <c r="F1814" s="20"/>
      <c r="G1814" s="22" t="str">
        <f>IF($C1814="","",IFERROR(INDEX(Productos!$F$5:$F$504,MATCH($C1814,Productos!$A$5:$A$504,0)),0))</f>
        <v/>
      </c>
      <c r="H1814" s="22" t="str">
        <f t="shared" si="28"/>
        <v/>
      </c>
      <c r="I1814" s="14" t="str">
        <f>IF(OR($C1814="",$F1814=""),"",IFERROR(INDEX(Productos!$I$5:$I$504,MATCH($C1814,Productos!$A$5:$A$504,0)),0)+SUMIFS($F$5:$F1814,$C$5:$C1814,$C1814,$B$5:$B1814,"Entrada")-SUMIFS($F$5:$F1814,$C$5:$C1814,$C1814,$B$5:$B1814,"Salida"))</f>
        <v/>
      </c>
      <c r="J1814" s="20"/>
      <c r="K1814" s="20"/>
      <c r="L1814" s="20"/>
      <c r="M1814" s="14" t="str">
        <f>IF(AND($C1814&lt;&gt;"",$C1814=Kardex!$C$4),COUNTIF($C$5:$C1814,Kardex!$C$4),"")</f>
        <v/>
      </c>
    </row>
    <row r="1815" spans="1:13" x14ac:dyDescent="0.25">
      <c r="A1815" s="24"/>
      <c r="B1815" s="20"/>
      <c r="C1815" s="20"/>
      <c r="D1815" s="14" t="str">
        <f>IF($C1815="","",IFERROR(INDEX(Productos!$B$5:$B$504,MATCH($C1815,Productos!$A$5:$A$504,0)),"Clave no existe"))</f>
        <v/>
      </c>
      <c r="E1815" s="14" t="str">
        <f>IF($C1815="","",IFERROR(INDEX(Productos!$D$5:$D$504,MATCH($C1815,Productos!$A$5:$A$504,0)),""))</f>
        <v/>
      </c>
      <c r="F1815" s="20"/>
      <c r="G1815" s="22" t="str">
        <f>IF($C1815="","",IFERROR(INDEX(Productos!$F$5:$F$504,MATCH($C1815,Productos!$A$5:$A$504,0)),0))</f>
        <v/>
      </c>
      <c r="H1815" s="22" t="str">
        <f t="shared" si="28"/>
        <v/>
      </c>
      <c r="I1815" s="14" t="str">
        <f>IF(OR($C1815="",$F1815=""),"",IFERROR(INDEX(Productos!$I$5:$I$504,MATCH($C1815,Productos!$A$5:$A$504,0)),0)+SUMIFS($F$5:$F1815,$C$5:$C1815,$C1815,$B$5:$B1815,"Entrada")-SUMIFS($F$5:$F1815,$C$5:$C1815,$C1815,$B$5:$B1815,"Salida"))</f>
        <v/>
      </c>
      <c r="J1815" s="20"/>
      <c r="K1815" s="20"/>
      <c r="L1815" s="20"/>
      <c r="M1815" s="14" t="str">
        <f>IF(AND($C1815&lt;&gt;"",$C1815=Kardex!$C$4),COUNTIF($C$5:$C1815,Kardex!$C$4),"")</f>
        <v/>
      </c>
    </row>
    <row r="1816" spans="1:13" x14ac:dyDescent="0.25">
      <c r="A1816" s="24"/>
      <c r="B1816" s="20"/>
      <c r="C1816" s="20"/>
      <c r="D1816" s="14" t="str">
        <f>IF($C1816="","",IFERROR(INDEX(Productos!$B$5:$B$504,MATCH($C1816,Productos!$A$5:$A$504,0)),"Clave no existe"))</f>
        <v/>
      </c>
      <c r="E1816" s="14" t="str">
        <f>IF($C1816="","",IFERROR(INDEX(Productos!$D$5:$D$504,MATCH($C1816,Productos!$A$5:$A$504,0)),""))</f>
        <v/>
      </c>
      <c r="F1816" s="20"/>
      <c r="G1816" s="22" t="str">
        <f>IF($C1816="","",IFERROR(INDEX(Productos!$F$5:$F$504,MATCH($C1816,Productos!$A$5:$A$504,0)),0))</f>
        <v/>
      </c>
      <c r="H1816" s="22" t="str">
        <f t="shared" si="28"/>
        <v/>
      </c>
      <c r="I1816" s="14" t="str">
        <f>IF(OR($C1816="",$F1816=""),"",IFERROR(INDEX(Productos!$I$5:$I$504,MATCH($C1816,Productos!$A$5:$A$504,0)),0)+SUMIFS($F$5:$F1816,$C$5:$C1816,$C1816,$B$5:$B1816,"Entrada")-SUMIFS($F$5:$F1816,$C$5:$C1816,$C1816,$B$5:$B1816,"Salida"))</f>
        <v/>
      </c>
      <c r="J1816" s="20"/>
      <c r="K1816" s="20"/>
      <c r="L1816" s="20"/>
      <c r="M1816" s="14" t="str">
        <f>IF(AND($C1816&lt;&gt;"",$C1816=Kardex!$C$4),COUNTIF($C$5:$C1816,Kardex!$C$4),"")</f>
        <v/>
      </c>
    </row>
    <row r="1817" spans="1:13" x14ac:dyDescent="0.25">
      <c r="A1817" s="24"/>
      <c r="B1817" s="20"/>
      <c r="C1817" s="20"/>
      <c r="D1817" s="14" t="str">
        <f>IF($C1817="","",IFERROR(INDEX(Productos!$B$5:$B$504,MATCH($C1817,Productos!$A$5:$A$504,0)),"Clave no existe"))</f>
        <v/>
      </c>
      <c r="E1817" s="14" t="str">
        <f>IF($C1817="","",IFERROR(INDEX(Productos!$D$5:$D$504,MATCH($C1817,Productos!$A$5:$A$504,0)),""))</f>
        <v/>
      </c>
      <c r="F1817" s="20"/>
      <c r="G1817" s="22" t="str">
        <f>IF($C1817="","",IFERROR(INDEX(Productos!$F$5:$F$504,MATCH($C1817,Productos!$A$5:$A$504,0)),0))</f>
        <v/>
      </c>
      <c r="H1817" s="22" t="str">
        <f t="shared" si="28"/>
        <v/>
      </c>
      <c r="I1817" s="14" t="str">
        <f>IF(OR($C1817="",$F1817=""),"",IFERROR(INDEX(Productos!$I$5:$I$504,MATCH($C1817,Productos!$A$5:$A$504,0)),0)+SUMIFS($F$5:$F1817,$C$5:$C1817,$C1817,$B$5:$B1817,"Entrada")-SUMIFS($F$5:$F1817,$C$5:$C1817,$C1817,$B$5:$B1817,"Salida"))</f>
        <v/>
      </c>
      <c r="J1817" s="20"/>
      <c r="K1817" s="20"/>
      <c r="L1817" s="20"/>
      <c r="M1817" s="14" t="str">
        <f>IF(AND($C1817&lt;&gt;"",$C1817=Kardex!$C$4),COUNTIF($C$5:$C1817,Kardex!$C$4),"")</f>
        <v/>
      </c>
    </row>
    <row r="1818" spans="1:13" x14ac:dyDescent="0.25">
      <c r="A1818" s="24"/>
      <c r="B1818" s="20"/>
      <c r="C1818" s="20"/>
      <c r="D1818" s="14" t="str">
        <f>IF($C1818="","",IFERROR(INDEX(Productos!$B$5:$B$504,MATCH($C1818,Productos!$A$5:$A$504,0)),"Clave no existe"))</f>
        <v/>
      </c>
      <c r="E1818" s="14" t="str">
        <f>IF($C1818="","",IFERROR(INDEX(Productos!$D$5:$D$504,MATCH($C1818,Productos!$A$5:$A$504,0)),""))</f>
        <v/>
      </c>
      <c r="F1818" s="20"/>
      <c r="G1818" s="22" t="str">
        <f>IF($C1818="","",IFERROR(INDEX(Productos!$F$5:$F$504,MATCH($C1818,Productos!$A$5:$A$504,0)),0))</f>
        <v/>
      </c>
      <c r="H1818" s="22" t="str">
        <f t="shared" si="28"/>
        <v/>
      </c>
      <c r="I1818" s="14" t="str">
        <f>IF(OR($C1818="",$F1818=""),"",IFERROR(INDEX(Productos!$I$5:$I$504,MATCH($C1818,Productos!$A$5:$A$504,0)),0)+SUMIFS($F$5:$F1818,$C$5:$C1818,$C1818,$B$5:$B1818,"Entrada")-SUMIFS($F$5:$F1818,$C$5:$C1818,$C1818,$B$5:$B1818,"Salida"))</f>
        <v/>
      </c>
      <c r="J1818" s="20"/>
      <c r="K1818" s="20"/>
      <c r="L1818" s="20"/>
      <c r="M1818" s="14" t="str">
        <f>IF(AND($C1818&lt;&gt;"",$C1818=Kardex!$C$4),COUNTIF($C$5:$C1818,Kardex!$C$4),"")</f>
        <v/>
      </c>
    </row>
    <row r="1819" spans="1:13" x14ac:dyDescent="0.25">
      <c r="A1819" s="24"/>
      <c r="B1819" s="20"/>
      <c r="C1819" s="20"/>
      <c r="D1819" s="14" t="str">
        <f>IF($C1819="","",IFERROR(INDEX(Productos!$B$5:$B$504,MATCH($C1819,Productos!$A$5:$A$504,0)),"Clave no existe"))</f>
        <v/>
      </c>
      <c r="E1819" s="14" t="str">
        <f>IF($C1819="","",IFERROR(INDEX(Productos!$D$5:$D$504,MATCH($C1819,Productos!$A$5:$A$504,0)),""))</f>
        <v/>
      </c>
      <c r="F1819" s="20"/>
      <c r="G1819" s="22" t="str">
        <f>IF($C1819="","",IFERROR(INDEX(Productos!$F$5:$F$504,MATCH($C1819,Productos!$A$5:$A$504,0)),0))</f>
        <v/>
      </c>
      <c r="H1819" s="22" t="str">
        <f t="shared" si="28"/>
        <v/>
      </c>
      <c r="I1819" s="14" t="str">
        <f>IF(OR($C1819="",$F1819=""),"",IFERROR(INDEX(Productos!$I$5:$I$504,MATCH($C1819,Productos!$A$5:$A$504,0)),0)+SUMIFS($F$5:$F1819,$C$5:$C1819,$C1819,$B$5:$B1819,"Entrada")-SUMIFS($F$5:$F1819,$C$5:$C1819,$C1819,$B$5:$B1819,"Salida"))</f>
        <v/>
      </c>
      <c r="J1819" s="20"/>
      <c r="K1819" s="20"/>
      <c r="L1819" s="20"/>
      <c r="M1819" s="14" t="str">
        <f>IF(AND($C1819&lt;&gt;"",$C1819=Kardex!$C$4),COUNTIF($C$5:$C1819,Kardex!$C$4),"")</f>
        <v/>
      </c>
    </row>
    <row r="1820" spans="1:13" x14ac:dyDescent="0.25">
      <c r="A1820" s="24"/>
      <c r="B1820" s="20"/>
      <c r="C1820" s="20"/>
      <c r="D1820" s="14" t="str">
        <f>IF($C1820="","",IFERROR(INDEX(Productos!$B$5:$B$504,MATCH($C1820,Productos!$A$5:$A$504,0)),"Clave no existe"))</f>
        <v/>
      </c>
      <c r="E1820" s="14" t="str">
        <f>IF($C1820="","",IFERROR(INDEX(Productos!$D$5:$D$504,MATCH($C1820,Productos!$A$5:$A$504,0)),""))</f>
        <v/>
      </c>
      <c r="F1820" s="20"/>
      <c r="G1820" s="22" t="str">
        <f>IF($C1820="","",IFERROR(INDEX(Productos!$F$5:$F$504,MATCH($C1820,Productos!$A$5:$A$504,0)),0))</f>
        <v/>
      </c>
      <c r="H1820" s="22" t="str">
        <f t="shared" si="28"/>
        <v/>
      </c>
      <c r="I1820" s="14" t="str">
        <f>IF(OR($C1820="",$F1820=""),"",IFERROR(INDEX(Productos!$I$5:$I$504,MATCH($C1820,Productos!$A$5:$A$504,0)),0)+SUMIFS($F$5:$F1820,$C$5:$C1820,$C1820,$B$5:$B1820,"Entrada")-SUMIFS($F$5:$F1820,$C$5:$C1820,$C1820,$B$5:$B1820,"Salida"))</f>
        <v/>
      </c>
      <c r="J1820" s="20"/>
      <c r="K1820" s="20"/>
      <c r="L1820" s="20"/>
      <c r="M1820" s="14" t="str">
        <f>IF(AND($C1820&lt;&gt;"",$C1820=Kardex!$C$4),COUNTIF($C$5:$C1820,Kardex!$C$4),"")</f>
        <v/>
      </c>
    </row>
    <row r="1821" spans="1:13" x14ac:dyDescent="0.25">
      <c r="A1821" s="24"/>
      <c r="B1821" s="20"/>
      <c r="C1821" s="20"/>
      <c r="D1821" s="14" t="str">
        <f>IF($C1821="","",IFERROR(INDEX(Productos!$B$5:$B$504,MATCH($C1821,Productos!$A$5:$A$504,0)),"Clave no existe"))</f>
        <v/>
      </c>
      <c r="E1821" s="14" t="str">
        <f>IF($C1821="","",IFERROR(INDEX(Productos!$D$5:$D$504,MATCH($C1821,Productos!$A$5:$A$504,0)),""))</f>
        <v/>
      </c>
      <c r="F1821" s="20"/>
      <c r="G1821" s="22" t="str">
        <f>IF($C1821="","",IFERROR(INDEX(Productos!$F$5:$F$504,MATCH($C1821,Productos!$A$5:$A$504,0)),0))</f>
        <v/>
      </c>
      <c r="H1821" s="22" t="str">
        <f t="shared" si="28"/>
        <v/>
      </c>
      <c r="I1821" s="14" t="str">
        <f>IF(OR($C1821="",$F1821=""),"",IFERROR(INDEX(Productos!$I$5:$I$504,MATCH($C1821,Productos!$A$5:$A$504,0)),0)+SUMIFS($F$5:$F1821,$C$5:$C1821,$C1821,$B$5:$B1821,"Entrada")-SUMIFS($F$5:$F1821,$C$5:$C1821,$C1821,$B$5:$B1821,"Salida"))</f>
        <v/>
      </c>
      <c r="J1821" s="20"/>
      <c r="K1821" s="20"/>
      <c r="L1821" s="20"/>
      <c r="M1821" s="14" t="str">
        <f>IF(AND($C1821&lt;&gt;"",$C1821=Kardex!$C$4),COUNTIF($C$5:$C1821,Kardex!$C$4),"")</f>
        <v/>
      </c>
    </row>
    <row r="1822" spans="1:13" x14ac:dyDescent="0.25">
      <c r="A1822" s="24"/>
      <c r="B1822" s="20"/>
      <c r="C1822" s="20"/>
      <c r="D1822" s="14" t="str">
        <f>IF($C1822="","",IFERROR(INDEX(Productos!$B$5:$B$504,MATCH($C1822,Productos!$A$5:$A$504,0)),"Clave no existe"))</f>
        <v/>
      </c>
      <c r="E1822" s="14" t="str">
        <f>IF($C1822="","",IFERROR(INDEX(Productos!$D$5:$D$504,MATCH($C1822,Productos!$A$5:$A$504,0)),""))</f>
        <v/>
      </c>
      <c r="F1822" s="20"/>
      <c r="G1822" s="22" t="str">
        <f>IF($C1822="","",IFERROR(INDEX(Productos!$F$5:$F$504,MATCH($C1822,Productos!$A$5:$A$504,0)),0))</f>
        <v/>
      </c>
      <c r="H1822" s="22" t="str">
        <f t="shared" si="28"/>
        <v/>
      </c>
      <c r="I1822" s="14" t="str">
        <f>IF(OR($C1822="",$F1822=""),"",IFERROR(INDEX(Productos!$I$5:$I$504,MATCH($C1822,Productos!$A$5:$A$504,0)),0)+SUMIFS($F$5:$F1822,$C$5:$C1822,$C1822,$B$5:$B1822,"Entrada")-SUMIFS($F$5:$F1822,$C$5:$C1822,$C1822,$B$5:$B1822,"Salida"))</f>
        <v/>
      </c>
      <c r="J1822" s="20"/>
      <c r="K1822" s="20"/>
      <c r="L1822" s="20"/>
      <c r="M1822" s="14" t="str">
        <f>IF(AND($C1822&lt;&gt;"",$C1822=Kardex!$C$4),COUNTIF($C$5:$C1822,Kardex!$C$4),"")</f>
        <v/>
      </c>
    </row>
    <row r="1823" spans="1:13" x14ac:dyDescent="0.25">
      <c r="A1823" s="24"/>
      <c r="B1823" s="20"/>
      <c r="C1823" s="20"/>
      <c r="D1823" s="14" t="str">
        <f>IF($C1823="","",IFERROR(INDEX(Productos!$B$5:$B$504,MATCH($C1823,Productos!$A$5:$A$504,0)),"Clave no existe"))</f>
        <v/>
      </c>
      <c r="E1823" s="14" t="str">
        <f>IF($C1823="","",IFERROR(INDEX(Productos!$D$5:$D$504,MATCH($C1823,Productos!$A$5:$A$504,0)),""))</f>
        <v/>
      </c>
      <c r="F1823" s="20"/>
      <c r="G1823" s="22" t="str">
        <f>IF($C1823="","",IFERROR(INDEX(Productos!$F$5:$F$504,MATCH($C1823,Productos!$A$5:$A$504,0)),0))</f>
        <v/>
      </c>
      <c r="H1823" s="22" t="str">
        <f t="shared" si="28"/>
        <v/>
      </c>
      <c r="I1823" s="14" t="str">
        <f>IF(OR($C1823="",$F1823=""),"",IFERROR(INDEX(Productos!$I$5:$I$504,MATCH($C1823,Productos!$A$5:$A$504,0)),0)+SUMIFS($F$5:$F1823,$C$5:$C1823,$C1823,$B$5:$B1823,"Entrada")-SUMIFS($F$5:$F1823,$C$5:$C1823,$C1823,$B$5:$B1823,"Salida"))</f>
        <v/>
      </c>
      <c r="J1823" s="20"/>
      <c r="K1823" s="20"/>
      <c r="L1823" s="20"/>
      <c r="M1823" s="14" t="str">
        <f>IF(AND($C1823&lt;&gt;"",$C1823=Kardex!$C$4),COUNTIF($C$5:$C1823,Kardex!$C$4),"")</f>
        <v/>
      </c>
    </row>
    <row r="1824" spans="1:13" x14ac:dyDescent="0.25">
      <c r="A1824" s="24"/>
      <c r="B1824" s="20"/>
      <c r="C1824" s="20"/>
      <c r="D1824" s="14" t="str">
        <f>IF($C1824="","",IFERROR(INDEX(Productos!$B$5:$B$504,MATCH($C1824,Productos!$A$5:$A$504,0)),"Clave no existe"))</f>
        <v/>
      </c>
      <c r="E1824" s="14" t="str">
        <f>IF($C1824="","",IFERROR(INDEX(Productos!$D$5:$D$504,MATCH($C1824,Productos!$A$5:$A$504,0)),""))</f>
        <v/>
      </c>
      <c r="F1824" s="20"/>
      <c r="G1824" s="22" t="str">
        <f>IF($C1824="","",IFERROR(INDEX(Productos!$F$5:$F$504,MATCH($C1824,Productos!$A$5:$A$504,0)),0))</f>
        <v/>
      </c>
      <c r="H1824" s="22" t="str">
        <f t="shared" si="28"/>
        <v/>
      </c>
      <c r="I1824" s="14" t="str">
        <f>IF(OR($C1824="",$F1824=""),"",IFERROR(INDEX(Productos!$I$5:$I$504,MATCH($C1824,Productos!$A$5:$A$504,0)),0)+SUMIFS($F$5:$F1824,$C$5:$C1824,$C1824,$B$5:$B1824,"Entrada")-SUMIFS($F$5:$F1824,$C$5:$C1824,$C1824,$B$5:$B1824,"Salida"))</f>
        <v/>
      </c>
      <c r="J1824" s="20"/>
      <c r="K1824" s="20"/>
      <c r="L1824" s="20"/>
      <c r="M1824" s="14" t="str">
        <f>IF(AND($C1824&lt;&gt;"",$C1824=Kardex!$C$4),COUNTIF($C$5:$C1824,Kardex!$C$4),"")</f>
        <v/>
      </c>
    </row>
    <row r="1825" spans="1:13" x14ac:dyDescent="0.25">
      <c r="A1825" s="24"/>
      <c r="B1825" s="20"/>
      <c r="C1825" s="20"/>
      <c r="D1825" s="14" t="str">
        <f>IF($C1825="","",IFERROR(INDEX(Productos!$B$5:$B$504,MATCH($C1825,Productos!$A$5:$A$504,0)),"Clave no existe"))</f>
        <v/>
      </c>
      <c r="E1825" s="14" t="str">
        <f>IF($C1825="","",IFERROR(INDEX(Productos!$D$5:$D$504,MATCH($C1825,Productos!$A$5:$A$504,0)),""))</f>
        <v/>
      </c>
      <c r="F1825" s="20"/>
      <c r="G1825" s="22" t="str">
        <f>IF($C1825="","",IFERROR(INDEX(Productos!$F$5:$F$504,MATCH($C1825,Productos!$A$5:$A$504,0)),0))</f>
        <v/>
      </c>
      <c r="H1825" s="22" t="str">
        <f t="shared" si="28"/>
        <v/>
      </c>
      <c r="I1825" s="14" t="str">
        <f>IF(OR($C1825="",$F1825=""),"",IFERROR(INDEX(Productos!$I$5:$I$504,MATCH($C1825,Productos!$A$5:$A$504,0)),0)+SUMIFS($F$5:$F1825,$C$5:$C1825,$C1825,$B$5:$B1825,"Entrada")-SUMIFS($F$5:$F1825,$C$5:$C1825,$C1825,$B$5:$B1825,"Salida"))</f>
        <v/>
      </c>
      <c r="J1825" s="20"/>
      <c r="K1825" s="20"/>
      <c r="L1825" s="20"/>
      <c r="M1825" s="14" t="str">
        <f>IF(AND($C1825&lt;&gt;"",$C1825=Kardex!$C$4),COUNTIF($C$5:$C1825,Kardex!$C$4),"")</f>
        <v/>
      </c>
    </row>
    <row r="1826" spans="1:13" x14ac:dyDescent="0.25">
      <c r="A1826" s="24"/>
      <c r="B1826" s="20"/>
      <c r="C1826" s="20"/>
      <c r="D1826" s="14" t="str">
        <f>IF($C1826="","",IFERROR(INDEX(Productos!$B$5:$B$504,MATCH($C1826,Productos!$A$5:$A$504,0)),"Clave no existe"))</f>
        <v/>
      </c>
      <c r="E1826" s="14" t="str">
        <f>IF($C1826="","",IFERROR(INDEX(Productos!$D$5:$D$504,MATCH($C1826,Productos!$A$5:$A$504,0)),""))</f>
        <v/>
      </c>
      <c r="F1826" s="20"/>
      <c r="G1826" s="22" t="str">
        <f>IF($C1826="","",IFERROR(INDEX(Productos!$F$5:$F$504,MATCH($C1826,Productos!$A$5:$A$504,0)),0))</f>
        <v/>
      </c>
      <c r="H1826" s="22" t="str">
        <f t="shared" si="28"/>
        <v/>
      </c>
      <c r="I1826" s="14" t="str">
        <f>IF(OR($C1826="",$F1826=""),"",IFERROR(INDEX(Productos!$I$5:$I$504,MATCH($C1826,Productos!$A$5:$A$504,0)),0)+SUMIFS($F$5:$F1826,$C$5:$C1826,$C1826,$B$5:$B1826,"Entrada")-SUMIFS($F$5:$F1826,$C$5:$C1826,$C1826,$B$5:$B1826,"Salida"))</f>
        <v/>
      </c>
      <c r="J1826" s="20"/>
      <c r="K1826" s="20"/>
      <c r="L1826" s="20"/>
      <c r="M1826" s="14" t="str">
        <f>IF(AND($C1826&lt;&gt;"",$C1826=Kardex!$C$4),COUNTIF($C$5:$C1826,Kardex!$C$4),"")</f>
        <v/>
      </c>
    </row>
    <row r="1827" spans="1:13" x14ac:dyDescent="0.25">
      <c r="A1827" s="24"/>
      <c r="B1827" s="20"/>
      <c r="C1827" s="20"/>
      <c r="D1827" s="14" t="str">
        <f>IF($C1827="","",IFERROR(INDEX(Productos!$B$5:$B$504,MATCH($C1827,Productos!$A$5:$A$504,0)),"Clave no existe"))</f>
        <v/>
      </c>
      <c r="E1827" s="14" t="str">
        <f>IF($C1827="","",IFERROR(INDEX(Productos!$D$5:$D$504,MATCH($C1827,Productos!$A$5:$A$504,0)),""))</f>
        <v/>
      </c>
      <c r="F1827" s="20"/>
      <c r="G1827" s="22" t="str">
        <f>IF($C1827="","",IFERROR(INDEX(Productos!$F$5:$F$504,MATCH($C1827,Productos!$A$5:$A$504,0)),0))</f>
        <v/>
      </c>
      <c r="H1827" s="22" t="str">
        <f t="shared" si="28"/>
        <v/>
      </c>
      <c r="I1827" s="14" t="str">
        <f>IF(OR($C1827="",$F1827=""),"",IFERROR(INDEX(Productos!$I$5:$I$504,MATCH($C1827,Productos!$A$5:$A$504,0)),0)+SUMIFS($F$5:$F1827,$C$5:$C1827,$C1827,$B$5:$B1827,"Entrada")-SUMIFS($F$5:$F1827,$C$5:$C1827,$C1827,$B$5:$B1827,"Salida"))</f>
        <v/>
      </c>
      <c r="J1827" s="20"/>
      <c r="K1827" s="20"/>
      <c r="L1827" s="20"/>
      <c r="M1827" s="14" t="str">
        <f>IF(AND($C1827&lt;&gt;"",$C1827=Kardex!$C$4),COUNTIF($C$5:$C1827,Kardex!$C$4),"")</f>
        <v/>
      </c>
    </row>
    <row r="1828" spans="1:13" x14ac:dyDescent="0.25">
      <c r="A1828" s="24"/>
      <c r="B1828" s="20"/>
      <c r="C1828" s="20"/>
      <c r="D1828" s="14" t="str">
        <f>IF($C1828="","",IFERROR(INDEX(Productos!$B$5:$B$504,MATCH($C1828,Productos!$A$5:$A$504,0)),"Clave no existe"))</f>
        <v/>
      </c>
      <c r="E1828" s="14" t="str">
        <f>IF($C1828="","",IFERROR(INDEX(Productos!$D$5:$D$504,MATCH($C1828,Productos!$A$5:$A$504,0)),""))</f>
        <v/>
      </c>
      <c r="F1828" s="20"/>
      <c r="G1828" s="22" t="str">
        <f>IF($C1828="","",IFERROR(INDEX(Productos!$F$5:$F$504,MATCH($C1828,Productos!$A$5:$A$504,0)),0))</f>
        <v/>
      </c>
      <c r="H1828" s="22" t="str">
        <f t="shared" si="28"/>
        <v/>
      </c>
      <c r="I1828" s="14" t="str">
        <f>IF(OR($C1828="",$F1828=""),"",IFERROR(INDEX(Productos!$I$5:$I$504,MATCH($C1828,Productos!$A$5:$A$504,0)),0)+SUMIFS($F$5:$F1828,$C$5:$C1828,$C1828,$B$5:$B1828,"Entrada")-SUMIFS($F$5:$F1828,$C$5:$C1828,$C1828,$B$5:$B1828,"Salida"))</f>
        <v/>
      </c>
      <c r="J1828" s="20"/>
      <c r="K1828" s="20"/>
      <c r="L1828" s="20"/>
      <c r="M1828" s="14" t="str">
        <f>IF(AND($C1828&lt;&gt;"",$C1828=Kardex!$C$4),COUNTIF($C$5:$C1828,Kardex!$C$4),"")</f>
        <v/>
      </c>
    </row>
    <row r="1829" spans="1:13" x14ac:dyDescent="0.25">
      <c r="A1829" s="24"/>
      <c r="B1829" s="20"/>
      <c r="C1829" s="20"/>
      <c r="D1829" s="14" t="str">
        <f>IF($C1829="","",IFERROR(INDEX(Productos!$B$5:$B$504,MATCH($C1829,Productos!$A$5:$A$504,0)),"Clave no existe"))</f>
        <v/>
      </c>
      <c r="E1829" s="14" t="str">
        <f>IF($C1829="","",IFERROR(INDEX(Productos!$D$5:$D$504,MATCH($C1829,Productos!$A$5:$A$504,0)),""))</f>
        <v/>
      </c>
      <c r="F1829" s="20"/>
      <c r="G1829" s="22" t="str">
        <f>IF($C1829="","",IFERROR(INDEX(Productos!$F$5:$F$504,MATCH($C1829,Productos!$A$5:$A$504,0)),0))</f>
        <v/>
      </c>
      <c r="H1829" s="22" t="str">
        <f t="shared" si="28"/>
        <v/>
      </c>
      <c r="I1829" s="14" t="str">
        <f>IF(OR($C1829="",$F1829=""),"",IFERROR(INDEX(Productos!$I$5:$I$504,MATCH($C1829,Productos!$A$5:$A$504,0)),0)+SUMIFS($F$5:$F1829,$C$5:$C1829,$C1829,$B$5:$B1829,"Entrada")-SUMIFS($F$5:$F1829,$C$5:$C1829,$C1829,$B$5:$B1829,"Salida"))</f>
        <v/>
      </c>
      <c r="J1829" s="20"/>
      <c r="K1829" s="20"/>
      <c r="L1829" s="20"/>
      <c r="M1829" s="14" t="str">
        <f>IF(AND($C1829&lt;&gt;"",$C1829=Kardex!$C$4),COUNTIF($C$5:$C1829,Kardex!$C$4),"")</f>
        <v/>
      </c>
    </row>
    <row r="1830" spans="1:13" x14ac:dyDescent="0.25">
      <c r="A1830" s="24"/>
      <c r="B1830" s="20"/>
      <c r="C1830" s="20"/>
      <c r="D1830" s="14" t="str">
        <f>IF($C1830="","",IFERROR(INDEX(Productos!$B$5:$B$504,MATCH($C1830,Productos!$A$5:$A$504,0)),"Clave no existe"))</f>
        <v/>
      </c>
      <c r="E1830" s="14" t="str">
        <f>IF($C1830="","",IFERROR(INDEX(Productos!$D$5:$D$504,MATCH($C1830,Productos!$A$5:$A$504,0)),""))</f>
        <v/>
      </c>
      <c r="F1830" s="20"/>
      <c r="G1830" s="22" t="str">
        <f>IF($C1830="","",IFERROR(INDEX(Productos!$F$5:$F$504,MATCH($C1830,Productos!$A$5:$A$504,0)),0))</f>
        <v/>
      </c>
      <c r="H1830" s="22" t="str">
        <f t="shared" si="28"/>
        <v/>
      </c>
      <c r="I1830" s="14" t="str">
        <f>IF(OR($C1830="",$F1830=""),"",IFERROR(INDEX(Productos!$I$5:$I$504,MATCH($C1830,Productos!$A$5:$A$504,0)),0)+SUMIFS($F$5:$F1830,$C$5:$C1830,$C1830,$B$5:$B1830,"Entrada")-SUMIFS($F$5:$F1830,$C$5:$C1830,$C1830,$B$5:$B1830,"Salida"))</f>
        <v/>
      </c>
      <c r="J1830" s="20"/>
      <c r="K1830" s="20"/>
      <c r="L1830" s="20"/>
      <c r="M1830" s="14" t="str">
        <f>IF(AND($C1830&lt;&gt;"",$C1830=Kardex!$C$4),COUNTIF($C$5:$C1830,Kardex!$C$4),"")</f>
        <v/>
      </c>
    </row>
    <row r="1831" spans="1:13" x14ac:dyDescent="0.25">
      <c r="A1831" s="24"/>
      <c r="B1831" s="20"/>
      <c r="C1831" s="20"/>
      <c r="D1831" s="14" t="str">
        <f>IF($C1831="","",IFERROR(INDEX(Productos!$B$5:$B$504,MATCH($C1831,Productos!$A$5:$A$504,0)),"Clave no existe"))</f>
        <v/>
      </c>
      <c r="E1831" s="14" t="str">
        <f>IF($C1831="","",IFERROR(INDEX(Productos!$D$5:$D$504,MATCH($C1831,Productos!$A$5:$A$504,0)),""))</f>
        <v/>
      </c>
      <c r="F1831" s="20"/>
      <c r="G1831" s="22" t="str">
        <f>IF($C1831="","",IFERROR(INDEX(Productos!$F$5:$F$504,MATCH($C1831,Productos!$A$5:$A$504,0)),0))</f>
        <v/>
      </c>
      <c r="H1831" s="22" t="str">
        <f t="shared" si="28"/>
        <v/>
      </c>
      <c r="I1831" s="14" t="str">
        <f>IF(OR($C1831="",$F1831=""),"",IFERROR(INDEX(Productos!$I$5:$I$504,MATCH($C1831,Productos!$A$5:$A$504,0)),0)+SUMIFS($F$5:$F1831,$C$5:$C1831,$C1831,$B$5:$B1831,"Entrada")-SUMIFS($F$5:$F1831,$C$5:$C1831,$C1831,$B$5:$B1831,"Salida"))</f>
        <v/>
      </c>
      <c r="J1831" s="20"/>
      <c r="K1831" s="20"/>
      <c r="L1831" s="20"/>
      <c r="M1831" s="14" t="str">
        <f>IF(AND($C1831&lt;&gt;"",$C1831=Kardex!$C$4),COUNTIF($C$5:$C1831,Kardex!$C$4),"")</f>
        <v/>
      </c>
    </row>
    <row r="1832" spans="1:13" x14ac:dyDescent="0.25">
      <c r="A1832" s="24"/>
      <c r="B1832" s="20"/>
      <c r="C1832" s="20"/>
      <c r="D1832" s="14" t="str">
        <f>IF($C1832="","",IFERROR(INDEX(Productos!$B$5:$B$504,MATCH($C1832,Productos!$A$5:$A$504,0)),"Clave no existe"))</f>
        <v/>
      </c>
      <c r="E1832" s="14" t="str">
        <f>IF($C1832="","",IFERROR(INDEX(Productos!$D$5:$D$504,MATCH($C1832,Productos!$A$5:$A$504,0)),""))</f>
        <v/>
      </c>
      <c r="F1832" s="20"/>
      <c r="G1832" s="22" t="str">
        <f>IF($C1832="","",IFERROR(INDEX(Productos!$F$5:$F$504,MATCH($C1832,Productos!$A$5:$A$504,0)),0))</f>
        <v/>
      </c>
      <c r="H1832" s="22" t="str">
        <f t="shared" si="28"/>
        <v/>
      </c>
      <c r="I1832" s="14" t="str">
        <f>IF(OR($C1832="",$F1832=""),"",IFERROR(INDEX(Productos!$I$5:$I$504,MATCH($C1832,Productos!$A$5:$A$504,0)),0)+SUMIFS($F$5:$F1832,$C$5:$C1832,$C1832,$B$5:$B1832,"Entrada")-SUMIFS($F$5:$F1832,$C$5:$C1832,$C1832,$B$5:$B1832,"Salida"))</f>
        <v/>
      </c>
      <c r="J1832" s="20"/>
      <c r="K1832" s="20"/>
      <c r="L1832" s="20"/>
      <c r="M1832" s="14" t="str">
        <f>IF(AND($C1832&lt;&gt;"",$C1832=Kardex!$C$4),COUNTIF($C$5:$C1832,Kardex!$C$4),"")</f>
        <v/>
      </c>
    </row>
    <row r="1833" spans="1:13" x14ac:dyDescent="0.25">
      <c r="A1833" s="24"/>
      <c r="B1833" s="20"/>
      <c r="C1833" s="20"/>
      <c r="D1833" s="14" t="str">
        <f>IF($C1833="","",IFERROR(INDEX(Productos!$B$5:$B$504,MATCH($C1833,Productos!$A$5:$A$504,0)),"Clave no existe"))</f>
        <v/>
      </c>
      <c r="E1833" s="14" t="str">
        <f>IF($C1833="","",IFERROR(INDEX(Productos!$D$5:$D$504,MATCH($C1833,Productos!$A$5:$A$504,0)),""))</f>
        <v/>
      </c>
      <c r="F1833" s="20"/>
      <c r="G1833" s="22" t="str">
        <f>IF($C1833="","",IFERROR(INDEX(Productos!$F$5:$F$504,MATCH($C1833,Productos!$A$5:$A$504,0)),0))</f>
        <v/>
      </c>
      <c r="H1833" s="22" t="str">
        <f t="shared" si="28"/>
        <v/>
      </c>
      <c r="I1833" s="14" t="str">
        <f>IF(OR($C1833="",$F1833=""),"",IFERROR(INDEX(Productos!$I$5:$I$504,MATCH($C1833,Productos!$A$5:$A$504,0)),0)+SUMIFS($F$5:$F1833,$C$5:$C1833,$C1833,$B$5:$B1833,"Entrada")-SUMIFS($F$5:$F1833,$C$5:$C1833,$C1833,$B$5:$B1833,"Salida"))</f>
        <v/>
      </c>
      <c r="J1833" s="20"/>
      <c r="K1833" s="20"/>
      <c r="L1833" s="20"/>
      <c r="M1833" s="14" t="str">
        <f>IF(AND($C1833&lt;&gt;"",$C1833=Kardex!$C$4),COUNTIF($C$5:$C1833,Kardex!$C$4),"")</f>
        <v/>
      </c>
    </row>
    <row r="1834" spans="1:13" x14ac:dyDescent="0.25">
      <c r="A1834" s="24"/>
      <c r="B1834" s="20"/>
      <c r="C1834" s="20"/>
      <c r="D1834" s="14" t="str">
        <f>IF($C1834="","",IFERROR(INDEX(Productos!$B$5:$B$504,MATCH($C1834,Productos!$A$5:$A$504,0)),"Clave no existe"))</f>
        <v/>
      </c>
      <c r="E1834" s="14" t="str">
        <f>IF($C1834="","",IFERROR(INDEX(Productos!$D$5:$D$504,MATCH($C1834,Productos!$A$5:$A$504,0)),""))</f>
        <v/>
      </c>
      <c r="F1834" s="20"/>
      <c r="G1834" s="22" t="str">
        <f>IF($C1834="","",IFERROR(INDEX(Productos!$F$5:$F$504,MATCH($C1834,Productos!$A$5:$A$504,0)),0))</f>
        <v/>
      </c>
      <c r="H1834" s="22" t="str">
        <f t="shared" si="28"/>
        <v/>
      </c>
      <c r="I1834" s="14" t="str">
        <f>IF(OR($C1834="",$F1834=""),"",IFERROR(INDEX(Productos!$I$5:$I$504,MATCH($C1834,Productos!$A$5:$A$504,0)),0)+SUMIFS($F$5:$F1834,$C$5:$C1834,$C1834,$B$5:$B1834,"Entrada")-SUMIFS($F$5:$F1834,$C$5:$C1834,$C1834,$B$5:$B1834,"Salida"))</f>
        <v/>
      </c>
      <c r="J1834" s="20"/>
      <c r="K1834" s="20"/>
      <c r="L1834" s="20"/>
      <c r="M1834" s="14" t="str">
        <f>IF(AND($C1834&lt;&gt;"",$C1834=Kardex!$C$4),COUNTIF($C$5:$C1834,Kardex!$C$4),"")</f>
        <v/>
      </c>
    </row>
    <row r="1835" spans="1:13" x14ac:dyDescent="0.25">
      <c r="A1835" s="24"/>
      <c r="B1835" s="20"/>
      <c r="C1835" s="20"/>
      <c r="D1835" s="14" t="str">
        <f>IF($C1835="","",IFERROR(INDEX(Productos!$B$5:$B$504,MATCH($C1835,Productos!$A$5:$A$504,0)),"Clave no existe"))</f>
        <v/>
      </c>
      <c r="E1835" s="14" t="str">
        <f>IF($C1835="","",IFERROR(INDEX(Productos!$D$5:$D$504,MATCH($C1835,Productos!$A$5:$A$504,0)),""))</f>
        <v/>
      </c>
      <c r="F1835" s="20"/>
      <c r="G1835" s="22" t="str">
        <f>IF($C1835="","",IFERROR(INDEX(Productos!$F$5:$F$504,MATCH($C1835,Productos!$A$5:$A$504,0)),0))</f>
        <v/>
      </c>
      <c r="H1835" s="22" t="str">
        <f t="shared" si="28"/>
        <v/>
      </c>
      <c r="I1835" s="14" t="str">
        <f>IF(OR($C1835="",$F1835=""),"",IFERROR(INDEX(Productos!$I$5:$I$504,MATCH($C1835,Productos!$A$5:$A$504,0)),0)+SUMIFS($F$5:$F1835,$C$5:$C1835,$C1835,$B$5:$B1835,"Entrada")-SUMIFS($F$5:$F1835,$C$5:$C1835,$C1835,$B$5:$B1835,"Salida"))</f>
        <v/>
      </c>
      <c r="J1835" s="20"/>
      <c r="K1835" s="20"/>
      <c r="L1835" s="20"/>
      <c r="M1835" s="14" t="str">
        <f>IF(AND($C1835&lt;&gt;"",$C1835=Kardex!$C$4),COUNTIF($C$5:$C1835,Kardex!$C$4),"")</f>
        <v/>
      </c>
    </row>
    <row r="1836" spans="1:13" x14ac:dyDescent="0.25">
      <c r="A1836" s="24"/>
      <c r="B1836" s="20"/>
      <c r="C1836" s="20"/>
      <c r="D1836" s="14" t="str">
        <f>IF($C1836="","",IFERROR(INDEX(Productos!$B$5:$B$504,MATCH($C1836,Productos!$A$5:$A$504,0)),"Clave no existe"))</f>
        <v/>
      </c>
      <c r="E1836" s="14" t="str">
        <f>IF($C1836="","",IFERROR(INDEX(Productos!$D$5:$D$504,MATCH($C1836,Productos!$A$5:$A$504,0)),""))</f>
        <v/>
      </c>
      <c r="F1836" s="20"/>
      <c r="G1836" s="22" t="str">
        <f>IF($C1836="","",IFERROR(INDEX(Productos!$F$5:$F$504,MATCH($C1836,Productos!$A$5:$A$504,0)),0))</f>
        <v/>
      </c>
      <c r="H1836" s="22" t="str">
        <f t="shared" si="28"/>
        <v/>
      </c>
      <c r="I1836" s="14" t="str">
        <f>IF(OR($C1836="",$F1836=""),"",IFERROR(INDEX(Productos!$I$5:$I$504,MATCH($C1836,Productos!$A$5:$A$504,0)),0)+SUMIFS($F$5:$F1836,$C$5:$C1836,$C1836,$B$5:$B1836,"Entrada")-SUMIFS($F$5:$F1836,$C$5:$C1836,$C1836,$B$5:$B1836,"Salida"))</f>
        <v/>
      </c>
      <c r="J1836" s="20"/>
      <c r="K1836" s="20"/>
      <c r="L1836" s="20"/>
      <c r="M1836" s="14" t="str">
        <f>IF(AND($C1836&lt;&gt;"",$C1836=Kardex!$C$4),COUNTIF($C$5:$C1836,Kardex!$C$4),"")</f>
        <v/>
      </c>
    </row>
    <row r="1837" spans="1:13" x14ac:dyDescent="0.25">
      <c r="A1837" s="24"/>
      <c r="B1837" s="20"/>
      <c r="C1837" s="20"/>
      <c r="D1837" s="14" t="str">
        <f>IF($C1837="","",IFERROR(INDEX(Productos!$B$5:$B$504,MATCH($C1837,Productos!$A$5:$A$504,0)),"Clave no existe"))</f>
        <v/>
      </c>
      <c r="E1837" s="14" t="str">
        <f>IF($C1837="","",IFERROR(INDEX(Productos!$D$5:$D$504,MATCH($C1837,Productos!$A$5:$A$504,0)),""))</f>
        <v/>
      </c>
      <c r="F1837" s="20"/>
      <c r="G1837" s="22" t="str">
        <f>IF($C1837="","",IFERROR(INDEX(Productos!$F$5:$F$504,MATCH($C1837,Productos!$A$5:$A$504,0)),0))</f>
        <v/>
      </c>
      <c r="H1837" s="22" t="str">
        <f t="shared" si="28"/>
        <v/>
      </c>
      <c r="I1837" s="14" t="str">
        <f>IF(OR($C1837="",$F1837=""),"",IFERROR(INDEX(Productos!$I$5:$I$504,MATCH($C1837,Productos!$A$5:$A$504,0)),0)+SUMIFS($F$5:$F1837,$C$5:$C1837,$C1837,$B$5:$B1837,"Entrada")-SUMIFS($F$5:$F1837,$C$5:$C1837,$C1837,$B$5:$B1837,"Salida"))</f>
        <v/>
      </c>
      <c r="J1837" s="20"/>
      <c r="K1837" s="20"/>
      <c r="L1837" s="20"/>
      <c r="M1837" s="14" t="str">
        <f>IF(AND($C1837&lt;&gt;"",$C1837=Kardex!$C$4),COUNTIF($C$5:$C1837,Kardex!$C$4),"")</f>
        <v/>
      </c>
    </row>
    <row r="1838" spans="1:13" x14ac:dyDescent="0.25">
      <c r="A1838" s="24"/>
      <c r="B1838" s="20"/>
      <c r="C1838" s="20"/>
      <c r="D1838" s="14" t="str">
        <f>IF($C1838="","",IFERROR(INDEX(Productos!$B$5:$B$504,MATCH($C1838,Productos!$A$5:$A$504,0)),"Clave no existe"))</f>
        <v/>
      </c>
      <c r="E1838" s="14" t="str">
        <f>IF($C1838="","",IFERROR(INDEX(Productos!$D$5:$D$504,MATCH($C1838,Productos!$A$5:$A$504,0)),""))</f>
        <v/>
      </c>
      <c r="F1838" s="20"/>
      <c r="G1838" s="22" t="str">
        <f>IF($C1838="","",IFERROR(INDEX(Productos!$F$5:$F$504,MATCH($C1838,Productos!$A$5:$A$504,0)),0))</f>
        <v/>
      </c>
      <c r="H1838" s="22" t="str">
        <f t="shared" si="28"/>
        <v/>
      </c>
      <c r="I1838" s="14" t="str">
        <f>IF(OR($C1838="",$F1838=""),"",IFERROR(INDEX(Productos!$I$5:$I$504,MATCH($C1838,Productos!$A$5:$A$504,0)),0)+SUMIFS($F$5:$F1838,$C$5:$C1838,$C1838,$B$5:$B1838,"Entrada")-SUMIFS($F$5:$F1838,$C$5:$C1838,$C1838,$B$5:$B1838,"Salida"))</f>
        <v/>
      </c>
      <c r="J1838" s="20"/>
      <c r="K1838" s="20"/>
      <c r="L1838" s="20"/>
      <c r="M1838" s="14" t="str">
        <f>IF(AND($C1838&lt;&gt;"",$C1838=Kardex!$C$4),COUNTIF($C$5:$C1838,Kardex!$C$4),"")</f>
        <v/>
      </c>
    </row>
    <row r="1839" spans="1:13" x14ac:dyDescent="0.25">
      <c r="A1839" s="24"/>
      <c r="B1839" s="20"/>
      <c r="C1839" s="20"/>
      <c r="D1839" s="14" t="str">
        <f>IF($C1839="","",IFERROR(INDEX(Productos!$B$5:$B$504,MATCH($C1839,Productos!$A$5:$A$504,0)),"Clave no existe"))</f>
        <v/>
      </c>
      <c r="E1839" s="14" t="str">
        <f>IF($C1839="","",IFERROR(INDEX(Productos!$D$5:$D$504,MATCH($C1839,Productos!$A$5:$A$504,0)),""))</f>
        <v/>
      </c>
      <c r="F1839" s="20"/>
      <c r="G1839" s="22" t="str">
        <f>IF($C1839="","",IFERROR(INDEX(Productos!$F$5:$F$504,MATCH($C1839,Productos!$A$5:$A$504,0)),0))</f>
        <v/>
      </c>
      <c r="H1839" s="22" t="str">
        <f t="shared" si="28"/>
        <v/>
      </c>
      <c r="I1839" s="14" t="str">
        <f>IF(OR($C1839="",$F1839=""),"",IFERROR(INDEX(Productos!$I$5:$I$504,MATCH($C1839,Productos!$A$5:$A$504,0)),0)+SUMIFS($F$5:$F1839,$C$5:$C1839,$C1839,$B$5:$B1839,"Entrada")-SUMIFS($F$5:$F1839,$C$5:$C1839,$C1839,$B$5:$B1839,"Salida"))</f>
        <v/>
      </c>
      <c r="J1839" s="20"/>
      <c r="K1839" s="20"/>
      <c r="L1839" s="20"/>
      <c r="M1839" s="14" t="str">
        <f>IF(AND($C1839&lt;&gt;"",$C1839=Kardex!$C$4),COUNTIF($C$5:$C1839,Kardex!$C$4),"")</f>
        <v/>
      </c>
    </row>
    <row r="1840" spans="1:13" x14ac:dyDescent="0.25">
      <c r="A1840" s="24"/>
      <c r="B1840" s="20"/>
      <c r="C1840" s="20"/>
      <c r="D1840" s="14" t="str">
        <f>IF($C1840="","",IFERROR(INDEX(Productos!$B$5:$B$504,MATCH($C1840,Productos!$A$5:$A$504,0)),"Clave no existe"))</f>
        <v/>
      </c>
      <c r="E1840" s="14" t="str">
        <f>IF($C1840="","",IFERROR(INDEX(Productos!$D$5:$D$504,MATCH($C1840,Productos!$A$5:$A$504,0)),""))</f>
        <v/>
      </c>
      <c r="F1840" s="20"/>
      <c r="G1840" s="22" t="str">
        <f>IF($C1840="","",IFERROR(INDEX(Productos!$F$5:$F$504,MATCH($C1840,Productos!$A$5:$A$504,0)),0))</f>
        <v/>
      </c>
      <c r="H1840" s="22" t="str">
        <f t="shared" si="28"/>
        <v/>
      </c>
      <c r="I1840" s="14" t="str">
        <f>IF(OR($C1840="",$F1840=""),"",IFERROR(INDEX(Productos!$I$5:$I$504,MATCH($C1840,Productos!$A$5:$A$504,0)),0)+SUMIFS($F$5:$F1840,$C$5:$C1840,$C1840,$B$5:$B1840,"Entrada")-SUMIFS($F$5:$F1840,$C$5:$C1840,$C1840,$B$5:$B1840,"Salida"))</f>
        <v/>
      </c>
      <c r="J1840" s="20"/>
      <c r="K1840" s="20"/>
      <c r="L1840" s="20"/>
      <c r="M1840" s="14" t="str">
        <f>IF(AND($C1840&lt;&gt;"",$C1840=Kardex!$C$4),COUNTIF($C$5:$C1840,Kardex!$C$4),"")</f>
        <v/>
      </c>
    </row>
    <row r="1841" spans="1:13" x14ac:dyDescent="0.25">
      <c r="A1841" s="24"/>
      <c r="B1841" s="20"/>
      <c r="C1841" s="20"/>
      <c r="D1841" s="14" t="str">
        <f>IF($C1841="","",IFERROR(INDEX(Productos!$B$5:$B$504,MATCH($C1841,Productos!$A$5:$A$504,0)),"Clave no existe"))</f>
        <v/>
      </c>
      <c r="E1841" s="14" t="str">
        <f>IF($C1841="","",IFERROR(INDEX(Productos!$D$5:$D$504,MATCH($C1841,Productos!$A$5:$A$504,0)),""))</f>
        <v/>
      </c>
      <c r="F1841" s="20"/>
      <c r="G1841" s="22" t="str">
        <f>IF($C1841="","",IFERROR(INDEX(Productos!$F$5:$F$504,MATCH($C1841,Productos!$A$5:$A$504,0)),0))</f>
        <v/>
      </c>
      <c r="H1841" s="22" t="str">
        <f t="shared" si="28"/>
        <v/>
      </c>
      <c r="I1841" s="14" t="str">
        <f>IF(OR($C1841="",$F1841=""),"",IFERROR(INDEX(Productos!$I$5:$I$504,MATCH($C1841,Productos!$A$5:$A$504,0)),0)+SUMIFS($F$5:$F1841,$C$5:$C1841,$C1841,$B$5:$B1841,"Entrada")-SUMIFS($F$5:$F1841,$C$5:$C1841,$C1841,$B$5:$B1841,"Salida"))</f>
        <v/>
      </c>
      <c r="J1841" s="20"/>
      <c r="K1841" s="20"/>
      <c r="L1841" s="20"/>
      <c r="M1841" s="14" t="str">
        <f>IF(AND($C1841&lt;&gt;"",$C1841=Kardex!$C$4),COUNTIF($C$5:$C1841,Kardex!$C$4),"")</f>
        <v/>
      </c>
    </row>
    <row r="1842" spans="1:13" x14ac:dyDescent="0.25">
      <c r="A1842" s="24"/>
      <c r="B1842" s="20"/>
      <c r="C1842" s="20"/>
      <c r="D1842" s="14" t="str">
        <f>IF($C1842="","",IFERROR(INDEX(Productos!$B$5:$B$504,MATCH($C1842,Productos!$A$5:$A$504,0)),"Clave no existe"))</f>
        <v/>
      </c>
      <c r="E1842" s="14" t="str">
        <f>IF($C1842="","",IFERROR(INDEX(Productos!$D$5:$D$504,MATCH($C1842,Productos!$A$5:$A$504,0)),""))</f>
        <v/>
      </c>
      <c r="F1842" s="20"/>
      <c r="G1842" s="22" t="str">
        <f>IF($C1842="","",IFERROR(INDEX(Productos!$F$5:$F$504,MATCH($C1842,Productos!$A$5:$A$504,0)),0))</f>
        <v/>
      </c>
      <c r="H1842" s="22" t="str">
        <f t="shared" si="28"/>
        <v/>
      </c>
      <c r="I1842" s="14" t="str">
        <f>IF(OR($C1842="",$F1842=""),"",IFERROR(INDEX(Productos!$I$5:$I$504,MATCH($C1842,Productos!$A$5:$A$504,0)),0)+SUMIFS($F$5:$F1842,$C$5:$C1842,$C1842,$B$5:$B1842,"Entrada")-SUMIFS($F$5:$F1842,$C$5:$C1842,$C1842,$B$5:$B1842,"Salida"))</f>
        <v/>
      </c>
      <c r="J1842" s="20"/>
      <c r="K1842" s="20"/>
      <c r="L1842" s="20"/>
      <c r="M1842" s="14" t="str">
        <f>IF(AND($C1842&lt;&gt;"",$C1842=Kardex!$C$4),COUNTIF($C$5:$C1842,Kardex!$C$4),"")</f>
        <v/>
      </c>
    </row>
    <row r="1843" spans="1:13" x14ac:dyDescent="0.25">
      <c r="A1843" s="24"/>
      <c r="B1843" s="20"/>
      <c r="C1843" s="20"/>
      <c r="D1843" s="14" t="str">
        <f>IF($C1843="","",IFERROR(INDEX(Productos!$B$5:$B$504,MATCH($C1843,Productos!$A$5:$A$504,0)),"Clave no existe"))</f>
        <v/>
      </c>
      <c r="E1843" s="14" t="str">
        <f>IF($C1843="","",IFERROR(INDEX(Productos!$D$5:$D$504,MATCH($C1843,Productos!$A$5:$A$504,0)),""))</f>
        <v/>
      </c>
      <c r="F1843" s="20"/>
      <c r="G1843" s="22" t="str">
        <f>IF($C1843="","",IFERROR(INDEX(Productos!$F$5:$F$504,MATCH($C1843,Productos!$A$5:$A$504,0)),0))</f>
        <v/>
      </c>
      <c r="H1843" s="22" t="str">
        <f t="shared" si="28"/>
        <v/>
      </c>
      <c r="I1843" s="14" t="str">
        <f>IF(OR($C1843="",$F1843=""),"",IFERROR(INDEX(Productos!$I$5:$I$504,MATCH($C1843,Productos!$A$5:$A$504,0)),0)+SUMIFS($F$5:$F1843,$C$5:$C1843,$C1843,$B$5:$B1843,"Entrada")-SUMIFS($F$5:$F1843,$C$5:$C1843,$C1843,$B$5:$B1843,"Salida"))</f>
        <v/>
      </c>
      <c r="J1843" s="20"/>
      <c r="K1843" s="20"/>
      <c r="L1843" s="20"/>
      <c r="M1843" s="14" t="str">
        <f>IF(AND($C1843&lt;&gt;"",$C1843=Kardex!$C$4),COUNTIF($C$5:$C1843,Kardex!$C$4),"")</f>
        <v/>
      </c>
    </row>
    <row r="1844" spans="1:13" x14ac:dyDescent="0.25">
      <c r="A1844" s="24"/>
      <c r="B1844" s="20"/>
      <c r="C1844" s="20"/>
      <c r="D1844" s="14" t="str">
        <f>IF($C1844="","",IFERROR(INDEX(Productos!$B$5:$B$504,MATCH($C1844,Productos!$A$5:$A$504,0)),"Clave no existe"))</f>
        <v/>
      </c>
      <c r="E1844" s="14" t="str">
        <f>IF($C1844="","",IFERROR(INDEX(Productos!$D$5:$D$504,MATCH($C1844,Productos!$A$5:$A$504,0)),""))</f>
        <v/>
      </c>
      <c r="F1844" s="20"/>
      <c r="G1844" s="22" t="str">
        <f>IF($C1844="","",IFERROR(INDEX(Productos!$F$5:$F$504,MATCH($C1844,Productos!$A$5:$A$504,0)),0))</f>
        <v/>
      </c>
      <c r="H1844" s="22" t="str">
        <f t="shared" si="28"/>
        <v/>
      </c>
      <c r="I1844" s="14" t="str">
        <f>IF(OR($C1844="",$F1844=""),"",IFERROR(INDEX(Productos!$I$5:$I$504,MATCH($C1844,Productos!$A$5:$A$504,0)),0)+SUMIFS($F$5:$F1844,$C$5:$C1844,$C1844,$B$5:$B1844,"Entrada")-SUMIFS($F$5:$F1844,$C$5:$C1844,$C1844,$B$5:$B1844,"Salida"))</f>
        <v/>
      </c>
      <c r="J1844" s="20"/>
      <c r="K1844" s="20"/>
      <c r="L1844" s="20"/>
      <c r="M1844" s="14" t="str">
        <f>IF(AND($C1844&lt;&gt;"",$C1844=Kardex!$C$4),COUNTIF($C$5:$C1844,Kardex!$C$4),"")</f>
        <v/>
      </c>
    </row>
    <row r="1845" spans="1:13" x14ac:dyDescent="0.25">
      <c r="A1845" s="24"/>
      <c r="B1845" s="20"/>
      <c r="C1845" s="20"/>
      <c r="D1845" s="14" t="str">
        <f>IF($C1845="","",IFERROR(INDEX(Productos!$B$5:$B$504,MATCH($C1845,Productos!$A$5:$A$504,0)),"Clave no existe"))</f>
        <v/>
      </c>
      <c r="E1845" s="14" t="str">
        <f>IF($C1845="","",IFERROR(INDEX(Productos!$D$5:$D$504,MATCH($C1845,Productos!$A$5:$A$504,0)),""))</f>
        <v/>
      </c>
      <c r="F1845" s="20"/>
      <c r="G1845" s="22" t="str">
        <f>IF($C1845="","",IFERROR(INDEX(Productos!$F$5:$F$504,MATCH($C1845,Productos!$A$5:$A$504,0)),0))</f>
        <v/>
      </c>
      <c r="H1845" s="22" t="str">
        <f t="shared" si="28"/>
        <v/>
      </c>
      <c r="I1845" s="14" t="str">
        <f>IF(OR($C1845="",$F1845=""),"",IFERROR(INDEX(Productos!$I$5:$I$504,MATCH($C1845,Productos!$A$5:$A$504,0)),0)+SUMIFS($F$5:$F1845,$C$5:$C1845,$C1845,$B$5:$B1845,"Entrada")-SUMIFS($F$5:$F1845,$C$5:$C1845,$C1845,$B$5:$B1845,"Salida"))</f>
        <v/>
      </c>
      <c r="J1845" s="20"/>
      <c r="K1845" s="20"/>
      <c r="L1845" s="20"/>
      <c r="M1845" s="14" t="str">
        <f>IF(AND($C1845&lt;&gt;"",$C1845=Kardex!$C$4),COUNTIF($C$5:$C1845,Kardex!$C$4),"")</f>
        <v/>
      </c>
    </row>
    <row r="1846" spans="1:13" x14ac:dyDescent="0.25">
      <c r="A1846" s="24"/>
      <c r="B1846" s="20"/>
      <c r="C1846" s="20"/>
      <c r="D1846" s="14" t="str">
        <f>IF($C1846="","",IFERROR(INDEX(Productos!$B$5:$B$504,MATCH($C1846,Productos!$A$5:$A$504,0)),"Clave no existe"))</f>
        <v/>
      </c>
      <c r="E1846" s="14" t="str">
        <f>IF($C1846="","",IFERROR(INDEX(Productos!$D$5:$D$504,MATCH($C1846,Productos!$A$5:$A$504,0)),""))</f>
        <v/>
      </c>
      <c r="F1846" s="20"/>
      <c r="G1846" s="22" t="str">
        <f>IF($C1846="","",IFERROR(INDEX(Productos!$F$5:$F$504,MATCH($C1846,Productos!$A$5:$A$504,0)),0))</f>
        <v/>
      </c>
      <c r="H1846" s="22" t="str">
        <f t="shared" si="28"/>
        <v/>
      </c>
      <c r="I1846" s="14" t="str">
        <f>IF(OR($C1846="",$F1846=""),"",IFERROR(INDEX(Productos!$I$5:$I$504,MATCH($C1846,Productos!$A$5:$A$504,0)),0)+SUMIFS($F$5:$F1846,$C$5:$C1846,$C1846,$B$5:$B1846,"Entrada")-SUMIFS($F$5:$F1846,$C$5:$C1846,$C1846,$B$5:$B1846,"Salida"))</f>
        <v/>
      </c>
      <c r="J1846" s="20"/>
      <c r="K1846" s="20"/>
      <c r="L1846" s="20"/>
      <c r="M1846" s="14" t="str">
        <f>IF(AND($C1846&lt;&gt;"",$C1846=Kardex!$C$4),COUNTIF($C$5:$C1846,Kardex!$C$4),"")</f>
        <v/>
      </c>
    </row>
    <row r="1847" spans="1:13" x14ac:dyDescent="0.25">
      <c r="A1847" s="24"/>
      <c r="B1847" s="20"/>
      <c r="C1847" s="20"/>
      <c r="D1847" s="14" t="str">
        <f>IF($C1847="","",IFERROR(INDEX(Productos!$B$5:$B$504,MATCH($C1847,Productos!$A$5:$A$504,0)),"Clave no existe"))</f>
        <v/>
      </c>
      <c r="E1847" s="14" t="str">
        <f>IF($C1847="","",IFERROR(INDEX(Productos!$D$5:$D$504,MATCH($C1847,Productos!$A$5:$A$504,0)),""))</f>
        <v/>
      </c>
      <c r="F1847" s="20"/>
      <c r="G1847" s="22" t="str">
        <f>IF($C1847="","",IFERROR(INDEX(Productos!$F$5:$F$504,MATCH($C1847,Productos!$A$5:$A$504,0)),0))</f>
        <v/>
      </c>
      <c r="H1847" s="22" t="str">
        <f t="shared" si="28"/>
        <v/>
      </c>
      <c r="I1847" s="14" t="str">
        <f>IF(OR($C1847="",$F1847=""),"",IFERROR(INDEX(Productos!$I$5:$I$504,MATCH($C1847,Productos!$A$5:$A$504,0)),0)+SUMIFS($F$5:$F1847,$C$5:$C1847,$C1847,$B$5:$B1847,"Entrada")-SUMIFS($F$5:$F1847,$C$5:$C1847,$C1847,$B$5:$B1847,"Salida"))</f>
        <v/>
      </c>
      <c r="J1847" s="20"/>
      <c r="K1847" s="20"/>
      <c r="L1847" s="20"/>
      <c r="M1847" s="14" t="str">
        <f>IF(AND($C1847&lt;&gt;"",$C1847=Kardex!$C$4),COUNTIF($C$5:$C1847,Kardex!$C$4),"")</f>
        <v/>
      </c>
    </row>
    <row r="1848" spans="1:13" x14ac:dyDescent="0.25">
      <c r="A1848" s="24"/>
      <c r="B1848" s="20"/>
      <c r="C1848" s="20"/>
      <c r="D1848" s="14" t="str">
        <f>IF($C1848="","",IFERROR(INDEX(Productos!$B$5:$B$504,MATCH($C1848,Productos!$A$5:$A$504,0)),"Clave no existe"))</f>
        <v/>
      </c>
      <c r="E1848" s="14" t="str">
        <f>IF($C1848="","",IFERROR(INDEX(Productos!$D$5:$D$504,MATCH($C1848,Productos!$A$5:$A$504,0)),""))</f>
        <v/>
      </c>
      <c r="F1848" s="20"/>
      <c r="G1848" s="22" t="str">
        <f>IF($C1848="","",IFERROR(INDEX(Productos!$F$5:$F$504,MATCH($C1848,Productos!$A$5:$A$504,0)),0))</f>
        <v/>
      </c>
      <c r="H1848" s="22" t="str">
        <f t="shared" si="28"/>
        <v/>
      </c>
      <c r="I1848" s="14" t="str">
        <f>IF(OR($C1848="",$F1848=""),"",IFERROR(INDEX(Productos!$I$5:$I$504,MATCH($C1848,Productos!$A$5:$A$504,0)),0)+SUMIFS($F$5:$F1848,$C$5:$C1848,$C1848,$B$5:$B1848,"Entrada")-SUMIFS($F$5:$F1848,$C$5:$C1848,$C1848,$B$5:$B1848,"Salida"))</f>
        <v/>
      </c>
      <c r="J1848" s="20"/>
      <c r="K1848" s="20"/>
      <c r="L1848" s="20"/>
      <c r="M1848" s="14" t="str">
        <f>IF(AND($C1848&lt;&gt;"",$C1848=Kardex!$C$4),COUNTIF($C$5:$C1848,Kardex!$C$4),"")</f>
        <v/>
      </c>
    </row>
    <row r="1849" spans="1:13" x14ac:dyDescent="0.25">
      <c r="A1849" s="24"/>
      <c r="B1849" s="20"/>
      <c r="C1849" s="20"/>
      <c r="D1849" s="14" t="str">
        <f>IF($C1849="","",IFERROR(INDEX(Productos!$B$5:$B$504,MATCH($C1849,Productos!$A$5:$A$504,0)),"Clave no existe"))</f>
        <v/>
      </c>
      <c r="E1849" s="14" t="str">
        <f>IF($C1849="","",IFERROR(INDEX(Productos!$D$5:$D$504,MATCH($C1849,Productos!$A$5:$A$504,0)),""))</f>
        <v/>
      </c>
      <c r="F1849" s="20"/>
      <c r="G1849" s="22" t="str">
        <f>IF($C1849="","",IFERROR(INDEX(Productos!$F$5:$F$504,MATCH($C1849,Productos!$A$5:$A$504,0)),0))</f>
        <v/>
      </c>
      <c r="H1849" s="22" t="str">
        <f t="shared" si="28"/>
        <v/>
      </c>
      <c r="I1849" s="14" t="str">
        <f>IF(OR($C1849="",$F1849=""),"",IFERROR(INDEX(Productos!$I$5:$I$504,MATCH($C1849,Productos!$A$5:$A$504,0)),0)+SUMIFS($F$5:$F1849,$C$5:$C1849,$C1849,$B$5:$B1849,"Entrada")-SUMIFS($F$5:$F1849,$C$5:$C1849,$C1849,$B$5:$B1849,"Salida"))</f>
        <v/>
      </c>
      <c r="J1849" s="20"/>
      <c r="K1849" s="20"/>
      <c r="L1849" s="20"/>
      <c r="M1849" s="14" t="str">
        <f>IF(AND($C1849&lt;&gt;"",$C1849=Kardex!$C$4),COUNTIF($C$5:$C1849,Kardex!$C$4),"")</f>
        <v/>
      </c>
    </row>
    <row r="1850" spans="1:13" x14ac:dyDescent="0.25">
      <c r="A1850" s="24"/>
      <c r="B1850" s="20"/>
      <c r="C1850" s="20"/>
      <c r="D1850" s="14" t="str">
        <f>IF($C1850="","",IFERROR(INDEX(Productos!$B$5:$B$504,MATCH($C1850,Productos!$A$5:$A$504,0)),"Clave no existe"))</f>
        <v/>
      </c>
      <c r="E1850" s="14" t="str">
        <f>IF($C1850="","",IFERROR(INDEX(Productos!$D$5:$D$504,MATCH($C1850,Productos!$A$5:$A$504,0)),""))</f>
        <v/>
      </c>
      <c r="F1850" s="20"/>
      <c r="G1850" s="22" t="str">
        <f>IF($C1850="","",IFERROR(INDEX(Productos!$F$5:$F$504,MATCH($C1850,Productos!$A$5:$A$504,0)),0))</f>
        <v/>
      </c>
      <c r="H1850" s="22" t="str">
        <f t="shared" si="28"/>
        <v/>
      </c>
      <c r="I1850" s="14" t="str">
        <f>IF(OR($C1850="",$F1850=""),"",IFERROR(INDEX(Productos!$I$5:$I$504,MATCH($C1850,Productos!$A$5:$A$504,0)),0)+SUMIFS($F$5:$F1850,$C$5:$C1850,$C1850,$B$5:$B1850,"Entrada")-SUMIFS($F$5:$F1850,$C$5:$C1850,$C1850,$B$5:$B1850,"Salida"))</f>
        <v/>
      </c>
      <c r="J1850" s="20"/>
      <c r="K1850" s="20"/>
      <c r="L1850" s="20"/>
      <c r="M1850" s="14" t="str">
        <f>IF(AND($C1850&lt;&gt;"",$C1850=Kardex!$C$4),COUNTIF($C$5:$C1850,Kardex!$C$4),"")</f>
        <v/>
      </c>
    </row>
    <row r="1851" spans="1:13" x14ac:dyDescent="0.25">
      <c r="A1851" s="24"/>
      <c r="B1851" s="20"/>
      <c r="C1851" s="20"/>
      <c r="D1851" s="14" t="str">
        <f>IF($C1851="","",IFERROR(INDEX(Productos!$B$5:$B$504,MATCH($C1851,Productos!$A$5:$A$504,0)),"Clave no existe"))</f>
        <v/>
      </c>
      <c r="E1851" s="14" t="str">
        <f>IF($C1851="","",IFERROR(INDEX(Productos!$D$5:$D$504,MATCH($C1851,Productos!$A$5:$A$504,0)),""))</f>
        <v/>
      </c>
      <c r="F1851" s="20"/>
      <c r="G1851" s="22" t="str">
        <f>IF($C1851="","",IFERROR(INDEX(Productos!$F$5:$F$504,MATCH($C1851,Productos!$A$5:$A$504,0)),0))</f>
        <v/>
      </c>
      <c r="H1851" s="22" t="str">
        <f t="shared" si="28"/>
        <v/>
      </c>
      <c r="I1851" s="14" t="str">
        <f>IF(OR($C1851="",$F1851=""),"",IFERROR(INDEX(Productos!$I$5:$I$504,MATCH($C1851,Productos!$A$5:$A$504,0)),0)+SUMIFS($F$5:$F1851,$C$5:$C1851,$C1851,$B$5:$B1851,"Entrada")-SUMIFS($F$5:$F1851,$C$5:$C1851,$C1851,$B$5:$B1851,"Salida"))</f>
        <v/>
      </c>
      <c r="J1851" s="20"/>
      <c r="K1851" s="20"/>
      <c r="L1851" s="20"/>
      <c r="M1851" s="14" t="str">
        <f>IF(AND($C1851&lt;&gt;"",$C1851=Kardex!$C$4),COUNTIF($C$5:$C1851,Kardex!$C$4),"")</f>
        <v/>
      </c>
    </row>
    <row r="1852" spans="1:13" x14ac:dyDescent="0.25">
      <c r="A1852" s="24"/>
      <c r="B1852" s="20"/>
      <c r="C1852" s="20"/>
      <c r="D1852" s="14" t="str">
        <f>IF($C1852="","",IFERROR(INDEX(Productos!$B$5:$B$504,MATCH($C1852,Productos!$A$5:$A$504,0)),"Clave no existe"))</f>
        <v/>
      </c>
      <c r="E1852" s="14" t="str">
        <f>IF($C1852="","",IFERROR(INDEX(Productos!$D$5:$D$504,MATCH($C1852,Productos!$A$5:$A$504,0)),""))</f>
        <v/>
      </c>
      <c r="F1852" s="20"/>
      <c r="G1852" s="22" t="str">
        <f>IF($C1852="","",IFERROR(INDEX(Productos!$F$5:$F$504,MATCH($C1852,Productos!$A$5:$A$504,0)),0))</f>
        <v/>
      </c>
      <c r="H1852" s="22" t="str">
        <f t="shared" si="28"/>
        <v/>
      </c>
      <c r="I1852" s="14" t="str">
        <f>IF(OR($C1852="",$F1852=""),"",IFERROR(INDEX(Productos!$I$5:$I$504,MATCH($C1852,Productos!$A$5:$A$504,0)),0)+SUMIFS($F$5:$F1852,$C$5:$C1852,$C1852,$B$5:$B1852,"Entrada")-SUMIFS($F$5:$F1852,$C$5:$C1852,$C1852,$B$5:$B1852,"Salida"))</f>
        <v/>
      </c>
      <c r="J1852" s="20"/>
      <c r="K1852" s="20"/>
      <c r="L1852" s="20"/>
      <c r="M1852" s="14" t="str">
        <f>IF(AND($C1852&lt;&gt;"",$C1852=Kardex!$C$4),COUNTIF($C$5:$C1852,Kardex!$C$4),"")</f>
        <v/>
      </c>
    </row>
    <row r="1853" spans="1:13" x14ac:dyDescent="0.25">
      <c r="A1853" s="24"/>
      <c r="B1853" s="20"/>
      <c r="C1853" s="20"/>
      <c r="D1853" s="14" t="str">
        <f>IF($C1853="","",IFERROR(INDEX(Productos!$B$5:$B$504,MATCH($C1853,Productos!$A$5:$A$504,0)),"Clave no existe"))</f>
        <v/>
      </c>
      <c r="E1853" s="14" t="str">
        <f>IF($C1853="","",IFERROR(INDEX(Productos!$D$5:$D$504,MATCH($C1853,Productos!$A$5:$A$504,0)),""))</f>
        <v/>
      </c>
      <c r="F1853" s="20"/>
      <c r="G1853" s="22" t="str">
        <f>IF($C1853="","",IFERROR(INDEX(Productos!$F$5:$F$504,MATCH($C1853,Productos!$A$5:$A$504,0)),0))</f>
        <v/>
      </c>
      <c r="H1853" s="22" t="str">
        <f t="shared" si="28"/>
        <v/>
      </c>
      <c r="I1853" s="14" t="str">
        <f>IF(OR($C1853="",$F1853=""),"",IFERROR(INDEX(Productos!$I$5:$I$504,MATCH($C1853,Productos!$A$5:$A$504,0)),0)+SUMIFS($F$5:$F1853,$C$5:$C1853,$C1853,$B$5:$B1853,"Entrada")-SUMIFS($F$5:$F1853,$C$5:$C1853,$C1853,$B$5:$B1853,"Salida"))</f>
        <v/>
      </c>
      <c r="J1853" s="20"/>
      <c r="K1853" s="20"/>
      <c r="L1853" s="20"/>
      <c r="M1853" s="14" t="str">
        <f>IF(AND($C1853&lt;&gt;"",$C1853=Kardex!$C$4),COUNTIF($C$5:$C1853,Kardex!$C$4),"")</f>
        <v/>
      </c>
    </row>
    <row r="1854" spans="1:13" x14ac:dyDescent="0.25">
      <c r="A1854" s="24"/>
      <c r="B1854" s="20"/>
      <c r="C1854" s="20"/>
      <c r="D1854" s="14" t="str">
        <f>IF($C1854="","",IFERROR(INDEX(Productos!$B$5:$B$504,MATCH($C1854,Productos!$A$5:$A$504,0)),"Clave no existe"))</f>
        <v/>
      </c>
      <c r="E1854" s="14" t="str">
        <f>IF($C1854="","",IFERROR(INDEX(Productos!$D$5:$D$504,MATCH($C1854,Productos!$A$5:$A$504,0)),""))</f>
        <v/>
      </c>
      <c r="F1854" s="20"/>
      <c r="G1854" s="22" t="str">
        <f>IF($C1854="","",IFERROR(INDEX(Productos!$F$5:$F$504,MATCH($C1854,Productos!$A$5:$A$504,0)),0))</f>
        <v/>
      </c>
      <c r="H1854" s="22" t="str">
        <f t="shared" si="28"/>
        <v/>
      </c>
      <c r="I1854" s="14" t="str">
        <f>IF(OR($C1854="",$F1854=""),"",IFERROR(INDEX(Productos!$I$5:$I$504,MATCH($C1854,Productos!$A$5:$A$504,0)),0)+SUMIFS($F$5:$F1854,$C$5:$C1854,$C1854,$B$5:$B1854,"Entrada")-SUMIFS($F$5:$F1854,$C$5:$C1854,$C1854,$B$5:$B1854,"Salida"))</f>
        <v/>
      </c>
      <c r="J1854" s="20"/>
      <c r="K1854" s="20"/>
      <c r="L1854" s="20"/>
      <c r="M1854" s="14" t="str">
        <f>IF(AND($C1854&lt;&gt;"",$C1854=Kardex!$C$4),COUNTIF($C$5:$C1854,Kardex!$C$4),"")</f>
        <v/>
      </c>
    </row>
    <row r="1855" spans="1:13" x14ac:dyDescent="0.25">
      <c r="A1855" s="24"/>
      <c r="B1855" s="20"/>
      <c r="C1855" s="20"/>
      <c r="D1855" s="14" t="str">
        <f>IF($C1855="","",IFERROR(INDEX(Productos!$B$5:$B$504,MATCH($C1855,Productos!$A$5:$A$504,0)),"Clave no existe"))</f>
        <v/>
      </c>
      <c r="E1855" s="14" t="str">
        <f>IF($C1855="","",IFERROR(INDEX(Productos!$D$5:$D$504,MATCH($C1855,Productos!$A$5:$A$504,0)),""))</f>
        <v/>
      </c>
      <c r="F1855" s="20"/>
      <c r="G1855" s="22" t="str">
        <f>IF($C1855="","",IFERROR(INDEX(Productos!$F$5:$F$504,MATCH($C1855,Productos!$A$5:$A$504,0)),0))</f>
        <v/>
      </c>
      <c r="H1855" s="22" t="str">
        <f t="shared" si="28"/>
        <v/>
      </c>
      <c r="I1855" s="14" t="str">
        <f>IF(OR($C1855="",$F1855=""),"",IFERROR(INDEX(Productos!$I$5:$I$504,MATCH($C1855,Productos!$A$5:$A$504,0)),0)+SUMIFS($F$5:$F1855,$C$5:$C1855,$C1855,$B$5:$B1855,"Entrada")-SUMIFS($F$5:$F1855,$C$5:$C1855,$C1855,$B$5:$B1855,"Salida"))</f>
        <v/>
      </c>
      <c r="J1855" s="20"/>
      <c r="K1855" s="20"/>
      <c r="L1855" s="20"/>
      <c r="M1855" s="14" t="str">
        <f>IF(AND($C1855&lt;&gt;"",$C1855=Kardex!$C$4),COUNTIF($C$5:$C1855,Kardex!$C$4),"")</f>
        <v/>
      </c>
    </row>
    <row r="1856" spans="1:13" x14ac:dyDescent="0.25">
      <c r="A1856" s="24"/>
      <c r="B1856" s="20"/>
      <c r="C1856" s="20"/>
      <c r="D1856" s="14" t="str">
        <f>IF($C1856="","",IFERROR(INDEX(Productos!$B$5:$B$504,MATCH($C1856,Productos!$A$5:$A$504,0)),"Clave no existe"))</f>
        <v/>
      </c>
      <c r="E1856" s="14" t="str">
        <f>IF($C1856="","",IFERROR(INDEX(Productos!$D$5:$D$504,MATCH($C1856,Productos!$A$5:$A$504,0)),""))</f>
        <v/>
      </c>
      <c r="F1856" s="20"/>
      <c r="G1856" s="22" t="str">
        <f>IF($C1856="","",IFERROR(INDEX(Productos!$F$5:$F$504,MATCH($C1856,Productos!$A$5:$A$504,0)),0))</f>
        <v/>
      </c>
      <c r="H1856" s="22" t="str">
        <f t="shared" si="28"/>
        <v/>
      </c>
      <c r="I1856" s="14" t="str">
        <f>IF(OR($C1856="",$F1856=""),"",IFERROR(INDEX(Productos!$I$5:$I$504,MATCH($C1856,Productos!$A$5:$A$504,0)),0)+SUMIFS($F$5:$F1856,$C$5:$C1856,$C1856,$B$5:$B1856,"Entrada")-SUMIFS($F$5:$F1856,$C$5:$C1856,$C1856,$B$5:$B1856,"Salida"))</f>
        <v/>
      </c>
      <c r="J1856" s="20"/>
      <c r="K1856" s="20"/>
      <c r="L1856" s="20"/>
      <c r="M1856" s="14" t="str">
        <f>IF(AND($C1856&lt;&gt;"",$C1856=Kardex!$C$4),COUNTIF($C$5:$C1856,Kardex!$C$4),"")</f>
        <v/>
      </c>
    </row>
    <row r="1857" spans="1:13" x14ac:dyDescent="0.25">
      <c r="A1857" s="24"/>
      <c r="B1857" s="20"/>
      <c r="C1857" s="20"/>
      <c r="D1857" s="14" t="str">
        <f>IF($C1857="","",IFERROR(INDEX(Productos!$B$5:$B$504,MATCH($C1857,Productos!$A$5:$A$504,0)),"Clave no existe"))</f>
        <v/>
      </c>
      <c r="E1857" s="14" t="str">
        <f>IF($C1857="","",IFERROR(INDEX(Productos!$D$5:$D$504,MATCH($C1857,Productos!$A$5:$A$504,0)),""))</f>
        <v/>
      </c>
      <c r="F1857" s="20"/>
      <c r="G1857" s="22" t="str">
        <f>IF($C1857="","",IFERROR(INDEX(Productos!$F$5:$F$504,MATCH($C1857,Productos!$A$5:$A$504,0)),0))</f>
        <v/>
      </c>
      <c r="H1857" s="22" t="str">
        <f t="shared" si="28"/>
        <v/>
      </c>
      <c r="I1857" s="14" t="str">
        <f>IF(OR($C1857="",$F1857=""),"",IFERROR(INDEX(Productos!$I$5:$I$504,MATCH($C1857,Productos!$A$5:$A$504,0)),0)+SUMIFS($F$5:$F1857,$C$5:$C1857,$C1857,$B$5:$B1857,"Entrada")-SUMIFS($F$5:$F1857,$C$5:$C1857,$C1857,$B$5:$B1857,"Salida"))</f>
        <v/>
      </c>
      <c r="J1857" s="20"/>
      <c r="K1857" s="20"/>
      <c r="L1857" s="20"/>
      <c r="M1857" s="14" t="str">
        <f>IF(AND($C1857&lt;&gt;"",$C1857=Kardex!$C$4),COUNTIF($C$5:$C1857,Kardex!$C$4),"")</f>
        <v/>
      </c>
    </row>
    <row r="1858" spans="1:13" x14ac:dyDescent="0.25">
      <c r="A1858" s="24"/>
      <c r="B1858" s="20"/>
      <c r="C1858" s="20"/>
      <c r="D1858" s="14" t="str">
        <f>IF($C1858="","",IFERROR(INDEX(Productos!$B$5:$B$504,MATCH($C1858,Productos!$A$5:$A$504,0)),"Clave no existe"))</f>
        <v/>
      </c>
      <c r="E1858" s="14" t="str">
        <f>IF($C1858="","",IFERROR(INDEX(Productos!$D$5:$D$504,MATCH($C1858,Productos!$A$5:$A$504,0)),""))</f>
        <v/>
      </c>
      <c r="F1858" s="20"/>
      <c r="G1858" s="22" t="str">
        <f>IF($C1858="","",IFERROR(INDEX(Productos!$F$5:$F$504,MATCH($C1858,Productos!$A$5:$A$504,0)),0))</f>
        <v/>
      </c>
      <c r="H1858" s="22" t="str">
        <f t="shared" si="28"/>
        <v/>
      </c>
      <c r="I1858" s="14" t="str">
        <f>IF(OR($C1858="",$F1858=""),"",IFERROR(INDEX(Productos!$I$5:$I$504,MATCH($C1858,Productos!$A$5:$A$504,0)),0)+SUMIFS($F$5:$F1858,$C$5:$C1858,$C1858,$B$5:$B1858,"Entrada")-SUMIFS($F$5:$F1858,$C$5:$C1858,$C1858,$B$5:$B1858,"Salida"))</f>
        <v/>
      </c>
      <c r="J1858" s="20"/>
      <c r="K1858" s="20"/>
      <c r="L1858" s="20"/>
      <c r="M1858" s="14" t="str">
        <f>IF(AND($C1858&lt;&gt;"",$C1858=Kardex!$C$4),COUNTIF($C$5:$C1858,Kardex!$C$4),"")</f>
        <v/>
      </c>
    </row>
    <row r="1859" spans="1:13" x14ac:dyDescent="0.25">
      <c r="A1859" s="24"/>
      <c r="B1859" s="20"/>
      <c r="C1859" s="20"/>
      <c r="D1859" s="14" t="str">
        <f>IF($C1859="","",IFERROR(INDEX(Productos!$B$5:$B$504,MATCH($C1859,Productos!$A$5:$A$504,0)),"Clave no existe"))</f>
        <v/>
      </c>
      <c r="E1859" s="14" t="str">
        <f>IF($C1859="","",IFERROR(INDEX(Productos!$D$5:$D$504,MATCH($C1859,Productos!$A$5:$A$504,0)),""))</f>
        <v/>
      </c>
      <c r="F1859" s="20"/>
      <c r="G1859" s="22" t="str">
        <f>IF($C1859="","",IFERROR(INDEX(Productos!$F$5:$F$504,MATCH($C1859,Productos!$A$5:$A$504,0)),0))</f>
        <v/>
      </c>
      <c r="H1859" s="22" t="str">
        <f t="shared" si="28"/>
        <v/>
      </c>
      <c r="I1859" s="14" t="str">
        <f>IF(OR($C1859="",$F1859=""),"",IFERROR(INDEX(Productos!$I$5:$I$504,MATCH($C1859,Productos!$A$5:$A$504,0)),0)+SUMIFS($F$5:$F1859,$C$5:$C1859,$C1859,$B$5:$B1859,"Entrada")-SUMIFS($F$5:$F1859,$C$5:$C1859,$C1859,$B$5:$B1859,"Salida"))</f>
        <v/>
      </c>
      <c r="J1859" s="20"/>
      <c r="K1859" s="20"/>
      <c r="L1859" s="20"/>
      <c r="M1859" s="14" t="str">
        <f>IF(AND($C1859&lt;&gt;"",$C1859=Kardex!$C$4),COUNTIF($C$5:$C1859,Kardex!$C$4),"")</f>
        <v/>
      </c>
    </row>
    <row r="1860" spans="1:13" x14ac:dyDescent="0.25">
      <c r="A1860" s="24"/>
      <c r="B1860" s="20"/>
      <c r="C1860" s="20"/>
      <c r="D1860" s="14" t="str">
        <f>IF($C1860="","",IFERROR(INDEX(Productos!$B$5:$B$504,MATCH($C1860,Productos!$A$5:$A$504,0)),"Clave no existe"))</f>
        <v/>
      </c>
      <c r="E1860" s="14" t="str">
        <f>IF($C1860="","",IFERROR(INDEX(Productos!$D$5:$D$504,MATCH($C1860,Productos!$A$5:$A$504,0)),""))</f>
        <v/>
      </c>
      <c r="F1860" s="20"/>
      <c r="G1860" s="22" t="str">
        <f>IF($C1860="","",IFERROR(INDEX(Productos!$F$5:$F$504,MATCH($C1860,Productos!$A$5:$A$504,0)),0))</f>
        <v/>
      </c>
      <c r="H1860" s="22" t="str">
        <f t="shared" si="28"/>
        <v/>
      </c>
      <c r="I1860" s="14" t="str">
        <f>IF(OR($C1860="",$F1860=""),"",IFERROR(INDEX(Productos!$I$5:$I$504,MATCH($C1860,Productos!$A$5:$A$504,0)),0)+SUMIFS($F$5:$F1860,$C$5:$C1860,$C1860,$B$5:$B1860,"Entrada")-SUMIFS($F$5:$F1860,$C$5:$C1860,$C1860,$B$5:$B1860,"Salida"))</f>
        <v/>
      </c>
      <c r="J1860" s="20"/>
      <c r="K1860" s="20"/>
      <c r="L1860" s="20"/>
      <c r="M1860" s="14" t="str">
        <f>IF(AND($C1860&lt;&gt;"",$C1860=Kardex!$C$4),COUNTIF($C$5:$C1860,Kardex!$C$4),"")</f>
        <v/>
      </c>
    </row>
    <row r="1861" spans="1:13" x14ac:dyDescent="0.25">
      <c r="A1861" s="24"/>
      <c r="B1861" s="20"/>
      <c r="C1861" s="20"/>
      <c r="D1861" s="14" t="str">
        <f>IF($C1861="","",IFERROR(INDEX(Productos!$B$5:$B$504,MATCH($C1861,Productos!$A$5:$A$504,0)),"Clave no existe"))</f>
        <v/>
      </c>
      <c r="E1861" s="14" t="str">
        <f>IF($C1861="","",IFERROR(INDEX(Productos!$D$5:$D$504,MATCH($C1861,Productos!$A$5:$A$504,0)),""))</f>
        <v/>
      </c>
      <c r="F1861" s="20"/>
      <c r="G1861" s="22" t="str">
        <f>IF($C1861="","",IFERROR(INDEX(Productos!$F$5:$F$504,MATCH($C1861,Productos!$A$5:$A$504,0)),0))</f>
        <v/>
      </c>
      <c r="H1861" s="22" t="str">
        <f t="shared" ref="H1861:H1924" si="29">IF(OR($C1861="",$F1861=""),"",F1861*G1861)</f>
        <v/>
      </c>
      <c r="I1861" s="14" t="str">
        <f>IF(OR($C1861="",$F1861=""),"",IFERROR(INDEX(Productos!$I$5:$I$504,MATCH($C1861,Productos!$A$5:$A$504,0)),0)+SUMIFS($F$5:$F1861,$C$5:$C1861,$C1861,$B$5:$B1861,"Entrada")-SUMIFS($F$5:$F1861,$C$5:$C1861,$C1861,$B$5:$B1861,"Salida"))</f>
        <v/>
      </c>
      <c r="J1861" s="20"/>
      <c r="K1861" s="20"/>
      <c r="L1861" s="20"/>
      <c r="M1861" s="14" t="str">
        <f>IF(AND($C1861&lt;&gt;"",$C1861=Kardex!$C$4),COUNTIF($C$5:$C1861,Kardex!$C$4),"")</f>
        <v/>
      </c>
    </row>
    <row r="1862" spans="1:13" x14ac:dyDescent="0.25">
      <c r="A1862" s="24"/>
      <c r="B1862" s="20"/>
      <c r="C1862" s="20"/>
      <c r="D1862" s="14" t="str">
        <f>IF($C1862="","",IFERROR(INDEX(Productos!$B$5:$B$504,MATCH($C1862,Productos!$A$5:$A$504,0)),"Clave no existe"))</f>
        <v/>
      </c>
      <c r="E1862" s="14" t="str">
        <f>IF($C1862="","",IFERROR(INDEX(Productos!$D$5:$D$504,MATCH($C1862,Productos!$A$5:$A$504,0)),""))</f>
        <v/>
      </c>
      <c r="F1862" s="20"/>
      <c r="G1862" s="22" t="str">
        <f>IF($C1862="","",IFERROR(INDEX(Productos!$F$5:$F$504,MATCH($C1862,Productos!$A$5:$A$504,0)),0))</f>
        <v/>
      </c>
      <c r="H1862" s="22" t="str">
        <f t="shared" si="29"/>
        <v/>
      </c>
      <c r="I1862" s="14" t="str">
        <f>IF(OR($C1862="",$F1862=""),"",IFERROR(INDEX(Productos!$I$5:$I$504,MATCH($C1862,Productos!$A$5:$A$504,0)),0)+SUMIFS($F$5:$F1862,$C$5:$C1862,$C1862,$B$5:$B1862,"Entrada")-SUMIFS($F$5:$F1862,$C$5:$C1862,$C1862,$B$5:$B1862,"Salida"))</f>
        <v/>
      </c>
      <c r="J1862" s="20"/>
      <c r="K1862" s="20"/>
      <c r="L1862" s="20"/>
      <c r="M1862" s="14" t="str">
        <f>IF(AND($C1862&lt;&gt;"",$C1862=Kardex!$C$4),COUNTIF($C$5:$C1862,Kardex!$C$4),"")</f>
        <v/>
      </c>
    </row>
    <row r="1863" spans="1:13" x14ac:dyDescent="0.25">
      <c r="A1863" s="24"/>
      <c r="B1863" s="20"/>
      <c r="C1863" s="20"/>
      <c r="D1863" s="14" t="str">
        <f>IF($C1863="","",IFERROR(INDEX(Productos!$B$5:$B$504,MATCH($C1863,Productos!$A$5:$A$504,0)),"Clave no existe"))</f>
        <v/>
      </c>
      <c r="E1863" s="14" t="str">
        <f>IF($C1863="","",IFERROR(INDEX(Productos!$D$5:$D$504,MATCH($C1863,Productos!$A$5:$A$504,0)),""))</f>
        <v/>
      </c>
      <c r="F1863" s="20"/>
      <c r="G1863" s="22" t="str">
        <f>IF($C1863="","",IFERROR(INDEX(Productos!$F$5:$F$504,MATCH($C1863,Productos!$A$5:$A$504,0)),0))</f>
        <v/>
      </c>
      <c r="H1863" s="22" t="str">
        <f t="shared" si="29"/>
        <v/>
      </c>
      <c r="I1863" s="14" t="str">
        <f>IF(OR($C1863="",$F1863=""),"",IFERROR(INDEX(Productos!$I$5:$I$504,MATCH($C1863,Productos!$A$5:$A$504,0)),0)+SUMIFS($F$5:$F1863,$C$5:$C1863,$C1863,$B$5:$B1863,"Entrada")-SUMIFS($F$5:$F1863,$C$5:$C1863,$C1863,$B$5:$B1863,"Salida"))</f>
        <v/>
      </c>
      <c r="J1863" s="20"/>
      <c r="K1863" s="20"/>
      <c r="L1863" s="20"/>
      <c r="M1863" s="14" t="str">
        <f>IF(AND($C1863&lt;&gt;"",$C1863=Kardex!$C$4),COUNTIF($C$5:$C1863,Kardex!$C$4),"")</f>
        <v/>
      </c>
    </row>
    <row r="1864" spans="1:13" x14ac:dyDescent="0.25">
      <c r="A1864" s="24"/>
      <c r="B1864" s="20"/>
      <c r="C1864" s="20"/>
      <c r="D1864" s="14" t="str">
        <f>IF($C1864="","",IFERROR(INDEX(Productos!$B$5:$B$504,MATCH($C1864,Productos!$A$5:$A$504,0)),"Clave no existe"))</f>
        <v/>
      </c>
      <c r="E1864" s="14" t="str">
        <f>IF($C1864="","",IFERROR(INDEX(Productos!$D$5:$D$504,MATCH($C1864,Productos!$A$5:$A$504,0)),""))</f>
        <v/>
      </c>
      <c r="F1864" s="20"/>
      <c r="G1864" s="22" t="str">
        <f>IF($C1864="","",IFERROR(INDEX(Productos!$F$5:$F$504,MATCH($C1864,Productos!$A$5:$A$504,0)),0))</f>
        <v/>
      </c>
      <c r="H1864" s="22" t="str">
        <f t="shared" si="29"/>
        <v/>
      </c>
      <c r="I1864" s="14" t="str">
        <f>IF(OR($C1864="",$F1864=""),"",IFERROR(INDEX(Productos!$I$5:$I$504,MATCH($C1864,Productos!$A$5:$A$504,0)),0)+SUMIFS($F$5:$F1864,$C$5:$C1864,$C1864,$B$5:$B1864,"Entrada")-SUMIFS($F$5:$F1864,$C$5:$C1864,$C1864,$B$5:$B1864,"Salida"))</f>
        <v/>
      </c>
      <c r="J1864" s="20"/>
      <c r="K1864" s="20"/>
      <c r="L1864" s="20"/>
      <c r="M1864" s="14" t="str">
        <f>IF(AND($C1864&lt;&gt;"",$C1864=Kardex!$C$4),COUNTIF($C$5:$C1864,Kardex!$C$4),"")</f>
        <v/>
      </c>
    </row>
    <row r="1865" spans="1:13" x14ac:dyDescent="0.25">
      <c r="A1865" s="24"/>
      <c r="B1865" s="20"/>
      <c r="C1865" s="20"/>
      <c r="D1865" s="14" t="str">
        <f>IF($C1865="","",IFERROR(INDEX(Productos!$B$5:$B$504,MATCH($C1865,Productos!$A$5:$A$504,0)),"Clave no existe"))</f>
        <v/>
      </c>
      <c r="E1865" s="14" t="str">
        <f>IF($C1865="","",IFERROR(INDEX(Productos!$D$5:$D$504,MATCH($C1865,Productos!$A$5:$A$504,0)),""))</f>
        <v/>
      </c>
      <c r="F1865" s="20"/>
      <c r="G1865" s="22" t="str">
        <f>IF($C1865="","",IFERROR(INDEX(Productos!$F$5:$F$504,MATCH($C1865,Productos!$A$5:$A$504,0)),0))</f>
        <v/>
      </c>
      <c r="H1865" s="22" t="str">
        <f t="shared" si="29"/>
        <v/>
      </c>
      <c r="I1865" s="14" t="str">
        <f>IF(OR($C1865="",$F1865=""),"",IFERROR(INDEX(Productos!$I$5:$I$504,MATCH($C1865,Productos!$A$5:$A$504,0)),0)+SUMIFS($F$5:$F1865,$C$5:$C1865,$C1865,$B$5:$B1865,"Entrada")-SUMIFS($F$5:$F1865,$C$5:$C1865,$C1865,$B$5:$B1865,"Salida"))</f>
        <v/>
      </c>
      <c r="J1865" s="20"/>
      <c r="K1865" s="20"/>
      <c r="L1865" s="20"/>
      <c r="M1865" s="14" t="str">
        <f>IF(AND($C1865&lt;&gt;"",$C1865=Kardex!$C$4),COUNTIF($C$5:$C1865,Kardex!$C$4),"")</f>
        <v/>
      </c>
    </row>
    <row r="1866" spans="1:13" x14ac:dyDescent="0.25">
      <c r="A1866" s="24"/>
      <c r="B1866" s="20"/>
      <c r="C1866" s="20"/>
      <c r="D1866" s="14" t="str">
        <f>IF($C1866="","",IFERROR(INDEX(Productos!$B$5:$B$504,MATCH($C1866,Productos!$A$5:$A$504,0)),"Clave no existe"))</f>
        <v/>
      </c>
      <c r="E1866" s="14" t="str">
        <f>IF($C1866="","",IFERROR(INDEX(Productos!$D$5:$D$504,MATCH($C1866,Productos!$A$5:$A$504,0)),""))</f>
        <v/>
      </c>
      <c r="F1866" s="20"/>
      <c r="G1866" s="22" t="str">
        <f>IF($C1866="","",IFERROR(INDEX(Productos!$F$5:$F$504,MATCH($C1866,Productos!$A$5:$A$504,0)),0))</f>
        <v/>
      </c>
      <c r="H1866" s="22" t="str">
        <f t="shared" si="29"/>
        <v/>
      </c>
      <c r="I1866" s="14" t="str">
        <f>IF(OR($C1866="",$F1866=""),"",IFERROR(INDEX(Productos!$I$5:$I$504,MATCH($C1866,Productos!$A$5:$A$504,0)),0)+SUMIFS($F$5:$F1866,$C$5:$C1866,$C1866,$B$5:$B1866,"Entrada")-SUMIFS($F$5:$F1866,$C$5:$C1866,$C1866,$B$5:$B1866,"Salida"))</f>
        <v/>
      </c>
      <c r="J1866" s="20"/>
      <c r="K1866" s="20"/>
      <c r="L1866" s="20"/>
      <c r="M1866" s="14" t="str">
        <f>IF(AND($C1866&lt;&gt;"",$C1866=Kardex!$C$4),COUNTIF($C$5:$C1866,Kardex!$C$4),"")</f>
        <v/>
      </c>
    </row>
    <row r="1867" spans="1:13" x14ac:dyDescent="0.25">
      <c r="A1867" s="24"/>
      <c r="B1867" s="20"/>
      <c r="C1867" s="20"/>
      <c r="D1867" s="14" t="str">
        <f>IF($C1867="","",IFERROR(INDEX(Productos!$B$5:$B$504,MATCH($C1867,Productos!$A$5:$A$504,0)),"Clave no existe"))</f>
        <v/>
      </c>
      <c r="E1867" s="14" t="str">
        <f>IF($C1867="","",IFERROR(INDEX(Productos!$D$5:$D$504,MATCH($C1867,Productos!$A$5:$A$504,0)),""))</f>
        <v/>
      </c>
      <c r="F1867" s="20"/>
      <c r="G1867" s="22" t="str">
        <f>IF($C1867="","",IFERROR(INDEX(Productos!$F$5:$F$504,MATCH($C1867,Productos!$A$5:$A$504,0)),0))</f>
        <v/>
      </c>
      <c r="H1867" s="22" t="str">
        <f t="shared" si="29"/>
        <v/>
      </c>
      <c r="I1867" s="14" t="str">
        <f>IF(OR($C1867="",$F1867=""),"",IFERROR(INDEX(Productos!$I$5:$I$504,MATCH($C1867,Productos!$A$5:$A$504,0)),0)+SUMIFS($F$5:$F1867,$C$5:$C1867,$C1867,$B$5:$B1867,"Entrada")-SUMIFS($F$5:$F1867,$C$5:$C1867,$C1867,$B$5:$B1867,"Salida"))</f>
        <v/>
      </c>
      <c r="J1867" s="20"/>
      <c r="K1867" s="20"/>
      <c r="L1867" s="20"/>
      <c r="M1867" s="14" t="str">
        <f>IF(AND($C1867&lt;&gt;"",$C1867=Kardex!$C$4),COUNTIF($C$5:$C1867,Kardex!$C$4),"")</f>
        <v/>
      </c>
    </row>
    <row r="1868" spans="1:13" x14ac:dyDescent="0.25">
      <c r="A1868" s="24"/>
      <c r="B1868" s="20"/>
      <c r="C1868" s="20"/>
      <c r="D1868" s="14" t="str">
        <f>IF($C1868="","",IFERROR(INDEX(Productos!$B$5:$B$504,MATCH($C1868,Productos!$A$5:$A$504,0)),"Clave no existe"))</f>
        <v/>
      </c>
      <c r="E1868" s="14" t="str">
        <f>IF($C1868="","",IFERROR(INDEX(Productos!$D$5:$D$504,MATCH($C1868,Productos!$A$5:$A$504,0)),""))</f>
        <v/>
      </c>
      <c r="F1868" s="20"/>
      <c r="G1868" s="22" t="str">
        <f>IF($C1868="","",IFERROR(INDEX(Productos!$F$5:$F$504,MATCH($C1868,Productos!$A$5:$A$504,0)),0))</f>
        <v/>
      </c>
      <c r="H1868" s="22" t="str">
        <f t="shared" si="29"/>
        <v/>
      </c>
      <c r="I1868" s="14" t="str">
        <f>IF(OR($C1868="",$F1868=""),"",IFERROR(INDEX(Productos!$I$5:$I$504,MATCH($C1868,Productos!$A$5:$A$504,0)),0)+SUMIFS($F$5:$F1868,$C$5:$C1868,$C1868,$B$5:$B1868,"Entrada")-SUMIFS($F$5:$F1868,$C$5:$C1868,$C1868,$B$5:$B1868,"Salida"))</f>
        <v/>
      </c>
      <c r="J1868" s="20"/>
      <c r="K1868" s="20"/>
      <c r="L1868" s="20"/>
      <c r="M1868" s="14" t="str">
        <f>IF(AND($C1868&lt;&gt;"",$C1868=Kardex!$C$4),COUNTIF($C$5:$C1868,Kardex!$C$4),"")</f>
        <v/>
      </c>
    </row>
    <row r="1869" spans="1:13" x14ac:dyDescent="0.25">
      <c r="A1869" s="24"/>
      <c r="B1869" s="20"/>
      <c r="C1869" s="20"/>
      <c r="D1869" s="14" t="str">
        <f>IF($C1869="","",IFERROR(INDEX(Productos!$B$5:$B$504,MATCH($C1869,Productos!$A$5:$A$504,0)),"Clave no existe"))</f>
        <v/>
      </c>
      <c r="E1869" s="14" t="str">
        <f>IF($C1869="","",IFERROR(INDEX(Productos!$D$5:$D$504,MATCH($C1869,Productos!$A$5:$A$504,0)),""))</f>
        <v/>
      </c>
      <c r="F1869" s="20"/>
      <c r="G1869" s="22" t="str">
        <f>IF($C1869="","",IFERROR(INDEX(Productos!$F$5:$F$504,MATCH($C1869,Productos!$A$5:$A$504,0)),0))</f>
        <v/>
      </c>
      <c r="H1869" s="22" t="str">
        <f t="shared" si="29"/>
        <v/>
      </c>
      <c r="I1869" s="14" t="str">
        <f>IF(OR($C1869="",$F1869=""),"",IFERROR(INDEX(Productos!$I$5:$I$504,MATCH($C1869,Productos!$A$5:$A$504,0)),0)+SUMIFS($F$5:$F1869,$C$5:$C1869,$C1869,$B$5:$B1869,"Entrada")-SUMIFS($F$5:$F1869,$C$5:$C1869,$C1869,$B$5:$B1869,"Salida"))</f>
        <v/>
      </c>
      <c r="J1869" s="20"/>
      <c r="K1869" s="20"/>
      <c r="L1869" s="20"/>
      <c r="M1869" s="14" t="str">
        <f>IF(AND($C1869&lt;&gt;"",$C1869=Kardex!$C$4),COUNTIF($C$5:$C1869,Kardex!$C$4),"")</f>
        <v/>
      </c>
    </row>
    <row r="1870" spans="1:13" x14ac:dyDescent="0.25">
      <c r="A1870" s="24"/>
      <c r="B1870" s="20"/>
      <c r="C1870" s="20"/>
      <c r="D1870" s="14" t="str">
        <f>IF($C1870="","",IFERROR(INDEX(Productos!$B$5:$B$504,MATCH($C1870,Productos!$A$5:$A$504,0)),"Clave no existe"))</f>
        <v/>
      </c>
      <c r="E1870" s="14" t="str">
        <f>IF($C1870="","",IFERROR(INDEX(Productos!$D$5:$D$504,MATCH($C1870,Productos!$A$5:$A$504,0)),""))</f>
        <v/>
      </c>
      <c r="F1870" s="20"/>
      <c r="G1870" s="22" t="str">
        <f>IF($C1870="","",IFERROR(INDEX(Productos!$F$5:$F$504,MATCH($C1870,Productos!$A$5:$A$504,0)),0))</f>
        <v/>
      </c>
      <c r="H1870" s="22" t="str">
        <f t="shared" si="29"/>
        <v/>
      </c>
      <c r="I1870" s="14" t="str">
        <f>IF(OR($C1870="",$F1870=""),"",IFERROR(INDEX(Productos!$I$5:$I$504,MATCH($C1870,Productos!$A$5:$A$504,0)),0)+SUMIFS($F$5:$F1870,$C$5:$C1870,$C1870,$B$5:$B1870,"Entrada")-SUMIFS($F$5:$F1870,$C$5:$C1870,$C1870,$B$5:$B1870,"Salida"))</f>
        <v/>
      </c>
      <c r="J1870" s="20"/>
      <c r="K1870" s="20"/>
      <c r="L1870" s="20"/>
      <c r="M1870" s="14" t="str">
        <f>IF(AND($C1870&lt;&gt;"",$C1870=Kardex!$C$4),COUNTIF($C$5:$C1870,Kardex!$C$4),"")</f>
        <v/>
      </c>
    </row>
    <row r="1871" spans="1:13" x14ac:dyDescent="0.25">
      <c r="A1871" s="24"/>
      <c r="B1871" s="20"/>
      <c r="C1871" s="20"/>
      <c r="D1871" s="14" t="str">
        <f>IF($C1871="","",IFERROR(INDEX(Productos!$B$5:$B$504,MATCH($C1871,Productos!$A$5:$A$504,0)),"Clave no existe"))</f>
        <v/>
      </c>
      <c r="E1871" s="14" t="str">
        <f>IF($C1871="","",IFERROR(INDEX(Productos!$D$5:$D$504,MATCH($C1871,Productos!$A$5:$A$504,0)),""))</f>
        <v/>
      </c>
      <c r="F1871" s="20"/>
      <c r="G1871" s="22" t="str">
        <f>IF($C1871="","",IFERROR(INDEX(Productos!$F$5:$F$504,MATCH($C1871,Productos!$A$5:$A$504,0)),0))</f>
        <v/>
      </c>
      <c r="H1871" s="22" t="str">
        <f t="shared" si="29"/>
        <v/>
      </c>
      <c r="I1871" s="14" t="str">
        <f>IF(OR($C1871="",$F1871=""),"",IFERROR(INDEX(Productos!$I$5:$I$504,MATCH($C1871,Productos!$A$5:$A$504,0)),0)+SUMIFS($F$5:$F1871,$C$5:$C1871,$C1871,$B$5:$B1871,"Entrada")-SUMIFS($F$5:$F1871,$C$5:$C1871,$C1871,$B$5:$B1871,"Salida"))</f>
        <v/>
      </c>
      <c r="J1871" s="20"/>
      <c r="K1871" s="20"/>
      <c r="L1871" s="20"/>
      <c r="M1871" s="14" t="str">
        <f>IF(AND($C1871&lt;&gt;"",$C1871=Kardex!$C$4),COUNTIF($C$5:$C1871,Kardex!$C$4),"")</f>
        <v/>
      </c>
    </row>
    <row r="1872" spans="1:13" x14ac:dyDescent="0.25">
      <c r="A1872" s="24"/>
      <c r="B1872" s="20"/>
      <c r="C1872" s="20"/>
      <c r="D1872" s="14" t="str">
        <f>IF($C1872="","",IFERROR(INDEX(Productos!$B$5:$B$504,MATCH($C1872,Productos!$A$5:$A$504,0)),"Clave no existe"))</f>
        <v/>
      </c>
      <c r="E1872" s="14" t="str">
        <f>IF($C1872="","",IFERROR(INDEX(Productos!$D$5:$D$504,MATCH($C1872,Productos!$A$5:$A$504,0)),""))</f>
        <v/>
      </c>
      <c r="F1872" s="20"/>
      <c r="G1872" s="22" t="str">
        <f>IF($C1872="","",IFERROR(INDEX(Productos!$F$5:$F$504,MATCH($C1872,Productos!$A$5:$A$504,0)),0))</f>
        <v/>
      </c>
      <c r="H1872" s="22" t="str">
        <f t="shared" si="29"/>
        <v/>
      </c>
      <c r="I1872" s="14" t="str">
        <f>IF(OR($C1872="",$F1872=""),"",IFERROR(INDEX(Productos!$I$5:$I$504,MATCH($C1872,Productos!$A$5:$A$504,0)),0)+SUMIFS($F$5:$F1872,$C$5:$C1872,$C1872,$B$5:$B1872,"Entrada")-SUMIFS($F$5:$F1872,$C$5:$C1872,$C1872,$B$5:$B1872,"Salida"))</f>
        <v/>
      </c>
      <c r="J1872" s="20"/>
      <c r="K1872" s="20"/>
      <c r="L1872" s="20"/>
      <c r="M1872" s="14" t="str">
        <f>IF(AND($C1872&lt;&gt;"",$C1872=Kardex!$C$4),COUNTIF($C$5:$C1872,Kardex!$C$4),"")</f>
        <v/>
      </c>
    </row>
    <row r="1873" spans="1:13" x14ac:dyDescent="0.25">
      <c r="A1873" s="24"/>
      <c r="B1873" s="20"/>
      <c r="C1873" s="20"/>
      <c r="D1873" s="14" t="str">
        <f>IF($C1873="","",IFERROR(INDEX(Productos!$B$5:$B$504,MATCH($C1873,Productos!$A$5:$A$504,0)),"Clave no existe"))</f>
        <v/>
      </c>
      <c r="E1873" s="14" t="str">
        <f>IF($C1873="","",IFERROR(INDEX(Productos!$D$5:$D$504,MATCH($C1873,Productos!$A$5:$A$504,0)),""))</f>
        <v/>
      </c>
      <c r="F1873" s="20"/>
      <c r="G1873" s="22" t="str">
        <f>IF($C1873="","",IFERROR(INDEX(Productos!$F$5:$F$504,MATCH($C1873,Productos!$A$5:$A$504,0)),0))</f>
        <v/>
      </c>
      <c r="H1873" s="22" t="str">
        <f t="shared" si="29"/>
        <v/>
      </c>
      <c r="I1873" s="14" t="str">
        <f>IF(OR($C1873="",$F1873=""),"",IFERROR(INDEX(Productos!$I$5:$I$504,MATCH($C1873,Productos!$A$5:$A$504,0)),0)+SUMIFS($F$5:$F1873,$C$5:$C1873,$C1873,$B$5:$B1873,"Entrada")-SUMIFS($F$5:$F1873,$C$5:$C1873,$C1873,$B$5:$B1873,"Salida"))</f>
        <v/>
      </c>
      <c r="J1873" s="20"/>
      <c r="K1873" s="20"/>
      <c r="L1873" s="20"/>
      <c r="M1873" s="14" t="str">
        <f>IF(AND($C1873&lt;&gt;"",$C1873=Kardex!$C$4),COUNTIF($C$5:$C1873,Kardex!$C$4),"")</f>
        <v/>
      </c>
    </row>
    <row r="1874" spans="1:13" x14ac:dyDescent="0.25">
      <c r="A1874" s="24"/>
      <c r="B1874" s="20"/>
      <c r="C1874" s="20"/>
      <c r="D1874" s="14" t="str">
        <f>IF($C1874="","",IFERROR(INDEX(Productos!$B$5:$B$504,MATCH($C1874,Productos!$A$5:$A$504,0)),"Clave no existe"))</f>
        <v/>
      </c>
      <c r="E1874" s="14" t="str">
        <f>IF($C1874="","",IFERROR(INDEX(Productos!$D$5:$D$504,MATCH($C1874,Productos!$A$5:$A$504,0)),""))</f>
        <v/>
      </c>
      <c r="F1874" s="20"/>
      <c r="G1874" s="22" t="str">
        <f>IF($C1874="","",IFERROR(INDEX(Productos!$F$5:$F$504,MATCH($C1874,Productos!$A$5:$A$504,0)),0))</f>
        <v/>
      </c>
      <c r="H1874" s="22" t="str">
        <f t="shared" si="29"/>
        <v/>
      </c>
      <c r="I1874" s="14" t="str">
        <f>IF(OR($C1874="",$F1874=""),"",IFERROR(INDEX(Productos!$I$5:$I$504,MATCH($C1874,Productos!$A$5:$A$504,0)),0)+SUMIFS($F$5:$F1874,$C$5:$C1874,$C1874,$B$5:$B1874,"Entrada")-SUMIFS($F$5:$F1874,$C$5:$C1874,$C1874,$B$5:$B1874,"Salida"))</f>
        <v/>
      </c>
      <c r="J1874" s="20"/>
      <c r="K1874" s="20"/>
      <c r="L1874" s="20"/>
      <c r="M1874" s="14" t="str">
        <f>IF(AND($C1874&lt;&gt;"",$C1874=Kardex!$C$4),COUNTIF($C$5:$C1874,Kardex!$C$4),"")</f>
        <v/>
      </c>
    </row>
    <row r="1875" spans="1:13" x14ac:dyDescent="0.25">
      <c r="A1875" s="24"/>
      <c r="B1875" s="20"/>
      <c r="C1875" s="20"/>
      <c r="D1875" s="14" t="str">
        <f>IF($C1875="","",IFERROR(INDEX(Productos!$B$5:$B$504,MATCH($C1875,Productos!$A$5:$A$504,0)),"Clave no existe"))</f>
        <v/>
      </c>
      <c r="E1875" s="14" t="str">
        <f>IF($C1875="","",IFERROR(INDEX(Productos!$D$5:$D$504,MATCH($C1875,Productos!$A$5:$A$504,0)),""))</f>
        <v/>
      </c>
      <c r="F1875" s="20"/>
      <c r="G1875" s="22" t="str">
        <f>IF($C1875="","",IFERROR(INDEX(Productos!$F$5:$F$504,MATCH($C1875,Productos!$A$5:$A$504,0)),0))</f>
        <v/>
      </c>
      <c r="H1875" s="22" t="str">
        <f t="shared" si="29"/>
        <v/>
      </c>
      <c r="I1875" s="14" t="str">
        <f>IF(OR($C1875="",$F1875=""),"",IFERROR(INDEX(Productos!$I$5:$I$504,MATCH($C1875,Productos!$A$5:$A$504,0)),0)+SUMIFS($F$5:$F1875,$C$5:$C1875,$C1875,$B$5:$B1875,"Entrada")-SUMIFS($F$5:$F1875,$C$5:$C1875,$C1875,$B$5:$B1875,"Salida"))</f>
        <v/>
      </c>
      <c r="J1875" s="20"/>
      <c r="K1875" s="20"/>
      <c r="L1875" s="20"/>
      <c r="M1875" s="14" t="str">
        <f>IF(AND($C1875&lt;&gt;"",$C1875=Kardex!$C$4),COUNTIF($C$5:$C1875,Kardex!$C$4),"")</f>
        <v/>
      </c>
    </row>
    <row r="1876" spans="1:13" x14ac:dyDescent="0.25">
      <c r="A1876" s="24"/>
      <c r="B1876" s="20"/>
      <c r="C1876" s="20"/>
      <c r="D1876" s="14" t="str">
        <f>IF($C1876="","",IFERROR(INDEX(Productos!$B$5:$B$504,MATCH($C1876,Productos!$A$5:$A$504,0)),"Clave no existe"))</f>
        <v/>
      </c>
      <c r="E1876" s="14" t="str">
        <f>IF($C1876="","",IFERROR(INDEX(Productos!$D$5:$D$504,MATCH($C1876,Productos!$A$5:$A$504,0)),""))</f>
        <v/>
      </c>
      <c r="F1876" s="20"/>
      <c r="G1876" s="22" t="str">
        <f>IF($C1876="","",IFERROR(INDEX(Productos!$F$5:$F$504,MATCH($C1876,Productos!$A$5:$A$504,0)),0))</f>
        <v/>
      </c>
      <c r="H1876" s="22" t="str">
        <f t="shared" si="29"/>
        <v/>
      </c>
      <c r="I1876" s="14" t="str">
        <f>IF(OR($C1876="",$F1876=""),"",IFERROR(INDEX(Productos!$I$5:$I$504,MATCH($C1876,Productos!$A$5:$A$504,0)),0)+SUMIFS($F$5:$F1876,$C$5:$C1876,$C1876,$B$5:$B1876,"Entrada")-SUMIFS($F$5:$F1876,$C$5:$C1876,$C1876,$B$5:$B1876,"Salida"))</f>
        <v/>
      </c>
      <c r="J1876" s="20"/>
      <c r="K1876" s="20"/>
      <c r="L1876" s="20"/>
      <c r="M1876" s="14" t="str">
        <f>IF(AND($C1876&lt;&gt;"",$C1876=Kardex!$C$4),COUNTIF($C$5:$C1876,Kardex!$C$4),"")</f>
        <v/>
      </c>
    </row>
    <row r="1877" spans="1:13" x14ac:dyDescent="0.25">
      <c r="A1877" s="24"/>
      <c r="B1877" s="20"/>
      <c r="C1877" s="20"/>
      <c r="D1877" s="14" t="str">
        <f>IF($C1877="","",IFERROR(INDEX(Productos!$B$5:$B$504,MATCH($C1877,Productos!$A$5:$A$504,0)),"Clave no existe"))</f>
        <v/>
      </c>
      <c r="E1877" s="14" t="str">
        <f>IF($C1877="","",IFERROR(INDEX(Productos!$D$5:$D$504,MATCH($C1877,Productos!$A$5:$A$504,0)),""))</f>
        <v/>
      </c>
      <c r="F1877" s="20"/>
      <c r="G1877" s="22" t="str">
        <f>IF($C1877="","",IFERROR(INDEX(Productos!$F$5:$F$504,MATCH($C1877,Productos!$A$5:$A$504,0)),0))</f>
        <v/>
      </c>
      <c r="H1877" s="22" t="str">
        <f t="shared" si="29"/>
        <v/>
      </c>
      <c r="I1877" s="14" t="str">
        <f>IF(OR($C1877="",$F1877=""),"",IFERROR(INDEX(Productos!$I$5:$I$504,MATCH($C1877,Productos!$A$5:$A$504,0)),0)+SUMIFS($F$5:$F1877,$C$5:$C1877,$C1877,$B$5:$B1877,"Entrada")-SUMIFS($F$5:$F1877,$C$5:$C1877,$C1877,$B$5:$B1877,"Salida"))</f>
        <v/>
      </c>
      <c r="J1877" s="20"/>
      <c r="K1877" s="20"/>
      <c r="L1877" s="20"/>
      <c r="M1877" s="14" t="str">
        <f>IF(AND($C1877&lt;&gt;"",$C1877=Kardex!$C$4),COUNTIF($C$5:$C1877,Kardex!$C$4),"")</f>
        <v/>
      </c>
    </row>
    <row r="1878" spans="1:13" x14ac:dyDescent="0.25">
      <c r="A1878" s="24"/>
      <c r="B1878" s="20"/>
      <c r="C1878" s="20"/>
      <c r="D1878" s="14" t="str">
        <f>IF($C1878="","",IFERROR(INDEX(Productos!$B$5:$B$504,MATCH($C1878,Productos!$A$5:$A$504,0)),"Clave no existe"))</f>
        <v/>
      </c>
      <c r="E1878" s="14" t="str">
        <f>IF($C1878="","",IFERROR(INDEX(Productos!$D$5:$D$504,MATCH($C1878,Productos!$A$5:$A$504,0)),""))</f>
        <v/>
      </c>
      <c r="F1878" s="20"/>
      <c r="G1878" s="22" t="str">
        <f>IF($C1878="","",IFERROR(INDEX(Productos!$F$5:$F$504,MATCH($C1878,Productos!$A$5:$A$504,0)),0))</f>
        <v/>
      </c>
      <c r="H1878" s="22" t="str">
        <f t="shared" si="29"/>
        <v/>
      </c>
      <c r="I1878" s="14" t="str">
        <f>IF(OR($C1878="",$F1878=""),"",IFERROR(INDEX(Productos!$I$5:$I$504,MATCH($C1878,Productos!$A$5:$A$504,0)),0)+SUMIFS($F$5:$F1878,$C$5:$C1878,$C1878,$B$5:$B1878,"Entrada")-SUMIFS($F$5:$F1878,$C$5:$C1878,$C1878,$B$5:$B1878,"Salida"))</f>
        <v/>
      </c>
      <c r="J1878" s="20"/>
      <c r="K1878" s="20"/>
      <c r="L1878" s="20"/>
      <c r="M1878" s="14" t="str">
        <f>IF(AND($C1878&lt;&gt;"",$C1878=Kardex!$C$4),COUNTIF($C$5:$C1878,Kardex!$C$4),"")</f>
        <v/>
      </c>
    </row>
    <row r="1879" spans="1:13" x14ac:dyDescent="0.25">
      <c r="A1879" s="24"/>
      <c r="B1879" s="20"/>
      <c r="C1879" s="20"/>
      <c r="D1879" s="14" t="str">
        <f>IF($C1879="","",IFERROR(INDEX(Productos!$B$5:$B$504,MATCH($C1879,Productos!$A$5:$A$504,0)),"Clave no existe"))</f>
        <v/>
      </c>
      <c r="E1879" s="14" t="str">
        <f>IF($C1879="","",IFERROR(INDEX(Productos!$D$5:$D$504,MATCH($C1879,Productos!$A$5:$A$504,0)),""))</f>
        <v/>
      </c>
      <c r="F1879" s="20"/>
      <c r="G1879" s="22" t="str">
        <f>IF($C1879="","",IFERROR(INDEX(Productos!$F$5:$F$504,MATCH($C1879,Productos!$A$5:$A$504,0)),0))</f>
        <v/>
      </c>
      <c r="H1879" s="22" t="str">
        <f t="shared" si="29"/>
        <v/>
      </c>
      <c r="I1879" s="14" t="str">
        <f>IF(OR($C1879="",$F1879=""),"",IFERROR(INDEX(Productos!$I$5:$I$504,MATCH($C1879,Productos!$A$5:$A$504,0)),0)+SUMIFS($F$5:$F1879,$C$5:$C1879,$C1879,$B$5:$B1879,"Entrada")-SUMIFS($F$5:$F1879,$C$5:$C1879,$C1879,$B$5:$B1879,"Salida"))</f>
        <v/>
      </c>
      <c r="J1879" s="20"/>
      <c r="K1879" s="20"/>
      <c r="L1879" s="20"/>
      <c r="M1879" s="14" t="str">
        <f>IF(AND($C1879&lt;&gt;"",$C1879=Kardex!$C$4),COUNTIF($C$5:$C1879,Kardex!$C$4),"")</f>
        <v/>
      </c>
    </row>
    <row r="1880" spans="1:13" x14ac:dyDescent="0.25">
      <c r="A1880" s="24"/>
      <c r="B1880" s="20"/>
      <c r="C1880" s="20"/>
      <c r="D1880" s="14" t="str">
        <f>IF($C1880="","",IFERROR(INDEX(Productos!$B$5:$B$504,MATCH($C1880,Productos!$A$5:$A$504,0)),"Clave no existe"))</f>
        <v/>
      </c>
      <c r="E1880" s="14" t="str">
        <f>IF($C1880="","",IFERROR(INDEX(Productos!$D$5:$D$504,MATCH($C1880,Productos!$A$5:$A$504,0)),""))</f>
        <v/>
      </c>
      <c r="F1880" s="20"/>
      <c r="G1880" s="22" t="str">
        <f>IF($C1880="","",IFERROR(INDEX(Productos!$F$5:$F$504,MATCH($C1880,Productos!$A$5:$A$504,0)),0))</f>
        <v/>
      </c>
      <c r="H1880" s="22" t="str">
        <f t="shared" si="29"/>
        <v/>
      </c>
      <c r="I1880" s="14" t="str">
        <f>IF(OR($C1880="",$F1880=""),"",IFERROR(INDEX(Productos!$I$5:$I$504,MATCH($C1880,Productos!$A$5:$A$504,0)),0)+SUMIFS($F$5:$F1880,$C$5:$C1880,$C1880,$B$5:$B1880,"Entrada")-SUMIFS($F$5:$F1880,$C$5:$C1880,$C1880,$B$5:$B1880,"Salida"))</f>
        <v/>
      </c>
      <c r="J1880" s="20"/>
      <c r="K1880" s="20"/>
      <c r="L1880" s="20"/>
      <c r="M1880" s="14" t="str">
        <f>IF(AND($C1880&lt;&gt;"",$C1880=Kardex!$C$4),COUNTIF($C$5:$C1880,Kardex!$C$4),"")</f>
        <v/>
      </c>
    </row>
    <row r="1881" spans="1:13" x14ac:dyDescent="0.25">
      <c r="A1881" s="24"/>
      <c r="B1881" s="20"/>
      <c r="C1881" s="20"/>
      <c r="D1881" s="14" t="str">
        <f>IF($C1881="","",IFERROR(INDEX(Productos!$B$5:$B$504,MATCH($C1881,Productos!$A$5:$A$504,0)),"Clave no existe"))</f>
        <v/>
      </c>
      <c r="E1881" s="14" t="str">
        <f>IF($C1881="","",IFERROR(INDEX(Productos!$D$5:$D$504,MATCH($C1881,Productos!$A$5:$A$504,0)),""))</f>
        <v/>
      </c>
      <c r="F1881" s="20"/>
      <c r="G1881" s="22" t="str">
        <f>IF($C1881="","",IFERROR(INDEX(Productos!$F$5:$F$504,MATCH($C1881,Productos!$A$5:$A$504,0)),0))</f>
        <v/>
      </c>
      <c r="H1881" s="22" t="str">
        <f t="shared" si="29"/>
        <v/>
      </c>
      <c r="I1881" s="14" t="str">
        <f>IF(OR($C1881="",$F1881=""),"",IFERROR(INDEX(Productos!$I$5:$I$504,MATCH($C1881,Productos!$A$5:$A$504,0)),0)+SUMIFS($F$5:$F1881,$C$5:$C1881,$C1881,$B$5:$B1881,"Entrada")-SUMIFS($F$5:$F1881,$C$5:$C1881,$C1881,$B$5:$B1881,"Salida"))</f>
        <v/>
      </c>
      <c r="J1881" s="20"/>
      <c r="K1881" s="20"/>
      <c r="L1881" s="20"/>
      <c r="M1881" s="14" t="str">
        <f>IF(AND($C1881&lt;&gt;"",$C1881=Kardex!$C$4),COUNTIF($C$5:$C1881,Kardex!$C$4),"")</f>
        <v/>
      </c>
    </row>
    <row r="1882" spans="1:13" x14ac:dyDescent="0.25">
      <c r="A1882" s="24"/>
      <c r="B1882" s="20"/>
      <c r="C1882" s="20"/>
      <c r="D1882" s="14" t="str">
        <f>IF($C1882="","",IFERROR(INDEX(Productos!$B$5:$B$504,MATCH($C1882,Productos!$A$5:$A$504,0)),"Clave no existe"))</f>
        <v/>
      </c>
      <c r="E1882" s="14" t="str">
        <f>IF($C1882="","",IFERROR(INDEX(Productos!$D$5:$D$504,MATCH($C1882,Productos!$A$5:$A$504,0)),""))</f>
        <v/>
      </c>
      <c r="F1882" s="20"/>
      <c r="G1882" s="22" t="str">
        <f>IF($C1882="","",IFERROR(INDEX(Productos!$F$5:$F$504,MATCH($C1882,Productos!$A$5:$A$504,0)),0))</f>
        <v/>
      </c>
      <c r="H1882" s="22" t="str">
        <f t="shared" si="29"/>
        <v/>
      </c>
      <c r="I1882" s="14" t="str">
        <f>IF(OR($C1882="",$F1882=""),"",IFERROR(INDEX(Productos!$I$5:$I$504,MATCH($C1882,Productos!$A$5:$A$504,0)),0)+SUMIFS($F$5:$F1882,$C$5:$C1882,$C1882,$B$5:$B1882,"Entrada")-SUMIFS($F$5:$F1882,$C$5:$C1882,$C1882,$B$5:$B1882,"Salida"))</f>
        <v/>
      </c>
      <c r="J1882" s="20"/>
      <c r="K1882" s="20"/>
      <c r="L1882" s="20"/>
      <c r="M1882" s="14" t="str">
        <f>IF(AND($C1882&lt;&gt;"",$C1882=Kardex!$C$4),COUNTIF($C$5:$C1882,Kardex!$C$4),"")</f>
        <v/>
      </c>
    </row>
    <row r="1883" spans="1:13" x14ac:dyDescent="0.25">
      <c r="A1883" s="24"/>
      <c r="B1883" s="20"/>
      <c r="C1883" s="20"/>
      <c r="D1883" s="14" t="str">
        <f>IF($C1883="","",IFERROR(INDEX(Productos!$B$5:$B$504,MATCH($C1883,Productos!$A$5:$A$504,0)),"Clave no existe"))</f>
        <v/>
      </c>
      <c r="E1883" s="14" t="str">
        <f>IF($C1883="","",IFERROR(INDEX(Productos!$D$5:$D$504,MATCH($C1883,Productos!$A$5:$A$504,0)),""))</f>
        <v/>
      </c>
      <c r="F1883" s="20"/>
      <c r="G1883" s="22" t="str">
        <f>IF($C1883="","",IFERROR(INDEX(Productos!$F$5:$F$504,MATCH($C1883,Productos!$A$5:$A$504,0)),0))</f>
        <v/>
      </c>
      <c r="H1883" s="22" t="str">
        <f t="shared" si="29"/>
        <v/>
      </c>
      <c r="I1883" s="14" t="str">
        <f>IF(OR($C1883="",$F1883=""),"",IFERROR(INDEX(Productos!$I$5:$I$504,MATCH($C1883,Productos!$A$5:$A$504,0)),0)+SUMIFS($F$5:$F1883,$C$5:$C1883,$C1883,$B$5:$B1883,"Entrada")-SUMIFS($F$5:$F1883,$C$5:$C1883,$C1883,$B$5:$B1883,"Salida"))</f>
        <v/>
      </c>
      <c r="J1883" s="20"/>
      <c r="K1883" s="20"/>
      <c r="L1883" s="20"/>
      <c r="M1883" s="14" t="str">
        <f>IF(AND($C1883&lt;&gt;"",$C1883=Kardex!$C$4),COUNTIF($C$5:$C1883,Kardex!$C$4),"")</f>
        <v/>
      </c>
    </row>
    <row r="1884" spans="1:13" x14ac:dyDescent="0.25">
      <c r="A1884" s="24"/>
      <c r="B1884" s="20"/>
      <c r="C1884" s="20"/>
      <c r="D1884" s="14" t="str">
        <f>IF($C1884="","",IFERROR(INDEX(Productos!$B$5:$B$504,MATCH($C1884,Productos!$A$5:$A$504,0)),"Clave no existe"))</f>
        <v/>
      </c>
      <c r="E1884" s="14" t="str">
        <f>IF($C1884="","",IFERROR(INDEX(Productos!$D$5:$D$504,MATCH($C1884,Productos!$A$5:$A$504,0)),""))</f>
        <v/>
      </c>
      <c r="F1884" s="20"/>
      <c r="G1884" s="22" t="str">
        <f>IF($C1884="","",IFERROR(INDEX(Productos!$F$5:$F$504,MATCH($C1884,Productos!$A$5:$A$504,0)),0))</f>
        <v/>
      </c>
      <c r="H1884" s="22" t="str">
        <f t="shared" si="29"/>
        <v/>
      </c>
      <c r="I1884" s="14" t="str">
        <f>IF(OR($C1884="",$F1884=""),"",IFERROR(INDEX(Productos!$I$5:$I$504,MATCH($C1884,Productos!$A$5:$A$504,0)),0)+SUMIFS($F$5:$F1884,$C$5:$C1884,$C1884,$B$5:$B1884,"Entrada")-SUMIFS($F$5:$F1884,$C$5:$C1884,$C1884,$B$5:$B1884,"Salida"))</f>
        <v/>
      </c>
      <c r="J1884" s="20"/>
      <c r="K1884" s="20"/>
      <c r="L1884" s="20"/>
      <c r="M1884" s="14" t="str">
        <f>IF(AND($C1884&lt;&gt;"",$C1884=Kardex!$C$4),COUNTIF($C$5:$C1884,Kardex!$C$4),"")</f>
        <v/>
      </c>
    </row>
    <row r="1885" spans="1:13" x14ac:dyDescent="0.25">
      <c r="A1885" s="24"/>
      <c r="B1885" s="20"/>
      <c r="C1885" s="20"/>
      <c r="D1885" s="14" t="str">
        <f>IF($C1885="","",IFERROR(INDEX(Productos!$B$5:$B$504,MATCH($C1885,Productos!$A$5:$A$504,0)),"Clave no existe"))</f>
        <v/>
      </c>
      <c r="E1885" s="14" t="str">
        <f>IF($C1885="","",IFERROR(INDEX(Productos!$D$5:$D$504,MATCH($C1885,Productos!$A$5:$A$504,0)),""))</f>
        <v/>
      </c>
      <c r="F1885" s="20"/>
      <c r="G1885" s="22" t="str">
        <f>IF($C1885="","",IFERROR(INDEX(Productos!$F$5:$F$504,MATCH($C1885,Productos!$A$5:$A$504,0)),0))</f>
        <v/>
      </c>
      <c r="H1885" s="22" t="str">
        <f t="shared" si="29"/>
        <v/>
      </c>
      <c r="I1885" s="14" t="str">
        <f>IF(OR($C1885="",$F1885=""),"",IFERROR(INDEX(Productos!$I$5:$I$504,MATCH($C1885,Productos!$A$5:$A$504,0)),0)+SUMIFS($F$5:$F1885,$C$5:$C1885,$C1885,$B$5:$B1885,"Entrada")-SUMIFS($F$5:$F1885,$C$5:$C1885,$C1885,$B$5:$B1885,"Salida"))</f>
        <v/>
      </c>
      <c r="J1885" s="20"/>
      <c r="K1885" s="20"/>
      <c r="L1885" s="20"/>
      <c r="M1885" s="14" t="str">
        <f>IF(AND($C1885&lt;&gt;"",$C1885=Kardex!$C$4),COUNTIF($C$5:$C1885,Kardex!$C$4),"")</f>
        <v/>
      </c>
    </row>
    <row r="1886" spans="1:13" x14ac:dyDescent="0.25">
      <c r="A1886" s="24"/>
      <c r="B1886" s="20"/>
      <c r="C1886" s="20"/>
      <c r="D1886" s="14" t="str">
        <f>IF($C1886="","",IFERROR(INDEX(Productos!$B$5:$B$504,MATCH($C1886,Productos!$A$5:$A$504,0)),"Clave no existe"))</f>
        <v/>
      </c>
      <c r="E1886" s="14" t="str">
        <f>IF($C1886="","",IFERROR(INDEX(Productos!$D$5:$D$504,MATCH($C1886,Productos!$A$5:$A$504,0)),""))</f>
        <v/>
      </c>
      <c r="F1886" s="20"/>
      <c r="G1886" s="22" t="str">
        <f>IF($C1886="","",IFERROR(INDEX(Productos!$F$5:$F$504,MATCH($C1886,Productos!$A$5:$A$504,0)),0))</f>
        <v/>
      </c>
      <c r="H1886" s="22" t="str">
        <f t="shared" si="29"/>
        <v/>
      </c>
      <c r="I1886" s="14" t="str">
        <f>IF(OR($C1886="",$F1886=""),"",IFERROR(INDEX(Productos!$I$5:$I$504,MATCH($C1886,Productos!$A$5:$A$504,0)),0)+SUMIFS($F$5:$F1886,$C$5:$C1886,$C1886,$B$5:$B1886,"Entrada")-SUMIFS($F$5:$F1886,$C$5:$C1886,$C1886,$B$5:$B1886,"Salida"))</f>
        <v/>
      </c>
      <c r="J1886" s="20"/>
      <c r="K1886" s="20"/>
      <c r="L1886" s="20"/>
      <c r="M1886" s="14" t="str">
        <f>IF(AND($C1886&lt;&gt;"",$C1886=Kardex!$C$4),COUNTIF($C$5:$C1886,Kardex!$C$4),"")</f>
        <v/>
      </c>
    </row>
    <row r="1887" spans="1:13" x14ac:dyDescent="0.25">
      <c r="A1887" s="24"/>
      <c r="B1887" s="20"/>
      <c r="C1887" s="20"/>
      <c r="D1887" s="14" t="str">
        <f>IF($C1887="","",IFERROR(INDEX(Productos!$B$5:$B$504,MATCH($C1887,Productos!$A$5:$A$504,0)),"Clave no existe"))</f>
        <v/>
      </c>
      <c r="E1887" s="14" t="str">
        <f>IF($C1887="","",IFERROR(INDEX(Productos!$D$5:$D$504,MATCH($C1887,Productos!$A$5:$A$504,0)),""))</f>
        <v/>
      </c>
      <c r="F1887" s="20"/>
      <c r="G1887" s="22" t="str">
        <f>IF($C1887="","",IFERROR(INDEX(Productos!$F$5:$F$504,MATCH($C1887,Productos!$A$5:$A$504,0)),0))</f>
        <v/>
      </c>
      <c r="H1887" s="22" t="str">
        <f t="shared" si="29"/>
        <v/>
      </c>
      <c r="I1887" s="14" t="str">
        <f>IF(OR($C1887="",$F1887=""),"",IFERROR(INDEX(Productos!$I$5:$I$504,MATCH($C1887,Productos!$A$5:$A$504,0)),0)+SUMIFS($F$5:$F1887,$C$5:$C1887,$C1887,$B$5:$B1887,"Entrada")-SUMIFS($F$5:$F1887,$C$5:$C1887,$C1887,$B$5:$B1887,"Salida"))</f>
        <v/>
      </c>
      <c r="J1887" s="20"/>
      <c r="K1887" s="20"/>
      <c r="L1887" s="20"/>
      <c r="M1887" s="14" t="str">
        <f>IF(AND($C1887&lt;&gt;"",$C1887=Kardex!$C$4),COUNTIF($C$5:$C1887,Kardex!$C$4),"")</f>
        <v/>
      </c>
    </row>
    <row r="1888" spans="1:13" x14ac:dyDescent="0.25">
      <c r="A1888" s="24"/>
      <c r="B1888" s="20"/>
      <c r="C1888" s="20"/>
      <c r="D1888" s="14" t="str">
        <f>IF($C1888="","",IFERROR(INDEX(Productos!$B$5:$B$504,MATCH($C1888,Productos!$A$5:$A$504,0)),"Clave no existe"))</f>
        <v/>
      </c>
      <c r="E1888" s="14" t="str">
        <f>IF($C1888="","",IFERROR(INDEX(Productos!$D$5:$D$504,MATCH($C1888,Productos!$A$5:$A$504,0)),""))</f>
        <v/>
      </c>
      <c r="F1888" s="20"/>
      <c r="G1888" s="22" t="str">
        <f>IF($C1888="","",IFERROR(INDEX(Productos!$F$5:$F$504,MATCH($C1888,Productos!$A$5:$A$504,0)),0))</f>
        <v/>
      </c>
      <c r="H1888" s="22" t="str">
        <f t="shared" si="29"/>
        <v/>
      </c>
      <c r="I1888" s="14" t="str">
        <f>IF(OR($C1888="",$F1888=""),"",IFERROR(INDEX(Productos!$I$5:$I$504,MATCH($C1888,Productos!$A$5:$A$504,0)),0)+SUMIFS($F$5:$F1888,$C$5:$C1888,$C1888,$B$5:$B1888,"Entrada")-SUMIFS($F$5:$F1888,$C$5:$C1888,$C1888,$B$5:$B1888,"Salida"))</f>
        <v/>
      </c>
      <c r="J1888" s="20"/>
      <c r="K1888" s="20"/>
      <c r="L1888" s="20"/>
      <c r="M1888" s="14" t="str">
        <f>IF(AND($C1888&lt;&gt;"",$C1888=Kardex!$C$4),COUNTIF($C$5:$C1888,Kardex!$C$4),"")</f>
        <v/>
      </c>
    </row>
    <row r="1889" spans="1:13" x14ac:dyDescent="0.25">
      <c r="A1889" s="24"/>
      <c r="B1889" s="20"/>
      <c r="C1889" s="20"/>
      <c r="D1889" s="14" t="str">
        <f>IF($C1889="","",IFERROR(INDEX(Productos!$B$5:$B$504,MATCH($C1889,Productos!$A$5:$A$504,0)),"Clave no existe"))</f>
        <v/>
      </c>
      <c r="E1889" s="14" t="str">
        <f>IF($C1889="","",IFERROR(INDEX(Productos!$D$5:$D$504,MATCH($C1889,Productos!$A$5:$A$504,0)),""))</f>
        <v/>
      </c>
      <c r="F1889" s="20"/>
      <c r="G1889" s="22" t="str">
        <f>IF($C1889="","",IFERROR(INDEX(Productos!$F$5:$F$504,MATCH($C1889,Productos!$A$5:$A$504,0)),0))</f>
        <v/>
      </c>
      <c r="H1889" s="22" t="str">
        <f t="shared" si="29"/>
        <v/>
      </c>
      <c r="I1889" s="14" t="str">
        <f>IF(OR($C1889="",$F1889=""),"",IFERROR(INDEX(Productos!$I$5:$I$504,MATCH($C1889,Productos!$A$5:$A$504,0)),0)+SUMIFS($F$5:$F1889,$C$5:$C1889,$C1889,$B$5:$B1889,"Entrada")-SUMIFS($F$5:$F1889,$C$5:$C1889,$C1889,$B$5:$B1889,"Salida"))</f>
        <v/>
      </c>
      <c r="J1889" s="20"/>
      <c r="K1889" s="20"/>
      <c r="L1889" s="20"/>
      <c r="M1889" s="14" t="str">
        <f>IF(AND($C1889&lt;&gt;"",$C1889=Kardex!$C$4),COUNTIF($C$5:$C1889,Kardex!$C$4),"")</f>
        <v/>
      </c>
    </row>
    <row r="1890" spans="1:13" x14ac:dyDescent="0.25">
      <c r="A1890" s="24"/>
      <c r="B1890" s="20"/>
      <c r="C1890" s="20"/>
      <c r="D1890" s="14" t="str">
        <f>IF($C1890="","",IFERROR(INDEX(Productos!$B$5:$B$504,MATCH($C1890,Productos!$A$5:$A$504,0)),"Clave no existe"))</f>
        <v/>
      </c>
      <c r="E1890" s="14" t="str">
        <f>IF($C1890="","",IFERROR(INDEX(Productos!$D$5:$D$504,MATCH($C1890,Productos!$A$5:$A$504,0)),""))</f>
        <v/>
      </c>
      <c r="F1890" s="20"/>
      <c r="G1890" s="22" t="str">
        <f>IF($C1890="","",IFERROR(INDEX(Productos!$F$5:$F$504,MATCH($C1890,Productos!$A$5:$A$504,0)),0))</f>
        <v/>
      </c>
      <c r="H1890" s="22" t="str">
        <f t="shared" si="29"/>
        <v/>
      </c>
      <c r="I1890" s="14" t="str">
        <f>IF(OR($C1890="",$F1890=""),"",IFERROR(INDEX(Productos!$I$5:$I$504,MATCH($C1890,Productos!$A$5:$A$504,0)),0)+SUMIFS($F$5:$F1890,$C$5:$C1890,$C1890,$B$5:$B1890,"Entrada")-SUMIFS($F$5:$F1890,$C$5:$C1890,$C1890,$B$5:$B1890,"Salida"))</f>
        <v/>
      </c>
      <c r="J1890" s="20"/>
      <c r="K1890" s="20"/>
      <c r="L1890" s="20"/>
      <c r="M1890" s="14" t="str">
        <f>IF(AND($C1890&lt;&gt;"",$C1890=Kardex!$C$4),COUNTIF($C$5:$C1890,Kardex!$C$4),"")</f>
        <v/>
      </c>
    </row>
    <row r="1891" spans="1:13" x14ac:dyDescent="0.25">
      <c r="A1891" s="24"/>
      <c r="B1891" s="20"/>
      <c r="C1891" s="20"/>
      <c r="D1891" s="14" t="str">
        <f>IF($C1891="","",IFERROR(INDEX(Productos!$B$5:$B$504,MATCH($C1891,Productos!$A$5:$A$504,0)),"Clave no existe"))</f>
        <v/>
      </c>
      <c r="E1891" s="14" t="str">
        <f>IF($C1891="","",IFERROR(INDEX(Productos!$D$5:$D$504,MATCH($C1891,Productos!$A$5:$A$504,0)),""))</f>
        <v/>
      </c>
      <c r="F1891" s="20"/>
      <c r="G1891" s="22" t="str">
        <f>IF($C1891="","",IFERROR(INDEX(Productos!$F$5:$F$504,MATCH($C1891,Productos!$A$5:$A$504,0)),0))</f>
        <v/>
      </c>
      <c r="H1891" s="22" t="str">
        <f t="shared" si="29"/>
        <v/>
      </c>
      <c r="I1891" s="14" t="str">
        <f>IF(OR($C1891="",$F1891=""),"",IFERROR(INDEX(Productos!$I$5:$I$504,MATCH($C1891,Productos!$A$5:$A$504,0)),0)+SUMIFS($F$5:$F1891,$C$5:$C1891,$C1891,$B$5:$B1891,"Entrada")-SUMIFS($F$5:$F1891,$C$5:$C1891,$C1891,$B$5:$B1891,"Salida"))</f>
        <v/>
      </c>
      <c r="J1891" s="20"/>
      <c r="K1891" s="20"/>
      <c r="L1891" s="20"/>
      <c r="M1891" s="14" t="str">
        <f>IF(AND($C1891&lt;&gt;"",$C1891=Kardex!$C$4),COUNTIF($C$5:$C1891,Kardex!$C$4),"")</f>
        <v/>
      </c>
    </row>
    <row r="1892" spans="1:13" x14ac:dyDescent="0.25">
      <c r="A1892" s="24"/>
      <c r="B1892" s="20"/>
      <c r="C1892" s="20"/>
      <c r="D1892" s="14" t="str">
        <f>IF($C1892="","",IFERROR(INDEX(Productos!$B$5:$B$504,MATCH($C1892,Productos!$A$5:$A$504,0)),"Clave no existe"))</f>
        <v/>
      </c>
      <c r="E1892" s="14" t="str">
        <f>IF($C1892="","",IFERROR(INDEX(Productos!$D$5:$D$504,MATCH($C1892,Productos!$A$5:$A$504,0)),""))</f>
        <v/>
      </c>
      <c r="F1892" s="20"/>
      <c r="G1892" s="22" t="str">
        <f>IF($C1892="","",IFERROR(INDEX(Productos!$F$5:$F$504,MATCH($C1892,Productos!$A$5:$A$504,0)),0))</f>
        <v/>
      </c>
      <c r="H1892" s="22" t="str">
        <f t="shared" si="29"/>
        <v/>
      </c>
      <c r="I1892" s="14" t="str">
        <f>IF(OR($C1892="",$F1892=""),"",IFERROR(INDEX(Productos!$I$5:$I$504,MATCH($C1892,Productos!$A$5:$A$504,0)),0)+SUMIFS($F$5:$F1892,$C$5:$C1892,$C1892,$B$5:$B1892,"Entrada")-SUMIFS($F$5:$F1892,$C$5:$C1892,$C1892,$B$5:$B1892,"Salida"))</f>
        <v/>
      </c>
      <c r="J1892" s="20"/>
      <c r="K1892" s="20"/>
      <c r="L1892" s="20"/>
      <c r="M1892" s="14" t="str">
        <f>IF(AND($C1892&lt;&gt;"",$C1892=Kardex!$C$4),COUNTIF($C$5:$C1892,Kardex!$C$4),"")</f>
        <v/>
      </c>
    </row>
    <row r="1893" spans="1:13" x14ac:dyDescent="0.25">
      <c r="A1893" s="24"/>
      <c r="B1893" s="20"/>
      <c r="C1893" s="20"/>
      <c r="D1893" s="14" t="str">
        <f>IF($C1893="","",IFERROR(INDEX(Productos!$B$5:$B$504,MATCH($C1893,Productos!$A$5:$A$504,0)),"Clave no existe"))</f>
        <v/>
      </c>
      <c r="E1893" s="14" t="str">
        <f>IF($C1893="","",IFERROR(INDEX(Productos!$D$5:$D$504,MATCH($C1893,Productos!$A$5:$A$504,0)),""))</f>
        <v/>
      </c>
      <c r="F1893" s="20"/>
      <c r="G1893" s="22" t="str">
        <f>IF($C1893="","",IFERROR(INDEX(Productos!$F$5:$F$504,MATCH($C1893,Productos!$A$5:$A$504,0)),0))</f>
        <v/>
      </c>
      <c r="H1893" s="22" t="str">
        <f t="shared" si="29"/>
        <v/>
      </c>
      <c r="I1893" s="14" t="str">
        <f>IF(OR($C1893="",$F1893=""),"",IFERROR(INDEX(Productos!$I$5:$I$504,MATCH($C1893,Productos!$A$5:$A$504,0)),0)+SUMIFS($F$5:$F1893,$C$5:$C1893,$C1893,$B$5:$B1893,"Entrada")-SUMIFS($F$5:$F1893,$C$5:$C1893,$C1893,$B$5:$B1893,"Salida"))</f>
        <v/>
      </c>
      <c r="J1893" s="20"/>
      <c r="K1893" s="20"/>
      <c r="L1893" s="20"/>
      <c r="M1893" s="14" t="str">
        <f>IF(AND($C1893&lt;&gt;"",$C1893=Kardex!$C$4),COUNTIF($C$5:$C1893,Kardex!$C$4),"")</f>
        <v/>
      </c>
    </row>
    <row r="1894" spans="1:13" x14ac:dyDescent="0.25">
      <c r="A1894" s="24"/>
      <c r="B1894" s="20"/>
      <c r="C1894" s="20"/>
      <c r="D1894" s="14" t="str">
        <f>IF($C1894="","",IFERROR(INDEX(Productos!$B$5:$B$504,MATCH($C1894,Productos!$A$5:$A$504,0)),"Clave no existe"))</f>
        <v/>
      </c>
      <c r="E1894" s="14" t="str">
        <f>IF($C1894="","",IFERROR(INDEX(Productos!$D$5:$D$504,MATCH($C1894,Productos!$A$5:$A$504,0)),""))</f>
        <v/>
      </c>
      <c r="F1894" s="20"/>
      <c r="G1894" s="22" t="str">
        <f>IF($C1894="","",IFERROR(INDEX(Productos!$F$5:$F$504,MATCH($C1894,Productos!$A$5:$A$504,0)),0))</f>
        <v/>
      </c>
      <c r="H1894" s="22" t="str">
        <f t="shared" si="29"/>
        <v/>
      </c>
      <c r="I1894" s="14" t="str">
        <f>IF(OR($C1894="",$F1894=""),"",IFERROR(INDEX(Productos!$I$5:$I$504,MATCH($C1894,Productos!$A$5:$A$504,0)),0)+SUMIFS($F$5:$F1894,$C$5:$C1894,$C1894,$B$5:$B1894,"Entrada")-SUMIFS($F$5:$F1894,$C$5:$C1894,$C1894,$B$5:$B1894,"Salida"))</f>
        <v/>
      </c>
      <c r="J1894" s="20"/>
      <c r="K1894" s="20"/>
      <c r="L1894" s="20"/>
      <c r="M1894" s="14" t="str">
        <f>IF(AND($C1894&lt;&gt;"",$C1894=Kardex!$C$4),COUNTIF($C$5:$C1894,Kardex!$C$4),"")</f>
        <v/>
      </c>
    </row>
    <row r="1895" spans="1:13" x14ac:dyDescent="0.25">
      <c r="A1895" s="24"/>
      <c r="B1895" s="20"/>
      <c r="C1895" s="20"/>
      <c r="D1895" s="14" t="str">
        <f>IF($C1895="","",IFERROR(INDEX(Productos!$B$5:$B$504,MATCH($C1895,Productos!$A$5:$A$504,0)),"Clave no existe"))</f>
        <v/>
      </c>
      <c r="E1895" s="14" t="str">
        <f>IF($C1895="","",IFERROR(INDEX(Productos!$D$5:$D$504,MATCH($C1895,Productos!$A$5:$A$504,0)),""))</f>
        <v/>
      </c>
      <c r="F1895" s="20"/>
      <c r="G1895" s="22" t="str">
        <f>IF($C1895="","",IFERROR(INDEX(Productos!$F$5:$F$504,MATCH($C1895,Productos!$A$5:$A$504,0)),0))</f>
        <v/>
      </c>
      <c r="H1895" s="22" t="str">
        <f t="shared" si="29"/>
        <v/>
      </c>
      <c r="I1895" s="14" t="str">
        <f>IF(OR($C1895="",$F1895=""),"",IFERROR(INDEX(Productos!$I$5:$I$504,MATCH($C1895,Productos!$A$5:$A$504,0)),0)+SUMIFS($F$5:$F1895,$C$5:$C1895,$C1895,$B$5:$B1895,"Entrada")-SUMIFS($F$5:$F1895,$C$5:$C1895,$C1895,$B$5:$B1895,"Salida"))</f>
        <v/>
      </c>
      <c r="J1895" s="20"/>
      <c r="K1895" s="20"/>
      <c r="L1895" s="20"/>
      <c r="M1895" s="14" t="str">
        <f>IF(AND($C1895&lt;&gt;"",$C1895=Kardex!$C$4),COUNTIF($C$5:$C1895,Kardex!$C$4),"")</f>
        <v/>
      </c>
    </row>
    <row r="1896" spans="1:13" x14ac:dyDescent="0.25">
      <c r="A1896" s="24"/>
      <c r="B1896" s="20"/>
      <c r="C1896" s="20"/>
      <c r="D1896" s="14" t="str">
        <f>IF($C1896="","",IFERROR(INDEX(Productos!$B$5:$B$504,MATCH($C1896,Productos!$A$5:$A$504,0)),"Clave no existe"))</f>
        <v/>
      </c>
      <c r="E1896" s="14" t="str">
        <f>IF($C1896="","",IFERROR(INDEX(Productos!$D$5:$D$504,MATCH($C1896,Productos!$A$5:$A$504,0)),""))</f>
        <v/>
      </c>
      <c r="F1896" s="20"/>
      <c r="G1896" s="22" t="str">
        <f>IF($C1896="","",IFERROR(INDEX(Productos!$F$5:$F$504,MATCH($C1896,Productos!$A$5:$A$504,0)),0))</f>
        <v/>
      </c>
      <c r="H1896" s="22" t="str">
        <f t="shared" si="29"/>
        <v/>
      </c>
      <c r="I1896" s="14" t="str">
        <f>IF(OR($C1896="",$F1896=""),"",IFERROR(INDEX(Productos!$I$5:$I$504,MATCH($C1896,Productos!$A$5:$A$504,0)),0)+SUMIFS($F$5:$F1896,$C$5:$C1896,$C1896,$B$5:$B1896,"Entrada")-SUMIFS($F$5:$F1896,$C$5:$C1896,$C1896,$B$5:$B1896,"Salida"))</f>
        <v/>
      </c>
      <c r="J1896" s="20"/>
      <c r="K1896" s="20"/>
      <c r="L1896" s="20"/>
      <c r="M1896" s="14" t="str">
        <f>IF(AND($C1896&lt;&gt;"",$C1896=Kardex!$C$4),COUNTIF($C$5:$C1896,Kardex!$C$4),"")</f>
        <v/>
      </c>
    </row>
    <row r="1897" spans="1:13" x14ac:dyDescent="0.25">
      <c r="A1897" s="24"/>
      <c r="B1897" s="20"/>
      <c r="C1897" s="20"/>
      <c r="D1897" s="14" t="str">
        <f>IF($C1897="","",IFERROR(INDEX(Productos!$B$5:$B$504,MATCH($C1897,Productos!$A$5:$A$504,0)),"Clave no existe"))</f>
        <v/>
      </c>
      <c r="E1897" s="14" t="str">
        <f>IF($C1897="","",IFERROR(INDEX(Productos!$D$5:$D$504,MATCH($C1897,Productos!$A$5:$A$504,0)),""))</f>
        <v/>
      </c>
      <c r="F1897" s="20"/>
      <c r="G1897" s="22" t="str">
        <f>IF($C1897="","",IFERROR(INDEX(Productos!$F$5:$F$504,MATCH($C1897,Productos!$A$5:$A$504,0)),0))</f>
        <v/>
      </c>
      <c r="H1897" s="22" t="str">
        <f t="shared" si="29"/>
        <v/>
      </c>
      <c r="I1897" s="14" t="str">
        <f>IF(OR($C1897="",$F1897=""),"",IFERROR(INDEX(Productos!$I$5:$I$504,MATCH($C1897,Productos!$A$5:$A$504,0)),0)+SUMIFS($F$5:$F1897,$C$5:$C1897,$C1897,$B$5:$B1897,"Entrada")-SUMIFS($F$5:$F1897,$C$5:$C1897,$C1897,$B$5:$B1897,"Salida"))</f>
        <v/>
      </c>
      <c r="J1897" s="20"/>
      <c r="K1897" s="20"/>
      <c r="L1897" s="20"/>
      <c r="M1897" s="14" t="str">
        <f>IF(AND($C1897&lt;&gt;"",$C1897=Kardex!$C$4),COUNTIF($C$5:$C1897,Kardex!$C$4),"")</f>
        <v/>
      </c>
    </row>
    <row r="1898" spans="1:13" x14ac:dyDescent="0.25">
      <c r="A1898" s="24"/>
      <c r="B1898" s="20"/>
      <c r="C1898" s="20"/>
      <c r="D1898" s="14" t="str">
        <f>IF($C1898="","",IFERROR(INDEX(Productos!$B$5:$B$504,MATCH($C1898,Productos!$A$5:$A$504,0)),"Clave no existe"))</f>
        <v/>
      </c>
      <c r="E1898" s="14" t="str">
        <f>IF($C1898="","",IFERROR(INDEX(Productos!$D$5:$D$504,MATCH($C1898,Productos!$A$5:$A$504,0)),""))</f>
        <v/>
      </c>
      <c r="F1898" s="20"/>
      <c r="G1898" s="22" t="str">
        <f>IF($C1898="","",IFERROR(INDEX(Productos!$F$5:$F$504,MATCH($C1898,Productos!$A$5:$A$504,0)),0))</f>
        <v/>
      </c>
      <c r="H1898" s="22" t="str">
        <f t="shared" si="29"/>
        <v/>
      </c>
      <c r="I1898" s="14" t="str">
        <f>IF(OR($C1898="",$F1898=""),"",IFERROR(INDEX(Productos!$I$5:$I$504,MATCH($C1898,Productos!$A$5:$A$504,0)),0)+SUMIFS($F$5:$F1898,$C$5:$C1898,$C1898,$B$5:$B1898,"Entrada")-SUMIFS($F$5:$F1898,$C$5:$C1898,$C1898,$B$5:$B1898,"Salida"))</f>
        <v/>
      </c>
      <c r="J1898" s="20"/>
      <c r="K1898" s="20"/>
      <c r="L1898" s="20"/>
      <c r="M1898" s="14" t="str">
        <f>IF(AND($C1898&lt;&gt;"",$C1898=Kardex!$C$4),COUNTIF($C$5:$C1898,Kardex!$C$4),"")</f>
        <v/>
      </c>
    </row>
    <row r="1899" spans="1:13" x14ac:dyDescent="0.25">
      <c r="A1899" s="24"/>
      <c r="B1899" s="20"/>
      <c r="C1899" s="20"/>
      <c r="D1899" s="14" t="str">
        <f>IF($C1899="","",IFERROR(INDEX(Productos!$B$5:$B$504,MATCH($C1899,Productos!$A$5:$A$504,0)),"Clave no existe"))</f>
        <v/>
      </c>
      <c r="E1899" s="14" t="str">
        <f>IF($C1899="","",IFERROR(INDEX(Productos!$D$5:$D$504,MATCH($C1899,Productos!$A$5:$A$504,0)),""))</f>
        <v/>
      </c>
      <c r="F1899" s="20"/>
      <c r="G1899" s="22" t="str">
        <f>IF($C1899="","",IFERROR(INDEX(Productos!$F$5:$F$504,MATCH($C1899,Productos!$A$5:$A$504,0)),0))</f>
        <v/>
      </c>
      <c r="H1899" s="22" t="str">
        <f t="shared" si="29"/>
        <v/>
      </c>
      <c r="I1899" s="14" t="str">
        <f>IF(OR($C1899="",$F1899=""),"",IFERROR(INDEX(Productos!$I$5:$I$504,MATCH($C1899,Productos!$A$5:$A$504,0)),0)+SUMIFS($F$5:$F1899,$C$5:$C1899,$C1899,$B$5:$B1899,"Entrada")-SUMIFS($F$5:$F1899,$C$5:$C1899,$C1899,$B$5:$B1899,"Salida"))</f>
        <v/>
      </c>
      <c r="J1899" s="20"/>
      <c r="K1899" s="20"/>
      <c r="L1899" s="20"/>
      <c r="M1899" s="14" t="str">
        <f>IF(AND($C1899&lt;&gt;"",$C1899=Kardex!$C$4),COUNTIF($C$5:$C1899,Kardex!$C$4),"")</f>
        <v/>
      </c>
    </row>
    <row r="1900" spans="1:13" x14ac:dyDescent="0.25">
      <c r="A1900" s="24"/>
      <c r="B1900" s="20"/>
      <c r="C1900" s="20"/>
      <c r="D1900" s="14" t="str">
        <f>IF($C1900="","",IFERROR(INDEX(Productos!$B$5:$B$504,MATCH($C1900,Productos!$A$5:$A$504,0)),"Clave no existe"))</f>
        <v/>
      </c>
      <c r="E1900" s="14" t="str">
        <f>IF($C1900="","",IFERROR(INDEX(Productos!$D$5:$D$504,MATCH($C1900,Productos!$A$5:$A$504,0)),""))</f>
        <v/>
      </c>
      <c r="F1900" s="20"/>
      <c r="G1900" s="22" t="str">
        <f>IF($C1900="","",IFERROR(INDEX(Productos!$F$5:$F$504,MATCH($C1900,Productos!$A$5:$A$504,0)),0))</f>
        <v/>
      </c>
      <c r="H1900" s="22" t="str">
        <f t="shared" si="29"/>
        <v/>
      </c>
      <c r="I1900" s="14" t="str">
        <f>IF(OR($C1900="",$F1900=""),"",IFERROR(INDEX(Productos!$I$5:$I$504,MATCH($C1900,Productos!$A$5:$A$504,0)),0)+SUMIFS($F$5:$F1900,$C$5:$C1900,$C1900,$B$5:$B1900,"Entrada")-SUMIFS($F$5:$F1900,$C$5:$C1900,$C1900,$B$5:$B1900,"Salida"))</f>
        <v/>
      </c>
      <c r="J1900" s="20"/>
      <c r="K1900" s="20"/>
      <c r="L1900" s="20"/>
      <c r="M1900" s="14" t="str">
        <f>IF(AND($C1900&lt;&gt;"",$C1900=Kardex!$C$4),COUNTIF($C$5:$C1900,Kardex!$C$4),"")</f>
        <v/>
      </c>
    </row>
    <row r="1901" spans="1:13" x14ac:dyDescent="0.25">
      <c r="A1901" s="24"/>
      <c r="B1901" s="20"/>
      <c r="C1901" s="20"/>
      <c r="D1901" s="14" t="str">
        <f>IF($C1901="","",IFERROR(INDEX(Productos!$B$5:$B$504,MATCH($C1901,Productos!$A$5:$A$504,0)),"Clave no existe"))</f>
        <v/>
      </c>
      <c r="E1901" s="14" t="str">
        <f>IF($C1901="","",IFERROR(INDEX(Productos!$D$5:$D$504,MATCH($C1901,Productos!$A$5:$A$504,0)),""))</f>
        <v/>
      </c>
      <c r="F1901" s="20"/>
      <c r="G1901" s="22" t="str">
        <f>IF($C1901="","",IFERROR(INDEX(Productos!$F$5:$F$504,MATCH($C1901,Productos!$A$5:$A$504,0)),0))</f>
        <v/>
      </c>
      <c r="H1901" s="22" t="str">
        <f t="shared" si="29"/>
        <v/>
      </c>
      <c r="I1901" s="14" t="str">
        <f>IF(OR($C1901="",$F1901=""),"",IFERROR(INDEX(Productos!$I$5:$I$504,MATCH($C1901,Productos!$A$5:$A$504,0)),0)+SUMIFS($F$5:$F1901,$C$5:$C1901,$C1901,$B$5:$B1901,"Entrada")-SUMIFS($F$5:$F1901,$C$5:$C1901,$C1901,$B$5:$B1901,"Salida"))</f>
        <v/>
      </c>
      <c r="J1901" s="20"/>
      <c r="K1901" s="20"/>
      <c r="L1901" s="20"/>
      <c r="M1901" s="14" t="str">
        <f>IF(AND($C1901&lt;&gt;"",$C1901=Kardex!$C$4),COUNTIF($C$5:$C1901,Kardex!$C$4),"")</f>
        <v/>
      </c>
    </row>
    <row r="1902" spans="1:13" x14ac:dyDescent="0.25">
      <c r="A1902" s="24"/>
      <c r="B1902" s="20"/>
      <c r="C1902" s="20"/>
      <c r="D1902" s="14" t="str">
        <f>IF($C1902="","",IFERROR(INDEX(Productos!$B$5:$B$504,MATCH($C1902,Productos!$A$5:$A$504,0)),"Clave no existe"))</f>
        <v/>
      </c>
      <c r="E1902" s="14" t="str">
        <f>IF($C1902="","",IFERROR(INDEX(Productos!$D$5:$D$504,MATCH($C1902,Productos!$A$5:$A$504,0)),""))</f>
        <v/>
      </c>
      <c r="F1902" s="20"/>
      <c r="G1902" s="22" t="str">
        <f>IF($C1902="","",IFERROR(INDEX(Productos!$F$5:$F$504,MATCH($C1902,Productos!$A$5:$A$504,0)),0))</f>
        <v/>
      </c>
      <c r="H1902" s="22" t="str">
        <f t="shared" si="29"/>
        <v/>
      </c>
      <c r="I1902" s="14" t="str">
        <f>IF(OR($C1902="",$F1902=""),"",IFERROR(INDEX(Productos!$I$5:$I$504,MATCH($C1902,Productos!$A$5:$A$504,0)),0)+SUMIFS($F$5:$F1902,$C$5:$C1902,$C1902,$B$5:$B1902,"Entrada")-SUMIFS($F$5:$F1902,$C$5:$C1902,$C1902,$B$5:$B1902,"Salida"))</f>
        <v/>
      </c>
      <c r="J1902" s="20"/>
      <c r="K1902" s="20"/>
      <c r="L1902" s="20"/>
      <c r="M1902" s="14" t="str">
        <f>IF(AND($C1902&lt;&gt;"",$C1902=Kardex!$C$4),COUNTIF($C$5:$C1902,Kardex!$C$4),"")</f>
        <v/>
      </c>
    </row>
    <row r="1903" spans="1:13" x14ac:dyDescent="0.25">
      <c r="A1903" s="24"/>
      <c r="B1903" s="20"/>
      <c r="C1903" s="20"/>
      <c r="D1903" s="14" t="str">
        <f>IF($C1903="","",IFERROR(INDEX(Productos!$B$5:$B$504,MATCH($C1903,Productos!$A$5:$A$504,0)),"Clave no existe"))</f>
        <v/>
      </c>
      <c r="E1903" s="14" t="str">
        <f>IF($C1903="","",IFERROR(INDEX(Productos!$D$5:$D$504,MATCH($C1903,Productos!$A$5:$A$504,0)),""))</f>
        <v/>
      </c>
      <c r="F1903" s="20"/>
      <c r="G1903" s="22" t="str">
        <f>IF($C1903="","",IFERROR(INDEX(Productos!$F$5:$F$504,MATCH($C1903,Productos!$A$5:$A$504,0)),0))</f>
        <v/>
      </c>
      <c r="H1903" s="22" t="str">
        <f t="shared" si="29"/>
        <v/>
      </c>
      <c r="I1903" s="14" t="str">
        <f>IF(OR($C1903="",$F1903=""),"",IFERROR(INDEX(Productos!$I$5:$I$504,MATCH($C1903,Productos!$A$5:$A$504,0)),0)+SUMIFS($F$5:$F1903,$C$5:$C1903,$C1903,$B$5:$B1903,"Entrada")-SUMIFS($F$5:$F1903,$C$5:$C1903,$C1903,$B$5:$B1903,"Salida"))</f>
        <v/>
      </c>
      <c r="J1903" s="20"/>
      <c r="K1903" s="20"/>
      <c r="L1903" s="20"/>
      <c r="M1903" s="14" t="str">
        <f>IF(AND($C1903&lt;&gt;"",$C1903=Kardex!$C$4),COUNTIF($C$5:$C1903,Kardex!$C$4),"")</f>
        <v/>
      </c>
    </row>
    <row r="1904" spans="1:13" x14ac:dyDescent="0.25">
      <c r="A1904" s="24"/>
      <c r="B1904" s="20"/>
      <c r="C1904" s="20"/>
      <c r="D1904" s="14" t="str">
        <f>IF($C1904="","",IFERROR(INDEX(Productos!$B$5:$B$504,MATCH($C1904,Productos!$A$5:$A$504,0)),"Clave no existe"))</f>
        <v/>
      </c>
      <c r="E1904" s="14" t="str">
        <f>IF($C1904="","",IFERROR(INDEX(Productos!$D$5:$D$504,MATCH($C1904,Productos!$A$5:$A$504,0)),""))</f>
        <v/>
      </c>
      <c r="F1904" s="20"/>
      <c r="G1904" s="22" t="str">
        <f>IF($C1904="","",IFERROR(INDEX(Productos!$F$5:$F$504,MATCH($C1904,Productos!$A$5:$A$504,0)),0))</f>
        <v/>
      </c>
      <c r="H1904" s="22" t="str">
        <f t="shared" si="29"/>
        <v/>
      </c>
      <c r="I1904" s="14" t="str">
        <f>IF(OR($C1904="",$F1904=""),"",IFERROR(INDEX(Productos!$I$5:$I$504,MATCH($C1904,Productos!$A$5:$A$504,0)),0)+SUMIFS($F$5:$F1904,$C$5:$C1904,$C1904,$B$5:$B1904,"Entrada")-SUMIFS($F$5:$F1904,$C$5:$C1904,$C1904,$B$5:$B1904,"Salida"))</f>
        <v/>
      </c>
      <c r="J1904" s="20"/>
      <c r="K1904" s="20"/>
      <c r="L1904" s="20"/>
      <c r="M1904" s="14" t="str">
        <f>IF(AND($C1904&lt;&gt;"",$C1904=Kardex!$C$4),COUNTIF($C$5:$C1904,Kardex!$C$4),"")</f>
        <v/>
      </c>
    </row>
    <row r="1905" spans="1:13" x14ac:dyDescent="0.25">
      <c r="A1905" s="24"/>
      <c r="B1905" s="20"/>
      <c r="C1905" s="20"/>
      <c r="D1905" s="14" t="str">
        <f>IF($C1905="","",IFERROR(INDEX(Productos!$B$5:$B$504,MATCH($C1905,Productos!$A$5:$A$504,0)),"Clave no existe"))</f>
        <v/>
      </c>
      <c r="E1905" s="14" t="str">
        <f>IF($C1905="","",IFERROR(INDEX(Productos!$D$5:$D$504,MATCH($C1905,Productos!$A$5:$A$504,0)),""))</f>
        <v/>
      </c>
      <c r="F1905" s="20"/>
      <c r="G1905" s="22" t="str">
        <f>IF($C1905="","",IFERROR(INDEX(Productos!$F$5:$F$504,MATCH($C1905,Productos!$A$5:$A$504,0)),0))</f>
        <v/>
      </c>
      <c r="H1905" s="22" t="str">
        <f t="shared" si="29"/>
        <v/>
      </c>
      <c r="I1905" s="14" t="str">
        <f>IF(OR($C1905="",$F1905=""),"",IFERROR(INDEX(Productos!$I$5:$I$504,MATCH($C1905,Productos!$A$5:$A$504,0)),0)+SUMIFS($F$5:$F1905,$C$5:$C1905,$C1905,$B$5:$B1905,"Entrada")-SUMIFS($F$5:$F1905,$C$5:$C1905,$C1905,$B$5:$B1905,"Salida"))</f>
        <v/>
      </c>
      <c r="J1905" s="20"/>
      <c r="K1905" s="20"/>
      <c r="L1905" s="20"/>
      <c r="M1905" s="14" t="str">
        <f>IF(AND($C1905&lt;&gt;"",$C1905=Kardex!$C$4),COUNTIF($C$5:$C1905,Kardex!$C$4),"")</f>
        <v/>
      </c>
    </row>
    <row r="1906" spans="1:13" x14ac:dyDescent="0.25">
      <c r="A1906" s="24"/>
      <c r="B1906" s="20"/>
      <c r="C1906" s="20"/>
      <c r="D1906" s="14" t="str">
        <f>IF($C1906="","",IFERROR(INDEX(Productos!$B$5:$B$504,MATCH($C1906,Productos!$A$5:$A$504,0)),"Clave no existe"))</f>
        <v/>
      </c>
      <c r="E1906" s="14" t="str">
        <f>IF($C1906="","",IFERROR(INDEX(Productos!$D$5:$D$504,MATCH($C1906,Productos!$A$5:$A$504,0)),""))</f>
        <v/>
      </c>
      <c r="F1906" s="20"/>
      <c r="G1906" s="22" t="str">
        <f>IF($C1906="","",IFERROR(INDEX(Productos!$F$5:$F$504,MATCH($C1906,Productos!$A$5:$A$504,0)),0))</f>
        <v/>
      </c>
      <c r="H1906" s="22" t="str">
        <f t="shared" si="29"/>
        <v/>
      </c>
      <c r="I1906" s="14" t="str">
        <f>IF(OR($C1906="",$F1906=""),"",IFERROR(INDEX(Productos!$I$5:$I$504,MATCH($C1906,Productos!$A$5:$A$504,0)),0)+SUMIFS($F$5:$F1906,$C$5:$C1906,$C1906,$B$5:$B1906,"Entrada")-SUMIFS($F$5:$F1906,$C$5:$C1906,$C1906,$B$5:$B1906,"Salida"))</f>
        <v/>
      </c>
      <c r="J1906" s="20"/>
      <c r="K1906" s="20"/>
      <c r="L1906" s="20"/>
      <c r="M1906" s="14" t="str">
        <f>IF(AND($C1906&lt;&gt;"",$C1906=Kardex!$C$4),COUNTIF($C$5:$C1906,Kardex!$C$4),"")</f>
        <v/>
      </c>
    </row>
    <row r="1907" spans="1:13" x14ac:dyDescent="0.25">
      <c r="A1907" s="24"/>
      <c r="B1907" s="20"/>
      <c r="C1907" s="20"/>
      <c r="D1907" s="14" t="str">
        <f>IF($C1907="","",IFERROR(INDEX(Productos!$B$5:$B$504,MATCH($C1907,Productos!$A$5:$A$504,0)),"Clave no existe"))</f>
        <v/>
      </c>
      <c r="E1907" s="14" t="str">
        <f>IF($C1907="","",IFERROR(INDEX(Productos!$D$5:$D$504,MATCH($C1907,Productos!$A$5:$A$504,0)),""))</f>
        <v/>
      </c>
      <c r="F1907" s="20"/>
      <c r="G1907" s="22" t="str">
        <f>IF($C1907="","",IFERROR(INDEX(Productos!$F$5:$F$504,MATCH($C1907,Productos!$A$5:$A$504,0)),0))</f>
        <v/>
      </c>
      <c r="H1907" s="22" t="str">
        <f t="shared" si="29"/>
        <v/>
      </c>
      <c r="I1907" s="14" t="str">
        <f>IF(OR($C1907="",$F1907=""),"",IFERROR(INDEX(Productos!$I$5:$I$504,MATCH($C1907,Productos!$A$5:$A$504,0)),0)+SUMIFS($F$5:$F1907,$C$5:$C1907,$C1907,$B$5:$B1907,"Entrada")-SUMIFS($F$5:$F1907,$C$5:$C1907,$C1907,$B$5:$B1907,"Salida"))</f>
        <v/>
      </c>
      <c r="J1907" s="20"/>
      <c r="K1907" s="20"/>
      <c r="L1907" s="20"/>
      <c r="M1907" s="14" t="str">
        <f>IF(AND($C1907&lt;&gt;"",$C1907=Kardex!$C$4),COUNTIF($C$5:$C1907,Kardex!$C$4),"")</f>
        <v/>
      </c>
    </row>
    <row r="1908" spans="1:13" x14ac:dyDescent="0.25">
      <c r="A1908" s="24"/>
      <c r="B1908" s="20"/>
      <c r="C1908" s="20"/>
      <c r="D1908" s="14" t="str">
        <f>IF($C1908="","",IFERROR(INDEX(Productos!$B$5:$B$504,MATCH($C1908,Productos!$A$5:$A$504,0)),"Clave no existe"))</f>
        <v/>
      </c>
      <c r="E1908" s="14" t="str">
        <f>IF($C1908="","",IFERROR(INDEX(Productos!$D$5:$D$504,MATCH($C1908,Productos!$A$5:$A$504,0)),""))</f>
        <v/>
      </c>
      <c r="F1908" s="20"/>
      <c r="G1908" s="22" t="str">
        <f>IF($C1908="","",IFERROR(INDEX(Productos!$F$5:$F$504,MATCH($C1908,Productos!$A$5:$A$504,0)),0))</f>
        <v/>
      </c>
      <c r="H1908" s="22" t="str">
        <f t="shared" si="29"/>
        <v/>
      </c>
      <c r="I1908" s="14" t="str">
        <f>IF(OR($C1908="",$F1908=""),"",IFERROR(INDEX(Productos!$I$5:$I$504,MATCH($C1908,Productos!$A$5:$A$504,0)),0)+SUMIFS($F$5:$F1908,$C$5:$C1908,$C1908,$B$5:$B1908,"Entrada")-SUMIFS($F$5:$F1908,$C$5:$C1908,$C1908,$B$5:$B1908,"Salida"))</f>
        <v/>
      </c>
      <c r="J1908" s="20"/>
      <c r="K1908" s="20"/>
      <c r="L1908" s="20"/>
      <c r="M1908" s="14" t="str">
        <f>IF(AND($C1908&lt;&gt;"",$C1908=Kardex!$C$4),COUNTIF($C$5:$C1908,Kardex!$C$4),"")</f>
        <v/>
      </c>
    </row>
    <row r="1909" spans="1:13" x14ac:dyDescent="0.25">
      <c r="A1909" s="24"/>
      <c r="B1909" s="20"/>
      <c r="C1909" s="20"/>
      <c r="D1909" s="14" t="str">
        <f>IF($C1909="","",IFERROR(INDEX(Productos!$B$5:$B$504,MATCH($C1909,Productos!$A$5:$A$504,0)),"Clave no existe"))</f>
        <v/>
      </c>
      <c r="E1909" s="14" t="str">
        <f>IF($C1909="","",IFERROR(INDEX(Productos!$D$5:$D$504,MATCH($C1909,Productos!$A$5:$A$504,0)),""))</f>
        <v/>
      </c>
      <c r="F1909" s="20"/>
      <c r="G1909" s="22" t="str">
        <f>IF($C1909="","",IFERROR(INDEX(Productos!$F$5:$F$504,MATCH($C1909,Productos!$A$5:$A$504,0)),0))</f>
        <v/>
      </c>
      <c r="H1909" s="22" t="str">
        <f t="shared" si="29"/>
        <v/>
      </c>
      <c r="I1909" s="14" t="str">
        <f>IF(OR($C1909="",$F1909=""),"",IFERROR(INDEX(Productos!$I$5:$I$504,MATCH($C1909,Productos!$A$5:$A$504,0)),0)+SUMIFS($F$5:$F1909,$C$5:$C1909,$C1909,$B$5:$B1909,"Entrada")-SUMIFS($F$5:$F1909,$C$5:$C1909,$C1909,$B$5:$B1909,"Salida"))</f>
        <v/>
      </c>
      <c r="J1909" s="20"/>
      <c r="K1909" s="20"/>
      <c r="L1909" s="20"/>
      <c r="M1909" s="14" t="str">
        <f>IF(AND($C1909&lt;&gt;"",$C1909=Kardex!$C$4),COUNTIF($C$5:$C1909,Kardex!$C$4),"")</f>
        <v/>
      </c>
    </row>
    <row r="1910" spans="1:13" x14ac:dyDescent="0.25">
      <c r="A1910" s="24"/>
      <c r="B1910" s="20"/>
      <c r="C1910" s="20"/>
      <c r="D1910" s="14" t="str">
        <f>IF($C1910="","",IFERROR(INDEX(Productos!$B$5:$B$504,MATCH($C1910,Productos!$A$5:$A$504,0)),"Clave no existe"))</f>
        <v/>
      </c>
      <c r="E1910" s="14" t="str">
        <f>IF($C1910="","",IFERROR(INDEX(Productos!$D$5:$D$504,MATCH($C1910,Productos!$A$5:$A$504,0)),""))</f>
        <v/>
      </c>
      <c r="F1910" s="20"/>
      <c r="G1910" s="22" t="str">
        <f>IF($C1910="","",IFERROR(INDEX(Productos!$F$5:$F$504,MATCH($C1910,Productos!$A$5:$A$504,0)),0))</f>
        <v/>
      </c>
      <c r="H1910" s="22" t="str">
        <f t="shared" si="29"/>
        <v/>
      </c>
      <c r="I1910" s="14" t="str">
        <f>IF(OR($C1910="",$F1910=""),"",IFERROR(INDEX(Productos!$I$5:$I$504,MATCH($C1910,Productos!$A$5:$A$504,0)),0)+SUMIFS($F$5:$F1910,$C$5:$C1910,$C1910,$B$5:$B1910,"Entrada")-SUMIFS($F$5:$F1910,$C$5:$C1910,$C1910,$B$5:$B1910,"Salida"))</f>
        <v/>
      </c>
      <c r="J1910" s="20"/>
      <c r="K1910" s="20"/>
      <c r="L1910" s="20"/>
      <c r="M1910" s="14" t="str">
        <f>IF(AND($C1910&lt;&gt;"",$C1910=Kardex!$C$4),COUNTIF($C$5:$C1910,Kardex!$C$4),"")</f>
        <v/>
      </c>
    </row>
    <row r="1911" spans="1:13" x14ac:dyDescent="0.25">
      <c r="A1911" s="24"/>
      <c r="B1911" s="20"/>
      <c r="C1911" s="20"/>
      <c r="D1911" s="14" t="str">
        <f>IF($C1911="","",IFERROR(INDEX(Productos!$B$5:$B$504,MATCH($C1911,Productos!$A$5:$A$504,0)),"Clave no existe"))</f>
        <v/>
      </c>
      <c r="E1911" s="14" t="str">
        <f>IF($C1911="","",IFERROR(INDEX(Productos!$D$5:$D$504,MATCH($C1911,Productos!$A$5:$A$504,0)),""))</f>
        <v/>
      </c>
      <c r="F1911" s="20"/>
      <c r="G1911" s="22" t="str">
        <f>IF($C1911="","",IFERROR(INDEX(Productos!$F$5:$F$504,MATCH($C1911,Productos!$A$5:$A$504,0)),0))</f>
        <v/>
      </c>
      <c r="H1911" s="22" t="str">
        <f t="shared" si="29"/>
        <v/>
      </c>
      <c r="I1911" s="14" t="str">
        <f>IF(OR($C1911="",$F1911=""),"",IFERROR(INDEX(Productos!$I$5:$I$504,MATCH($C1911,Productos!$A$5:$A$504,0)),0)+SUMIFS($F$5:$F1911,$C$5:$C1911,$C1911,$B$5:$B1911,"Entrada")-SUMIFS($F$5:$F1911,$C$5:$C1911,$C1911,$B$5:$B1911,"Salida"))</f>
        <v/>
      </c>
      <c r="J1911" s="20"/>
      <c r="K1911" s="20"/>
      <c r="L1911" s="20"/>
      <c r="M1911" s="14" t="str">
        <f>IF(AND($C1911&lt;&gt;"",$C1911=Kardex!$C$4),COUNTIF($C$5:$C1911,Kardex!$C$4),"")</f>
        <v/>
      </c>
    </row>
    <row r="1912" spans="1:13" x14ac:dyDescent="0.25">
      <c r="A1912" s="24"/>
      <c r="B1912" s="20"/>
      <c r="C1912" s="20"/>
      <c r="D1912" s="14" t="str">
        <f>IF($C1912="","",IFERROR(INDEX(Productos!$B$5:$B$504,MATCH($C1912,Productos!$A$5:$A$504,0)),"Clave no existe"))</f>
        <v/>
      </c>
      <c r="E1912" s="14" t="str">
        <f>IF($C1912="","",IFERROR(INDEX(Productos!$D$5:$D$504,MATCH($C1912,Productos!$A$5:$A$504,0)),""))</f>
        <v/>
      </c>
      <c r="F1912" s="20"/>
      <c r="G1912" s="22" t="str">
        <f>IF($C1912="","",IFERROR(INDEX(Productos!$F$5:$F$504,MATCH($C1912,Productos!$A$5:$A$504,0)),0))</f>
        <v/>
      </c>
      <c r="H1912" s="22" t="str">
        <f t="shared" si="29"/>
        <v/>
      </c>
      <c r="I1912" s="14" t="str">
        <f>IF(OR($C1912="",$F1912=""),"",IFERROR(INDEX(Productos!$I$5:$I$504,MATCH($C1912,Productos!$A$5:$A$504,0)),0)+SUMIFS($F$5:$F1912,$C$5:$C1912,$C1912,$B$5:$B1912,"Entrada")-SUMIFS($F$5:$F1912,$C$5:$C1912,$C1912,$B$5:$B1912,"Salida"))</f>
        <v/>
      </c>
      <c r="J1912" s="20"/>
      <c r="K1912" s="20"/>
      <c r="L1912" s="20"/>
      <c r="M1912" s="14" t="str">
        <f>IF(AND($C1912&lt;&gt;"",$C1912=Kardex!$C$4),COUNTIF($C$5:$C1912,Kardex!$C$4),"")</f>
        <v/>
      </c>
    </row>
    <row r="1913" spans="1:13" x14ac:dyDescent="0.25">
      <c r="A1913" s="24"/>
      <c r="B1913" s="20"/>
      <c r="C1913" s="20"/>
      <c r="D1913" s="14" t="str">
        <f>IF($C1913="","",IFERROR(INDEX(Productos!$B$5:$B$504,MATCH($C1913,Productos!$A$5:$A$504,0)),"Clave no existe"))</f>
        <v/>
      </c>
      <c r="E1913" s="14" t="str">
        <f>IF($C1913="","",IFERROR(INDEX(Productos!$D$5:$D$504,MATCH($C1913,Productos!$A$5:$A$504,0)),""))</f>
        <v/>
      </c>
      <c r="F1913" s="20"/>
      <c r="G1913" s="22" t="str">
        <f>IF($C1913="","",IFERROR(INDEX(Productos!$F$5:$F$504,MATCH($C1913,Productos!$A$5:$A$504,0)),0))</f>
        <v/>
      </c>
      <c r="H1913" s="22" t="str">
        <f t="shared" si="29"/>
        <v/>
      </c>
      <c r="I1913" s="14" t="str">
        <f>IF(OR($C1913="",$F1913=""),"",IFERROR(INDEX(Productos!$I$5:$I$504,MATCH($C1913,Productos!$A$5:$A$504,0)),0)+SUMIFS($F$5:$F1913,$C$5:$C1913,$C1913,$B$5:$B1913,"Entrada")-SUMIFS($F$5:$F1913,$C$5:$C1913,$C1913,$B$5:$B1913,"Salida"))</f>
        <v/>
      </c>
      <c r="J1913" s="20"/>
      <c r="K1913" s="20"/>
      <c r="L1913" s="20"/>
      <c r="M1913" s="14" t="str">
        <f>IF(AND($C1913&lt;&gt;"",$C1913=Kardex!$C$4),COUNTIF($C$5:$C1913,Kardex!$C$4),"")</f>
        <v/>
      </c>
    </row>
    <row r="1914" spans="1:13" x14ac:dyDescent="0.25">
      <c r="A1914" s="24"/>
      <c r="B1914" s="20"/>
      <c r="C1914" s="20"/>
      <c r="D1914" s="14" t="str">
        <f>IF($C1914="","",IFERROR(INDEX(Productos!$B$5:$B$504,MATCH($C1914,Productos!$A$5:$A$504,0)),"Clave no existe"))</f>
        <v/>
      </c>
      <c r="E1914" s="14" t="str">
        <f>IF($C1914="","",IFERROR(INDEX(Productos!$D$5:$D$504,MATCH($C1914,Productos!$A$5:$A$504,0)),""))</f>
        <v/>
      </c>
      <c r="F1914" s="20"/>
      <c r="G1914" s="22" t="str">
        <f>IF($C1914="","",IFERROR(INDEX(Productos!$F$5:$F$504,MATCH($C1914,Productos!$A$5:$A$504,0)),0))</f>
        <v/>
      </c>
      <c r="H1914" s="22" t="str">
        <f t="shared" si="29"/>
        <v/>
      </c>
      <c r="I1914" s="14" t="str">
        <f>IF(OR($C1914="",$F1914=""),"",IFERROR(INDEX(Productos!$I$5:$I$504,MATCH($C1914,Productos!$A$5:$A$504,0)),0)+SUMIFS($F$5:$F1914,$C$5:$C1914,$C1914,$B$5:$B1914,"Entrada")-SUMIFS($F$5:$F1914,$C$5:$C1914,$C1914,$B$5:$B1914,"Salida"))</f>
        <v/>
      </c>
      <c r="J1914" s="20"/>
      <c r="K1914" s="20"/>
      <c r="L1914" s="20"/>
      <c r="M1914" s="14" t="str">
        <f>IF(AND($C1914&lt;&gt;"",$C1914=Kardex!$C$4),COUNTIF($C$5:$C1914,Kardex!$C$4),"")</f>
        <v/>
      </c>
    </row>
    <row r="1915" spans="1:13" x14ac:dyDescent="0.25">
      <c r="A1915" s="24"/>
      <c r="B1915" s="20"/>
      <c r="C1915" s="20"/>
      <c r="D1915" s="14" t="str">
        <f>IF($C1915="","",IFERROR(INDEX(Productos!$B$5:$B$504,MATCH($C1915,Productos!$A$5:$A$504,0)),"Clave no existe"))</f>
        <v/>
      </c>
      <c r="E1915" s="14" t="str">
        <f>IF($C1915="","",IFERROR(INDEX(Productos!$D$5:$D$504,MATCH($C1915,Productos!$A$5:$A$504,0)),""))</f>
        <v/>
      </c>
      <c r="F1915" s="20"/>
      <c r="G1915" s="22" t="str">
        <f>IF($C1915="","",IFERROR(INDEX(Productos!$F$5:$F$504,MATCH($C1915,Productos!$A$5:$A$504,0)),0))</f>
        <v/>
      </c>
      <c r="H1915" s="22" t="str">
        <f t="shared" si="29"/>
        <v/>
      </c>
      <c r="I1915" s="14" t="str">
        <f>IF(OR($C1915="",$F1915=""),"",IFERROR(INDEX(Productos!$I$5:$I$504,MATCH($C1915,Productos!$A$5:$A$504,0)),0)+SUMIFS($F$5:$F1915,$C$5:$C1915,$C1915,$B$5:$B1915,"Entrada")-SUMIFS($F$5:$F1915,$C$5:$C1915,$C1915,$B$5:$B1915,"Salida"))</f>
        <v/>
      </c>
      <c r="J1915" s="20"/>
      <c r="K1915" s="20"/>
      <c r="L1915" s="20"/>
      <c r="M1915" s="14" t="str">
        <f>IF(AND($C1915&lt;&gt;"",$C1915=Kardex!$C$4),COUNTIF($C$5:$C1915,Kardex!$C$4),"")</f>
        <v/>
      </c>
    </row>
    <row r="1916" spans="1:13" x14ac:dyDescent="0.25">
      <c r="A1916" s="24"/>
      <c r="B1916" s="20"/>
      <c r="C1916" s="20"/>
      <c r="D1916" s="14" t="str">
        <f>IF($C1916="","",IFERROR(INDEX(Productos!$B$5:$B$504,MATCH($C1916,Productos!$A$5:$A$504,0)),"Clave no existe"))</f>
        <v/>
      </c>
      <c r="E1916" s="14" t="str">
        <f>IF($C1916="","",IFERROR(INDEX(Productos!$D$5:$D$504,MATCH($C1916,Productos!$A$5:$A$504,0)),""))</f>
        <v/>
      </c>
      <c r="F1916" s="20"/>
      <c r="G1916" s="22" t="str">
        <f>IF($C1916="","",IFERROR(INDEX(Productos!$F$5:$F$504,MATCH($C1916,Productos!$A$5:$A$504,0)),0))</f>
        <v/>
      </c>
      <c r="H1916" s="22" t="str">
        <f t="shared" si="29"/>
        <v/>
      </c>
      <c r="I1916" s="14" t="str">
        <f>IF(OR($C1916="",$F1916=""),"",IFERROR(INDEX(Productos!$I$5:$I$504,MATCH($C1916,Productos!$A$5:$A$504,0)),0)+SUMIFS($F$5:$F1916,$C$5:$C1916,$C1916,$B$5:$B1916,"Entrada")-SUMIFS($F$5:$F1916,$C$5:$C1916,$C1916,$B$5:$B1916,"Salida"))</f>
        <v/>
      </c>
      <c r="J1916" s="20"/>
      <c r="K1916" s="20"/>
      <c r="L1916" s="20"/>
      <c r="M1916" s="14" t="str">
        <f>IF(AND($C1916&lt;&gt;"",$C1916=Kardex!$C$4),COUNTIF($C$5:$C1916,Kardex!$C$4),"")</f>
        <v/>
      </c>
    </row>
    <row r="1917" spans="1:13" x14ac:dyDescent="0.25">
      <c r="A1917" s="24"/>
      <c r="B1917" s="20"/>
      <c r="C1917" s="20"/>
      <c r="D1917" s="14" t="str">
        <f>IF($C1917="","",IFERROR(INDEX(Productos!$B$5:$B$504,MATCH($C1917,Productos!$A$5:$A$504,0)),"Clave no existe"))</f>
        <v/>
      </c>
      <c r="E1917" s="14" t="str">
        <f>IF($C1917="","",IFERROR(INDEX(Productos!$D$5:$D$504,MATCH($C1917,Productos!$A$5:$A$504,0)),""))</f>
        <v/>
      </c>
      <c r="F1917" s="20"/>
      <c r="G1917" s="22" t="str">
        <f>IF($C1917="","",IFERROR(INDEX(Productos!$F$5:$F$504,MATCH($C1917,Productos!$A$5:$A$504,0)),0))</f>
        <v/>
      </c>
      <c r="H1917" s="22" t="str">
        <f t="shared" si="29"/>
        <v/>
      </c>
      <c r="I1917" s="14" t="str">
        <f>IF(OR($C1917="",$F1917=""),"",IFERROR(INDEX(Productos!$I$5:$I$504,MATCH($C1917,Productos!$A$5:$A$504,0)),0)+SUMIFS($F$5:$F1917,$C$5:$C1917,$C1917,$B$5:$B1917,"Entrada")-SUMIFS($F$5:$F1917,$C$5:$C1917,$C1917,$B$5:$B1917,"Salida"))</f>
        <v/>
      </c>
      <c r="J1917" s="20"/>
      <c r="K1917" s="20"/>
      <c r="L1917" s="20"/>
      <c r="M1917" s="14" t="str">
        <f>IF(AND($C1917&lt;&gt;"",$C1917=Kardex!$C$4),COUNTIF($C$5:$C1917,Kardex!$C$4),"")</f>
        <v/>
      </c>
    </row>
    <row r="1918" spans="1:13" x14ac:dyDescent="0.25">
      <c r="A1918" s="24"/>
      <c r="B1918" s="20"/>
      <c r="C1918" s="20"/>
      <c r="D1918" s="14" t="str">
        <f>IF($C1918="","",IFERROR(INDEX(Productos!$B$5:$B$504,MATCH($C1918,Productos!$A$5:$A$504,0)),"Clave no existe"))</f>
        <v/>
      </c>
      <c r="E1918" s="14" t="str">
        <f>IF($C1918="","",IFERROR(INDEX(Productos!$D$5:$D$504,MATCH($C1918,Productos!$A$5:$A$504,0)),""))</f>
        <v/>
      </c>
      <c r="F1918" s="20"/>
      <c r="G1918" s="22" t="str">
        <f>IF($C1918="","",IFERROR(INDEX(Productos!$F$5:$F$504,MATCH($C1918,Productos!$A$5:$A$504,0)),0))</f>
        <v/>
      </c>
      <c r="H1918" s="22" t="str">
        <f t="shared" si="29"/>
        <v/>
      </c>
      <c r="I1918" s="14" t="str">
        <f>IF(OR($C1918="",$F1918=""),"",IFERROR(INDEX(Productos!$I$5:$I$504,MATCH($C1918,Productos!$A$5:$A$504,0)),0)+SUMIFS($F$5:$F1918,$C$5:$C1918,$C1918,$B$5:$B1918,"Entrada")-SUMIFS($F$5:$F1918,$C$5:$C1918,$C1918,$B$5:$B1918,"Salida"))</f>
        <v/>
      </c>
      <c r="J1918" s="20"/>
      <c r="K1918" s="20"/>
      <c r="L1918" s="20"/>
      <c r="M1918" s="14" t="str">
        <f>IF(AND($C1918&lt;&gt;"",$C1918=Kardex!$C$4),COUNTIF($C$5:$C1918,Kardex!$C$4),"")</f>
        <v/>
      </c>
    </row>
    <row r="1919" spans="1:13" x14ac:dyDescent="0.25">
      <c r="A1919" s="24"/>
      <c r="B1919" s="20"/>
      <c r="C1919" s="20"/>
      <c r="D1919" s="14" t="str">
        <f>IF($C1919="","",IFERROR(INDEX(Productos!$B$5:$B$504,MATCH($C1919,Productos!$A$5:$A$504,0)),"Clave no existe"))</f>
        <v/>
      </c>
      <c r="E1919" s="14" t="str">
        <f>IF($C1919="","",IFERROR(INDEX(Productos!$D$5:$D$504,MATCH($C1919,Productos!$A$5:$A$504,0)),""))</f>
        <v/>
      </c>
      <c r="F1919" s="20"/>
      <c r="G1919" s="22" t="str">
        <f>IF($C1919="","",IFERROR(INDEX(Productos!$F$5:$F$504,MATCH($C1919,Productos!$A$5:$A$504,0)),0))</f>
        <v/>
      </c>
      <c r="H1919" s="22" t="str">
        <f t="shared" si="29"/>
        <v/>
      </c>
      <c r="I1919" s="14" t="str">
        <f>IF(OR($C1919="",$F1919=""),"",IFERROR(INDEX(Productos!$I$5:$I$504,MATCH($C1919,Productos!$A$5:$A$504,0)),0)+SUMIFS($F$5:$F1919,$C$5:$C1919,$C1919,$B$5:$B1919,"Entrada")-SUMIFS($F$5:$F1919,$C$5:$C1919,$C1919,$B$5:$B1919,"Salida"))</f>
        <v/>
      </c>
      <c r="J1919" s="20"/>
      <c r="K1919" s="20"/>
      <c r="L1919" s="20"/>
      <c r="M1919" s="14" t="str">
        <f>IF(AND($C1919&lt;&gt;"",$C1919=Kardex!$C$4),COUNTIF($C$5:$C1919,Kardex!$C$4),"")</f>
        <v/>
      </c>
    </row>
    <row r="1920" spans="1:13" x14ac:dyDescent="0.25">
      <c r="A1920" s="24"/>
      <c r="B1920" s="20"/>
      <c r="C1920" s="20"/>
      <c r="D1920" s="14" t="str">
        <f>IF($C1920="","",IFERROR(INDEX(Productos!$B$5:$B$504,MATCH($C1920,Productos!$A$5:$A$504,0)),"Clave no existe"))</f>
        <v/>
      </c>
      <c r="E1920" s="14" t="str">
        <f>IF($C1920="","",IFERROR(INDEX(Productos!$D$5:$D$504,MATCH($C1920,Productos!$A$5:$A$504,0)),""))</f>
        <v/>
      </c>
      <c r="F1920" s="20"/>
      <c r="G1920" s="22" t="str">
        <f>IF($C1920="","",IFERROR(INDEX(Productos!$F$5:$F$504,MATCH($C1920,Productos!$A$5:$A$504,0)),0))</f>
        <v/>
      </c>
      <c r="H1920" s="22" t="str">
        <f t="shared" si="29"/>
        <v/>
      </c>
      <c r="I1920" s="14" t="str">
        <f>IF(OR($C1920="",$F1920=""),"",IFERROR(INDEX(Productos!$I$5:$I$504,MATCH($C1920,Productos!$A$5:$A$504,0)),0)+SUMIFS($F$5:$F1920,$C$5:$C1920,$C1920,$B$5:$B1920,"Entrada")-SUMIFS($F$5:$F1920,$C$5:$C1920,$C1920,$B$5:$B1920,"Salida"))</f>
        <v/>
      </c>
      <c r="J1920" s="20"/>
      <c r="K1920" s="20"/>
      <c r="L1920" s="20"/>
      <c r="M1920" s="14" t="str">
        <f>IF(AND($C1920&lt;&gt;"",$C1920=Kardex!$C$4),COUNTIF($C$5:$C1920,Kardex!$C$4),"")</f>
        <v/>
      </c>
    </row>
    <row r="1921" spans="1:13" x14ac:dyDescent="0.25">
      <c r="A1921" s="24"/>
      <c r="B1921" s="20"/>
      <c r="C1921" s="20"/>
      <c r="D1921" s="14" t="str">
        <f>IF($C1921="","",IFERROR(INDEX(Productos!$B$5:$B$504,MATCH($C1921,Productos!$A$5:$A$504,0)),"Clave no existe"))</f>
        <v/>
      </c>
      <c r="E1921" s="14" t="str">
        <f>IF($C1921="","",IFERROR(INDEX(Productos!$D$5:$D$504,MATCH($C1921,Productos!$A$5:$A$504,0)),""))</f>
        <v/>
      </c>
      <c r="F1921" s="20"/>
      <c r="G1921" s="22" t="str">
        <f>IF($C1921="","",IFERROR(INDEX(Productos!$F$5:$F$504,MATCH($C1921,Productos!$A$5:$A$504,0)),0))</f>
        <v/>
      </c>
      <c r="H1921" s="22" t="str">
        <f t="shared" si="29"/>
        <v/>
      </c>
      <c r="I1921" s="14" t="str">
        <f>IF(OR($C1921="",$F1921=""),"",IFERROR(INDEX(Productos!$I$5:$I$504,MATCH($C1921,Productos!$A$5:$A$504,0)),0)+SUMIFS($F$5:$F1921,$C$5:$C1921,$C1921,$B$5:$B1921,"Entrada")-SUMIFS($F$5:$F1921,$C$5:$C1921,$C1921,$B$5:$B1921,"Salida"))</f>
        <v/>
      </c>
      <c r="J1921" s="20"/>
      <c r="K1921" s="20"/>
      <c r="L1921" s="20"/>
      <c r="M1921" s="14" t="str">
        <f>IF(AND($C1921&lt;&gt;"",$C1921=Kardex!$C$4),COUNTIF($C$5:$C1921,Kardex!$C$4),"")</f>
        <v/>
      </c>
    </row>
    <row r="1922" spans="1:13" x14ac:dyDescent="0.25">
      <c r="A1922" s="24"/>
      <c r="B1922" s="20"/>
      <c r="C1922" s="20"/>
      <c r="D1922" s="14" t="str">
        <f>IF($C1922="","",IFERROR(INDEX(Productos!$B$5:$B$504,MATCH($C1922,Productos!$A$5:$A$504,0)),"Clave no existe"))</f>
        <v/>
      </c>
      <c r="E1922" s="14" t="str">
        <f>IF($C1922="","",IFERROR(INDEX(Productos!$D$5:$D$504,MATCH($C1922,Productos!$A$5:$A$504,0)),""))</f>
        <v/>
      </c>
      <c r="F1922" s="20"/>
      <c r="G1922" s="22" t="str">
        <f>IF($C1922="","",IFERROR(INDEX(Productos!$F$5:$F$504,MATCH($C1922,Productos!$A$5:$A$504,0)),0))</f>
        <v/>
      </c>
      <c r="H1922" s="22" t="str">
        <f t="shared" si="29"/>
        <v/>
      </c>
      <c r="I1922" s="14" t="str">
        <f>IF(OR($C1922="",$F1922=""),"",IFERROR(INDEX(Productos!$I$5:$I$504,MATCH($C1922,Productos!$A$5:$A$504,0)),0)+SUMIFS($F$5:$F1922,$C$5:$C1922,$C1922,$B$5:$B1922,"Entrada")-SUMIFS($F$5:$F1922,$C$5:$C1922,$C1922,$B$5:$B1922,"Salida"))</f>
        <v/>
      </c>
      <c r="J1922" s="20"/>
      <c r="K1922" s="20"/>
      <c r="L1922" s="20"/>
      <c r="M1922" s="14" t="str">
        <f>IF(AND($C1922&lt;&gt;"",$C1922=Kardex!$C$4),COUNTIF($C$5:$C1922,Kardex!$C$4),"")</f>
        <v/>
      </c>
    </row>
    <row r="1923" spans="1:13" x14ac:dyDescent="0.25">
      <c r="A1923" s="24"/>
      <c r="B1923" s="20"/>
      <c r="C1923" s="20"/>
      <c r="D1923" s="14" t="str">
        <f>IF($C1923="","",IFERROR(INDEX(Productos!$B$5:$B$504,MATCH($C1923,Productos!$A$5:$A$504,0)),"Clave no existe"))</f>
        <v/>
      </c>
      <c r="E1923" s="14" t="str">
        <f>IF($C1923="","",IFERROR(INDEX(Productos!$D$5:$D$504,MATCH($C1923,Productos!$A$5:$A$504,0)),""))</f>
        <v/>
      </c>
      <c r="F1923" s="20"/>
      <c r="G1923" s="22" t="str">
        <f>IF($C1923="","",IFERROR(INDEX(Productos!$F$5:$F$504,MATCH($C1923,Productos!$A$5:$A$504,0)),0))</f>
        <v/>
      </c>
      <c r="H1923" s="22" t="str">
        <f t="shared" si="29"/>
        <v/>
      </c>
      <c r="I1923" s="14" t="str">
        <f>IF(OR($C1923="",$F1923=""),"",IFERROR(INDEX(Productos!$I$5:$I$504,MATCH($C1923,Productos!$A$5:$A$504,0)),0)+SUMIFS($F$5:$F1923,$C$5:$C1923,$C1923,$B$5:$B1923,"Entrada")-SUMIFS($F$5:$F1923,$C$5:$C1923,$C1923,$B$5:$B1923,"Salida"))</f>
        <v/>
      </c>
      <c r="J1923" s="20"/>
      <c r="K1923" s="20"/>
      <c r="L1923" s="20"/>
      <c r="M1923" s="14" t="str">
        <f>IF(AND($C1923&lt;&gt;"",$C1923=Kardex!$C$4),COUNTIF($C$5:$C1923,Kardex!$C$4),"")</f>
        <v/>
      </c>
    </row>
    <row r="1924" spans="1:13" x14ac:dyDescent="0.25">
      <c r="A1924" s="24"/>
      <c r="B1924" s="20"/>
      <c r="C1924" s="20"/>
      <c r="D1924" s="14" t="str">
        <f>IF($C1924="","",IFERROR(INDEX(Productos!$B$5:$B$504,MATCH($C1924,Productos!$A$5:$A$504,0)),"Clave no existe"))</f>
        <v/>
      </c>
      <c r="E1924" s="14" t="str">
        <f>IF($C1924="","",IFERROR(INDEX(Productos!$D$5:$D$504,MATCH($C1924,Productos!$A$5:$A$504,0)),""))</f>
        <v/>
      </c>
      <c r="F1924" s="20"/>
      <c r="G1924" s="22" t="str">
        <f>IF($C1924="","",IFERROR(INDEX(Productos!$F$5:$F$504,MATCH($C1924,Productos!$A$5:$A$504,0)),0))</f>
        <v/>
      </c>
      <c r="H1924" s="22" t="str">
        <f t="shared" si="29"/>
        <v/>
      </c>
      <c r="I1924" s="14" t="str">
        <f>IF(OR($C1924="",$F1924=""),"",IFERROR(INDEX(Productos!$I$5:$I$504,MATCH($C1924,Productos!$A$5:$A$504,0)),0)+SUMIFS($F$5:$F1924,$C$5:$C1924,$C1924,$B$5:$B1924,"Entrada")-SUMIFS($F$5:$F1924,$C$5:$C1924,$C1924,$B$5:$B1924,"Salida"))</f>
        <v/>
      </c>
      <c r="J1924" s="20"/>
      <c r="K1924" s="20"/>
      <c r="L1924" s="20"/>
      <c r="M1924" s="14" t="str">
        <f>IF(AND($C1924&lt;&gt;"",$C1924=Kardex!$C$4),COUNTIF($C$5:$C1924,Kardex!$C$4),"")</f>
        <v/>
      </c>
    </row>
    <row r="1925" spans="1:13" x14ac:dyDescent="0.25">
      <c r="A1925" s="24"/>
      <c r="B1925" s="20"/>
      <c r="C1925" s="20"/>
      <c r="D1925" s="14" t="str">
        <f>IF($C1925="","",IFERROR(INDEX(Productos!$B$5:$B$504,MATCH($C1925,Productos!$A$5:$A$504,0)),"Clave no existe"))</f>
        <v/>
      </c>
      <c r="E1925" s="14" t="str">
        <f>IF($C1925="","",IFERROR(INDEX(Productos!$D$5:$D$504,MATCH($C1925,Productos!$A$5:$A$504,0)),""))</f>
        <v/>
      </c>
      <c r="F1925" s="20"/>
      <c r="G1925" s="22" t="str">
        <f>IF($C1925="","",IFERROR(INDEX(Productos!$F$5:$F$504,MATCH($C1925,Productos!$A$5:$A$504,0)),0))</f>
        <v/>
      </c>
      <c r="H1925" s="22" t="str">
        <f t="shared" ref="H1925:H1988" si="30">IF(OR($C1925="",$F1925=""),"",F1925*G1925)</f>
        <v/>
      </c>
      <c r="I1925" s="14" t="str">
        <f>IF(OR($C1925="",$F1925=""),"",IFERROR(INDEX(Productos!$I$5:$I$504,MATCH($C1925,Productos!$A$5:$A$504,0)),0)+SUMIFS($F$5:$F1925,$C$5:$C1925,$C1925,$B$5:$B1925,"Entrada")-SUMIFS($F$5:$F1925,$C$5:$C1925,$C1925,$B$5:$B1925,"Salida"))</f>
        <v/>
      </c>
      <c r="J1925" s="20"/>
      <c r="K1925" s="20"/>
      <c r="L1925" s="20"/>
      <c r="M1925" s="14" t="str">
        <f>IF(AND($C1925&lt;&gt;"",$C1925=Kardex!$C$4),COUNTIF($C$5:$C1925,Kardex!$C$4),"")</f>
        <v/>
      </c>
    </row>
    <row r="1926" spans="1:13" x14ac:dyDescent="0.25">
      <c r="A1926" s="24"/>
      <c r="B1926" s="20"/>
      <c r="C1926" s="20"/>
      <c r="D1926" s="14" t="str">
        <f>IF($C1926="","",IFERROR(INDEX(Productos!$B$5:$B$504,MATCH($C1926,Productos!$A$5:$A$504,0)),"Clave no existe"))</f>
        <v/>
      </c>
      <c r="E1926" s="14" t="str">
        <f>IF($C1926="","",IFERROR(INDEX(Productos!$D$5:$D$504,MATCH($C1926,Productos!$A$5:$A$504,0)),""))</f>
        <v/>
      </c>
      <c r="F1926" s="20"/>
      <c r="G1926" s="22" t="str">
        <f>IF($C1926="","",IFERROR(INDEX(Productos!$F$5:$F$504,MATCH($C1926,Productos!$A$5:$A$504,0)),0))</f>
        <v/>
      </c>
      <c r="H1926" s="22" t="str">
        <f t="shared" si="30"/>
        <v/>
      </c>
      <c r="I1926" s="14" t="str">
        <f>IF(OR($C1926="",$F1926=""),"",IFERROR(INDEX(Productos!$I$5:$I$504,MATCH($C1926,Productos!$A$5:$A$504,0)),0)+SUMIFS($F$5:$F1926,$C$5:$C1926,$C1926,$B$5:$B1926,"Entrada")-SUMIFS($F$5:$F1926,$C$5:$C1926,$C1926,$B$5:$B1926,"Salida"))</f>
        <v/>
      </c>
      <c r="J1926" s="20"/>
      <c r="K1926" s="20"/>
      <c r="L1926" s="20"/>
      <c r="M1926" s="14" t="str">
        <f>IF(AND($C1926&lt;&gt;"",$C1926=Kardex!$C$4),COUNTIF($C$5:$C1926,Kardex!$C$4),"")</f>
        <v/>
      </c>
    </row>
    <row r="1927" spans="1:13" x14ac:dyDescent="0.25">
      <c r="A1927" s="24"/>
      <c r="B1927" s="20"/>
      <c r="C1927" s="20"/>
      <c r="D1927" s="14" t="str">
        <f>IF($C1927="","",IFERROR(INDEX(Productos!$B$5:$B$504,MATCH($C1927,Productos!$A$5:$A$504,0)),"Clave no existe"))</f>
        <v/>
      </c>
      <c r="E1927" s="14" t="str">
        <f>IF($C1927="","",IFERROR(INDEX(Productos!$D$5:$D$504,MATCH($C1927,Productos!$A$5:$A$504,0)),""))</f>
        <v/>
      </c>
      <c r="F1927" s="20"/>
      <c r="G1927" s="22" t="str">
        <f>IF($C1927="","",IFERROR(INDEX(Productos!$F$5:$F$504,MATCH($C1927,Productos!$A$5:$A$504,0)),0))</f>
        <v/>
      </c>
      <c r="H1927" s="22" t="str">
        <f t="shared" si="30"/>
        <v/>
      </c>
      <c r="I1927" s="14" t="str">
        <f>IF(OR($C1927="",$F1927=""),"",IFERROR(INDEX(Productos!$I$5:$I$504,MATCH($C1927,Productos!$A$5:$A$504,0)),0)+SUMIFS($F$5:$F1927,$C$5:$C1927,$C1927,$B$5:$B1927,"Entrada")-SUMIFS($F$5:$F1927,$C$5:$C1927,$C1927,$B$5:$B1927,"Salida"))</f>
        <v/>
      </c>
      <c r="J1927" s="20"/>
      <c r="K1927" s="20"/>
      <c r="L1927" s="20"/>
      <c r="M1927" s="14" t="str">
        <f>IF(AND($C1927&lt;&gt;"",$C1927=Kardex!$C$4),COUNTIF($C$5:$C1927,Kardex!$C$4),"")</f>
        <v/>
      </c>
    </row>
    <row r="1928" spans="1:13" x14ac:dyDescent="0.25">
      <c r="A1928" s="24"/>
      <c r="B1928" s="20"/>
      <c r="C1928" s="20"/>
      <c r="D1928" s="14" t="str">
        <f>IF($C1928="","",IFERROR(INDEX(Productos!$B$5:$B$504,MATCH($C1928,Productos!$A$5:$A$504,0)),"Clave no existe"))</f>
        <v/>
      </c>
      <c r="E1928" s="14" t="str">
        <f>IF($C1928="","",IFERROR(INDEX(Productos!$D$5:$D$504,MATCH($C1928,Productos!$A$5:$A$504,0)),""))</f>
        <v/>
      </c>
      <c r="F1928" s="20"/>
      <c r="G1928" s="22" t="str">
        <f>IF($C1928="","",IFERROR(INDEX(Productos!$F$5:$F$504,MATCH($C1928,Productos!$A$5:$A$504,0)),0))</f>
        <v/>
      </c>
      <c r="H1928" s="22" t="str">
        <f t="shared" si="30"/>
        <v/>
      </c>
      <c r="I1928" s="14" t="str">
        <f>IF(OR($C1928="",$F1928=""),"",IFERROR(INDEX(Productos!$I$5:$I$504,MATCH($C1928,Productos!$A$5:$A$504,0)),0)+SUMIFS($F$5:$F1928,$C$5:$C1928,$C1928,$B$5:$B1928,"Entrada")-SUMIFS($F$5:$F1928,$C$5:$C1928,$C1928,$B$5:$B1928,"Salida"))</f>
        <v/>
      </c>
      <c r="J1928" s="20"/>
      <c r="K1928" s="20"/>
      <c r="L1928" s="20"/>
      <c r="M1928" s="14" t="str">
        <f>IF(AND($C1928&lt;&gt;"",$C1928=Kardex!$C$4),COUNTIF($C$5:$C1928,Kardex!$C$4),"")</f>
        <v/>
      </c>
    </row>
    <row r="1929" spans="1:13" x14ac:dyDescent="0.25">
      <c r="A1929" s="24"/>
      <c r="B1929" s="20"/>
      <c r="C1929" s="20"/>
      <c r="D1929" s="14" t="str">
        <f>IF($C1929="","",IFERROR(INDEX(Productos!$B$5:$B$504,MATCH($C1929,Productos!$A$5:$A$504,0)),"Clave no existe"))</f>
        <v/>
      </c>
      <c r="E1929" s="14" t="str">
        <f>IF($C1929="","",IFERROR(INDEX(Productos!$D$5:$D$504,MATCH($C1929,Productos!$A$5:$A$504,0)),""))</f>
        <v/>
      </c>
      <c r="F1929" s="20"/>
      <c r="G1929" s="22" t="str">
        <f>IF($C1929="","",IFERROR(INDEX(Productos!$F$5:$F$504,MATCH($C1929,Productos!$A$5:$A$504,0)),0))</f>
        <v/>
      </c>
      <c r="H1929" s="22" t="str">
        <f t="shared" si="30"/>
        <v/>
      </c>
      <c r="I1929" s="14" t="str">
        <f>IF(OR($C1929="",$F1929=""),"",IFERROR(INDEX(Productos!$I$5:$I$504,MATCH($C1929,Productos!$A$5:$A$504,0)),0)+SUMIFS($F$5:$F1929,$C$5:$C1929,$C1929,$B$5:$B1929,"Entrada")-SUMIFS($F$5:$F1929,$C$5:$C1929,$C1929,$B$5:$B1929,"Salida"))</f>
        <v/>
      </c>
      <c r="J1929" s="20"/>
      <c r="K1929" s="20"/>
      <c r="L1929" s="20"/>
      <c r="M1929" s="14" t="str">
        <f>IF(AND($C1929&lt;&gt;"",$C1929=Kardex!$C$4),COUNTIF($C$5:$C1929,Kardex!$C$4),"")</f>
        <v/>
      </c>
    </row>
    <row r="1930" spans="1:13" x14ac:dyDescent="0.25">
      <c r="A1930" s="24"/>
      <c r="B1930" s="20"/>
      <c r="C1930" s="20"/>
      <c r="D1930" s="14" t="str">
        <f>IF($C1930="","",IFERROR(INDEX(Productos!$B$5:$B$504,MATCH($C1930,Productos!$A$5:$A$504,0)),"Clave no existe"))</f>
        <v/>
      </c>
      <c r="E1930" s="14" t="str">
        <f>IF($C1930="","",IFERROR(INDEX(Productos!$D$5:$D$504,MATCH($C1930,Productos!$A$5:$A$504,0)),""))</f>
        <v/>
      </c>
      <c r="F1930" s="20"/>
      <c r="G1930" s="22" t="str">
        <f>IF($C1930="","",IFERROR(INDEX(Productos!$F$5:$F$504,MATCH($C1930,Productos!$A$5:$A$504,0)),0))</f>
        <v/>
      </c>
      <c r="H1930" s="22" t="str">
        <f t="shared" si="30"/>
        <v/>
      </c>
      <c r="I1930" s="14" t="str">
        <f>IF(OR($C1930="",$F1930=""),"",IFERROR(INDEX(Productos!$I$5:$I$504,MATCH($C1930,Productos!$A$5:$A$504,0)),0)+SUMIFS($F$5:$F1930,$C$5:$C1930,$C1930,$B$5:$B1930,"Entrada")-SUMIFS($F$5:$F1930,$C$5:$C1930,$C1930,$B$5:$B1930,"Salida"))</f>
        <v/>
      </c>
      <c r="J1930" s="20"/>
      <c r="K1930" s="20"/>
      <c r="L1930" s="20"/>
      <c r="M1930" s="14" t="str">
        <f>IF(AND($C1930&lt;&gt;"",$C1930=Kardex!$C$4),COUNTIF($C$5:$C1930,Kardex!$C$4),"")</f>
        <v/>
      </c>
    </row>
    <row r="1931" spans="1:13" x14ac:dyDescent="0.25">
      <c r="A1931" s="24"/>
      <c r="B1931" s="20"/>
      <c r="C1931" s="20"/>
      <c r="D1931" s="14" t="str">
        <f>IF($C1931="","",IFERROR(INDEX(Productos!$B$5:$B$504,MATCH($C1931,Productos!$A$5:$A$504,0)),"Clave no existe"))</f>
        <v/>
      </c>
      <c r="E1931" s="14" t="str">
        <f>IF($C1931="","",IFERROR(INDEX(Productos!$D$5:$D$504,MATCH($C1931,Productos!$A$5:$A$504,0)),""))</f>
        <v/>
      </c>
      <c r="F1931" s="20"/>
      <c r="G1931" s="22" t="str">
        <f>IF($C1931="","",IFERROR(INDEX(Productos!$F$5:$F$504,MATCH($C1931,Productos!$A$5:$A$504,0)),0))</f>
        <v/>
      </c>
      <c r="H1931" s="22" t="str">
        <f t="shared" si="30"/>
        <v/>
      </c>
      <c r="I1931" s="14" t="str">
        <f>IF(OR($C1931="",$F1931=""),"",IFERROR(INDEX(Productos!$I$5:$I$504,MATCH($C1931,Productos!$A$5:$A$504,0)),0)+SUMIFS($F$5:$F1931,$C$5:$C1931,$C1931,$B$5:$B1931,"Entrada")-SUMIFS($F$5:$F1931,$C$5:$C1931,$C1931,$B$5:$B1931,"Salida"))</f>
        <v/>
      </c>
      <c r="J1931" s="20"/>
      <c r="K1931" s="20"/>
      <c r="L1931" s="20"/>
      <c r="M1931" s="14" t="str">
        <f>IF(AND($C1931&lt;&gt;"",$C1931=Kardex!$C$4),COUNTIF($C$5:$C1931,Kardex!$C$4),"")</f>
        <v/>
      </c>
    </row>
    <row r="1932" spans="1:13" x14ac:dyDescent="0.25">
      <c r="A1932" s="24"/>
      <c r="B1932" s="20"/>
      <c r="C1932" s="20"/>
      <c r="D1932" s="14" t="str">
        <f>IF($C1932="","",IFERROR(INDEX(Productos!$B$5:$B$504,MATCH($C1932,Productos!$A$5:$A$504,0)),"Clave no existe"))</f>
        <v/>
      </c>
      <c r="E1932" s="14" t="str">
        <f>IF($C1932="","",IFERROR(INDEX(Productos!$D$5:$D$504,MATCH($C1932,Productos!$A$5:$A$504,0)),""))</f>
        <v/>
      </c>
      <c r="F1932" s="20"/>
      <c r="G1932" s="22" t="str">
        <f>IF($C1932="","",IFERROR(INDEX(Productos!$F$5:$F$504,MATCH($C1932,Productos!$A$5:$A$504,0)),0))</f>
        <v/>
      </c>
      <c r="H1932" s="22" t="str">
        <f t="shared" si="30"/>
        <v/>
      </c>
      <c r="I1932" s="14" t="str">
        <f>IF(OR($C1932="",$F1932=""),"",IFERROR(INDEX(Productos!$I$5:$I$504,MATCH($C1932,Productos!$A$5:$A$504,0)),0)+SUMIFS($F$5:$F1932,$C$5:$C1932,$C1932,$B$5:$B1932,"Entrada")-SUMIFS($F$5:$F1932,$C$5:$C1932,$C1932,$B$5:$B1932,"Salida"))</f>
        <v/>
      </c>
      <c r="J1932" s="20"/>
      <c r="K1932" s="20"/>
      <c r="L1932" s="20"/>
      <c r="M1932" s="14" t="str">
        <f>IF(AND($C1932&lt;&gt;"",$C1932=Kardex!$C$4),COUNTIF($C$5:$C1932,Kardex!$C$4),"")</f>
        <v/>
      </c>
    </row>
    <row r="1933" spans="1:13" x14ac:dyDescent="0.25">
      <c r="A1933" s="24"/>
      <c r="B1933" s="20"/>
      <c r="C1933" s="20"/>
      <c r="D1933" s="14" t="str">
        <f>IF($C1933="","",IFERROR(INDEX(Productos!$B$5:$B$504,MATCH($C1933,Productos!$A$5:$A$504,0)),"Clave no existe"))</f>
        <v/>
      </c>
      <c r="E1933" s="14" t="str">
        <f>IF($C1933="","",IFERROR(INDEX(Productos!$D$5:$D$504,MATCH($C1933,Productos!$A$5:$A$504,0)),""))</f>
        <v/>
      </c>
      <c r="F1933" s="20"/>
      <c r="G1933" s="22" t="str">
        <f>IF($C1933="","",IFERROR(INDEX(Productos!$F$5:$F$504,MATCH($C1933,Productos!$A$5:$A$504,0)),0))</f>
        <v/>
      </c>
      <c r="H1933" s="22" t="str">
        <f t="shared" si="30"/>
        <v/>
      </c>
      <c r="I1933" s="14" t="str">
        <f>IF(OR($C1933="",$F1933=""),"",IFERROR(INDEX(Productos!$I$5:$I$504,MATCH($C1933,Productos!$A$5:$A$504,0)),0)+SUMIFS($F$5:$F1933,$C$5:$C1933,$C1933,$B$5:$B1933,"Entrada")-SUMIFS($F$5:$F1933,$C$5:$C1933,$C1933,$B$5:$B1933,"Salida"))</f>
        <v/>
      </c>
      <c r="J1933" s="20"/>
      <c r="K1933" s="20"/>
      <c r="L1933" s="20"/>
      <c r="M1933" s="14" t="str">
        <f>IF(AND($C1933&lt;&gt;"",$C1933=Kardex!$C$4),COUNTIF($C$5:$C1933,Kardex!$C$4),"")</f>
        <v/>
      </c>
    </row>
    <row r="1934" spans="1:13" x14ac:dyDescent="0.25">
      <c r="A1934" s="24"/>
      <c r="B1934" s="20"/>
      <c r="C1934" s="20"/>
      <c r="D1934" s="14" t="str">
        <f>IF($C1934="","",IFERROR(INDEX(Productos!$B$5:$B$504,MATCH($C1934,Productos!$A$5:$A$504,0)),"Clave no existe"))</f>
        <v/>
      </c>
      <c r="E1934" s="14" t="str">
        <f>IF($C1934="","",IFERROR(INDEX(Productos!$D$5:$D$504,MATCH($C1934,Productos!$A$5:$A$504,0)),""))</f>
        <v/>
      </c>
      <c r="F1934" s="20"/>
      <c r="G1934" s="22" t="str">
        <f>IF($C1934="","",IFERROR(INDEX(Productos!$F$5:$F$504,MATCH($C1934,Productos!$A$5:$A$504,0)),0))</f>
        <v/>
      </c>
      <c r="H1934" s="22" t="str">
        <f t="shared" si="30"/>
        <v/>
      </c>
      <c r="I1934" s="14" t="str">
        <f>IF(OR($C1934="",$F1934=""),"",IFERROR(INDEX(Productos!$I$5:$I$504,MATCH($C1934,Productos!$A$5:$A$504,0)),0)+SUMIFS($F$5:$F1934,$C$5:$C1934,$C1934,$B$5:$B1934,"Entrada")-SUMIFS($F$5:$F1934,$C$5:$C1934,$C1934,$B$5:$B1934,"Salida"))</f>
        <v/>
      </c>
      <c r="J1934" s="20"/>
      <c r="K1934" s="20"/>
      <c r="L1934" s="20"/>
      <c r="M1934" s="14" t="str">
        <f>IF(AND($C1934&lt;&gt;"",$C1934=Kardex!$C$4),COUNTIF($C$5:$C1934,Kardex!$C$4),"")</f>
        <v/>
      </c>
    </row>
    <row r="1935" spans="1:13" x14ac:dyDescent="0.25">
      <c r="A1935" s="24"/>
      <c r="B1935" s="20"/>
      <c r="C1935" s="20"/>
      <c r="D1935" s="14" t="str">
        <f>IF($C1935="","",IFERROR(INDEX(Productos!$B$5:$B$504,MATCH($C1935,Productos!$A$5:$A$504,0)),"Clave no existe"))</f>
        <v/>
      </c>
      <c r="E1935" s="14" t="str">
        <f>IF($C1935="","",IFERROR(INDEX(Productos!$D$5:$D$504,MATCH($C1935,Productos!$A$5:$A$504,0)),""))</f>
        <v/>
      </c>
      <c r="F1935" s="20"/>
      <c r="G1935" s="22" t="str">
        <f>IF($C1935="","",IFERROR(INDEX(Productos!$F$5:$F$504,MATCH($C1935,Productos!$A$5:$A$504,0)),0))</f>
        <v/>
      </c>
      <c r="H1935" s="22" t="str">
        <f t="shared" si="30"/>
        <v/>
      </c>
      <c r="I1935" s="14" t="str">
        <f>IF(OR($C1935="",$F1935=""),"",IFERROR(INDEX(Productos!$I$5:$I$504,MATCH($C1935,Productos!$A$5:$A$504,0)),0)+SUMIFS($F$5:$F1935,$C$5:$C1935,$C1935,$B$5:$B1935,"Entrada")-SUMIFS($F$5:$F1935,$C$5:$C1935,$C1935,$B$5:$B1935,"Salida"))</f>
        <v/>
      </c>
      <c r="J1935" s="20"/>
      <c r="K1935" s="20"/>
      <c r="L1935" s="20"/>
      <c r="M1935" s="14" t="str">
        <f>IF(AND($C1935&lt;&gt;"",$C1935=Kardex!$C$4),COUNTIF($C$5:$C1935,Kardex!$C$4),"")</f>
        <v/>
      </c>
    </row>
    <row r="1936" spans="1:13" x14ac:dyDescent="0.25">
      <c r="A1936" s="24"/>
      <c r="B1936" s="20"/>
      <c r="C1936" s="20"/>
      <c r="D1936" s="14" t="str">
        <f>IF($C1936="","",IFERROR(INDEX(Productos!$B$5:$B$504,MATCH($C1936,Productos!$A$5:$A$504,0)),"Clave no existe"))</f>
        <v/>
      </c>
      <c r="E1936" s="14" t="str">
        <f>IF($C1936="","",IFERROR(INDEX(Productos!$D$5:$D$504,MATCH($C1936,Productos!$A$5:$A$504,0)),""))</f>
        <v/>
      </c>
      <c r="F1936" s="20"/>
      <c r="G1936" s="22" t="str">
        <f>IF($C1936="","",IFERROR(INDEX(Productos!$F$5:$F$504,MATCH($C1936,Productos!$A$5:$A$504,0)),0))</f>
        <v/>
      </c>
      <c r="H1936" s="22" t="str">
        <f t="shared" si="30"/>
        <v/>
      </c>
      <c r="I1936" s="14" t="str">
        <f>IF(OR($C1936="",$F1936=""),"",IFERROR(INDEX(Productos!$I$5:$I$504,MATCH($C1936,Productos!$A$5:$A$504,0)),0)+SUMIFS($F$5:$F1936,$C$5:$C1936,$C1936,$B$5:$B1936,"Entrada")-SUMIFS($F$5:$F1936,$C$5:$C1936,$C1936,$B$5:$B1936,"Salida"))</f>
        <v/>
      </c>
      <c r="J1936" s="20"/>
      <c r="K1936" s="20"/>
      <c r="L1936" s="20"/>
      <c r="M1936" s="14" t="str">
        <f>IF(AND($C1936&lt;&gt;"",$C1936=Kardex!$C$4),COUNTIF($C$5:$C1936,Kardex!$C$4),"")</f>
        <v/>
      </c>
    </row>
    <row r="1937" spans="1:13" x14ac:dyDescent="0.25">
      <c r="A1937" s="24"/>
      <c r="B1937" s="20"/>
      <c r="C1937" s="20"/>
      <c r="D1937" s="14" t="str">
        <f>IF($C1937="","",IFERROR(INDEX(Productos!$B$5:$B$504,MATCH($C1937,Productos!$A$5:$A$504,0)),"Clave no existe"))</f>
        <v/>
      </c>
      <c r="E1937" s="14" t="str">
        <f>IF($C1937="","",IFERROR(INDEX(Productos!$D$5:$D$504,MATCH($C1937,Productos!$A$5:$A$504,0)),""))</f>
        <v/>
      </c>
      <c r="F1937" s="20"/>
      <c r="G1937" s="22" t="str">
        <f>IF($C1937="","",IFERROR(INDEX(Productos!$F$5:$F$504,MATCH($C1937,Productos!$A$5:$A$504,0)),0))</f>
        <v/>
      </c>
      <c r="H1937" s="22" t="str">
        <f t="shared" si="30"/>
        <v/>
      </c>
      <c r="I1937" s="14" t="str">
        <f>IF(OR($C1937="",$F1937=""),"",IFERROR(INDEX(Productos!$I$5:$I$504,MATCH($C1937,Productos!$A$5:$A$504,0)),0)+SUMIFS($F$5:$F1937,$C$5:$C1937,$C1937,$B$5:$B1937,"Entrada")-SUMIFS($F$5:$F1937,$C$5:$C1937,$C1937,$B$5:$B1937,"Salida"))</f>
        <v/>
      </c>
      <c r="J1937" s="20"/>
      <c r="K1937" s="20"/>
      <c r="L1937" s="20"/>
      <c r="M1937" s="14" t="str">
        <f>IF(AND($C1937&lt;&gt;"",$C1937=Kardex!$C$4),COUNTIF($C$5:$C1937,Kardex!$C$4),"")</f>
        <v/>
      </c>
    </row>
    <row r="1938" spans="1:13" x14ac:dyDescent="0.25">
      <c r="A1938" s="24"/>
      <c r="B1938" s="20"/>
      <c r="C1938" s="20"/>
      <c r="D1938" s="14" t="str">
        <f>IF($C1938="","",IFERROR(INDEX(Productos!$B$5:$B$504,MATCH($C1938,Productos!$A$5:$A$504,0)),"Clave no existe"))</f>
        <v/>
      </c>
      <c r="E1938" s="14" t="str">
        <f>IF($C1938="","",IFERROR(INDEX(Productos!$D$5:$D$504,MATCH($C1938,Productos!$A$5:$A$504,0)),""))</f>
        <v/>
      </c>
      <c r="F1938" s="20"/>
      <c r="G1938" s="22" t="str">
        <f>IF($C1938="","",IFERROR(INDEX(Productos!$F$5:$F$504,MATCH($C1938,Productos!$A$5:$A$504,0)),0))</f>
        <v/>
      </c>
      <c r="H1938" s="22" t="str">
        <f t="shared" si="30"/>
        <v/>
      </c>
      <c r="I1938" s="14" t="str">
        <f>IF(OR($C1938="",$F1938=""),"",IFERROR(INDEX(Productos!$I$5:$I$504,MATCH($C1938,Productos!$A$5:$A$504,0)),0)+SUMIFS($F$5:$F1938,$C$5:$C1938,$C1938,$B$5:$B1938,"Entrada")-SUMIFS($F$5:$F1938,$C$5:$C1938,$C1938,$B$5:$B1938,"Salida"))</f>
        <v/>
      </c>
      <c r="J1938" s="20"/>
      <c r="K1938" s="20"/>
      <c r="L1938" s="20"/>
      <c r="M1938" s="14" t="str">
        <f>IF(AND($C1938&lt;&gt;"",$C1938=Kardex!$C$4),COUNTIF($C$5:$C1938,Kardex!$C$4),"")</f>
        <v/>
      </c>
    </row>
    <row r="1939" spans="1:13" x14ac:dyDescent="0.25">
      <c r="A1939" s="24"/>
      <c r="B1939" s="20"/>
      <c r="C1939" s="20"/>
      <c r="D1939" s="14" t="str">
        <f>IF($C1939="","",IFERROR(INDEX(Productos!$B$5:$B$504,MATCH($C1939,Productos!$A$5:$A$504,0)),"Clave no existe"))</f>
        <v/>
      </c>
      <c r="E1939" s="14" t="str">
        <f>IF($C1939="","",IFERROR(INDEX(Productos!$D$5:$D$504,MATCH($C1939,Productos!$A$5:$A$504,0)),""))</f>
        <v/>
      </c>
      <c r="F1939" s="20"/>
      <c r="G1939" s="22" t="str">
        <f>IF($C1939="","",IFERROR(INDEX(Productos!$F$5:$F$504,MATCH($C1939,Productos!$A$5:$A$504,0)),0))</f>
        <v/>
      </c>
      <c r="H1939" s="22" t="str">
        <f t="shared" si="30"/>
        <v/>
      </c>
      <c r="I1939" s="14" t="str">
        <f>IF(OR($C1939="",$F1939=""),"",IFERROR(INDEX(Productos!$I$5:$I$504,MATCH($C1939,Productos!$A$5:$A$504,0)),0)+SUMIFS($F$5:$F1939,$C$5:$C1939,$C1939,$B$5:$B1939,"Entrada")-SUMIFS($F$5:$F1939,$C$5:$C1939,$C1939,$B$5:$B1939,"Salida"))</f>
        <v/>
      </c>
      <c r="J1939" s="20"/>
      <c r="K1939" s="20"/>
      <c r="L1939" s="20"/>
      <c r="M1939" s="14" t="str">
        <f>IF(AND($C1939&lt;&gt;"",$C1939=Kardex!$C$4),COUNTIF($C$5:$C1939,Kardex!$C$4),"")</f>
        <v/>
      </c>
    </row>
    <row r="1940" spans="1:13" x14ac:dyDescent="0.25">
      <c r="A1940" s="24"/>
      <c r="B1940" s="20"/>
      <c r="C1940" s="20"/>
      <c r="D1940" s="14" t="str">
        <f>IF($C1940="","",IFERROR(INDEX(Productos!$B$5:$B$504,MATCH($C1940,Productos!$A$5:$A$504,0)),"Clave no existe"))</f>
        <v/>
      </c>
      <c r="E1940" s="14" t="str">
        <f>IF($C1940="","",IFERROR(INDEX(Productos!$D$5:$D$504,MATCH($C1940,Productos!$A$5:$A$504,0)),""))</f>
        <v/>
      </c>
      <c r="F1940" s="20"/>
      <c r="G1940" s="22" t="str">
        <f>IF($C1940="","",IFERROR(INDEX(Productos!$F$5:$F$504,MATCH($C1940,Productos!$A$5:$A$504,0)),0))</f>
        <v/>
      </c>
      <c r="H1940" s="22" t="str">
        <f t="shared" si="30"/>
        <v/>
      </c>
      <c r="I1940" s="14" t="str">
        <f>IF(OR($C1940="",$F1940=""),"",IFERROR(INDEX(Productos!$I$5:$I$504,MATCH($C1940,Productos!$A$5:$A$504,0)),0)+SUMIFS($F$5:$F1940,$C$5:$C1940,$C1940,$B$5:$B1940,"Entrada")-SUMIFS($F$5:$F1940,$C$5:$C1940,$C1940,$B$5:$B1940,"Salida"))</f>
        <v/>
      </c>
      <c r="J1940" s="20"/>
      <c r="K1940" s="20"/>
      <c r="L1940" s="20"/>
      <c r="M1940" s="14" t="str">
        <f>IF(AND($C1940&lt;&gt;"",$C1940=Kardex!$C$4),COUNTIF($C$5:$C1940,Kardex!$C$4),"")</f>
        <v/>
      </c>
    </row>
    <row r="1941" spans="1:13" x14ac:dyDescent="0.25">
      <c r="A1941" s="24"/>
      <c r="B1941" s="20"/>
      <c r="C1941" s="20"/>
      <c r="D1941" s="14" t="str">
        <f>IF($C1941="","",IFERROR(INDEX(Productos!$B$5:$B$504,MATCH($C1941,Productos!$A$5:$A$504,0)),"Clave no existe"))</f>
        <v/>
      </c>
      <c r="E1941" s="14" t="str">
        <f>IF($C1941="","",IFERROR(INDEX(Productos!$D$5:$D$504,MATCH($C1941,Productos!$A$5:$A$504,0)),""))</f>
        <v/>
      </c>
      <c r="F1941" s="20"/>
      <c r="G1941" s="22" t="str">
        <f>IF($C1941="","",IFERROR(INDEX(Productos!$F$5:$F$504,MATCH($C1941,Productos!$A$5:$A$504,0)),0))</f>
        <v/>
      </c>
      <c r="H1941" s="22" t="str">
        <f t="shared" si="30"/>
        <v/>
      </c>
      <c r="I1941" s="14" t="str">
        <f>IF(OR($C1941="",$F1941=""),"",IFERROR(INDEX(Productos!$I$5:$I$504,MATCH($C1941,Productos!$A$5:$A$504,0)),0)+SUMIFS($F$5:$F1941,$C$5:$C1941,$C1941,$B$5:$B1941,"Entrada")-SUMIFS($F$5:$F1941,$C$5:$C1941,$C1941,$B$5:$B1941,"Salida"))</f>
        <v/>
      </c>
      <c r="J1941" s="20"/>
      <c r="K1941" s="20"/>
      <c r="L1941" s="20"/>
      <c r="M1941" s="14" t="str">
        <f>IF(AND($C1941&lt;&gt;"",$C1941=Kardex!$C$4),COUNTIF($C$5:$C1941,Kardex!$C$4),"")</f>
        <v/>
      </c>
    </row>
    <row r="1942" spans="1:13" x14ac:dyDescent="0.25">
      <c r="A1942" s="24"/>
      <c r="B1942" s="20"/>
      <c r="C1942" s="20"/>
      <c r="D1942" s="14" t="str">
        <f>IF($C1942="","",IFERROR(INDEX(Productos!$B$5:$B$504,MATCH($C1942,Productos!$A$5:$A$504,0)),"Clave no existe"))</f>
        <v/>
      </c>
      <c r="E1942" s="14" t="str">
        <f>IF($C1942="","",IFERROR(INDEX(Productos!$D$5:$D$504,MATCH($C1942,Productos!$A$5:$A$504,0)),""))</f>
        <v/>
      </c>
      <c r="F1942" s="20"/>
      <c r="G1942" s="22" t="str">
        <f>IF($C1942="","",IFERROR(INDEX(Productos!$F$5:$F$504,MATCH($C1942,Productos!$A$5:$A$504,0)),0))</f>
        <v/>
      </c>
      <c r="H1942" s="22" t="str">
        <f t="shared" si="30"/>
        <v/>
      </c>
      <c r="I1942" s="14" t="str">
        <f>IF(OR($C1942="",$F1942=""),"",IFERROR(INDEX(Productos!$I$5:$I$504,MATCH($C1942,Productos!$A$5:$A$504,0)),0)+SUMIFS($F$5:$F1942,$C$5:$C1942,$C1942,$B$5:$B1942,"Entrada")-SUMIFS($F$5:$F1942,$C$5:$C1942,$C1942,$B$5:$B1942,"Salida"))</f>
        <v/>
      </c>
      <c r="J1942" s="20"/>
      <c r="K1942" s="20"/>
      <c r="L1942" s="20"/>
      <c r="M1942" s="14" t="str">
        <f>IF(AND($C1942&lt;&gt;"",$C1942=Kardex!$C$4),COUNTIF($C$5:$C1942,Kardex!$C$4),"")</f>
        <v/>
      </c>
    </row>
    <row r="1943" spans="1:13" x14ac:dyDescent="0.25">
      <c r="A1943" s="24"/>
      <c r="B1943" s="20"/>
      <c r="C1943" s="20"/>
      <c r="D1943" s="14" t="str">
        <f>IF($C1943="","",IFERROR(INDEX(Productos!$B$5:$B$504,MATCH($C1943,Productos!$A$5:$A$504,0)),"Clave no existe"))</f>
        <v/>
      </c>
      <c r="E1943" s="14" t="str">
        <f>IF($C1943="","",IFERROR(INDEX(Productos!$D$5:$D$504,MATCH($C1943,Productos!$A$5:$A$504,0)),""))</f>
        <v/>
      </c>
      <c r="F1943" s="20"/>
      <c r="G1943" s="22" t="str">
        <f>IF($C1943="","",IFERROR(INDEX(Productos!$F$5:$F$504,MATCH($C1943,Productos!$A$5:$A$504,0)),0))</f>
        <v/>
      </c>
      <c r="H1943" s="22" t="str">
        <f t="shared" si="30"/>
        <v/>
      </c>
      <c r="I1943" s="14" t="str">
        <f>IF(OR($C1943="",$F1943=""),"",IFERROR(INDEX(Productos!$I$5:$I$504,MATCH($C1943,Productos!$A$5:$A$504,0)),0)+SUMIFS($F$5:$F1943,$C$5:$C1943,$C1943,$B$5:$B1943,"Entrada")-SUMIFS($F$5:$F1943,$C$5:$C1943,$C1943,$B$5:$B1943,"Salida"))</f>
        <v/>
      </c>
      <c r="J1943" s="20"/>
      <c r="K1943" s="20"/>
      <c r="L1943" s="20"/>
      <c r="M1943" s="14" t="str">
        <f>IF(AND($C1943&lt;&gt;"",$C1943=Kardex!$C$4),COUNTIF($C$5:$C1943,Kardex!$C$4),"")</f>
        <v/>
      </c>
    </row>
    <row r="1944" spans="1:13" x14ac:dyDescent="0.25">
      <c r="A1944" s="24"/>
      <c r="B1944" s="20"/>
      <c r="C1944" s="20"/>
      <c r="D1944" s="14" t="str">
        <f>IF($C1944="","",IFERROR(INDEX(Productos!$B$5:$B$504,MATCH($C1944,Productos!$A$5:$A$504,0)),"Clave no existe"))</f>
        <v/>
      </c>
      <c r="E1944" s="14" t="str">
        <f>IF($C1944="","",IFERROR(INDEX(Productos!$D$5:$D$504,MATCH($C1944,Productos!$A$5:$A$504,0)),""))</f>
        <v/>
      </c>
      <c r="F1944" s="20"/>
      <c r="G1944" s="22" t="str">
        <f>IF($C1944="","",IFERROR(INDEX(Productos!$F$5:$F$504,MATCH($C1944,Productos!$A$5:$A$504,0)),0))</f>
        <v/>
      </c>
      <c r="H1944" s="22" t="str">
        <f t="shared" si="30"/>
        <v/>
      </c>
      <c r="I1944" s="14" t="str">
        <f>IF(OR($C1944="",$F1944=""),"",IFERROR(INDEX(Productos!$I$5:$I$504,MATCH($C1944,Productos!$A$5:$A$504,0)),0)+SUMIFS($F$5:$F1944,$C$5:$C1944,$C1944,$B$5:$B1944,"Entrada")-SUMIFS($F$5:$F1944,$C$5:$C1944,$C1944,$B$5:$B1944,"Salida"))</f>
        <v/>
      </c>
      <c r="J1944" s="20"/>
      <c r="K1944" s="20"/>
      <c r="L1944" s="20"/>
      <c r="M1944" s="14" t="str">
        <f>IF(AND($C1944&lt;&gt;"",$C1944=Kardex!$C$4),COUNTIF($C$5:$C1944,Kardex!$C$4),"")</f>
        <v/>
      </c>
    </row>
    <row r="1945" spans="1:13" x14ac:dyDescent="0.25">
      <c r="A1945" s="24"/>
      <c r="B1945" s="20"/>
      <c r="C1945" s="20"/>
      <c r="D1945" s="14" t="str">
        <f>IF($C1945="","",IFERROR(INDEX(Productos!$B$5:$B$504,MATCH($C1945,Productos!$A$5:$A$504,0)),"Clave no existe"))</f>
        <v/>
      </c>
      <c r="E1945" s="14" t="str">
        <f>IF($C1945="","",IFERROR(INDEX(Productos!$D$5:$D$504,MATCH($C1945,Productos!$A$5:$A$504,0)),""))</f>
        <v/>
      </c>
      <c r="F1945" s="20"/>
      <c r="G1945" s="22" t="str">
        <f>IF($C1945="","",IFERROR(INDEX(Productos!$F$5:$F$504,MATCH($C1945,Productos!$A$5:$A$504,0)),0))</f>
        <v/>
      </c>
      <c r="H1945" s="22" t="str">
        <f t="shared" si="30"/>
        <v/>
      </c>
      <c r="I1945" s="14" t="str">
        <f>IF(OR($C1945="",$F1945=""),"",IFERROR(INDEX(Productos!$I$5:$I$504,MATCH($C1945,Productos!$A$5:$A$504,0)),0)+SUMIFS($F$5:$F1945,$C$5:$C1945,$C1945,$B$5:$B1945,"Entrada")-SUMIFS($F$5:$F1945,$C$5:$C1945,$C1945,$B$5:$B1945,"Salida"))</f>
        <v/>
      </c>
      <c r="J1945" s="20"/>
      <c r="K1945" s="20"/>
      <c r="L1945" s="20"/>
      <c r="M1945" s="14" t="str">
        <f>IF(AND($C1945&lt;&gt;"",$C1945=Kardex!$C$4),COUNTIF($C$5:$C1945,Kardex!$C$4),"")</f>
        <v/>
      </c>
    </row>
    <row r="1946" spans="1:13" x14ac:dyDescent="0.25">
      <c r="A1946" s="24"/>
      <c r="B1946" s="20"/>
      <c r="C1946" s="20"/>
      <c r="D1946" s="14" t="str">
        <f>IF($C1946="","",IFERROR(INDEX(Productos!$B$5:$B$504,MATCH($C1946,Productos!$A$5:$A$504,0)),"Clave no existe"))</f>
        <v/>
      </c>
      <c r="E1946" s="14" t="str">
        <f>IF($C1946="","",IFERROR(INDEX(Productos!$D$5:$D$504,MATCH($C1946,Productos!$A$5:$A$504,0)),""))</f>
        <v/>
      </c>
      <c r="F1946" s="20"/>
      <c r="G1946" s="22" t="str">
        <f>IF($C1946="","",IFERROR(INDEX(Productos!$F$5:$F$504,MATCH($C1946,Productos!$A$5:$A$504,0)),0))</f>
        <v/>
      </c>
      <c r="H1946" s="22" t="str">
        <f t="shared" si="30"/>
        <v/>
      </c>
      <c r="I1946" s="14" t="str">
        <f>IF(OR($C1946="",$F1946=""),"",IFERROR(INDEX(Productos!$I$5:$I$504,MATCH($C1946,Productos!$A$5:$A$504,0)),0)+SUMIFS($F$5:$F1946,$C$5:$C1946,$C1946,$B$5:$B1946,"Entrada")-SUMIFS($F$5:$F1946,$C$5:$C1946,$C1946,$B$5:$B1946,"Salida"))</f>
        <v/>
      </c>
      <c r="J1946" s="20"/>
      <c r="K1946" s="20"/>
      <c r="L1946" s="20"/>
      <c r="M1946" s="14" t="str">
        <f>IF(AND($C1946&lt;&gt;"",$C1946=Kardex!$C$4),COUNTIF($C$5:$C1946,Kardex!$C$4),"")</f>
        <v/>
      </c>
    </row>
    <row r="1947" spans="1:13" x14ac:dyDescent="0.25">
      <c r="A1947" s="24"/>
      <c r="B1947" s="20"/>
      <c r="C1947" s="20"/>
      <c r="D1947" s="14" t="str">
        <f>IF($C1947="","",IFERROR(INDEX(Productos!$B$5:$B$504,MATCH($C1947,Productos!$A$5:$A$504,0)),"Clave no existe"))</f>
        <v/>
      </c>
      <c r="E1947" s="14" t="str">
        <f>IF($C1947="","",IFERROR(INDEX(Productos!$D$5:$D$504,MATCH($C1947,Productos!$A$5:$A$504,0)),""))</f>
        <v/>
      </c>
      <c r="F1947" s="20"/>
      <c r="G1947" s="22" t="str">
        <f>IF($C1947="","",IFERROR(INDEX(Productos!$F$5:$F$504,MATCH($C1947,Productos!$A$5:$A$504,0)),0))</f>
        <v/>
      </c>
      <c r="H1947" s="22" t="str">
        <f t="shared" si="30"/>
        <v/>
      </c>
      <c r="I1947" s="14" t="str">
        <f>IF(OR($C1947="",$F1947=""),"",IFERROR(INDEX(Productos!$I$5:$I$504,MATCH($C1947,Productos!$A$5:$A$504,0)),0)+SUMIFS($F$5:$F1947,$C$5:$C1947,$C1947,$B$5:$B1947,"Entrada")-SUMIFS($F$5:$F1947,$C$5:$C1947,$C1947,$B$5:$B1947,"Salida"))</f>
        <v/>
      </c>
      <c r="J1947" s="20"/>
      <c r="K1947" s="20"/>
      <c r="L1947" s="20"/>
      <c r="M1947" s="14" t="str">
        <f>IF(AND($C1947&lt;&gt;"",$C1947=Kardex!$C$4),COUNTIF($C$5:$C1947,Kardex!$C$4),"")</f>
        <v/>
      </c>
    </row>
    <row r="1948" spans="1:13" x14ac:dyDescent="0.25">
      <c r="A1948" s="24"/>
      <c r="B1948" s="20"/>
      <c r="C1948" s="20"/>
      <c r="D1948" s="14" t="str">
        <f>IF($C1948="","",IFERROR(INDEX(Productos!$B$5:$B$504,MATCH($C1948,Productos!$A$5:$A$504,0)),"Clave no existe"))</f>
        <v/>
      </c>
      <c r="E1948" s="14" t="str">
        <f>IF($C1948="","",IFERROR(INDEX(Productos!$D$5:$D$504,MATCH($C1948,Productos!$A$5:$A$504,0)),""))</f>
        <v/>
      </c>
      <c r="F1948" s="20"/>
      <c r="G1948" s="22" t="str">
        <f>IF($C1948="","",IFERROR(INDEX(Productos!$F$5:$F$504,MATCH($C1948,Productos!$A$5:$A$504,0)),0))</f>
        <v/>
      </c>
      <c r="H1948" s="22" t="str">
        <f t="shared" si="30"/>
        <v/>
      </c>
      <c r="I1948" s="14" t="str">
        <f>IF(OR($C1948="",$F1948=""),"",IFERROR(INDEX(Productos!$I$5:$I$504,MATCH($C1948,Productos!$A$5:$A$504,0)),0)+SUMIFS($F$5:$F1948,$C$5:$C1948,$C1948,$B$5:$B1948,"Entrada")-SUMIFS($F$5:$F1948,$C$5:$C1948,$C1948,$B$5:$B1948,"Salida"))</f>
        <v/>
      </c>
      <c r="J1948" s="20"/>
      <c r="K1948" s="20"/>
      <c r="L1948" s="20"/>
      <c r="M1948" s="14" t="str">
        <f>IF(AND($C1948&lt;&gt;"",$C1948=Kardex!$C$4),COUNTIF($C$5:$C1948,Kardex!$C$4),"")</f>
        <v/>
      </c>
    </row>
    <row r="1949" spans="1:13" x14ac:dyDescent="0.25">
      <c r="A1949" s="24"/>
      <c r="B1949" s="20"/>
      <c r="C1949" s="20"/>
      <c r="D1949" s="14" t="str">
        <f>IF($C1949="","",IFERROR(INDEX(Productos!$B$5:$B$504,MATCH($C1949,Productos!$A$5:$A$504,0)),"Clave no existe"))</f>
        <v/>
      </c>
      <c r="E1949" s="14" t="str">
        <f>IF($C1949="","",IFERROR(INDEX(Productos!$D$5:$D$504,MATCH($C1949,Productos!$A$5:$A$504,0)),""))</f>
        <v/>
      </c>
      <c r="F1949" s="20"/>
      <c r="G1949" s="22" t="str">
        <f>IF($C1949="","",IFERROR(INDEX(Productos!$F$5:$F$504,MATCH($C1949,Productos!$A$5:$A$504,0)),0))</f>
        <v/>
      </c>
      <c r="H1949" s="22" t="str">
        <f t="shared" si="30"/>
        <v/>
      </c>
      <c r="I1949" s="14" t="str">
        <f>IF(OR($C1949="",$F1949=""),"",IFERROR(INDEX(Productos!$I$5:$I$504,MATCH($C1949,Productos!$A$5:$A$504,0)),0)+SUMIFS($F$5:$F1949,$C$5:$C1949,$C1949,$B$5:$B1949,"Entrada")-SUMIFS($F$5:$F1949,$C$5:$C1949,$C1949,$B$5:$B1949,"Salida"))</f>
        <v/>
      </c>
      <c r="J1949" s="20"/>
      <c r="K1949" s="20"/>
      <c r="L1949" s="20"/>
      <c r="M1949" s="14" t="str">
        <f>IF(AND($C1949&lt;&gt;"",$C1949=Kardex!$C$4),COUNTIF($C$5:$C1949,Kardex!$C$4),"")</f>
        <v/>
      </c>
    </row>
    <row r="1950" spans="1:13" x14ac:dyDescent="0.25">
      <c r="A1950" s="24"/>
      <c r="B1950" s="20"/>
      <c r="C1950" s="20"/>
      <c r="D1950" s="14" t="str">
        <f>IF($C1950="","",IFERROR(INDEX(Productos!$B$5:$B$504,MATCH($C1950,Productos!$A$5:$A$504,0)),"Clave no existe"))</f>
        <v/>
      </c>
      <c r="E1950" s="14" t="str">
        <f>IF($C1950="","",IFERROR(INDEX(Productos!$D$5:$D$504,MATCH($C1950,Productos!$A$5:$A$504,0)),""))</f>
        <v/>
      </c>
      <c r="F1950" s="20"/>
      <c r="G1950" s="22" t="str">
        <f>IF($C1950="","",IFERROR(INDEX(Productos!$F$5:$F$504,MATCH($C1950,Productos!$A$5:$A$504,0)),0))</f>
        <v/>
      </c>
      <c r="H1950" s="22" t="str">
        <f t="shared" si="30"/>
        <v/>
      </c>
      <c r="I1950" s="14" t="str">
        <f>IF(OR($C1950="",$F1950=""),"",IFERROR(INDEX(Productos!$I$5:$I$504,MATCH($C1950,Productos!$A$5:$A$504,0)),0)+SUMIFS($F$5:$F1950,$C$5:$C1950,$C1950,$B$5:$B1950,"Entrada")-SUMIFS($F$5:$F1950,$C$5:$C1950,$C1950,$B$5:$B1950,"Salida"))</f>
        <v/>
      </c>
      <c r="J1950" s="20"/>
      <c r="K1950" s="20"/>
      <c r="L1950" s="20"/>
      <c r="M1950" s="14" t="str">
        <f>IF(AND($C1950&lt;&gt;"",$C1950=Kardex!$C$4),COUNTIF($C$5:$C1950,Kardex!$C$4),"")</f>
        <v/>
      </c>
    </row>
    <row r="1951" spans="1:13" x14ac:dyDescent="0.25">
      <c r="A1951" s="24"/>
      <c r="B1951" s="20"/>
      <c r="C1951" s="20"/>
      <c r="D1951" s="14" t="str">
        <f>IF($C1951="","",IFERROR(INDEX(Productos!$B$5:$B$504,MATCH($C1951,Productos!$A$5:$A$504,0)),"Clave no existe"))</f>
        <v/>
      </c>
      <c r="E1951" s="14" t="str">
        <f>IF($C1951="","",IFERROR(INDEX(Productos!$D$5:$D$504,MATCH($C1951,Productos!$A$5:$A$504,0)),""))</f>
        <v/>
      </c>
      <c r="F1951" s="20"/>
      <c r="G1951" s="22" t="str">
        <f>IF($C1951="","",IFERROR(INDEX(Productos!$F$5:$F$504,MATCH($C1951,Productos!$A$5:$A$504,0)),0))</f>
        <v/>
      </c>
      <c r="H1951" s="22" t="str">
        <f t="shared" si="30"/>
        <v/>
      </c>
      <c r="I1951" s="14" t="str">
        <f>IF(OR($C1951="",$F1951=""),"",IFERROR(INDEX(Productos!$I$5:$I$504,MATCH($C1951,Productos!$A$5:$A$504,0)),0)+SUMIFS($F$5:$F1951,$C$5:$C1951,$C1951,$B$5:$B1951,"Entrada")-SUMIFS($F$5:$F1951,$C$5:$C1951,$C1951,$B$5:$B1951,"Salida"))</f>
        <v/>
      </c>
      <c r="J1951" s="20"/>
      <c r="K1951" s="20"/>
      <c r="L1951" s="20"/>
      <c r="M1951" s="14" t="str">
        <f>IF(AND($C1951&lt;&gt;"",$C1951=Kardex!$C$4),COUNTIF($C$5:$C1951,Kardex!$C$4),"")</f>
        <v/>
      </c>
    </row>
    <row r="1952" spans="1:13" x14ac:dyDescent="0.25">
      <c r="A1952" s="24"/>
      <c r="B1952" s="20"/>
      <c r="C1952" s="20"/>
      <c r="D1952" s="14" t="str">
        <f>IF($C1952="","",IFERROR(INDEX(Productos!$B$5:$B$504,MATCH($C1952,Productos!$A$5:$A$504,0)),"Clave no existe"))</f>
        <v/>
      </c>
      <c r="E1952" s="14" t="str">
        <f>IF($C1952="","",IFERROR(INDEX(Productos!$D$5:$D$504,MATCH($C1952,Productos!$A$5:$A$504,0)),""))</f>
        <v/>
      </c>
      <c r="F1952" s="20"/>
      <c r="G1952" s="22" t="str">
        <f>IF($C1952="","",IFERROR(INDEX(Productos!$F$5:$F$504,MATCH($C1952,Productos!$A$5:$A$504,0)),0))</f>
        <v/>
      </c>
      <c r="H1952" s="22" t="str">
        <f t="shared" si="30"/>
        <v/>
      </c>
      <c r="I1952" s="14" t="str">
        <f>IF(OR($C1952="",$F1952=""),"",IFERROR(INDEX(Productos!$I$5:$I$504,MATCH($C1952,Productos!$A$5:$A$504,0)),0)+SUMIFS($F$5:$F1952,$C$5:$C1952,$C1952,$B$5:$B1952,"Entrada")-SUMIFS($F$5:$F1952,$C$5:$C1952,$C1952,$B$5:$B1952,"Salida"))</f>
        <v/>
      </c>
      <c r="J1952" s="20"/>
      <c r="K1952" s="20"/>
      <c r="L1952" s="20"/>
      <c r="M1952" s="14" t="str">
        <f>IF(AND($C1952&lt;&gt;"",$C1952=Kardex!$C$4),COUNTIF($C$5:$C1952,Kardex!$C$4),"")</f>
        <v/>
      </c>
    </row>
    <row r="1953" spans="1:13" x14ac:dyDescent="0.25">
      <c r="A1953" s="24"/>
      <c r="B1953" s="20"/>
      <c r="C1953" s="20"/>
      <c r="D1953" s="14" t="str">
        <f>IF($C1953="","",IFERROR(INDEX(Productos!$B$5:$B$504,MATCH($C1953,Productos!$A$5:$A$504,0)),"Clave no existe"))</f>
        <v/>
      </c>
      <c r="E1953" s="14" t="str">
        <f>IF($C1953="","",IFERROR(INDEX(Productos!$D$5:$D$504,MATCH($C1953,Productos!$A$5:$A$504,0)),""))</f>
        <v/>
      </c>
      <c r="F1953" s="20"/>
      <c r="G1953" s="22" t="str">
        <f>IF($C1953="","",IFERROR(INDEX(Productos!$F$5:$F$504,MATCH($C1953,Productos!$A$5:$A$504,0)),0))</f>
        <v/>
      </c>
      <c r="H1953" s="22" t="str">
        <f t="shared" si="30"/>
        <v/>
      </c>
      <c r="I1953" s="14" t="str">
        <f>IF(OR($C1953="",$F1953=""),"",IFERROR(INDEX(Productos!$I$5:$I$504,MATCH($C1953,Productos!$A$5:$A$504,0)),0)+SUMIFS($F$5:$F1953,$C$5:$C1953,$C1953,$B$5:$B1953,"Entrada")-SUMIFS($F$5:$F1953,$C$5:$C1953,$C1953,$B$5:$B1953,"Salida"))</f>
        <v/>
      </c>
      <c r="J1953" s="20"/>
      <c r="K1953" s="20"/>
      <c r="L1953" s="20"/>
      <c r="M1953" s="14" t="str">
        <f>IF(AND($C1953&lt;&gt;"",$C1953=Kardex!$C$4),COUNTIF($C$5:$C1953,Kardex!$C$4),"")</f>
        <v/>
      </c>
    </row>
    <row r="1954" spans="1:13" x14ac:dyDescent="0.25">
      <c r="A1954" s="24"/>
      <c r="B1954" s="20"/>
      <c r="C1954" s="20"/>
      <c r="D1954" s="14" t="str">
        <f>IF($C1954="","",IFERROR(INDEX(Productos!$B$5:$B$504,MATCH($C1954,Productos!$A$5:$A$504,0)),"Clave no existe"))</f>
        <v/>
      </c>
      <c r="E1954" s="14" t="str">
        <f>IF($C1954="","",IFERROR(INDEX(Productos!$D$5:$D$504,MATCH($C1954,Productos!$A$5:$A$504,0)),""))</f>
        <v/>
      </c>
      <c r="F1954" s="20"/>
      <c r="G1954" s="22" t="str">
        <f>IF($C1954="","",IFERROR(INDEX(Productos!$F$5:$F$504,MATCH($C1954,Productos!$A$5:$A$504,0)),0))</f>
        <v/>
      </c>
      <c r="H1954" s="22" t="str">
        <f t="shared" si="30"/>
        <v/>
      </c>
      <c r="I1954" s="14" t="str">
        <f>IF(OR($C1954="",$F1954=""),"",IFERROR(INDEX(Productos!$I$5:$I$504,MATCH($C1954,Productos!$A$5:$A$504,0)),0)+SUMIFS($F$5:$F1954,$C$5:$C1954,$C1954,$B$5:$B1954,"Entrada")-SUMIFS($F$5:$F1954,$C$5:$C1954,$C1954,$B$5:$B1954,"Salida"))</f>
        <v/>
      </c>
      <c r="J1954" s="20"/>
      <c r="K1954" s="20"/>
      <c r="L1954" s="20"/>
      <c r="M1954" s="14" t="str">
        <f>IF(AND($C1954&lt;&gt;"",$C1954=Kardex!$C$4),COUNTIF($C$5:$C1954,Kardex!$C$4),"")</f>
        <v/>
      </c>
    </row>
    <row r="1955" spans="1:13" x14ac:dyDescent="0.25">
      <c r="A1955" s="24"/>
      <c r="B1955" s="20"/>
      <c r="C1955" s="20"/>
      <c r="D1955" s="14" t="str">
        <f>IF($C1955="","",IFERROR(INDEX(Productos!$B$5:$B$504,MATCH($C1955,Productos!$A$5:$A$504,0)),"Clave no existe"))</f>
        <v/>
      </c>
      <c r="E1955" s="14" t="str">
        <f>IF($C1955="","",IFERROR(INDEX(Productos!$D$5:$D$504,MATCH($C1955,Productos!$A$5:$A$504,0)),""))</f>
        <v/>
      </c>
      <c r="F1955" s="20"/>
      <c r="G1955" s="22" t="str">
        <f>IF($C1955="","",IFERROR(INDEX(Productos!$F$5:$F$504,MATCH($C1955,Productos!$A$5:$A$504,0)),0))</f>
        <v/>
      </c>
      <c r="H1955" s="22" t="str">
        <f t="shared" si="30"/>
        <v/>
      </c>
      <c r="I1955" s="14" t="str">
        <f>IF(OR($C1955="",$F1955=""),"",IFERROR(INDEX(Productos!$I$5:$I$504,MATCH($C1955,Productos!$A$5:$A$504,0)),0)+SUMIFS($F$5:$F1955,$C$5:$C1955,$C1955,$B$5:$B1955,"Entrada")-SUMIFS($F$5:$F1955,$C$5:$C1955,$C1955,$B$5:$B1955,"Salida"))</f>
        <v/>
      </c>
      <c r="J1955" s="20"/>
      <c r="K1955" s="20"/>
      <c r="L1955" s="20"/>
      <c r="M1955" s="14" t="str">
        <f>IF(AND($C1955&lt;&gt;"",$C1955=Kardex!$C$4),COUNTIF($C$5:$C1955,Kardex!$C$4),"")</f>
        <v/>
      </c>
    </row>
    <row r="1956" spans="1:13" x14ac:dyDescent="0.25">
      <c r="A1956" s="24"/>
      <c r="B1956" s="20"/>
      <c r="C1956" s="20"/>
      <c r="D1956" s="14" t="str">
        <f>IF($C1956="","",IFERROR(INDEX(Productos!$B$5:$B$504,MATCH($C1956,Productos!$A$5:$A$504,0)),"Clave no existe"))</f>
        <v/>
      </c>
      <c r="E1956" s="14" t="str">
        <f>IF($C1956="","",IFERROR(INDEX(Productos!$D$5:$D$504,MATCH($C1956,Productos!$A$5:$A$504,0)),""))</f>
        <v/>
      </c>
      <c r="F1956" s="20"/>
      <c r="G1956" s="22" t="str">
        <f>IF($C1956="","",IFERROR(INDEX(Productos!$F$5:$F$504,MATCH($C1956,Productos!$A$5:$A$504,0)),0))</f>
        <v/>
      </c>
      <c r="H1956" s="22" t="str">
        <f t="shared" si="30"/>
        <v/>
      </c>
      <c r="I1956" s="14" t="str">
        <f>IF(OR($C1956="",$F1956=""),"",IFERROR(INDEX(Productos!$I$5:$I$504,MATCH($C1956,Productos!$A$5:$A$504,0)),0)+SUMIFS($F$5:$F1956,$C$5:$C1956,$C1956,$B$5:$B1956,"Entrada")-SUMIFS($F$5:$F1956,$C$5:$C1956,$C1956,$B$5:$B1956,"Salida"))</f>
        <v/>
      </c>
      <c r="J1956" s="20"/>
      <c r="K1956" s="20"/>
      <c r="L1956" s="20"/>
      <c r="M1956" s="14" t="str">
        <f>IF(AND($C1956&lt;&gt;"",$C1956=Kardex!$C$4),COUNTIF($C$5:$C1956,Kardex!$C$4),"")</f>
        <v/>
      </c>
    </row>
    <row r="1957" spans="1:13" x14ac:dyDescent="0.25">
      <c r="A1957" s="24"/>
      <c r="B1957" s="20"/>
      <c r="C1957" s="20"/>
      <c r="D1957" s="14" t="str">
        <f>IF($C1957="","",IFERROR(INDEX(Productos!$B$5:$B$504,MATCH($C1957,Productos!$A$5:$A$504,0)),"Clave no existe"))</f>
        <v/>
      </c>
      <c r="E1957" s="14" t="str">
        <f>IF($C1957="","",IFERROR(INDEX(Productos!$D$5:$D$504,MATCH($C1957,Productos!$A$5:$A$504,0)),""))</f>
        <v/>
      </c>
      <c r="F1957" s="20"/>
      <c r="G1957" s="22" t="str">
        <f>IF($C1957="","",IFERROR(INDEX(Productos!$F$5:$F$504,MATCH($C1957,Productos!$A$5:$A$504,0)),0))</f>
        <v/>
      </c>
      <c r="H1957" s="22" t="str">
        <f t="shared" si="30"/>
        <v/>
      </c>
      <c r="I1957" s="14" t="str">
        <f>IF(OR($C1957="",$F1957=""),"",IFERROR(INDEX(Productos!$I$5:$I$504,MATCH($C1957,Productos!$A$5:$A$504,0)),0)+SUMIFS($F$5:$F1957,$C$5:$C1957,$C1957,$B$5:$B1957,"Entrada")-SUMIFS($F$5:$F1957,$C$5:$C1957,$C1957,$B$5:$B1957,"Salida"))</f>
        <v/>
      </c>
      <c r="J1957" s="20"/>
      <c r="K1957" s="20"/>
      <c r="L1957" s="20"/>
      <c r="M1957" s="14" t="str">
        <f>IF(AND($C1957&lt;&gt;"",$C1957=Kardex!$C$4),COUNTIF($C$5:$C1957,Kardex!$C$4),"")</f>
        <v/>
      </c>
    </row>
    <row r="1958" spans="1:13" x14ac:dyDescent="0.25">
      <c r="A1958" s="24"/>
      <c r="B1958" s="20"/>
      <c r="C1958" s="20"/>
      <c r="D1958" s="14" t="str">
        <f>IF($C1958="","",IFERROR(INDEX(Productos!$B$5:$B$504,MATCH($C1958,Productos!$A$5:$A$504,0)),"Clave no existe"))</f>
        <v/>
      </c>
      <c r="E1958" s="14" t="str">
        <f>IF($C1958="","",IFERROR(INDEX(Productos!$D$5:$D$504,MATCH($C1958,Productos!$A$5:$A$504,0)),""))</f>
        <v/>
      </c>
      <c r="F1958" s="20"/>
      <c r="G1958" s="22" t="str">
        <f>IF($C1958="","",IFERROR(INDEX(Productos!$F$5:$F$504,MATCH($C1958,Productos!$A$5:$A$504,0)),0))</f>
        <v/>
      </c>
      <c r="H1958" s="22" t="str">
        <f t="shared" si="30"/>
        <v/>
      </c>
      <c r="I1958" s="14" t="str">
        <f>IF(OR($C1958="",$F1958=""),"",IFERROR(INDEX(Productos!$I$5:$I$504,MATCH($C1958,Productos!$A$5:$A$504,0)),0)+SUMIFS($F$5:$F1958,$C$5:$C1958,$C1958,$B$5:$B1958,"Entrada")-SUMIFS($F$5:$F1958,$C$5:$C1958,$C1958,$B$5:$B1958,"Salida"))</f>
        <v/>
      </c>
      <c r="J1958" s="20"/>
      <c r="K1958" s="20"/>
      <c r="L1958" s="20"/>
      <c r="M1958" s="14" t="str">
        <f>IF(AND($C1958&lt;&gt;"",$C1958=Kardex!$C$4),COUNTIF($C$5:$C1958,Kardex!$C$4),"")</f>
        <v/>
      </c>
    </row>
    <row r="1959" spans="1:13" x14ac:dyDescent="0.25">
      <c r="A1959" s="24"/>
      <c r="B1959" s="20"/>
      <c r="C1959" s="20"/>
      <c r="D1959" s="14" t="str">
        <f>IF($C1959="","",IFERROR(INDEX(Productos!$B$5:$B$504,MATCH($C1959,Productos!$A$5:$A$504,0)),"Clave no existe"))</f>
        <v/>
      </c>
      <c r="E1959" s="14" t="str">
        <f>IF($C1959="","",IFERROR(INDEX(Productos!$D$5:$D$504,MATCH($C1959,Productos!$A$5:$A$504,0)),""))</f>
        <v/>
      </c>
      <c r="F1959" s="20"/>
      <c r="G1959" s="22" t="str">
        <f>IF($C1959="","",IFERROR(INDEX(Productos!$F$5:$F$504,MATCH($C1959,Productos!$A$5:$A$504,0)),0))</f>
        <v/>
      </c>
      <c r="H1959" s="22" t="str">
        <f t="shared" si="30"/>
        <v/>
      </c>
      <c r="I1959" s="14" t="str">
        <f>IF(OR($C1959="",$F1959=""),"",IFERROR(INDEX(Productos!$I$5:$I$504,MATCH($C1959,Productos!$A$5:$A$504,0)),0)+SUMIFS($F$5:$F1959,$C$5:$C1959,$C1959,$B$5:$B1959,"Entrada")-SUMIFS($F$5:$F1959,$C$5:$C1959,$C1959,$B$5:$B1959,"Salida"))</f>
        <v/>
      </c>
      <c r="J1959" s="20"/>
      <c r="K1959" s="20"/>
      <c r="L1959" s="20"/>
      <c r="M1959" s="14" t="str">
        <f>IF(AND($C1959&lt;&gt;"",$C1959=Kardex!$C$4),COUNTIF($C$5:$C1959,Kardex!$C$4),"")</f>
        <v/>
      </c>
    </row>
    <row r="1960" spans="1:13" x14ac:dyDescent="0.25">
      <c r="A1960" s="24"/>
      <c r="B1960" s="20"/>
      <c r="C1960" s="20"/>
      <c r="D1960" s="14" t="str">
        <f>IF($C1960="","",IFERROR(INDEX(Productos!$B$5:$B$504,MATCH($C1960,Productos!$A$5:$A$504,0)),"Clave no existe"))</f>
        <v/>
      </c>
      <c r="E1960" s="14" t="str">
        <f>IF($C1960="","",IFERROR(INDEX(Productos!$D$5:$D$504,MATCH($C1960,Productos!$A$5:$A$504,0)),""))</f>
        <v/>
      </c>
      <c r="F1960" s="20"/>
      <c r="G1960" s="22" t="str">
        <f>IF($C1960="","",IFERROR(INDEX(Productos!$F$5:$F$504,MATCH($C1960,Productos!$A$5:$A$504,0)),0))</f>
        <v/>
      </c>
      <c r="H1960" s="22" t="str">
        <f t="shared" si="30"/>
        <v/>
      </c>
      <c r="I1960" s="14" t="str">
        <f>IF(OR($C1960="",$F1960=""),"",IFERROR(INDEX(Productos!$I$5:$I$504,MATCH($C1960,Productos!$A$5:$A$504,0)),0)+SUMIFS($F$5:$F1960,$C$5:$C1960,$C1960,$B$5:$B1960,"Entrada")-SUMIFS($F$5:$F1960,$C$5:$C1960,$C1960,$B$5:$B1960,"Salida"))</f>
        <v/>
      </c>
      <c r="J1960" s="20"/>
      <c r="K1960" s="20"/>
      <c r="L1960" s="20"/>
      <c r="M1960" s="14" t="str">
        <f>IF(AND($C1960&lt;&gt;"",$C1960=Kardex!$C$4),COUNTIF($C$5:$C1960,Kardex!$C$4),"")</f>
        <v/>
      </c>
    </row>
    <row r="1961" spans="1:13" x14ac:dyDescent="0.25">
      <c r="A1961" s="24"/>
      <c r="B1961" s="20"/>
      <c r="C1961" s="20"/>
      <c r="D1961" s="14" t="str">
        <f>IF($C1961="","",IFERROR(INDEX(Productos!$B$5:$B$504,MATCH($C1961,Productos!$A$5:$A$504,0)),"Clave no existe"))</f>
        <v/>
      </c>
      <c r="E1961" s="14" t="str">
        <f>IF($C1961="","",IFERROR(INDEX(Productos!$D$5:$D$504,MATCH($C1961,Productos!$A$5:$A$504,0)),""))</f>
        <v/>
      </c>
      <c r="F1961" s="20"/>
      <c r="G1961" s="22" t="str">
        <f>IF($C1961="","",IFERROR(INDEX(Productos!$F$5:$F$504,MATCH($C1961,Productos!$A$5:$A$504,0)),0))</f>
        <v/>
      </c>
      <c r="H1961" s="22" t="str">
        <f t="shared" si="30"/>
        <v/>
      </c>
      <c r="I1961" s="14" t="str">
        <f>IF(OR($C1961="",$F1961=""),"",IFERROR(INDEX(Productos!$I$5:$I$504,MATCH($C1961,Productos!$A$5:$A$504,0)),0)+SUMIFS($F$5:$F1961,$C$5:$C1961,$C1961,$B$5:$B1961,"Entrada")-SUMIFS($F$5:$F1961,$C$5:$C1961,$C1961,$B$5:$B1961,"Salida"))</f>
        <v/>
      </c>
      <c r="J1961" s="20"/>
      <c r="K1961" s="20"/>
      <c r="L1961" s="20"/>
      <c r="M1961" s="14" t="str">
        <f>IF(AND($C1961&lt;&gt;"",$C1961=Kardex!$C$4),COUNTIF($C$5:$C1961,Kardex!$C$4),"")</f>
        <v/>
      </c>
    </row>
    <row r="1962" spans="1:13" x14ac:dyDescent="0.25">
      <c r="A1962" s="24"/>
      <c r="B1962" s="20"/>
      <c r="C1962" s="20"/>
      <c r="D1962" s="14" t="str">
        <f>IF($C1962="","",IFERROR(INDEX(Productos!$B$5:$B$504,MATCH($C1962,Productos!$A$5:$A$504,0)),"Clave no existe"))</f>
        <v/>
      </c>
      <c r="E1962" s="14" t="str">
        <f>IF($C1962="","",IFERROR(INDEX(Productos!$D$5:$D$504,MATCH($C1962,Productos!$A$5:$A$504,0)),""))</f>
        <v/>
      </c>
      <c r="F1962" s="20"/>
      <c r="G1962" s="22" t="str">
        <f>IF($C1962="","",IFERROR(INDEX(Productos!$F$5:$F$504,MATCH($C1962,Productos!$A$5:$A$504,0)),0))</f>
        <v/>
      </c>
      <c r="H1962" s="22" t="str">
        <f t="shared" si="30"/>
        <v/>
      </c>
      <c r="I1962" s="14" t="str">
        <f>IF(OR($C1962="",$F1962=""),"",IFERROR(INDEX(Productos!$I$5:$I$504,MATCH($C1962,Productos!$A$5:$A$504,0)),0)+SUMIFS($F$5:$F1962,$C$5:$C1962,$C1962,$B$5:$B1962,"Entrada")-SUMIFS($F$5:$F1962,$C$5:$C1962,$C1962,$B$5:$B1962,"Salida"))</f>
        <v/>
      </c>
      <c r="J1962" s="20"/>
      <c r="K1962" s="20"/>
      <c r="L1962" s="20"/>
      <c r="M1962" s="14" t="str">
        <f>IF(AND($C1962&lt;&gt;"",$C1962=Kardex!$C$4),COUNTIF($C$5:$C1962,Kardex!$C$4),"")</f>
        <v/>
      </c>
    </row>
    <row r="1963" spans="1:13" x14ac:dyDescent="0.25">
      <c r="A1963" s="24"/>
      <c r="B1963" s="20"/>
      <c r="C1963" s="20"/>
      <c r="D1963" s="14" t="str">
        <f>IF($C1963="","",IFERROR(INDEX(Productos!$B$5:$B$504,MATCH($C1963,Productos!$A$5:$A$504,0)),"Clave no existe"))</f>
        <v/>
      </c>
      <c r="E1963" s="14" t="str">
        <f>IF($C1963="","",IFERROR(INDEX(Productos!$D$5:$D$504,MATCH($C1963,Productos!$A$5:$A$504,0)),""))</f>
        <v/>
      </c>
      <c r="F1963" s="20"/>
      <c r="G1963" s="22" t="str">
        <f>IF($C1963="","",IFERROR(INDEX(Productos!$F$5:$F$504,MATCH($C1963,Productos!$A$5:$A$504,0)),0))</f>
        <v/>
      </c>
      <c r="H1963" s="22" t="str">
        <f t="shared" si="30"/>
        <v/>
      </c>
      <c r="I1963" s="14" t="str">
        <f>IF(OR($C1963="",$F1963=""),"",IFERROR(INDEX(Productos!$I$5:$I$504,MATCH($C1963,Productos!$A$5:$A$504,0)),0)+SUMIFS($F$5:$F1963,$C$5:$C1963,$C1963,$B$5:$B1963,"Entrada")-SUMIFS($F$5:$F1963,$C$5:$C1963,$C1963,$B$5:$B1963,"Salida"))</f>
        <v/>
      </c>
      <c r="J1963" s="20"/>
      <c r="K1963" s="20"/>
      <c r="L1963" s="20"/>
      <c r="M1963" s="14" t="str">
        <f>IF(AND($C1963&lt;&gt;"",$C1963=Kardex!$C$4),COUNTIF($C$5:$C1963,Kardex!$C$4),"")</f>
        <v/>
      </c>
    </row>
    <row r="1964" spans="1:13" x14ac:dyDescent="0.25">
      <c r="A1964" s="24"/>
      <c r="B1964" s="20"/>
      <c r="C1964" s="20"/>
      <c r="D1964" s="14" t="str">
        <f>IF($C1964="","",IFERROR(INDEX(Productos!$B$5:$B$504,MATCH($C1964,Productos!$A$5:$A$504,0)),"Clave no existe"))</f>
        <v/>
      </c>
      <c r="E1964" s="14" t="str">
        <f>IF($C1964="","",IFERROR(INDEX(Productos!$D$5:$D$504,MATCH($C1964,Productos!$A$5:$A$504,0)),""))</f>
        <v/>
      </c>
      <c r="F1964" s="20"/>
      <c r="G1964" s="22" t="str">
        <f>IF($C1964="","",IFERROR(INDEX(Productos!$F$5:$F$504,MATCH($C1964,Productos!$A$5:$A$504,0)),0))</f>
        <v/>
      </c>
      <c r="H1964" s="22" t="str">
        <f t="shared" si="30"/>
        <v/>
      </c>
      <c r="I1964" s="14" t="str">
        <f>IF(OR($C1964="",$F1964=""),"",IFERROR(INDEX(Productos!$I$5:$I$504,MATCH($C1964,Productos!$A$5:$A$504,0)),0)+SUMIFS($F$5:$F1964,$C$5:$C1964,$C1964,$B$5:$B1964,"Entrada")-SUMIFS($F$5:$F1964,$C$5:$C1964,$C1964,$B$5:$B1964,"Salida"))</f>
        <v/>
      </c>
      <c r="J1964" s="20"/>
      <c r="K1964" s="20"/>
      <c r="L1964" s="20"/>
      <c r="M1964" s="14" t="str">
        <f>IF(AND($C1964&lt;&gt;"",$C1964=Kardex!$C$4),COUNTIF($C$5:$C1964,Kardex!$C$4),"")</f>
        <v/>
      </c>
    </row>
    <row r="1965" spans="1:13" x14ac:dyDescent="0.25">
      <c r="A1965" s="24"/>
      <c r="B1965" s="20"/>
      <c r="C1965" s="20"/>
      <c r="D1965" s="14" t="str">
        <f>IF($C1965="","",IFERROR(INDEX(Productos!$B$5:$B$504,MATCH($C1965,Productos!$A$5:$A$504,0)),"Clave no existe"))</f>
        <v/>
      </c>
      <c r="E1965" s="14" t="str">
        <f>IF($C1965="","",IFERROR(INDEX(Productos!$D$5:$D$504,MATCH($C1965,Productos!$A$5:$A$504,0)),""))</f>
        <v/>
      </c>
      <c r="F1965" s="20"/>
      <c r="G1965" s="22" t="str">
        <f>IF($C1965="","",IFERROR(INDEX(Productos!$F$5:$F$504,MATCH($C1965,Productos!$A$5:$A$504,0)),0))</f>
        <v/>
      </c>
      <c r="H1965" s="22" t="str">
        <f t="shared" si="30"/>
        <v/>
      </c>
      <c r="I1965" s="14" t="str">
        <f>IF(OR($C1965="",$F1965=""),"",IFERROR(INDEX(Productos!$I$5:$I$504,MATCH($C1965,Productos!$A$5:$A$504,0)),0)+SUMIFS($F$5:$F1965,$C$5:$C1965,$C1965,$B$5:$B1965,"Entrada")-SUMIFS($F$5:$F1965,$C$5:$C1965,$C1965,$B$5:$B1965,"Salida"))</f>
        <v/>
      </c>
      <c r="J1965" s="20"/>
      <c r="K1965" s="20"/>
      <c r="L1965" s="20"/>
      <c r="M1965" s="14" t="str">
        <f>IF(AND($C1965&lt;&gt;"",$C1965=Kardex!$C$4),COUNTIF($C$5:$C1965,Kardex!$C$4),"")</f>
        <v/>
      </c>
    </row>
    <row r="1966" spans="1:13" x14ac:dyDescent="0.25">
      <c r="A1966" s="24"/>
      <c r="B1966" s="20"/>
      <c r="C1966" s="20"/>
      <c r="D1966" s="14" t="str">
        <f>IF($C1966="","",IFERROR(INDEX(Productos!$B$5:$B$504,MATCH($C1966,Productos!$A$5:$A$504,0)),"Clave no existe"))</f>
        <v/>
      </c>
      <c r="E1966" s="14" t="str">
        <f>IF($C1966="","",IFERROR(INDEX(Productos!$D$5:$D$504,MATCH($C1966,Productos!$A$5:$A$504,0)),""))</f>
        <v/>
      </c>
      <c r="F1966" s="20"/>
      <c r="G1966" s="22" t="str">
        <f>IF($C1966="","",IFERROR(INDEX(Productos!$F$5:$F$504,MATCH($C1966,Productos!$A$5:$A$504,0)),0))</f>
        <v/>
      </c>
      <c r="H1966" s="22" t="str">
        <f t="shared" si="30"/>
        <v/>
      </c>
      <c r="I1966" s="14" t="str">
        <f>IF(OR($C1966="",$F1966=""),"",IFERROR(INDEX(Productos!$I$5:$I$504,MATCH($C1966,Productos!$A$5:$A$504,0)),0)+SUMIFS($F$5:$F1966,$C$5:$C1966,$C1966,$B$5:$B1966,"Entrada")-SUMIFS($F$5:$F1966,$C$5:$C1966,$C1966,$B$5:$B1966,"Salida"))</f>
        <v/>
      </c>
      <c r="J1966" s="20"/>
      <c r="K1966" s="20"/>
      <c r="L1966" s="20"/>
      <c r="M1966" s="14" t="str">
        <f>IF(AND($C1966&lt;&gt;"",$C1966=Kardex!$C$4),COUNTIF($C$5:$C1966,Kardex!$C$4),"")</f>
        <v/>
      </c>
    </row>
    <row r="1967" spans="1:13" x14ac:dyDescent="0.25">
      <c r="A1967" s="24"/>
      <c r="B1967" s="20"/>
      <c r="C1967" s="20"/>
      <c r="D1967" s="14" t="str">
        <f>IF($C1967="","",IFERROR(INDEX(Productos!$B$5:$B$504,MATCH($C1967,Productos!$A$5:$A$504,0)),"Clave no existe"))</f>
        <v/>
      </c>
      <c r="E1967" s="14" t="str">
        <f>IF($C1967="","",IFERROR(INDEX(Productos!$D$5:$D$504,MATCH($C1967,Productos!$A$5:$A$504,0)),""))</f>
        <v/>
      </c>
      <c r="F1967" s="20"/>
      <c r="G1967" s="22" t="str">
        <f>IF($C1967="","",IFERROR(INDEX(Productos!$F$5:$F$504,MATCH($C1967,Productos!$A$5:$A$504,0)),0))</f>
        <v/>
      </c>
      <c r="H1967" s="22" t="str">
        <f t="shared" si="30"/>
        <v/>
      </c>
      <c r="I1967" s="14" t="str">
        <f>IF(OR($C1967="",$F1967=""),"",IFERROR(INDEX(Productos!$I$5:$I$504,MATCH($C1967,Productos!$A$5:$A$504,0)),0)+SUMIFS($F$5:$F1967,$C$5:$C1967,$C1967,$B$5:$B1967,"Entrada")-SUMIFS($F$5:$F1967,$C$5:$C1967,$C1967,$B$5:$B1967,"Salida"))</f>
        <v/>
      </c>
      <c r="J1967" s="20"/>
      <c r="K1967" s="20"/>
      <c r="L1967" s="20"/>
      <c r="M1967" s="14" t="str">
        <f>IF(AND($C1967&lt;&gt;"",$C1967=Kardex!$C$4),COUNTIF($C$5:$C1967,Kardex!$C$4),"")</f>
        <v/>
      </c>
    </row>
    <row r="1968" spans="1:13" x14ac:dyDescent="0.25">
      <c r="A1968" s="24"/>
      <c r="B1968" s="20"/>
      <c r="C1968" s="20"/>
      <c r="D1968" s="14" t="str">
        <f>IF($C1968="","",IFERROR(INDEX(Productos!$B$5:$B$504,MATCH($C1968,Productos!$A$5:$A$504,0)),"Clave no existe"))</f>
        <v/>
      </c>
      <c r="E1968" s="14" t="str">
        <f>IF($C1968="","",IFERROR(INDEX(Productos!$D$5:$D$504,MATCH($C1968,Productos!$A$5:$A$504,0)),""))</f>
        <v/>
      </c>
      <c r="F1968" s="20"/>
      <c r="G1968" s="22" t="str">
        <f>IF($C1968="","",IFERROR(INDEX(Productos!$F$5:$F$504,MATCH($C1968,Productos!$A$5:$A$504,0)),0))</f>
        <v/>
      </c>
      <c r="H1968" s="22" t="str">
        <f t="shared" si="30"/>
        <v/>
      </c>
      <c r="I1968" s="14" t="str">
        <f>IF(OR($C1968="",$F1968=""),"",IFERROR(INDEX(Productos!$I$5:$I$504,MATCH($C1968,Productos!$A$5:$A$504,0)),0)+SUMIFS($F$5:$F1968,$C$5:$C1968,$C1968,$B$5:$B1968,"Entrada")-SUMIFS($F$5:$F1968,$C$5:$C1968,$C1968,$B$5:$B1968,"Salida"))</f>
        <v/>
      </c>
      <c r="J1968" s="20"/>
      <c r="K1968" s="20"/>
      <c r="L1968" s="20"/>
      <c r="M1968" s="14" t="str">
        <f>IF(AND($C1968&lt;&gt;"",$C1968=Kardex!$C$4),COUNTIF($C$5:$C1968,Kardex!$C$4),"")</f>
        <v/>
      </c>
    </row>
    <row r="1969" spans="1:13" x14ac:dyDescent="0.25">
      <c r="A1969" s="24"/>
      <c r="B1969" s="20"/>
      <c r="C1969" s="20"/>
      <c r="D1969" s="14" t="str">
        <f>IF($C1969="","",IFERROR(INDEX(Productos!$B$5:$B$504,MATCH($C1969,Productos!$A$5:$A$504,0)),"Clave no existe"))</f>
        <v/>
      </c>
      <c r="E1969" s="14" t="str">
        <f>IF($C1969="","",IFERROR(INDEX(Productos!$D$5:$D$504,MATCH($C1969,Productos!$A$5:$A$504,0)),""))</f>
        <v/>
      </c>
      <c r="F1969" s="20"/>
      <c r="G1969" s="22" t="str">
        <f>IF($C1969="","",IFERROR(INDEX(Productos!$F$5:$F$504,MATCH($C1969,Productos!$A$5:$A$504,0)),0))</f>
        <v/>
      </c>
      <c r="H1969" s="22" t="str">
        <f t="shared" si="30"/>
        <v/>
      </c>
      <c r="I1969" s="14" t="str">
        <f>IF(OR($C1969="",$F1969=""),"",IFERROR(INDEX(Productos!$I$5:$I$504,MATCH($C1969,Productos!$A$5:$A$504,0)),0)+SUMIFS($F$5:$F1969,$C$5:$C1969,$C1969,$B$5:$B1969,"Entrada")-SUMIFS($F$5:$F1969,$C$5:$C1969,$C1969,$B$5:$B1969,"Salida"))</f>
        <v/>
      </c>
      <c r="J1969" s="20"/>
      <c r="K1969" s="20"/>
      <c r="L1969" s="20"/>
      <c r="M1969" s="14" t="str">
        <f>IF(AND($C1969&lt;&gt;"",$C1969=Kardex!$C$4),COUNTIF($C$5:$C1969,Kardex!$C$4),"")</f>
        <v/>
      </c>
    </row>
    <row r="1970" spans="1:13" x14ac:dyDescent="0.25">
      <c r="A1970" s="24"/>
      <c r="B1970" s="20"/>
      <c r="C1970" s="20"/>
      <c r="D1970" s="14" t="str">
        <f>IF($C1970="","",IFERROR(INDEX(Productos!$B$5:$B$504,MATCH($C1970,Productos!$A$5:$A$504,0)),"Clave no existe"))</f>
        <v/>
      </c>
      <c r="E1970" s="14" t="str">
        <f>IF($C1970="","",IFERROR(INDEX(Productos!$D$5:$D$504,MATCH($C1970,Productos!$A$5:$A$504,0)),""))</f>
        <v/>
      </c>
      <c r="F1970" s="20"/>
      <c r="G1970" s="22" t="str">
        <f>IF($C1970="","",IFERROR(INDEX(Productos!$F$5:$F$504,MATCH($C1970,Productos!$A$5:$A$504,0)),0))</f>
        <v/>
      </c>
      <c r="H1970" s="22" t="str">
        <f t="shared" si="30"/>
        <v/>
      </c>
      <c r="I1970" s="14" t="str">
        <f>IF(OR($C1970="",$F1970=""),"",IFERROR(INDEX(Productos!$I$5:$I$504,MATCH($C1970,Productos!$A$5:$A$504,0)),0)+SUMIFS($F$5:$F1970,$C$5:$C1970,$C1970,$B$5:$B1970,"Entrada")-SUMIFS($F$5:$F1970,$C$5:$C1970,$C1970,$B$5:$B1970,"Salida"))</f>
        <v/>
      </c>
      <c r="J1970" s="20"/>
      <c r="K1970" s="20"/>
      <c r="L1970" s="20"/>
      <c r="M1970" s="14" t="str">
        <f>IF(AND($C1970&lt;&gt;"",$C1970=Kardex!$C$4),COUNTIF($C$5:$C1970,Kardex!$C$4),"")</f>
        <v/>
      </c>
    </row>
    <row r="1971" spans="1:13" x14ac:dyDescent="0.25">
      <c r="A1971" s="24"/>
      <c r="B1971" s="20"/>
      <c r="C1971" s="20"/>
      <c r="D1971" s="14" t="str">
        <f>IF($C1971="","",IFERROR(INDEX(Productos!$B$5:$B$504,MATCH($C1971,Productos!$A$5:$A$504,0)),"Clave no existe"))</f>
        <v/>
      </c>
      <c r="E1971" s="14" t="str">
        <f>IF($C1971="","",IFERROR(INDEX(Productos!$D$5:$D$504,MATCH($C1971,Productos!$A$5:$A$504,0)),""))</f>
        <v/>
      </c>
      <c r="F1971" s="20"/>
      <c r="G1971" s="22" t="str">
        <f>IF($C1971="","",IFERROR(INDEX(Productos!$F$5:$F$504,MATCH($C1971,Productos!$A$5:$A$504,0)),0))</f>
        <v/>
      </c>
      <c r="H1971" s="22" t="str">
        <f t="shared" si="30"/>
        <v/>
      </c>
      <c r="I1971" s="14" t="str">
        <f>IF(OR($C1971="",$F1971=""),"",IFERROR(INDEX(Productos!$I$5:$I$504,MATCH($C1971,Productos!$A$5:$A$504,0)),0)+SUMIFS($F$5:$F1971,$C$5:$C1971,$C1971,$B$5:$B1971,"Entrada")-SUMIFS($F$5:$F1971,$C$5:$C1971,$C1971,$B$5:$B1971,"Salida"))</f>
        <v/>
      </c>
      <c r="J1971" s="20"/>
      <c r="K1971" s="20"/>
      <c r="L1971" s="20"/>
      <c r="M1971" s="14" t="str">
        <f>IF(AND($C1971&lt;&gt;"",$C1971=Kardex!$C$4),COUNTIF($C$5:$C1971,Kardex!$C$4),"")</f>
        <v/>
      </c>
    </row>
    <row r="1972" spans="1:13" x14ac:dyDescent="0.25">
      <c r="A1972" s="24"/>
      <c r="B1972" s="20"/>
      <c r="C1972" s="20"/>
      <c r="D1972" s="14" t="str">
        <f>IF($C1972="","",IFERROR(INDEX(Productos!$B$5:$B$504,MATCH($C1972,Productos!$A$5:$A$504,0)),"Clave no existe"))</f>
        <v/>
      </c>
      <c r="E1972" s="14" t="str">
        <f>IF($C1972="","",IFERROR(INDEX(Productos!$D$5:$D$504,MATCH($C1972,Productos!$A$5:$A$504,0)),""))</f>
        <v/>
      </c>
      <c r="F1972" s="20"/>
      <c r="G1972" s="22" t="str">
        <f>IF($C1972="","",IFERROR(INDEX(Productos!$F$5:$F$504,MATCH($C1972,Productos!$A$5:$A$504,0)),0))</f>
        <v/>
      </c>
      <c r="H1972" s="22" t="str">
        <f t="shared" si="30"/>
        <v/>
      </c>
      <c r="I1972" s="14" t="str">
        <f>IF(OR($C1972="",$F1972=""),"",IFERROR(INDEX(Productos!$I$5:$I$504,MATCH($C1972,Productos!$A$5:$A$504,0)),0)+SUMIFS($F$5:$F1972,$C$5:$C1972,$C1972,$B$5:$B1972,"Entrada")-SUMIFS($F$5:$F1972,$C$5:$C1972,$C1972,$B$5:$B1972,"Salida"))</f>
        <v/>
      </c>
      <c r="J1972" s="20"/>
      <c r="K1972" s="20"/>
      <c r="L1972" s="20"/>
      <c r="M1972" s="14" t="str">
        <f>IF(AND($C1972&lt;&gt;"",$C1972=Kardex!$C$4),COUNTIF($C$5:$C1972,Kardex!$C$4),"")</f>
        <v/>
      </c>
    </row>
    <row r="1973" spans="1:13" x14ac:dyDescent="0.25">
      <c r="A1973" s="24"/>
      <c r="B1973" s="20"/>
      <c r="C1973" s="20"/>
      <c r="D1973" s="14" t="str">
        <f>IF($C1973="","",IFERROR(INDEX(Productos!$B$5:$B$504,MATCH($C1973,Productos!$A$5:$A$504,0)),"Clave no existe"))</f>
        <v/>
      </c>
      <c r="E1973" s="14" t="str">
        <f>IF($C1973="","",IFERROR(INDEX(Productos!$D$5:$D$504,MATCH($C1973,Productos!$A$5:$A$504,0)),""))</f>
        <v/>
      </c>
      <c r="F1973" s="20"/>
      <c r="G1973" s="22" t="str">
        <f>IF($C1973="","",IFERROR(INDEX(Productos!$F$5:$F$504,MATCH($C1973,Productos!$A$5:$A$504,0)),0))</f>
        <v/>
      </c>
      <c r="H1973" s="22" t="str">
        <f t="shared" si="30"/>
        <v/>
      </c>
      <c r="I1973" s="14" t="str">
        <f>IF(OR($C1973="",$F1973=""),"",IFERROR(INDEX(Productos!$I$5:$I$504,MATCH($C1973,Productos!$A$5:$A$504,0)),0)+SUMIFS($F$5:$F1973,$C$5:$C1973,$C1973,$B$5:$B1973,"Entrada")-SUMIFS($F$5:$F1973,$C$5:$C1973,$C1973,$B$5:$B1973,"Salida"))</f>
        <v/>
      </c>
      <c r="J1973" s="20"/>
      <c r="K1973" s="20"/>
      <c r="L1973" s="20"/>
      <c r="M1973" s="14" t="str">
        <f>IF(AND($C1973&lt;&gt;"",$C1973=Kardex!$C$4),COUNTIF($C$5:$C1973,Kardex!$C$4),"")</f>
        <v/>
      </c>
    </row>
    <row r="1974" spans="1:13" x14ac:dyDescent="0.25">
      <c r="A1974" s="24"/>
      <c r="B1974" s="20"/>
      <c r="C1974" s="20"/>
      <c r="D1974" s="14" t="str">
        <f>IF($C1974="","",IFERROR(INDEX(Productos!$B$5:$B$504,MATCH($C1974,Productos!$A$5:$A$504,0)),"Clave no existe"))</f>
        <v/>
      </c>
      <c r="E1974" s="14" t="str">
        <f>IF($C1974="","",IFERROR(INDEX(Productos!$D$5:$D$504,MATCH($C1974,Productos!$A$5:$A$504,0)),""))</f>
        <v/>
      </c>
      <c r="F1974" s="20"/>
      <c r="G1974" s="22" t="str">
        <f>IF($C1974="","",IFERROR(INDEX(Productos!$F$5:$F$504,MATCH($C1974,Productos!$A$5:$A$504,0)),0))</f>
        <v/>
      </c>
      <c r="H1974" s="22" t="str">
        <f t="shared" si="30"/>
        <v/>
      </c>
      <c r="I1974" s="14" t="str">
        <f>IF(OR($C1974="",$F1974=""),"",IFERROR(INDEX(Productos!$I$5:$I$504,MATCH($C1974,Productos!$A$5:$A$504,0)),0)+SUMIFS($F$5:$F1974,$C$5:$C1974,$C1974,$B$5:$B1974,"Entrada")-SUMIFS($F$5:$F1974,$C$5:$C1974,$C1974,$B$5:$B1974,"Salida"))</f>
        <v/>
      </c>
      <c r="J1974" s="20"/>
      <c r="K1974" s="20"/>
      <c r="L1974" s="20"/>
      <c r="M1974" s="14" t="str">
        <f>IF(AND($C1974&lt;&gt;"",$C1974=Kardex!$C$4),COUNTIF($C$5:$C1974,Kardex!$C$4),"")</f>
        <v/>
      </c>
    </row>
    <row r="1975" spans="1:13" x14ac:dyDescent="0.25">
      <c r="A1975" s="24"/>
      <c r="B1975" s="20"/>
      <c r="C1975" s="20"/>
      <c r="D1975" s="14" t="str">
        <f>IF($C1975="","",IFERROR(INDEX(Productos!$B$5:$B$504,MATCH($C1975,Productos!$A$5:$A$504,0)),"Clave no existe"))</f>
        <v/>
      </c>
      <c r="E1975" s="14" t="str">
        <f>IF($C1975="","",IFERROR(INDEX(Productos!$D$5:$D$504,MATCH($C1975,Productos!$A$5:$A$504,0)),""))</f>
        <v/>
      </c>
      <c r="F1975" s="20"/>
      <c r="G1975" s="22" t="str">
        <f>IF($C1975="","",IFERROR(INDEX(Productos!$F$5:$F$504,MATCH($C1975,Productos!$A$5:$A$504,0)),0))</f>
        <v/>
      </c>
      <c r="H1975" s="22" t="str">
        <f t="shared" si="30"/>
        <v/>
      </c>
      <c r="I1975" s="14" t="str">
        <f>IF(OR($C1975="",$F1975=""),"",IFERROR(INDEX(Productos!$I$5:$I$504,MATCH($C1975,Productos!$A$5:$A$504,0)),0)+SUMIFS($F$5:$F1975,$C$5:$C1975,$C1975,$B$5:$B1975,"Entrada")-SUMIFS($F$5:$F1975,$C$5:$C1975,$C1975,$B$5:$B1975,"Salida"))</f>
        <v/>
      </c>
      <c r="J1975" s="20"/>
      <c r="K1975" s="20"/>
      <c r="L1975" s="20"/>
      <c r="M1975" s="14" t="str">
        <f>IF(AND($C1975&lt;&gt;"",$C1975=Kardex!$C$4),COUNTIF($C$5:$C1975,Kardex!$C$4),"")</f>
        <v/>
      </c>
    </row>
    <row r="1976" spans="1:13" x14ac:dyDescent="0.25">
      <c r="A1976" s="24"/>
      <c r="B1976" s="20"/>
      <c r="C1976" s="20"/>
      <c r="D1976" s="14" t="str">
        <f>IF($C1976="","",IFERROR(INDEX(Productos!$B$5:$B$504,MATCH($C1976,Productos!$A$5:$A$504,0)),"Clave no existe"))</f>
        <v/>
      </c>
      <c r="E1976" s="14" t="str">
        <f>IF($C1976="","",IFERROR(INDEX(Productos!$D$5:$D$504,MATCH($C1976,Productos!$A$5:$A$504,0)),""))</f>
        <v/>
      </c>
      <c r="F1976" s="20"/>
      <c r="G1976" s="22" t="str">
        <f>IF($C1976="","",IFERROR(INDEX(Productos!$F$5:$F$504,MATCH($C1976,Productos!$A$5:$A$504,0)),0))</f>
        <v/>
      </c>
      <c r="H1976" s="22" t="str">
        <f t="shared" si="30"/>
        <v/>
      </c>
      <c r="I1976" s="14" t="str">
        <f>IF(OR($C1976="",$F1976=""),"",IFERROR(INDEX(Productos!$I$5:$I$504,MATCH($C1976,Productos!$A$5:$A$504,0)),0)+SUMIFS($F$5:$F1976,$C$5:$C1976,$C1976,$B$5:$B1976,"Entrada")-SUMIFS($F$5:$F1976,$C$5:$C1976,$C1976,$B$5:$B1976,"Salida"))</f>
        <v/>
      </c>
      <c r="J1976" s="20"/>
      <c r="K1976" s="20"/>
      <c r="L1976" s="20"/>
      <c r="M1976" s="14" t="str">
        <f>IF(AND($C1976&lt;&gt;"",$C1976=Kardex!$C$4),COUNTIF($C$5:$C1976,Kardex!$C$4),"")</f>
        <v/>
      </c>
    </row>
    <row r="1977" spans="1:13" x14ac:dyDescent="0.25">
      <c r="A1977" s="24"/>
      <c r="B1977" s="20"/>
      <c r="C1977" s="20"/>
      <c r="D1977" s="14" t="str">
        <f>IF($C1977="","",IFERROR(INDEX(Productos!$B$5:$B$504,MATCH($C1977,Productos!$A$5:$A$504,0)),"Clave no existe"))</f>
        <v/>
      </c>
      <c r="E1977" s="14" t="str">
        <f>IF($C1977="","",IFERROR(INDEX(Productos!$D$5:$D$504,MATCH($C1977,Productos!$A$5:$A$504,0)),""))</f>
        <v/>
      </c>
      <c r="F1977" s="20"/>
      <c r="G1977" s="22" t="str">
        <f>IF($C1977="","",IFERROR(INDEX(Productos!$F$5:$F$504,MATCH($C1977,Productos!$A$5:$A$504,0)),0))</f>
        <v/>
      </c>
      <c r="H1977" s="22" t="str">
        <f t="shared" si="30"/>
        <v/>
      </c>
      <c r="I1977" s="14" t="str">
        <f>IF(OR($C1977="",$F1977=""),"",IFERROR(INDEX(Productos!$I$5:$I$504,MATCH($C1977,Productos!$A$5:$A$504,0)),0)+SUMIFS($F$5:$F1977,$C$5:$C1977,$C1977,$B$5:$B1977,"Entrada")-SUMIFS($F$5:$F1977,$C$5:$C1977,$C1977,$B$5:$B1977,"Salida"))</f>
        <v/>
      </c>
      <c r="J1977" s="20"/>
      <c r="K1977" s="20"/>
      <c r="L1977" s="20"/>
      <c r="M1977" s="14" t="str">
        <f>IF(AND($C1977&lt;&gt;"",$C1977=Kardex!$C$4),COUNTIF($C$5:$C1977,Kardex!$C$4),"")</f>
        <v/>
      </c>
    </row>
    <row r="1978" spans="1:13" x14ac:dyDescent="0.25">
      <c r="A1978" s="24"/>
      <c r="B1978" s="20"/>
      <c r="C1978" s="20"/>
      <c r="D1978" s="14" t="str">
        <f>IF($C1978="","",IFERROR(INDEX(Productos!$B$5:$B$504,MATCH($C1978,Productos!$A$5:$A$504,0)),"Clave no existe"))</f>
        <v/>
      </c>
      <c r="E1978" s="14" t="str">
        <f>IF($C1978="","",IFERROR(INDEX(Productos!$D$5:$D$504,MATCH($C1978,Productos!$A$5:$A$504,0)),""))</f>
        <v/>
      </c>
      <c r="F1978" s="20"/>
      <c r="G1978" s="22" t="str">
        <f>IF($C1978="","",IFERROR(INDEX(Productos!$F$5:$F$504,MATCH($C1978,Productos!$A$5:$A$504,0)),0))</f>
        <v/>
      </c>
      <c r="H1978" s="22" t="str">
        <f t="shared" si="30"/>
        <v/>
      </c>
      <c r="I1978" s="14" t="str">
        <f>IF(OR($C1978="",$F1978=""),"",IFERROR(INDEX(Productos!$I$5:$I$504,MATCH($C1978,Productos!$A$5:$A$504,0)),0)+SUMIFS($F$5:$F1978,$C$5:$C1978,$C1978,$B$5:$B1978,"Entrada")-SUMIFS($F$5:$F1978,$C$5:$C1978,$C1978,$B$5:$B1978,"Salida"))</f>
        <v/>
      </c>
      <c r="J1978" s="20"/>
      <c r="K1978" s="20"/>
      <c r="L1978" s="20"/>
      <c r="M1978" s="14" t="str">
        <f>IF(AND($C1978&lt;&gt;"",$C1978=Kardex!$C$4),COUNTIF($C$5:$C1978,Kardex!$C$4),"")</f>
        <v/>
      </c>
    </row>
    <row r="1979" spans="1:13" x14ac:dyDescent="0.25">
      <c r="A1979" s="24"/>
      <c r="B1979" s="20"/>
      <c r="C1979" s="20"/>
      <c r="D1979" s="14" t="str">
        <f>IF($C1979="","",IFERROR(INDEX(Productos!$B$5:$B$504,MATCH($C1979,Productos!$A$5:$A$504,0)),"Clave no existe"))</f>
        <v/>
      </c>
      <c r="E1979" s="14" t="str">
        <f>IF($C1979="","",IFERROR(INDEX(Productos!$D$5:$D$504,MATCH($C1979,Productos!$A$5:$A$504,0)),""))</f>
        <v/>
      </c>
      <c r="F1979" s="20"/>
      <c r="G1979" s="22" t="str">
        <f>IF($C1979="","",IFERROR(INDEX(Productos!$F$5:$F$504,MATCH($C1979,Productos!$A$5:$A$504,0)),0))</f>
        <v/>
      </c>
      <c r="H1979" s="22" t="str">
        <f t="shared" si="30"/>
        <v/>
      </c>
      <c r="I1979" s="14" t="str">
        <f>IF(OR($C1979="",$F1979=""),"",IFERROR(INDEX(Productos!$I$5:$I$504,MATCH($C1979,Productos!$A$5:$A$504,0)),0)+SUMIFS($F$5:$F1979,$C$5:$C1979,$C1979,$B$5:$B1979,"Entrada")-SUMIFS($F$5:$F1979,$C$5:$C1979,$C1979,$B$5:$B1979,"Salida"))</f>
        <v/>
      </c>
      <c r="J1979" s="20"/>
      <c r="K1979" s="20"/>
      <c r="L1979" s="20"/>
      <c r="M1979" s="14" t="str">
        <f>IF(AND($C1979&lt;&gt;"",$C1979=Kardex!$C$4),COUNTIF($C$5:$C1979,Kardex!$C$4),"")</f>
        <v/>
      </c>
    </row>
    <row r="1980" spans="1:13" x14ac:dyDescent="0.25">
      <c r="A1980" s="24"/>
      <c r="B1980" s="20"/>
      <c r="C1980" s="20"/>
      <c r="D1980" s="14" t="str">
        <f>IF($C1980="","",IFERROR(INDEX(Productos!$B$5:$B$504,MATCH($C1980,Productos!$A$5:$A$504,0)),"Clave no existe"))</f>
        <v/>
      </c>
      <c r="E1980" s="14" t="str">
        <f>IF($C1980="","",IFERROR(INDEX(Productos!$D$5:$D$504,MATCH($C1980,Productos!$A$5:$A$504,0)),""))</f>
        <v/>
      </c>
      <c r="F1980" s="20"/>
      <c r="G1980" s="22" t="str">
        <f>IF($C1980="","",IFERROR(INDEX(Productos!$F$5:$F$504,MATCH($C1980,Productos!$A$5:$A$504,0)),0))</f>
        <v/>
      </c>
      <c r="H1980" s="22" t="str">
        <f t="shared" si="30"/>
        <v/>
      </c>
      <c r="I1980" s="14" t="str">
        <f>IF(OR($C1980="",$F1980=""),"",IFERROR(INDEX(Productos!$I$5:$I$504,MATCH($C1980,Productos!$A$5:$A$504,0)),0)+SUMIFS($F$5:$F1980,$C$5:$C1980,$C1980,$B$5:$B1980,"Entrada")-SUMIFS($F$5:$F1980,$C$5:$C1980,$C1980,$B$5:$B1980,"Salida"))</f>
        <v/>
      </c>
      <c r="J1980" s="20"/>
      <c r="K1980" s="20"/>
      <c r="L1980" s="20"/>
      <c r="M1980" s="14" t="str">
        <f>IF(AND($C1980&lt;&gt;"",$C1980=Kardex!$C$4),COUNTIF($C$5:$C1980,Kardex!$C$4),"")</f>
        <v/>
      </c>
    </row>
    <row r="1981" spans="1:13" x14ac:dyDescent="0.25">
      <c r="A1981" s="24"/>
      <c r="B1981" s="20"/>
      <c r="C1981" s="20"/>
      <c r="D1981" s="14" t="str">
        <f>IF($C1981="","",IFERROR(INDEX(Productos!$B$5:$B$504,MATCH($C1981,Productos!$A$5:$A$504,0)),"Clave no existe"))</f>
        <v/>
      </c>
      <c r="E1981" s="14" t="str">
        <f>IF($C1981="","",IFERROR(INDEX(Productos!$D$5:$D$504,MATCH($C1981,Productos!$A$5:$A$504,0)),""))</f>
        <v/>
      </c>
      <c r="F1981" s="20"/>
      <c r="G1981" s="22" t="str">
        <f>IF($C1981="","",IFERROR(INDEX(Productos!$F$5:$F$504,MATCH($C1981,Productos!$A$5:$A$504,0)),0))</f>
        <v/>
      </c>
      <c r="H1981" s="22" t="str">
        <f t="shared" si="30"/>
        <v/>
      </c>
      <c r="I1981" s="14" t="str">
        <f>IF(OR($C1981="",$F1981=""),"",IFERROR(INDEX(Productos!$I$5:$I$504,MATCH($C1981,Productos!$A$5:$A$504,0)),0)+SUMIFS($F$5:$F1981,$C$5:$C1981,$C1981,$B$5:$B1981,"Entrada")-SUMIFS($F$5:$F1981,$C$5:$C1981,$C1981,$B$5:$B1981,"Salida"))</f>
        <v/>
      </c>
      <c r="J1981" s="20"/>
      <c r="K1981" s="20"/>
      <c r="L1981" s="20"/>
      <c r="M1981" s="14" t="str">
        <f>IF(AND($C1981&lt;&gt;"",$C1981=Kardex!$C$4),COUNTIF($C$5:$C1981,Kardex!$C$4),"")</f>
        <v/>
      </c>
    </row>
    <row r="1982" spans="1:13" x14ac:dyDescent="0.25">
      <c r="A1982" s="24"/>
      <c r="B1982" s="20"/>
      <c r="C1982" s="20"/>
      <c r="D1982" s="14" t="str">
        <f>IF($C1982="","",IFERROR(INDEX(Productos!$B$5:$B$504,MATCH($C1982,Productos!$A$5:$A$504,0)),"Clave no existe"))</f>
        <v/>
      </c>
      <c r="E1982" s="14" t="str">
        <f>IF($C1982="","",IFERROR(INDEX(Productos!$D$5:$D$504,MATCH($C1982,Productos!$A$5:$A$504,0)),""))</f>
        <v/>
      </c>
      <c r="F1982" s="20"/>
      <c r="G1982" s="22" t="str">
        <f>IF($C1982="","",IFERROR(INDEX(Productos!$F$5:$F$504,MATCH($C1982,Productos!$A$5:$A$504,0)),0))</f>
        <v/>
      </c>
      <c r="H1982" s="22" t="str">
        <f t="shared" si="30"/>
        <v/>
      </c>
      <c r="I1982" s="14" t="str">
        <f>IF(OR($C1982="",$F1982=""),"",IFERROR(INDEX(Productos!$I$5:$I$504,MATCH($C1982,Productos!$A$5:$A$504,0)),0)+SUMIFS($F$5:$F1982,$C$5:$C1982,$C1982,$B$5:$B1982,"Entrada")-SUMIFS($F$5:$F1982,$C$5:$C1982,$C1982,$B$5:$B1982,"Salida"))</f>
        <v/>
      </c>
      <c r="J1982" s="20"/>
      <c r="K1982" s="20"/>
      <c r="L1982" s="20"/>
      <c r="M1982" s="14" t="str">
        <f>IF(AND($C1982&lt;&gt;"",$C1982=Kardex!$C$4),COUNTIF($C$5:$C1982,Kardex!$C$4),"")</f>
        <v/>
      </c>
    </row>
    <row r="1983" spans="1:13" x14ac:dyDescent="0.25">
      <c r="A1983" s="24"/>
      <c r="B1983" s="20"/>
      <c r="C1983" s="20"/>
      <c r="D1983" s="14" t="str">
        <f>IF($C1983="","",IFERROR(INDEX(Productos!$B$5:$B$504,MATCH($C1983,Productos!$A$5:$A$504,0)),"Clave no existe"))</f>
        <v/>
      </c>
      <c r="E1983" s="14" t="str">
        <f>IF($C1983="","",IFERROR(INDEX(Productos!$D$5:$D$504,MATCH($C1983,Productos!$A$5:$A$504,0)),""))</f>
        <v/>
      </c>
      <c r="F1983" s="20"/>
      <c r="G1983" s="22" t="str">
        <f>IF($C1983="","",IFERROR(INDEX(Productos!$F$5:$F$504,MATCH($C1983,Productos!$A$5:$A$504,0)),0))</f>
        <v/>
      </c>
      <c r="H1983" s="22" t="str">
        <f t="shared" si="30"/>
        <v/>
      </c>
      <c r="I1983" s="14" t="str">
        <f>IF(OR($C1983="",$F1983=""),"",IFERROR(INDEX(Productos!$I$5:$I$504,MATCH($C1983,Productos!$A$5:$A$504,0)),0)+SUMIFS($F$5:$F1983,$C$5:$C1983,$C1983,$B$5:$B1983,"Entrada")-SUMIFS($F$5:$F1983,$C$5:$C1983,$C1983,$B$5:$B1983,"Salida"))</f>
        <v/>
      </c>
      <c r="J1983" s="20"/>
      <c r="K1983" s="20"/>
      <c r="L1983" s="20"/>
      <c r="M1983" s="14" t="str">
        <f>IF(AND($C1983&lt;&gt;"",$C1983=Kardex!$C$4),COUNTIF($C$5:$C1983,Kardex!$C$4),"")</f>
        <v/>
      </c>
    </row>
    <row r="1984" spans="1:13" x14ac:dyDescent="0.25">
      <c r="A1984" s="24"/>
      <c r="B1984" s="20"/>
      <c r="C1984" s="20"/>
      <c r="D1984" s="14" t="str">
        <f>IF($C1984="","",IFERROR(INDEX(Productos!$B$5:$B$504,MATCH($C1984,Productos!$A$5:$A$504,0)),"Clave no existe"))</f>
        <v/>
      </c>
      <c r="E1984" s="14" t="str">
        <f>IF($C1984="","",IFERROR(INDEX(Productos!$D$5:$D$504,MATCH($C1984,Productos!$A$5:$A$504,0)),""))</f>
        <v/>
      </c>
      <c r="F1984" s="20"/>
      <c r="G1984" s="22" t="str">
        <f>IF($C1984="","",IFERROR(INDEX(Productos!$F$5:$F$504,MATCH($C1984,Productos!$A$5:$A$504,0)),0))</f>
        <v/>
      </c>
      <c r="H1984" s="22" t="str">
        <f t="shared" si="30"/>
        <v/>
      </c>
      <c r="I1984" s="14" t="str">
        <f>IF(OR($C1984="",$F1984=""),"",IFERROR(INDEX(Productos!$I$5:$I$504,MATCH($C1984,Productos!$A$5:$A$504,0)),0)+SUMIFS($F$5:$F1984,$C$5:$C1984,$C1984,$B$5:$B1984,"Entrada")-SUMIFS($F$5:$F1984,$C$5:$C1984,$C1984,$B$5:$B1984,"Salida"))</f>
        <v/>
      </c>
      <c r="J1984" s="20"/>
      <c r="K1984" s="20"/>
      <c r="L1984" s="20"/>
      <c r="M1984" s="14" t="str">
        <f>IF(AND($C1984&lt;&gt;"",$C1984=Kardex!$C$4),COUNTIF($C$5:$C1984,Kardex!$C$4),"")</f>
        <v/>
      </c>
    </row>
    <row r="1985" spans="1:13" x14ac:dyDescent="0.25">
      <c r="A1985" s="24"/>
      <c r="B1985" s="20"/>
      <c r="C1985" s="20"/>
      <c r="D1985" s="14" t="str">
        <f>IF($C1985="","",IFERROR(INDEX(Productos!$B$5:$B$504,MATCH($C1985,Productos!$A$5:$A$504,0)),"Clave no existe"))</f>
        <v/>
      </c>
      <c r="E1985" s="14" t="str">
        <f>IF($C1985="","",IFERROR(INDEX(Productos!$D$5:$D$504,MATCH($C1985,Productos!$A$5:$A$504,0)),""))</f>
        <v/>
      </c>
      <c r="F1985" s="20"/>
      <c r="G1985" s="22" t="str">
        <f>IF($C1985="","",IFERROR(INDEX(Productos!$F$5:$F$504,MATCH($C1985,Productos!$A$5:$A$504,0)),0))</f>
        <v/>
      </c>
      <c r="H1985" s="22" t="str">
        <f t="shared" si="30"/>
        <v/>
      </c>
      <c r="I1985" s="14" t="str">
        <f>IF(OR($C1985="",$F1985=""),"",IFERROR(INDEX(Productos!$I$5:$I$504,MATCH($C1985,Productos!$A$5:$A$504,0)),0)+SUMIFS($F$5:$F1985,$C$5:$C1985,$C1985,$B$5:$B1985,"Entrada")-SUMIFS($F$5:$F1985,$C$5:$C1985,$C1985,$B$5:$B1985,"Salida"))</f>
        <v/>
      </c>
      <c r="J1985" s="20"/>
      <c r="K1985" s="20"/>
      <c r="L1985" s="20"/>
      <c r="M1985" s="14" t="str">
        <f>IF(AND($C1985&lt;&gt;"",$C1985=Kardex!$C$4),COUNTIF($C$5:$C1985,Kardex!$C$4),"")</f>
        <v/>
      </c>
    </row>
    <row r="1986" spans="1:13" x14ac:dyDescent="0.25">
      <c r="A1986" s="24"/>
      <c r="B1986" s="20"/>
      <c r="C1986" s="20"/>
      <c r="D1986" s="14" t="str">
        <f>IF($C1986="","",IFERROR(INDEX(Productos!$B$5:$B$504,MATCH($C1986,Productos!$A$5:$A$504,0)),"Clave no existe"))</f>
        <v/>
      </c>
      <c r="E1986" s="14" t="str">
        <f>IF($C1986="","",IFERROR(INDEX(Productos!$D$5:$D$504,MATCH($C1986,Productos!$A$5:$A$504,0)),""))</f>
        <v/>
      </c>
      <c r="F1986" s="20"/>
      <c r="G1986" s="22" t="str">
        <f>IF($C1986="","",IFERROR(INDEX(Productos!$F$5:$F$504,MATCH($C1986,Productos!$A$5:$A$504,0)),0))</f>
        <v/>
      </c>
      <c r="H1986" s="22" t="str">
        <f t="shared" si="30"/>
        <v/>
      </c>
      <c r="I1986" s="14" t="str">
        <f>IF(OR($C1986="",$F1986=""),"",IFERROR(INDEX(Productos!$I$5:$I$504,MATCH($C1986,Productos!$A$5:$A$504,0)),0)+SUMIFS($F$5:$F1986,$C$5:$C1986,$C1986,$B$5:$B1986,"Entrada")-SUMIFS($F$5:$F1986,$C$5:$C1986,$C1986,$B$5:$B1986,"Salida"))</f>
        <v/>
      </c>
      <c r="J1986" s="20"/>
      <c r="K1986" s="20"/>
      <c r="L1986" s="20"/>
      <c r="M1986" s="14" t="str">
        <f>IF(AND($C1986&lt;&gt;"",$C1986=Kardex!$C$4),COUNTIF($C$5:$C1986,Kardex!$C$4),"")</f>
        <v/>
      </c>
    </row>
    <row r="1987" spans="1:13" x14ac:dyDescent="0.25">
      <c r="A1987" s="24"/>
      <c r="B1987" s="20"/>
      <c r="C1987" s="20"/>
      <c r="D1987" s="14" t="str">
        <f>IF($C1987="","",IFERROR(INDEX(Productos!$B$5:$B$504,MATCH($C1987,Productos!$A$5:$A$504,0)),"Clave no existe"))</f>
        <v/>
      </c>
      <c r="E1987" s="14" t="str">
        <f>IF($C1987="","",IFERROR(INDEX(Productos!$D$5:$D$504,MATCH($C1987,Productos!$A$5:$A$504,0)),""))</f>
        <v/>
      </c>
      <c r="F1987" s="20"/>
      <c r="G1987" s="22" t="str">
        <f>IF($C1987="","",IFERROR(INDEX(Productos!$F$5:$F$504,MATCH($C1987,Productos!$A$5:$A$504,0)),0))</f>
        <v/>
      </c>
      <c r="H1987" s="22" t="str">
        <f t="shared" si="30"/>
        <v/>
      </c>
      <c r="I1987" s="14" t="str">
        <f>IF(OR($C1987="",$F1987=""),"",IFERROR(INDEX(Productos!$I$5:$I$504,MATCH($C1987,Productos!$A$5:$A$504,0)),0)+SUMIFS($F$5:$F1987,$C$5:$C1987,$C1987,$B$5:$B1987,"Entrada")-SUMIFS($F$5:$F1987,$C$5:$C1987,$C1987,$B$5:$B1987,"Salida"))</f>
        <v/>
      </c>
      <c r="J1987" s="20"/>
      <c r="K1987" s="20"/>
      <c r="L1987" s="20"/>
      <c r="M1987" s="14" t="str">
        <f>IF(AND($C1987&lt;&gt;"",$C1987=Kardex!$C$4),COUNTIF($C$5:$C1987,Kardex!$C$4),"")</f>
        <v/>
      </c>
    </row>
    <row r="1988" spans="1:13" x14ac:dyDescent="0.25">
      <c r="A1988" s="24"/>
      <c r="B1988" s="20"/>
      <c r="C1988" s="20"/>
      <c r="D1988" s="14" t="str">
        <f>IF($C1988="","",IFERROR(INDEX(Productos!$B$5:$B$504,MATCH($C1988,Productos!$A$5:$A$504,0)),"Clave no existe"))</f>
        <v/>
      </c>
      <c r="E1988" s="14" t="str">
        <f>IF($C1988="","",IFERROR(INDEX(Productos!$D$5:$D$504,MATCH($C1988,Productos!$A$5:$A$504,0)),""))</f>
        <v/>
      </c>
      <c r="F1988" s="20"/>
      <c r="G1988" s="22" t="str">
        <f>IF($C1988="","",IFERROR(INDEX(Productos!$F$5:$F$504,MATCH($C1988,Productos!$A$5:$A$504,0)),0))</f>
        <v/>
      </c>
      <c r="H1988" s="22" t="str">
        <f t="shared" si="30"/>
        <v/>
      </c>
      <c r="I1988" s="14" t="str">
        <f>IF(OR($C1988="",$F1988=""),"",IFERROR(INDEX(Productos!$I$5:$I$504,MATCH($C1988,Productos!$A$5:$A$504,0)),0)+SUMIFS($F$5:$F1988,$C$5:$C1988,$C1988,$B$5:$B1988,"Entrada")-SUMIFS($F$5:$F1988,$C$5:$C1988,$C1988,$B$5:$B1988,"Salida"))</f>
        <v/>
      </c>
      <c r="J1988" s="20"/>
      <c r="K1988" s="20"/>
      <c r="L1988" s="20"/>
      <c r="M1988" s="14" t="str">
        <f>IF(AND($C1988&lt;&gt;"",$C1988=Kardex!$C$4),COUNTIF($C$5:$C1988,Kardex!$C$4),"")</f>
        <v/>
      </c>
    </row>
    <row r="1989" spans="1:13" x14ac:dyDescent="0.25">
      <c r="A1989" s="24"/>
      <c r="B1989" s="20"/>
      <c r="C1989" s="20"/>
      <c r="D1989" s="14" t="str">
        <f>IF($C1989="","",IFERROR(INDEX(Productos!$B$5:$B$504,MATCH($C1989,Productos!$A$5:$A$504,0)),"Clave no existe"))</f>
        <v/>
      </c>
      <c r="E1989" s="14" t="str">
        <f>IF($C1989="","",IFERROR(INDEX(Productos!$D$5:$D$504,MATCH($C1989,Productos!$A$5:$A$504,0)),""))</f>
        <v/>
      </c>
      <c r="F1989" s="20"/>
      <c r="G1989" s="22" t="str">
        <f>IF($C1989="","",IFERROR(INDEX(Productos!$F$5:$F$504,MATCH($C1989,Productos!$A$5:$A$504,0)),0))</f>
        <v/>
      </c>
      <c r="H1989" s="22" t="str">
        <f t="shared" ref="H1989:H2052" si="31">IF(OR($C1989="",$F1989=""),"",F1989*G1989)</f>
        <v/>
      </c>
      <c r="I1989" s="14" t="str">
        <f>IF(OR($C1989="",$F1989=""),"",IFERROR(INDEX(Productos!$I$5:$I$504,MATCH($C1989,Productos!$A$5:$A$504,0)),0)+SUMIFS($F$5:$F1989,$C$5:$C1989,$C1989,$B$5:$B1989,"Entrada")-SUMIFS($F$5:$F1989,$C$5:$C1989,$C1989,$B$5:$B1989,"Salida"))</f>
        <v/>
      </c>
      <c r="J1989" s="20"/>
      <c r="K1989" s="20"/>
      <c r="L1989" s="20"/>
      <c r="M1989" s="14" t="str">
        <f>IF(AND($C1989&lt;&gt;"",$C1989=Kardex!$C$4),COUNTIF($C$5:$C1989,Kardex!$C$4),"")</f>
        <v/>
      </c>
    </row>
    <row r="1990" spans="1:13" x14ac:dyDescent="0.25">
      <c r="A1990" s="24"/>
      <c r="B1990" s="20"/>
      <c r="C1990" s="20"/>
      <c r="D1990" s="14" t="str">
        <f>IF($C1990="","",IFERROR(INDEX(Productos!$B$5:$B$504,MATCH($C1990,Productos!$A$5:$A$504,0)),"Clave no existe"))</f>
        <v/>
      </c>
      <c r="E1990" s="14" t="str">
        <f>IF($C1990="","",IFERROR(INDEX(Productos!$D$5:$D$504,MATCH($C1990,Productos!$A$5:$A$504,0)),""))</f>
        <v/>
      </c>
      <c r="F1990" s="20"/>
      <c r="G1990" s="22" t="str">
        <f>IF($C1990="","",IFERROR(INDEX(Productos!$F$5:$F$504,MATCH($C1990,Productos!$A$5:$A$504,0)),0))</f>
        <v/>
      </c>
      <c r="H1990" s="22" t="str">
        <f t="shared" si="31"/>
        <v/>
      </c>
      <c r="I1990" s="14" t="str">
        <f>IF(OR($C1990="",$F1990=""),"",IFERROR(INDEX(Productos!$I$5:$I$504,MATCH($C1990,Productos!$A$5:$A$504,0)),0)+SUMIFS($F$5:$F1990,$C$5:$C1990,$C1990,$B$5:$B1990,"Entrada")-SUMIFS($F$5:$F1990,$C$5:$C1990,$C1990,$B$5:$B1990,"Salida"))</f>
        <v/>
      </c>
      <c r="J1990" s="20"/>
      <c r="K1990" s="20"/>
      <c r="L1990" s="20"/>
      <c r="M1990" s="14" t="str">
        <f>IF(AND($C1990&lt;&gt;"",$C1990=Kardex!$C$4),COUNTIF($C$5:$C1990,Kardex!$C$4),"")</f>
        <v/>
      </c>
    </row>
    <row r="1991" spans="1:13" x14ac:dyDescent="0.25">
      <c r="A1991" s="24"/>
      <c r="B1991" s="20"/>
      <c r="C1991" s="20"/>
      <c r="D1991" s="14" t="str">
        <f>IF($C1991="","",IFERROR(INDEX(Productos!$B$5:$B$504,MATCH($C1991,Productos!$A$5:$A$504,0)),"Clave no existe"))</f>
        <v/>
      </c>
      <c r="E1991" s="14" t="str">
        <f>IF($C1991="","",IFERROR(INDEX(Productos!$D$5:$D$504,MATCH($C1991,Productos!$A$5:$A$504,0)),""))</f>
        <v/>
      </c>
      <c r="F1991" s="20"/>
      <c r="G1991" s="22" t="str">
        <f>IF($C1991="","",IFERROR(INDEX(Productos!$F$5:$F$504,MATCH($C1991,Productos!$A$5:$A$504,0)),0))</f>
        <v/>
      </c>
      <c r="H1991" s="22" t="str">
        <f t="shared" si="31"/>
        <v/>
      </c>
      <c r="I1991" s="14" t="str">
        <f>IF(OR($C1991="",$F1991=""),"",IFERROR(INDEX(Productos!$I$5:$I$504,MATCH($C1991,Productos!$A$5:$A$504,0)),0)+SUMIFS($F$5:$F1991,$C$5:$C1991,$C1991,$B$5:$B1991,"Entrada")-SUMIFS($F$5:$F1991,$C$5:$C1991,$C1991,$B$5:$B1991,"Salida"))</f>
        <v/>
      </c>
      <c r="J1991" s="20"/>
      <c r="K1991" s="20"/>
      <c r="L1991" s="20"/>
      <c r="M1991" s="14" t="str">
        <f>IF(AND($C1991&lt;&gt;"",$C1991=Kardex!$C$4),COUNTIF($C$5:$C1991,Kardex!$C$4),"")</f>
        <v/>
      </c>
    </row>
    <row r="1992" spans="1:13" x14ac:dyDescent="0.25">
      <c r="A1992" s="24"/>
      <c r="B1992" s="20"/>
      <c r="C1992" s="20"/>
      <c r="D1992" s="14" t="str">
        <f>IF($C1992="","",IFERROR(INDEX(Productos!$B$5:$B$504,MATCH($C1992,Productos!$A$5:$A$504,0)),"Clave no existe"))</f>
        <v/>
      </c>
      <c r="E1992" s="14" t="str">
        <f>IF($C1992="","",IFERROR(INDEX(Productos!$D$5:$D$504,MATCH($C1992,Productos!$A$5:$A$504,0)),""))</f>
        <v/>
      </c>
      <c r="F1992" s="20"/>
      <c r="G1992" s="22" t="str">
        <f>IF($C1992="","",IFERROR(INDEX(Productos!$F$5:$F$504,MATCH($C1992,Productos!$A$5:$A$504,0)),0))</f>
        <v/>
      </c>
      <c r="H1992" s="22" t="str">
        <f t="shared" si="31"/>
        <v/>
      </c>
      <c r="I1992" s="14" t="str">
        <f>IF(OR($C1992="",$F1992=""),"",IFERROR(INDEX(Productos!$I$5:$I$504,MATCH($C1992,Productos!$A$5:$A$504,0)),0)+SUMIFS($F$5:$F1992,$C$5:$C1992,$C1992,$B$5:$B1992,"Entrada")-SUMIFS($F$5:$F1992,$C$5:$C1992,$C1992,$B$5:$B1992,"Salida"))</f>
        <v/>
      </c>
      <c r="J1992" s="20"/>
      <c r="K1992" s="20"/>
      <c r="L1992" s="20"/>
      <c r="M1992" s="14" t="str">
        <f>IF(AND($C1992&lt;&gt;"",$C1992=Kardex!$C$4),COUNTIF($C$5:$C1992,Kardex!$C$4),"")</f>
        <v/>
      </c>
    </row>
    <row r="1993" spans="1:13" x14ac:dyDescent="0.25">
      <c r="A1993" s="24"/>
      <c r="B1993" s="20"/>
      <c r="C1993" s="20"/>
      <c r="D1993" s="14" t="str">
        <f>IF($C1993="","",IFERROR(INDEX(Productos!$B$5:$B$504,MATCH($C1993,Productos!$A$5:$A$504,0)),"Clave no existe"))</f>
        <v/>
      </c>
      <c r="E1993" s="14" t="str">
        <f>IF($C1993="","",IFERROR(INDEX(Productos!$D$5:$D$504,MATCH($C1993,Productos!$A$5:$A$504,0)),""))</f>
        <v/>
      </c>
      <c r="F1993" s="20"/>
      <c r="G1993" s="22" t="str">
        <f>IF($C1993="","",IFERROR(INDEX(Productos!$F$5:$F$504,MATCH($C1993,Productos!$A$5:$A$504,0)),0))</f>
        <v/>
      </c>
      <c r="H1993" s="22" t="str">
        <f t="shared" si="31"/>
        <v/>
      </c>
      <c r="I1993" s="14" t="str">
        <f>IF(OR($C1993="",$F1993=""),"",IFERROR(INDEX(Productos!$I$5:$I$504,MATCH($C1993,Productos!$A$5:$A$504,0)),0)+SUMIFS($F$5:$F1993,$C$5:$C1993,$C1993,$B$5:$B1993,"Entrada")-SUMIFS($F$5:$F1993,$C$5:$C1993,$C1993,$B$5:$B1993,"Salida"))</f>
        <v/>
      </c>
      <c r="J1993" s="20"/>
      <c r="K1993" s="20"/>
      <c r="L1993" s="20"/>
      <c r="M1993" s="14" t="str">
        <f>IF(AND($C1993&lt;&gt;"",$C1993=Kardex!$C$4),COUNTIF($C$5:$C1993,Kardex!$C$4),"")</f>
        <v/>
      </c>
    </row>
    <row r="1994" spans="1:13" x14ac:dyDescent="0.25">
      <c r="A1994" s="24"/>
      <c r="B1994" s="20"/>
      <c r="C1994" s="20"/>
      <c r="D1994" s="14" t="str">
        <f>IF($C1994="","",IFERROR(INDEX(Productos!$B$5:$B$504,MATCH($C1994,Productos!$A$5:$A$504,0)),"Clave no existe"))</f>
        <v/>
      </c>
      <c r="E1994" s="14" t="str">
        <f>IF($C1994="","",IFERROR(INDEX(Productos!$D$5:$D$504,MATCH($C1994,Productos!$A$5:$A$504,0)),""))</f>
        <v/>
      </c>
      <c r="F1994" s="20"/>
      <c r="G1994" s="22" t="str">
        <f>IF($C1994="","",IFERROR(INDEX(Productos!$F$5:$F$504,MATCH($C1994,Productos!$A$5:$A$504,0)),0))</f>
        <v/>
      </c>
      <c r="H1994" s="22" t="str">
        <f t="shared" si="31"/>
        <v/>
      </c>
      <c r="I1994" s="14" t="str">
        <f>IF(OR($C1994="",$F1994=""),"",IFERROR(INDEX(Productos!$I$5:$I$504,MATCH($C1994,Productos!$A$5:$A$504,0)),0)+SUMIFS($F$5:$F1994,$C$5:$C1994,$C1994,$B$5:$B1994,"Entrada")-SUMIFS($F$5:$F1994,$C$5:$C1994,$C1994,$B$5:$B1994,"Salida"))</f>
        <v/>
      </c>
      <c r="J1994" s="20"/>
      <c r="K1994" s="20"/>
      <c r="L1994" s="20"/>
      <c r="M1994" s="14" t="str">
        <f>IF(AND($C1994&lt;&gt;"",$C1994=Kardex!$C$4),COUNTIF($C$5:$C1994,Kardex!$C$4),"")</f>
        <v/>
      </c>
    </row>
    <row r="1995" spans="1:13" x14ac:dyDescent="0.25">
      <c r="A1995" s="24"/>
      <c r="B1995" s="20"/>
      <c r="C1995" s="20"/>
      <c r="D1995" s="14" t="str">
        <f>IF($C1995="","",IFERROR(INDEX(Productos!$B$5:$B$504,MATCH($C1995,Productos!$A$5:$A$504,0)),"Clave no existe"))</f>
        <v/>
      </c>
      <c r="E1995" s="14" t="str">
        <f>IF($C1995="","",IFERROR(INDEX(Productos!$D$5:$D$504,MATCH($C1995,Productos!$A$5:$A$504,0)),""))</f>
        <v/>
      </c>
      <c r="F1995" s="20"/>
      <c r="G1995" s="22" t="str">
        <f>IF($C1995="","",IFERROR(INDEX(Productos!$F$5:$F$504,MATCH($C1995,Productos!$A$5:$A$504,0)),0))</f>
        <v/>
      </c>
      <c r="H1995" s="22" t="str">
        <f t="shared" si="31"/>
        <v/>
      </c>
      <c r="I1995" s="14" t="str">
        <f>IF(OR($C1995="",$F1995=""),"",IFERROR(INDEX(Productos!$I$5:$I$504,MATCH($C1995,Productos!$A$5:$A$504,0)),0)+SUMIFS($F$5:$F1995,$C$5:$C1995,$C1995,$B$5:$B1995,"Entrada")-SUMIFS($F$5:$F1995,$C$5:$C1995,$C1995,$B$5:$B1995,"Salida"))</f>
        <v/>
      </c>
      <c r="J1995" s="20"/>
      <c r="K1995" s="20"/>
      <c r="L1995" s="20"/>
      <c r="M1995" s="14" t="str">
        <f>IF(AND($C1995&lt;&gt;"",$C1995=Kardex!$C$4),COUNTIF($C$5:$C1995,Kardex!$C$4),"")</f>
        <v/>
      </c>
    </row>
    <row r="1996" spans="1:13" x14ac:dyDescent="0.25">
      <c r="A1996" s="24"/>
      <c r="B1996" s="20"/>
      <c r="C1996" s="20"/>
      <c r="D1996" s="14" t="str">
        <f>IF($C1996="","",IFERROR(INDEX(Productos!$B$5:$B$504,MATCH($C1996,Productos!$A$5:$A$504,0)),"Clave no existe"))</f>
        <v/>
      </c>
      <c r="E1996" s="14" t="str">
        <f>IF($C1996="","",IFERROR(INDEX(Productos!$D$5:$D$504,MATCH($C1996,Productos!$A$5:$A$504,0)),""))</f>
        <v/>
      </c>
      <c r="F1996" s="20"/>
      <c r="G1996" s="22" t="str">
        <f>IF($C1996="","",IFERROR(INDEX(Productos!$F$5:$F$504,MATCH($C1996,Productos!$A$5:$A$504,0)),0))</f>
        <v/>
      </c>
      <c r="H1996" s="22" t="str">
        <f t="shared" si="31"/>
        <v/>
      </c>
      <c r="I1996" s="14" t="str">
        <f>IF(OR($C1996="",$F1996=""),"",IFERROR(INDEX(Productos!$I$5:$I$504,MATCH($C1996,Productos!$A$5:$A$504,0)),0)+SUMIFS($F$5:$F1996,$C$5:$C1996,$C1996,$B$5:$B1996,"Entrada")-SUMIFS($F$5:$F1996,$C$5:$C1996,$C1996,$B$5:$B1996,"Salida"))</f>
        <v/>
      </c>
      <c r="J1996" s="20"/>
      <c r="K1996" s="20"/>
      <c r="L1996" s="20"/>
      <c r="M1996" s="14" t="str">
        <f>IF(AND($C1996&lt;&gt;"",$C1996=Kardex!$C$4),COUNTIF($C$5:$C1996,Kardex!$C$4),"")</f>
        <v/>
      </c>
    </row>
    <row r="1997" spans="1:13" x14ac:dyDescent="0.25">
      <c r="A1997" s="24"/>
      <c r="B1997" s="20"/>
      <c r="C1997" s="20"/>
      <c r="D1997" s="14" t="str">
        <f>IF($C1997="","",IFERROR(INDEX(Productos!$B$5:$B$504,MATCH($C1997,Productos!$A$5:$A$504,0)),"Clave no existe"))</f>
        <v/>
      </c>
      <c r="E1997" s="14" t="str">
        <f>IF($C1997="","",IFERROR(INDEX(Productos!$D$5:$D$504,MATCH($C1997,Productos!$A$5:$A$504,0)),""))</f>
        <v/>
      </c>
      <c r="F1997" s="20"/>
      <c r="G1997" s="22" t="str">
        <f>IF($C1997="","",IFERROR(INDEX(Productos!$F$5:$F$504,MATCH($C1997,Productos!$A$5:$A$504,0)),0))</f>
        <v/>
      </c>
      <c r="H1997" s="22" t="str">
        <f t="shared" si="31"/>
        <v/>
      </c>
      <c r="I1997" s="14" t="str">
        <f>IF(OR($C1997="",$F1997=""),"",IFERROR(INDEX(Productos!$I$5:$I$504,MATCH($C1997,Productos!$A$5:$A$504,0)),0)+SUMIFS($F$5:$F1997,$C$5:$C1997,$C1997,$B$5:$B1997,"Entrada")-SUMIFS($F$5:$F1997,$C$5:$C1997,$C1997,$B$5:$B1997,"Salida"))</f>
        <v/>
      </c>
      <c r="J1997" s="20"/>
      <c r="K1997" s="20"/>
      <c r="L1997" s="20"/>
      <c r="M1997" s="14" t="str">
        <f>IF(AND($C1997&lt;&gt;"",$C1997=Kardex!$C$4),COUNTIF($C$5:$C1997,Kardex!$C$4),"")</f>
        <v/>
      </c>
    </row>
    <row r="1998" spans="1:13" x14ac:dyDescent="0.25">
      <c r="A1998" s="24"/>
      <c r="B1998" s="20"/>
      <c r="C1998" s="20"/>
      <c r="D1998" s="14" t="str">
        <f>IF($C1998="","",IFERROR(INDEX(Productos!$B$5:$B$504,MATCH($C1998,Productos!$A$5:$A$504,0)),"Clave no existe"))</f>
        <v/>
      </c>
      <c r="E1998" s="14" t="str">
        <f>IF($C1998="","",IFERROR(INDEX(Productos!$D$5:$D$504,MATCH($C1998,Productos!$A$5:$A$504,0)),""))</f>
        <v/>
      </c>
      <c r="F1998" s="20"/>
      <c r="G1998" s="22" t="str">
        <f>IF($C1998="","",IFERROR(INDEX(Productos!$F$5:$F$504,MATCH($C1998,Productos!$A$5:$A$504,0)),0))</f>
        <v/>
      </c>
      <c r="H1998" s="22" t="str">
        <f t="shared" si="31"/>
        <v/>
      </c>
      <c r="I1998" s="14" t="str">
        <f>IF(OR($C1998="",$F1998=""),"",IFERROR(INDEX(Productos!$I$5:$I$504,MATCH($C1998,Productos!$A$5:$A$504,0)),0)+SUMIFS($F$5:$F1998,$C$5:$C1998,$C1998,$B$5:$B1998,"Entrada")-SUMIFS($F$5:$F1998,$C$5:$C1998,$C1998,$B$5:$B1998,"Salida"))</f>
        <v/>
      </c>
      <c r="J1998" s="20"/>
      <c r="K1998" s="20"/>
      <c r="L1998" s="20"/>
      <c r="M1998" s="14" t="str">
        <f>IF(AND($C1998&lt;&gt;"",$C1998=Kardex!$C$4),COUNTIF($C$5:$C1998,Kardex!$C$4),"")</f>
        <v/>
      </c>
    </row>
    <row r="1999" spans="1:13" x14ac:dyDescent="0.25">
      <c r="A1999" s="24"/>
      <c r="B1999" s="20"/>
      <c r="C1999" s="20"/>
      <c r="D1999" s="14" t="str">
        <f>IF($C1999="","",IFERROR(INDEX(Productos!$B$5:$B$504,MATCH($C1999,Productos!$A$5:$A$504,0)),"Clave no existe"))</f>
        <v/>
      </c>
      <c r="E1999" s="14" t="str">
        <f>IF($C1999="","",IFERROR(INDEX(Productos!$D$5:$D$504,MATCH($C1999,Productos!$A$5:$A$504,0)),""))</f>
        <v/>
      </c>
      <c r="F1999" s="20"/>
      <c r="G1999" s="22" t="str">
        <f>IF($C1999="","",IFERROR(INDEX(Productos!$F$5:$F$504,MATCH($C1999,Productos!$A$5:$A$504,0)),0))</f>
        <v/>
      </c>
      <c r="H1999" s="22" t="str">
        <f t="shared" si="31"/>
        <v/>
      </c>
      <c r="I1999" s="14" t="str">
        <f>IF(OR($C1999="",$F1999=""),"",IFERROR(INDEX(Productos!$I$5:$I$504,MATCH($C1999,Productos!$A$5:$A$504,0)),0)+SUMIFS($F$5:$F1999,$C$5:$C1999,$C1999,$B$5:$B1999,"Entrada")-SUMIFS($F$5:$F1999,$C$5:$C1999,$C1999,$B$5:$B1999,"Salida"))</f>
        <v/>
      </c>
      <c r="J1999" s="20"/>
      <c r="K1999" s="20"/>
      <c r="L1999" s="20"/>
      <c r="M1999" s="14" t="str">
        <f>IF(AND($C1999&lt;&gt;"",$C1999=Kardex!$C$4),COUNTIF($C$5:$C1999,Kardex!$C$4),"")</f>
        <v/>
      </c>
    </row>
    <row r="2000" spans="1:13" x14ac:dyDescent="0.25">
      <c r="A2000" s="24"/>
      <c r="B2000" s="20"/>
      <c r="C2000" s="20"/>
      <c r="D2000" s="14" t="str">
        <f>IF($C2000="","",IFERROR(INDEX(Productos!$B$5:$B$504,MATCH($C2000,Productos!$A$5:$A$504,0)),"Clave no existe"))</f>
        <v/>
      </c>
      <c r="E2000" s="14" t="str">
        <f>IF($C2000="","",IFERROR(INDEX(Productos!$D$5:$D$504,MATCH($C2000,Productos!$A$5:$A$504,0)),""))</f>
        <v/>
      </c>
      <c r="F2000" s="20"/>
      <c r="G2000" s="22" t="str">
        <f>IF($C2000="","",IFERROR(INDEX(Productos!$F$5:$F$504,MATCH($C2000,Productos!$A$5:$A$504,0)),0))</f>
        <v/>
      </c>
      <c r="H2000" s="22" t="str">
        <f t="shared" si="31"/>
        <v/>
      </c>
      <c r="I2000" s="14" t="str">
        <f>IF(OR($C2000="",$F2000=""),"",IFERROR(INDEX(Productos!$I$5:$I$504,MATCH($C2000,Productos!$A$5:$A$504,0)),0)+SUMIFS($F$5:$F2000,$C$5:$C2000,$C2000,$B$5:$B2000,"Entrada")-SUMIFS($F$5:$F2000,$C$5:$C2000,$C2000,$B$5:$B2000,"Salida"))</f>
        <v/>
      </c>
      <c r="J2000" s="20"/>
      <c r="K2000" s="20"/>
      <c r="L2000" s="20"/>
      <c r="M2000" s="14" t="str">
        <f>IF(AND($C2000&lt;&gt;"",$C2000=Kardex!$C$4),COUNTIF($C$5:$C2000,Kardex!$C$4),"")</f>
        <v/>
      </c>
    </row>
    <row r="2001" spans="1:13" x14ac:dyDescent="0.25">
      <c r="A2001" s="24"/>
      <c r="B2001" s="20"/>
      <c r="C2001" s="20"/>
      <c r="D2001" s="14" t="str">
        <f>IF($C2001="","",IFERROR(INDEX(Productos!$B$5:$B$504,MATCH($C2001,Productos!$A$5:$A$504,0)),"Clave no existe"))</f>
        <v/>
      </c>
      <c r="E2001" s="14" t="str">
        <f>IF($C2001="","",IFERROR(INDEX(Productos!$D$5:$D$504,MATCH($C2001,Productos!$A$5:$A$504,0)),""))</f>
        <v/>
      </c>
      <c r="F2001" s="20"/>
      <c r="G2001" s="22" t="str">
        <f>IF($C2001="","",IFERROR(INDEX(Productos!$F$5:$F$504,MATCH($C2001,Productos!$A$5:$A$504,0)),0))</f>
        <v/>
      </c>
      <c r="H2001" s="22" t="str">
        <f t="shared" si="31"/>
        <v/>
      </c>
      <c r="I2001" s="14" t="str">
        <f>IF(OR($C2001="",$F2001=""),"",IFERROR(INDEX(Productos!$I$5:$I$504,MATCH($C2001,Productos!$A$5:$A$504,0)),0)+SUMIFS($F$5:$F2001,$C$5:$C2001,$C2001,$B$5:$B2001,"Entrada")-SUMIFS($F$5:$F2001,$C$5:$C2001,$C2001,$B$5:$B2001,"Salida"))</f>
        <v/>
      </c>
      <c r="J2001" s="20"/>
      <c r="K2001" s="20"/>
      <c r="L2001" s="20"/>
      <c r="M2001" s="14" t="str">
        <f>IF(AND($C2001&lt;&gt;"",$C2001=Kardex!$C$4),COUNTIF($C$5:$C2001,Kardex!$C$4),"")</f>
        <v/>
      </c>
    </row>
    <row r="2002" spans="1:13" x14ac:dyDescent="0.25">
      <c r="A2002" s="24"/>
      <c r="B2002" s="20"/>
      <c r="C2002" s="20"/>
      <c r="D2002" s="14" t="str">
        <f>IF($C2002="","",IFERROR(INDEX(Productos!$B$5:$B$504,MATCH($C2002,Productos!$A$5:$A$504,0)),"Clave no existe"))</f>
        <v/>
      </c>
      <c r="E2002" s="14" t="str">
        <f>IF($C2002="","",IFERROR(INDEX(Productos!$D$5:$D$504,MATCH($C2002,Productos!$A$5:$A$504,0)),""))</f>
        <v/>
      </c>
      <c r="F2002" s="20"/>
      <c r="G2002" s="22" t="str">
        <f>IF($C2002="","",IFERROR(INDEX(Productos!$F$5:$F$504,MATCH($C2002,Productos!$A$5:$A$504,0)),0))</f>
        <v/>
      </c>
      <c r="H2002" s="22" t="str">
        <f t="shared" si="31"/>
        <v/>
      </c>
      <c r="I2002" s="14" t="str">
        <f>IF(OR($C2002="",$F2002=""),"",IFERROR(INDEX(Productos!$I$5:$I$504,MATCH($C2002,Productos!$A$5:$A$504,0)),0)+SUMIFS($F$5:$F2002,$C$5:$C2002,$C2002,$B$5:$B2002,"Entrada")-SUMIFS($F$5:$F2002,$C$5:$C2002,$C2002,$B$5:$B2002,"Salida"))</f>
        <v/>
      </c>
      <c r="J2002" s="20"/>
      <c r="K2002" s="20"/>
      <c r="L2002" s="20"/>
      <c r="M2002" s="14" t="str">
        <f>IF(AND($C2002&lt;&gt;"",$C2002=Kardex!$C$4),COUNTIF($C$5:$C2002,Kardex!$C$4),"")</f>
        <v/>
      </c>
    </row>
    <row r="2003" spans="1:13" x14ac:dyDescent="0.25">
      <c r="A2003" s="24"/>
      <c r="B2003" s="20"/>
      <c r="C2003" s="20"/>
      <c r="D2003" s="14" t="str">
        <f>IF($C2003="","",IFERROR(INDEX(Productos!$B$5:$B$504,MATCH($C2003,Productos!$A$5:$A$504,0)),"Clave no existe"))</f>
        <v/>
      </c>
      <c r="E2003" s="14" t="str">
        <f>IF($C2003="","",IFERROR(INDEX(Productos!$D$5:$D$504,MATCH($C2003,Productos!$A$5:$A$504,0)),""))</f>
        <v/>
      </c>
      <c r="F2003" s="20"/>
      <c r="G2003" s="22" t="str">
        <f>IF($C2003="","",IFERROR(INDEX(Productos!$F$5:$F$504,MATCH($C2003,Productos!$A$5:$A$504,0)),0))</f>
        <v/>
      </c>
      <c r="H2003" s="22" t="str">
        <f t="shared" si="31"/>
        <v/>
      </c>
      <c r="I2003" s="14" t="str">
        <f>IF(OR($C2003="",$F2003=""),"",IFERROR(INDEX(Productos!$I$5:$I$504,MATCH($C2003,Productos!$A$5:$A$504,0)),0)+SUMIFS($F$5:$F2003,$C$5:$C2003,$C2003,$B$5:$B2003,"Entrada")-SUMIFS($F$5:$F2003,$C$5:$C2003,$C2003,$B$5:$B2003,"Salida"))</f>
        <v/>
      </c>
      <c r="J2003" s="20"/>
      <c r="K2003" s="20"/>
      <c r="L2003" s="20"/>
      <c r="M2003" s="14" t="str">
        <f>IF(AND($C2003&lt;&gt;"",$C2003=Kardex!$C$4),COUNTIF($C$5:$C2003,Kardex!$C$4),"")</f>
        <v/>
      </c>
    </row>
    <row r="2004" spans="1:13" x14ac:dyDescent="0.25">
      <c r="A2004" s="24"/>
      <c r="B2004" s="20"/>
      <c r="C2004" s="20"/>
      <c r="D2004" s="14" t="str">
        <f>IF($C2004="","",IFERROR(INDEX(Productos!$B$5:$B$504,MATCH($C2004,Productos!$A$5:$A$504,0)),"Clave no existe"))</f>
        <v/>
      </c>
      <c r="E2004" s="14" t="str">
        <f>IF($C2004="","",IFERROR(INDEX(Productos!$D$5:$D$504,MATCH($C2004,Productos!$A$5:$A$504,0)),""))</f>
        <v/>
      </c>
      <c r="F2004" s="20"/>
      <c r="G2004" s="22" t="str">
        <f>IF($C2004="","",IFERROR(INDEX(Productos!$F$5:$F$504,MATCH($C2004,Productos!$A$5:$A$504,0)),0))</f>
        <v/>
      </c>
      <c r="H2004" s="22" t="str">
        <f t="shared" si="31"/>
        <v/>
      </c>
      <c r="I2004" s="14" t="str">
        <f>IF(OR($C2004="",$F2004=""),"",IFERROR(INDEX(Productos!$I$5:$I$504,MATCH($C2004,Productos!$A$5:$A$504,0)),0)+SUMIFS($F$5:$F2004,$C$5:$C2004,$C2004,$B$5:$B2004,"Entrada")-SUMIFS($F$5:$F2004,$C$5:$C2004,$C2004,$B$5:$B2004,"Salida"))</f>
        <v/>
      </c>
      <c r="J2004" s="20"/>
      <c r="K2004" s="20"/>
      <c r="L2004" s="20"/>
      <c r="M2004" s="14" t="str">
        <f>IF(AND($C2004&lt;&gt;"",$C2004=Kardex!$C$4),COUNTIF($C$5:$C2004,Kardex!$C$4),"")</f>
        <v/>
      </c>
    </row>
    <row r="2005" spans="1:13" x14ac:dyDescent="0.25">
      <c r="A2005" s="24"/>
      <c r="B2005" s="20"/>
      <c r="C2005" s="20"/>
      <c r="D2005" s="14" t="str">
        <f>IF($C2005="","",IFERROR(INDEX(Productos!$B$5:$B$504,MATCH($C2005,Productos!$A$5:$A$504,0)),"Clave no existe"))</f>
        <v/>
      </c>
      <c r="E2005" s="14" t="str">
        <f>IF($C2005="","",IFERROR(INDEX(Productos!$D$5:$D$504,MATCH($C2005,Productos!$A$5:$A$504,0)),""))</f>
        <v/>
      </c>
      <c r="F2005" s="20"/>
      <c r="G2005" s="22" t="str">
        <f>IF($C2005="","",IFERROR(INDEX(Productos!$F$5:$F$504,MATCH($C2005,Productos!$A$5:$A$504,0)),0))</f>
        <v/>
      </c>
      <c r="H2005" s="22" t="str">
        <f t="shared" si="31"/>
        <v/>
      </c>
      <c r="I2005" s="14" t="str">
        <f>IF(OR($C2005="",$F2005=""),"",IFERROR(INDEX(Productos!$I$5:$I$504,MATCH($C2005,Productos!$A$5:$A$504,0)),0)+SUMIFS($F$5:$F2005,$C$5:$C2005,$C2005,$B$5:$B2005,"Entrada")-SUMIFS($F$5:$F2005,$C$5:$C2005,$C2005,$B$5:$B2005,"Salida"))</f>
        <v/>
      </c>
      <c r="J2005" s="20"/>
      <c r="K2005" s="20"/>
      <c r="L2005" s="20"/>
      <c r="M2005" s="14" t="str">
        <f>IF(AND($C2005&lt;&gt;"",$C2005=Kardex!$C$4),COUNTIF($C$5:$C2005,Kardex!$C$4),"")</f>
        <v/>
      </c>
    </row>
    <row r="2006" spans="1:13" x14ac:dyDescent="0.25">
      <c r="A2006" s="24"/>
      <c r="B2006" s="20"/>
      <c r="C2006" s="20"/>
      <c r="D2006" s="14" t="str">
        <f>IF($C2006="","",IFERROR(INDEX(Productos!$B$5:$B$504,MATCH($C2006,Productos!$A$5:$A$504,0)),"Clave no existe"))</f>
        <v/>
      </c>
      <c r="E2006" s="14" t="str">
        <f>IF($C2006="","",IFERROR(INDEX(Productos!$D$5:$D$504,MATCH($C2006,Productos!$A$5:$A$504,0)),""))</f>
        <v/>
      </c>
      <c r="F2006" s="20"/>
      <c r="G2006" s="22" t="str">
        <f>IF($C2006="","",IFERROR(INDEX(Productos!$F$5:$F$504,MATCH($C2006,Productos!$A$5:$A$504,0)),0))</f>
        <v/>
      </c>
      <c r="H2006" s="22" t="str">
        <f t="shared" si="31"/>
        <v/>
      </c>
      <c r="I2006" s="14" t="str">
        <f>IF(OR($C2006="",$F2006=""),"",IFERROR(INDEX(Productos!$I$5:$I$504,MATCH($C2006,Productos!$A$5:$A$504,0)),0)+SUMIFS($F$5:$F2006,$C$5:$C2006,$C2006,$B$5:$B2006,"Entrada")-SUMIFS($F$5:$F2006,$C$5:$C2006,$C2006,$B$5:$B2006,"Salida"))</f>
        <v/>
      </c>
      <c r="J2006" s="20"/>
      <c r="K2006" s="20"/>
      <c r="L2006" s="20"/>
      <c r="M2006" s="14" t="str">
        <f>IF(AND($C2006&lt;&gt;"",$C2006=Kardex!$C$4),COUNTIF($C$5:$C2006,Kardex!$C$4),"")</f>
        <v/>
      </c>
    </row>
    <row r="2007" spans="1:13" x14ac:dyDescent="0.25">
      <c r="A2007" s="24"/>
      <c r="B2007" s="20"/>
      <c r="C2007" s="20"/>
      <c r="D2007" s="14" t="str">
        <f>IF($C2007="","",IFERROR(INDEX(Productos!$B$5:$B$504,MATCH($C2007,Productos!$A$5:$A$504,0)),"Clave no existe"))</f>
        <v/>
      </c>
      <c r="E2007" s="14" t="str">
        <f>IF($C2007="","",IFERROR(INDEX(Productos!$D$5:$D$504,MATCH($C2007,Productos!$A$5:$A$504,0)),""))</f>
        <v/>
      </c>
      <c r="F2007" s="20"/>
      <c r="G2007" s="22" t="str">
        <f>IF($C2007="","",IFERROR(INDEX(Productos!$F$5:$F$504,MATCH($C2007,Productos!$A$5:$A$504,0)),0))</f>
        <v/>
      </c>
      <c r="H2007" s="22" t="str">
        <f t="shared" si="31"/>
        <v/>
      </c>
      <c r="I2007" s="14" t="str">
        <f>IF(OR($C2007="",$F2007=""),"",IFERROR(INDEX(Productos!$I$5:$I$504,MATCH($C2007,Productos!$A$5:$A$504,0)),0)+SUMIFS($F$5:$F2007,$C$5:$C2007,$C2007,$B$5:$B2007,"Entrada")-SUMIFS($F$5:$F2007,$C$5:$C2007,$C2007,$B$5:$B2007,"Salida"))</f>
        <v/>
      </c>
      <c r="J2007" s="20"/>
      <c r="K2007" s="20"/>
      <c r="L2007" s="20"/>
      <c r="M2007" s="14" t="str">
        <f>IF(AND($C2007&lt;&gt;"",$C2007=Kardex!$C$4),COUNTIF($C$5:$C2007,Kardex!$C$4),"")</f>
        <v/>
      </c>
    </row>
    <row r="2008" spans="1:13" x14ac:dyDescent="0.25">
      <c r="A2008" s="24"/>
      <c r="B2008" s="20"/>
      <c r="C2008" s="20"/>
      <c r="D2008" s="14" t="str">
        <f>IF($C2008="","",IFERROR(INDEX(Productos!$B$5:$B$504,MATCH($C2008,Productos!$A$5:$A$504,0)),"Clave no existe"))</f>
        <v/>
      </c>
      <c r="E2008" s="14" t="str">
        <f>IF($C2008="","",IFERROR(INDEX(Productos!$D$5:$D$504,MATCH($C2008,Productos!$A$5:$A$504,0)),""))</f>
        <v/>
      </c>
      <c r="F2008" s="20"/>
      <c r="G2008" s="22" t="str">
        <f>IF($C2008="","",IFERROR(INDEX(Productos!$F$5:$F$504,MATCH($C2008,Productos!$A$5:$A$504,0)),0))</f>
        <v/>
      </c>
      <c r="H2008" s="22" t="str">
        <f t="shared" si="31"/>
        <v/>
      </c>
      <c r="I2008" s="14" t="str">
        <f>IF(OR($C2008="",$F2008=""),"",IFERROR(INDEX(Productos!$I$5:$I$504,MATCH($C2008,Productos!$A$5:$A$504,0)),0)+SUMIFS($F$5:$F2008,$C$5:$C2008,$C2008,$B$5:$B2008,"Entrada")-SUMIFS($F$5:$F2008,$C$5:$C2008,$C2008,$B$5:$B2008,"Salida"))</f>
        <v/>
      </c>
      <c r="J2008" s="20"/>
      <c r="K2008" s="20"/>
      <c r="L2008" s="20"/>
      <c r="M2008" s="14" t="str">
        <f>IF(AND($C2008&lt;&gt;"",$C2008=Kardex!$C$4),COUNTIF($C$5:$C2008,Kardex!$C$4),"")</f>
        <v/>
      </c>
    </row>
    <row r="2009" spans="1:13" x14ac:dyDescent="0.25">
      <c r="A2009" s="24"/>
      <c r="B2009" s="20"/>
      <c r="C2009" s="20"/>
      <c r="D2009" s="14" t="str">
        <f>IF($C2009="","",IFERROR(INDEX(Productos!$B$5:$B$504,MATCH($C2009,Productos!$A$5:$A$504,0)),"Clave no existe"))</f>
        <v/>
      </c>
      <c r="E2009" s="14" t="str">
        <f>IF($C2009="","",IFERROR(INDEX(Productos!$D$5:$D$504,MATCH($C2009,Productos!$A$5:$A$504,0)),""))</f>
        <v/>
      </c>
      <c r="F2009" s="20"/>
      <c r="G2009" s="22" t="str">
        <f>IF($C2009="","",IFERROR(INDEX(Productos!$F$5:$F$504,MATCH($C2009,Productos!$A$5:$A$504,0)),0))</f>
        <v/>
      </c>
      <c r="H2009" s="22" t="str">
        <f t="shared" si="31"/>
        <v/>
      </c>
      <c r="I2009" s="14" t="str">
        <f>IF(OR($C2009="",$F2009=""),"",IFERROR(INDEX(Productos!$I$5:$I$504,MATCH($C2009,Productos!$A$5:$A$504,0)),0)+SUMIFS($F$5:$F2009,$C$5:$C2009,$C2009,$B$5:$B2009,"Entrada")-SUMIFS($F$5:$F2009,$C$5:$C2009,$C2009,$B$5:$B2009,"Salida"))</f>
        <v/>
      </c>
      <c r="J2009" s="20"/>
      <c r="K2009" s="20"/>
      <c r="L2009" s="20"/>
      <c r="M2009" s="14" t="str">
        <f>IF(AND($C2009&lt;&gt;"",$C2009=Kardex!$C$4),COUNTIF($C$5:$C2009,Kardex!$C$4),"")</f>
        <v/>
      </c>
    </row>
    <row r="2010" spans="1:13" x14ac:dyDescent="0.25">
      <c r="A2010" s="24"/>
      <c r="B2010" s="20"/>
      <c r="C2010" s="20"/>
      <c r="D2010" s="14" t="str">
        <f>IF($C2010="","",IFERROR(INDEX(Productos!$B$5:$B$504,MATCH($C2010,Productos!$A$5:$A$504,0)),"Clave no existe"))</f>
        <v/>
      </c>
      <c r="E2010" s="14" t="str">
        <f>IF($C2010="","",IFERROR(INDEX(Productos!$D$5:$D$504,MATCH($C2010,Productos!$A$5:$A$504,0)),""))</f>
        <v/>
      </c>
      <c r="F2010" s="20"/>
      <c r="G2010" s="22" t="str">
        <f>IF($C2010="","",IFERROR(INDEX(Productos!$F$5:$F$504,MATCH($C2010,Productos!$A$5:$A$504,0)),0))</f>
        <v/>
      </c>
      <c r="H2010" s="22" t="str">
        <f t="shared" si="31"/>
        <v/>
      </c>
      <c r="I2010" s="14" t="str">
        <f>IF(OR($C2010="",$F2010=""),"",IFERROR(INDEX(Productos!$I$5:$I$504,MATCH($C2010,Productos!$A$5:$A$504,0)),0)+SUMIFS($F$5:$F2010,$C$5:$C2010,$C2010,$B$5:$B2010,"Entrada")-SUMIFS($F$5:$F2010,$C$5:$C2010,$C2010,$B$5:$B2010,"Salida"))</f>
        <v/>
      </c>
      <c r="J2010" s="20"/>
      <c r="K2010" s="20"/>
      <c r="L2010" s="20"/>
      <c r="M2010" s="14" t="str">
        <f>IF(AND($C2010&lt;&gt;"",$C2010=Kardex!$C$4),COUNTIF($C$5:$C2010,Kardex!$C$4),"")</f>
        <v/>
      </c>
    </row>
    <row r="2011" spans="1:13" x14ac:dyDescent="0.25">
      <c r="A2011" s="24"/>
      <c r="B2011" s="20"/>
      <c r="C2011" s="20"/>
      <c r="D2011" s="14" t="str">
        <f>IF($C2011="","",IFERROR(INDEX(Productos!$B$5:$B$504,MATCH($C2011,Productos!$A$5:$A$504,0)),"Clave no existe"))</f>
        <v/>
      </c>
      <c r="E2011" s="14" t="str">
        <f>IF($C2011="","",IFERROR(INDEX(Productos!$D$5:$D$504,MATCH($C2011,Productos!$A$5:$A$504,0)),""))</f>
        <v/>
      </c>
      <c r="F2011" s="20"/>
      <c r="G2011" s="22" t="str">
        <f>IF($C2011="","",IFERROR(INDEX(Productos!$F$5:$F$504,MATCH($C2011,Productos!$A$5:$A$504,0)),0))</f>
        <v/>
      </c>
      <c r="H2011" s="22" t="str">
        <f t="shared" si="31"/>
        <v/>
      </c>
      <c r="I2011" s="14" t="str">
        <f>IF(OR($C2011="",$F2011=""),"",IFERROR(INDEX(Productos!$I$5:$I$504,MATCH($C2011,Productos!$A$5:$A$504,0)),0)+SUMIFS($F$5:$F2011,$C$5:$C2011,$C2011,$B$5:$B2011,"Entrada")-SUMIFS($F$5:$F2011,$C$5:$C2011,$C2011,$B$5:$B2011,"Salida"))</f>
        <v/>
      </c>
      <c r="J2011" s="20"/>
      <c r="K2011" s="20"/>
      <c r="L2011" s="20"/>
      <c r="M2011" s="14" t="str">
        <f>IF(AND($C2011&lt;&gt;"",$C2011=Kardex!$C$4),COUNTIF($C$5:$C2011,Kardex!$C$4),"")</f>
        <v/>
      </c>
    </row>
    <row r="2012" spans="1:13" x14ac:dyDescent="0.25">
      <c r="A2012" s="24"/>
      <c r="B2012" s="20"/>
      <c r="C2012" s="20"/>
      <c r="D2012" s="14" t="str">
        <f>IF($C2012="","",IFERROR(INDEX(Productos!$B$5:$B$504,MATCH($C2012,Productos!$A$5:$A$504,0)),"Clave no existe"))</f>
        <v/>
      </c>
      <c r="E2012" s="14" t="str">
        <f>IF($C2012="","",IFERROR(INDEX(Productos!$D$5:$D$504,MATCH($C2012,Productos!$A$5:$A$504,0)),""))</f>
        <v/>
      </c>
      <c r="F2012" s="20"/>
      <c r="G2012" s="22" t="str">
        <f>IF($C2012="","",IFERROR(INDEX(Productos!$F$5:$F$504,MATCH($C2012,Productos!$A$5:$A$504,0)),0))</f>
        <v/>
      </c>
      <c r="H2012" s="22" t="str">
        <f t="shared" si="31"/>
        <v/>
      </c>
      <c r="I2012" s="14" t="str">
        <f>IF(OR($C2012="",$F2012=""),"",IFERROR(INDEX(Productos!$I$5:$I$504,MATCH($C2012,Productos!$A$5:$A$504,0)),0)+SUMIFS($F$5:$F2012,$C$5:$C2012,$C2012,$B$5:$B2012,"Entrada")-SUMIFS($F$5:$F2012,$C$5:$C2012,$C2012,$B$5:$B2012,"Salida"))</f>
        <v/>
      </c>
      <c r="J2012" s="20"/>
      <c r="K2012" s="20"/>
      <c r="L2012" s="20"/>
      <c r="M2012" s="14" t="str">
        <f>IF(AND($C2012&lt;&gt;"",$C2012=Kardex!$C$4),COUNTIF($C$5:$C2012,Kardex!$C$4),"")</f>
        <v/>
      </c>
    </row>
    <row r="2013" spans="1:13" x14ac:dyDescent="0.25">
      <c r="A2013" s="24"/>
      <c r="B2013" s="20"/>
      <c r="C2013" s="20"/>
      <c r="D2013" s="14" t="str">
        <f>IF($C2013="","",IFERROR(INDEX(Productos!$B$5:$B$504,MATCH($C2013,Productos!$A$5:$A$504,0)),"Clave no existe"))</f>
        <v/>
      </c>
      <c r="E2013" s="14" t="str">
        <f>IF($C2013="","",IFERROR(INDEX(Productos!$D$5:$D$504,MATCH($C2013,Productos!$A$5:$A$504,0)),""))</f>
        <v/>
      </c>
      <c r="F2013" s="20"/>
      <c r="G2013" s="22" t="str">
        <f>IF($C2013="","",IFERROR(INDEX(Productos!$F$5:$F$504,MATCH($C2013,Productos!$A$5:$A$504,0)),0))</f>
        <v/>
      </c>
      <c r="H2013" s="22" t="str">
        <f t="shared" si="31"/>
        <v/>
      </c>
      <c r="I2013" s="14" t="str">
        <f>IF(OR($C2013="",$F2013=""),"",IFERROR(INDEX(Productos!$I$5:$I$504,MATCH($C2013,Productos!$A$5:$A$504,0)),0)+SUMIFS($F$5:$F2013,$C$5:$C2013,$C2013,$B$5:$B2013,"Entrada")-SUMIFS($F$5:$F2013,$C$5:$C2013,$C2013,$B$5:$B2013,"Salida"))</f>
        <v/>
      </c>
      <c r="J2013" s="20"/>
      <c r="K2013" s="20"/>
      <c r="L2013" s="20"/>
      <c r="M2013" s="14" t="str">
        <f>IF(AND($C2013&lt;&gt;"",$C2013=Kardex!$C$4),COUNTIF($C$5:$C2013,Kardex!$C$4),"")</f>
        <v/>
      </c>
    </row>
    <row r="2014" spans="1:13" x14ac:dyDescent="0.25">
      <c r="A2014" s="24"/>
      <c r="B2014" s="20"/>
      <c r="C2014" s="20"/>
      <c r="D2014" s="14" t="str">
        <f>IF($C2014="","",IFERROR(INDEX(Productos!$B$5:$B$504,MATCH($C2014,Productos!$A$5:$A$504,0)),"Clave no existe"))</f>
        <v/>
      </c>
      <c r="E2014" s="14" t="str">
        <f>IF($C2014="","",IFERROR(INDEX(Productos!$D$5:$D$504,MATCH($C2014,Productos!$A$5:$A$504,0)),""))</f>
        <v/>
      </c>
      <c r="F2014" s="20"/>
      <c r="G2014" s="22" t="str">
        <f>IF($C2014="","",IFERROR(INDEX(Productos!$F$5:$F$504,MATCH($C2014,Productos!$A$5:$A$504,0)),0))</f>
        <v/>
      </c>
      <c r="H2014" s="22" t="str">
        <f t="shared" si="31"/>
        <v/>
      </c>
      <c r="I2014" s="14" t="str">
        <f>IF(OR($C2014="",$F2014=""),"",IFERROR(INDEX(Productos!$I$5:$I$504,MATCH($C2014,Productos!$A$5:$A$504,0)),0)+SUMIFS($F$5:$F2014,$C$5:$C2014,$C2014,$B$5:$B2014,"Entrada")-SUMIFS($F$5:$F2014,$C$5:$C2014,$C2014,$B$5:$B2014,"Salida"))</f>
        <v/>
      </c>
      <c r="J2014" s="20"/>
      <c r="K2014" s="20"/>
      <c r="L2014" s="20"/>
      <c r="M2014" s="14" t="str">
        <f>IF(AND($C2014&lt;&gt;"",$C2014=Kardex!$C$4),COUNTIF($C$5:$C2014,Kardex!$C$4),"")</f>
        <v/>
      </c>
    </row>
    <row r="2015" spans="1:13" x14ac:dyDescent="0.25">
      <c r="A2015" s="24"/>
      <c r="B2015" s="20"/>
      <c r="C2015" s="20"/>
      <c r="D2015" s="14" t="str">
        <f>IF($C2015="","",IFERROR(INDEX(Productos!$B$5:$B$504,MATCH($C2015,Productos!$A$5:$A$504,0)),"Clave no existe"))</f>
        <v/>
      </c>
      <c r="E2015" s="14" t="str">
        <f>IF($C2015="","",IFERROR(INDEX(Productos!$D$5:$D$504,MATCH($C2015,Productos!$A$5:$A$504,0)),""))</f>
        <v/>
      </c>
      <c r="F2015" s="20"/>
      <c r="G2015" s="22" t="str">
        <f>IF($C2015="","",IFERROR(INDEX(Productos!$F$5:$F$504,MATCH($C2015,Productos!$A$5:$A$504,0)),0))</f>
        <v/>
      </c>
      <c r="H2015" s="22" t="str">
        <f t="shared" si="31"/>
        <v/>
      </c>
      <c r="I2015" s="14" t="str">
        <f>IF(OR($C2015="",$F2015=""),"",IFERROR(INDEX(Productos!$I$5:$I$504,MATCH($C2015,Productos!$A$5:$A$504,0)),0)+SUMIFS($F$5:$F2015,$C$5:$C2015,$C2015,$B$5:$B2015,"Entrada")-SUMIFS($F$5:$F2015,$C$5:$C2015,$C2015,$B$5:$B2015,"Salida"))</f>
        <v/>
      </c>
      <c r="J2015" s="20"/>
      <c r="K2015" s="20"/>
      <c r="L2015" s="20"/>
      <c r="M2015" s="14" t="str">
        <f>IF(AND($C2015&lt;&gt;"",$C2015=Kardex!$C$4),COUNTIF($C$5:$C2015,Kardex!$C$4),"")</f>
        <v/>
      </c>
    </row>
    <row r="2016" spans="1:13" x14ac:dyDescent="0.25">
      <c r="A2016" s="24"/>
      <c r="B2016" s="20"/>
      <c r="C2016" s="20"/>
      <c r="D2016" s="14" t="str">
        <f>IF($C2016="","",IFERROR(INDEX(Productos!$B$5:$B$504,MATCH($C2016,Productos!$A$5:$A$504,0)),"Clave no existe"))</f>
        <v/>
      </c>
      <c r="E2016" s="14" t="str">
        <f>IF($C2016="","",IFERROR(INDEX(Productos!$D$5:$D$504,MATCH($C2016,Productos!$A$5:$A$504,0)),""))</f>
        <v/>
      </c>
      <c r="F2016" s="20"/>
      <c r="G2016" s="22" t="str">
        <f>IF($C2016="","",IFERROR(INDEX(Productos!$F$5:$F$504,MATCH($C2016,Productos!$A$5:$A$504,0)),0))</f>
        <v/>
      </c>
      <c r="H2016" s="22" t="str">
        <f t="shared" si="31"/>
        <v/>
      </c>
      <c r="I2016" s="14" t="str">
        <f>IF(OR($C2016="",$F2016=""),"",IFERROR(INDEX(Productos!$I$5:$I$504,MATCH($C2016,Productos!$A$5:$A$504,0)),0)+SUMIFS($F$5:$F2016,$C$5:$C2016,$C2016,$B$5:$B2016,"Entrada")-SUMIFS($F$5:$F2016,$C$5:$C2016,$C2016,$B$5:$B2016,"Salida"))</f>
        <v/>
      </c>
      <c r="J2016" s="20"/>
      <c r="K2016" s="20"/>
      <c r="L2016" s="20"/>
      <c r="M2016" s="14" t="str">
        <f>IF(AND($C2016&lt;&gt;"",$C2016=Kardex!$C$4),COUNTIF($C$5:$C2016,Kardex!$C$4),"")</f>
        <v/>
      </c>
    </row>
    <row r="2017" spans="1:13" x14ac:dyDescent="0.25">
      <c r="A2017" s="24"/>
      <c r="B2017" s="20"/>
      <c r="C2017" s="20"/>
      <c r="D2017" s="14" t="str">
        <f>IF($C2017="","",IFERROR(INDEX(Productos!$B$5:$B$504,MATCH($C2017,Productos!$A$5:$A$504,0)),"Clave no existe"))</f>
        <v/>
      </c>
      <c r="E2017" s="14" t="str">
        <f>IF($C2017="","",IFERROR(INDEX(Productos!$D$5:$D$504,MATCH($C2017,Productos!$A$5:$A$504,0)),""))</f>
        <v/>
      </c>
      <c r="F2017" s="20"/>
      <c r="G2017" s="22" t="str">
        <f>IF($C2017="","",IFERROR(INDEX(Productos!$F$5:$F$504,MATCH($C2017,Productos!$A$5:$A$504,0)),0))</f>
        <v/>
      </c>
      <c r="H2017" s="22" t="str">
        <f t="shared" si="31"/>
        <v/>
      </c>
      <c r="I2017" s="14" t="str">
        <f>IF(OR($C2017="",$F2017=""),"",IFERROR(INDEX(Productos!$I$5:$I$504,MATCH($C2017,Productos!$A$5:$A$504,0)),0)+SUMIFS($F$5:$F2017,$C$5:$C2017,$C2017,$B$5:$B2017,"Entrada")-SUMIFS($F$5:$F2017,$C$5:$C2017,$C2017,$B$5:$B2017,"Salida"))</f>
        <v/>
      </c>
      <c r="J2017" s="20"/>
      <c r="K2017" s="20"/>
      <c r="L2017" s="20"/>
      <c r="M2017" s="14" t="str">
        <f>IF(AND($C2017&lt;&gt;"",$C2017=Kardex!$C$4),COUNTIF($C$5:$C2017,Kardex!$C$4),"")</f>
        <v/>
      </c>
    </row>
    <row r="2018" spans="1:13" x14ac:dyDescent="0.25">
      <c r="A2018" s="24"/>
      <c r="B2018" s="20"/>
      <c r="C2018" s="20"/>
      <c r="D2018" s="14" t="str">
        <f>IF($C2018="","",IFERROR(INDEX(Productos!$B$5:$B$504,MATCH($C2018,Productos!$A$5:$A$504,0)),"Clave no existe"))</f>
        <v/>
      </c>
      <c r="E2018" s="14" t="str">
        <f>IF($C2018="","",IFERROR(INDEX(Productos!$D$5:$D$504,MATCH($C2018,Productos!$A$5:$A$504,0)),""))</f>
        <v/>
      </c>
      <c r="F2018" s="20"/>
      <c r="G2018" s="22" t="str">
        <f>IF($C2018="","",IFERROR(INDEX(Productos!$F$5:$F$504,MATCH($C2018,Productos!$A$5:$A$504,0)),0))</f>
        <v/>
      </c>
      <c r="H2018" s="22" t="str">
        <f t="shared" si="31"/>
        <v/>
      </c>
      <c r="I2018" s="14" t="str">
        <f>IF(OR($C2018="",$F2018=""),"",IFERROR(INDEX(Productos!$I$5:$I$504,MATCH($C2018,Productos!$A$5:$A$504,0)),0)+SUMIFS($F$5:$F2018,$C$5:$C2018,$C2018,$B$5:$B2018,"Entrada")-SUMIFS($F$5:$F2018,$C$5:$C2018,$C2018,$B$5:$B2018,"Salida"))</f>
        <v/>
      </c>
      <c r="J2018" s="20"/>
      <c r="K2018" s="20"/>
      <c r="L2018" s="20"/>
      <c r="M2018" s="14" t="str">
        <f>IF(AND($C2018&lt;&gt;"",$C2018=Kardex!$C$4),COUNTIF($C$5:$C2018,Kardex!$C$4),"")</f>
        <v/>
      </c>
    </row>
    <row r="2019" spans="1:13" x14ac:dyDescent="0.25">
      <c r="A2019" s="24"/>
      <c r="B2019" s="20"/>
      <c r="C2019" s="20"/>
      <c r="D2019" s="14" t="str">
        <f>IF($C2019="","",IFERROR(INDEX(Productos!$B$5:$B$504,MATCH($C2019,Productos!$A$5:$A$504,0)),"Clave no existe"))</f>
        <v/>
      </c>
      <c r="E2019" s="14" t="str">
        <f>IF($C2019="","",IFERROR(INDEX(Productos!$D$5:$D$504,MATCH($C2019,Productos!$A$5:$A$504,0)),""))</f>
        <v/>
      </c>
      <c r="F2019" s="20"/>
      <c r="G2019" s="22" t="str">
        <f>IF($C2019="","",IFERROR(INDEX(Productos!$F$5:$F$504,MATCH($C2019,Productos!$A$5:$A$504,0)),0))</f>
        <v/>
      </c>
      <c r="H2019" s="22" t="str">
        <f t="shared" si="31"/>
        <v/>
      </c>
      <c r="I2019" s="14" t="str">
        <f>IF(OR($C2019="",$F2019=""),"",IFERROR(INDEX(Productos!$I$5:$I$504,MATCH($C2019,Productos!$A$5:$A$504,0)),0)+SUMIFS($F$5:$F2019,$C$5:$C2019,$C2019,$B$5:$B2019,"Entrada")-SUMIFS($F$5:$F2019,$C$5:$C2019,$C2019,$B$5:$B2019,"Salida"))</f>
        <v/>
      </c>
      <c r="J2019" s="20"/>
      <c r="K2019" s="20"/>
      <c r="L2019" s="20"/>
      <c r="M2019" s="14" t="str">
        <f>IF(AND($C2019&lt;&gt;"",$C2019=Kardex!$C$4),COUNTIF($C$5:$C2019,Kardex!$C$4),"")</f>
        <v/>
      </c>
    </row>
    <row r="2020" spans="1:13" x14ac:dyDescent="0.25">
      <c r="A2020" s="24"/>
      <c r="B2020" s="20"/>
      <c r="C2020" s="20"/>
      <c r="D2020" s="14" t="str">
        <f>IF($C2020="","",IFERROR(INDEX(Productos!$B$5:$B$504,MATCH($C2020,Productos!$A$5:$A$504,0)),"Clave no existe"))</f>
        <v/>
      </c>
      <c r="E2020" s="14" t="str">
        <f>IF($C2020="","",IFERROR(INDEX(Productos!$D$5:$D$504,MATCH($C2020,Productos!$A$5:$A$504,0)),""))</f>
        <v/>
      </c>
      <c r="F2020" s="20"/>
      <c r="G2020" s="22" t="str">
        <f>IF($C2020="","",IFERROR(INDEX(Productos!$F$5:$F$504,MATCH($C2020,Productos!$A$5:$A$504,0)),0))</f>
        <v/>
      </c>
      <c r="H2020" s="22" t="str">
        <f t="shared" si="31"/>
        <v/>
      </c>
      <c r="I2020" s="14" t="str">
        <f>IF(OR($C2020="",$F2020=""),"",IFERROR(INDEX(Productos!$I$5:$I$504,MATCH($C2020,Productos!$A$5:$A$504,0)),0)+SUMIFS($F$5:$F2020,$C$5:$C2020,$C2020,$B$5:$B2020,"Entrada")-SUMIFS($F$5:$F2020,$C$5:$C2020,$C2020,$B$5:$B2020,"Salida"))</f>
        <v/>
      </c>
      <c r="J2020" s="20"/>
      <c r="K2020" s="20"/>
      <c r="L2020" s="20"/>
      <c r="M2020" s="14" t="str">
        <f>IF(AND($C2020&lt;&gt;"",$C2020=Kardex!$C$4),COUNTIF($C$5:$C2020,Kardex!$C$4),"")</f>
        <v/>
      </c>
    </row>
    <row r="2021" spans="1:13" x14ac:dyDescent="0.25">
      <c r="A2021" s="24"/>
      <c r="B2021" s="20"/>
      <c r="C2021" s="20"/>
      <c r="D2021" s="14" t="str">
        <f>IF($C2021="","",IFERROR(INDEX(Productos!$B$5:$B$504,MATCH($C2021,Productos!$A$5:$A$504,0)),"Clave no existe"))</f>
        <v/>
      </c>
      <c r="E2021" s="14" t="str">
        <f>IF($C2021="","",IFERROR(INDEX(Productos!$D$5:$D$504,MATCH($C2021,Productos!$A$5:$A$504,0)),""))</f>
        <v/>
      </c>
      <c r="F2021" s="20"/>
      <c r="G2021" s="22" t="str">
        <f>IF($C2021="","",IFERROR(INDEX(Productos!$F$5:$F$504,MATCH($C2021,Productos!$A$5:$A$504,0)),0))</f>
        <v/>
      </c>
      <c r="H2021" s="22" t="str">
        <f t="shared" si="31"/>
        <v/>
      </c>
      <c r="I2021" s="14" t="str">
        <f>IF(OR($C2021="",$F2021=""),"",IFERROR(INDEX(Productos!$I$5:$I$504,MATCH($C2021,Productos!$A$5:$A$504,0)),0)+SUMIFS($F$5:$F2021,$C$5:$C2021,$C2021,$B$5:$B2021,"Entrada")-SUMIFS($F$5:$F2021,$C$5:$C2021,$C2021,$B$5:$B2021,"Salida"))</f>
        <v/>
      </c>
      <c r="J2021" s="20"/>
      <c r="K2021" s="20"/>
      <c r="L2021" s="20"/>
      <c r="M2021" s="14" t="str">
        <f>IF(AND($C2021&lt;&gt;"",$C2021=Kardex!$C$4),COUNTIF($C$5:$C2021,Kardex!$C$4),"")</f>
        <v/>
      </c>
    </row>
    <row r="2022" spans="1:13" x14ac:dyDescent="0.25">
      <c r="A2022" s="24"/>
      <c r="B2022" s="20"/>
      <c r="C2022" s="20"/>
      <c r="D2022" s="14" t="str">
        <f>IF($C2022="","",IFERROR(INDEX(Productos!$B$5:$B$504,MATCH($C2022,Productos!$A$5:$A$504,0)),"Clave no existe"))</f>
        <v/>
      </c>
      <c r="E2022" s="14" t="str">
        <f>IF($C2022="","",IFERROR(INDEX(Productos!$D$5:$D$504,MATCH($C2022,Productos!$A$5:$A$504,0)),""))</f>
        <v/>
      </c>
      <c r="F2022" s="20"/>
      <c r="G2022" s="22" t="str">
        <f>IF($C2022="","",IFERROR(INDEX(Productos!$F$5:$F$504,MATCH($C2022,Productos!$A$5:$A$504,0)),0))</f>
        <v/>
      </c>
      <c r="H2022" s="22" t="str">
        <f t="shared" si="31"/>
        <v/>
      </c>
      <c r="I2022" s="14" t="str">
        <f>IF(OR($C2022="",$F2022=""),"",IFERROR(INDEX(Productos!$I$5:$I$504,MATCH($C2022,Productos!$A$5:$A$504,0)),0)+SUMIFS($F$5:$F2022,$C$5:$C2022,$C2022,$B$5:$B2022,"Entrada")-SUMIFS($F$5:$F2022,$C$5:$C2022,$C2022,$B$5:$B2022,"Salida"))</f>
        <v/>
      </c>
      <c r="J2022" s="20"/>
      <c r="K2022" s="20"/>
      <c r="L2022" s="20"/>
      <c r="M2022" s="14" t="str">
        <f>IF(AND($C2022&lt;&gt;"",$C2022=Kardex!$C$4),COUNTIF($C$5:$C2022,Kardex!$C$4),"")</f>
        <v/>
      </c>
    </row>
    <row r="2023" spans="1:13" x14ac:dyDescent="0.25">
      <c r="A2023" s="24"/>
      <c r="B2023" s="20"/>
      <c r="C2023" s="20"/>
      <c r="D2023" s="14" t="str">
        <f>IF($C2023="","",IFERROR(INDEX(Productos!$B$5:$B$504,MATCH($C2023,Productos!$A$5:$A$504,0)),"Clave no existe"))</f>
        <v/>
      </c>
      <c r="E2023" s="14" t="str">
        <f>IF($C2023="","",IFERROR(INDEX(Productos!$D$5:$D$504,MATCH($C2023,Productos!$A$5:$A$504,0)),""))</f>
        <v/>
      </c>
      <c r="F2023" s="20"/>
      <c r="G2023" s="22" t="str">
        <f>IF($C2023="","",IFERROR(INDEX(Productos!$F$5:$F$504,MATCH($C2023,Productos!$A$5:$A$504,0)),0))</f>
        <v/>
      </c>
      <c r="H2023" s="22" t="str">
        <f t="shared" si="31"/>
        <v/>
      </c>
      <c r="I2023" s="14" t="str">
        <f>IF(OR($C2023="",$F2023=""),"",IFERROR(INDEX(Productos!$I$5:$I$504,MATCH($C2023,Productos!$A$5:$A$504,0)),0)+SUMIFS($F$5:$F2023,$C$5:$C2023,$C2023,$B$5:$B2023,"Entrada")-SUMIFS($F$5:$F2023,$C$5:$C2023,$C2023,$B$5:$B2023,"Salida"))</f>
        <v/>
      </c>
      <c r="J2023" s="20"/>
      <c r="K2023" s="20"/>
      <c r="L2023" s="20"/>
      <c r="M2023" s="14" t="str">
        <f>IF(AND($C2023&lt;&gt;"",$C2023=Kardex!$C$4),COUNTIF($C$5:$C2023,Kardex!$C$4),"")</f>
        <v/>
      </c>
    </row>
    <row r="2024" spans="1:13" x14ac:dyDescent="0.25">
      <c r="A2024" s="24"/>
      <c r="B2024" s="20"/>
      <c r="C2024" s="20"/>
      <c r="D2024" s="14" t="str">
        <f>IF($C2024="","",IFERROR(INDEX(Productos!$B$5:$B$504,MATCH($C2024,Productos!$A$5:$A$504,0)),"Clave no existe"))</f>
        <v/>
      </c>
      <c r="E2024" s="14" t="str">
        <f>IF($C2024="","",IFERROR(INDEX(Productos!$D$5:$D$504,MATCH($C2024,Productos!$A$5:$A$504,0)),""))</f>
        <v/>
      </c>
      <c r="F2024" s="20"/>
      <c r="G2024" s="22" t="str">
        <f>IF($C2024="","",IFERROR(INDEX(Productos!$F$5:$F$504,MATCH($C2024,Productos!$A$5:$A$504,0)),0))</f>
        <v/>
      </c>
      <c r="H2024" s="22" t="str">
        <f t="shared" si="31"/>
        <v/>
      </c>
      <c r="I2024" s="14" t="str">
        <f>IF(OR($C2024="",$F2024=""),"",IFERROR(INDEX(Productos!$I$5:$I$504,MATCH($C2024,Productos!$A$5:$A$504,0)),0)+SUMIFS($F$5:$F2024,$C$5:$C2024,$C2024,$B$5:$B2024,"Entrada")-SUMIFS($F$5:$F2024,$C$5:$C2024,$C2024,$B$5:$B2024,"Salida"))</f>
        <v/>
      </c>
      <c r="J2024" s="20"/>
      <c r="K2024" s="20"/>
      <c r="L2024" s="20"/>
      <c r="M2024" s="14" t="str">
        <f>IF(AND($C2024&lt;&gt;"",$C2024=Kardex!$C$4),COUNTIF($C$5:$C2024,Kardex!$C$4),"")</f>
        <v/>
      </c>
    </row>
    <row r="2025" spans="1:13" x14ac:dyDescent="0.25">
      <c r="A2025" s="24"/>
      <c r="B2025" s="20"/>
      <c r="C2025" s="20"/>
      <c r="D2025" s="14" t="str">
        <f>IF($C2025="","",IFERROR(INDEX(Productos!$B$5:$B$504,MATCH($C2025,Productos!$A$5:$A$504,0)),"Clave no existe"))</f>
        <v/>
      </c>
      <c r="E2025" s="14" t="str">
        <f>IF($C2025="","",IFERROR(INDEX(Productos!$D$5:$D$504,MATCH($C2025,Productos!$A$5:$A$504,0)),""))</f>
        <v/>
      </c>
      <c r="F2025" s="20"/>
      <c r="G2025" s="22" t="str">
        <f>IF($C2025="","",IFERROR(INDEX(Productos!$F$5:$F$504,MATCH($C2025,Productos!$A$5:$A$504,0)),0))</f>
        <v/>
      </c>
      <c r="H2025" s="22" t="str">
        <f t="shared" si="31"/>
        <v/>
      </c>
      <c r="I2025" s="14" t="str">
        <f>IF(OR($C2025="",$F2025=""),"",IFERROR(INDEX(Productos!$I$5:$I$504,MATCH($C2025,Productos!$A$5:$A$504,0)),0)+SUMIFS($F$5:$F2025,$C$5:$C2025,$C2025,$B$5:$B2025,"Entrada")-SUMIFS($F$5:$F2025,$C$5:$C2025,$C2025,$B$5:$B2025,"Salida"))</f>
        <v/>
      </c>
      <c r="J2025" s="20"/>
      <c r="K2025" s="20"/>
      <c r="L2025" s="20"/>
      <c r="M2025" s="14" t="str">
        <f>IF(AND($C2025&lt;&gt;"",$C2025=Kardex!$C$4),COUNTIF($C$5:$C2025,Kardex!$C$4),"")</f>
        <v/>
      </c>
    </row>
    <row r="2026" spans="1:13" x14ac:dyDescent="0.25">
      <c r="A2026" s="24"/>
      <c r="B2026" s="20"/>
      <c r="C2026" s="20"/>
      <c r="D2026" s="14" t="str">
        <f>IF($C2026="","",IFERROR(INDEX(Productos!$B$5:$B$504,MATCH($C2026,Productos!$A$5:$A$504,0)),"Clave no existe"))</f>
        <v/>
      </c>
      <c r="E2026" s="14" t="str">
        <f>IF($C2026="","",IFERROR(INDEX(Productos!$D$5:$D$504,MATCH($C2026,Productos!$A$5:$A$504,0)),""))</f>
        <v/>
      </c>
      <c r="F2026" s="20"/>
      <c r="G2026" s="22" t="str">
        <f>IF($C2026="","",IFERROR(INDEX(Productos!$F$5:$F$504,MATCH($C2026,Productos!$A$5:$A$504,0)),0))</f>
        <v/>
      </c>
      <c r="H2026" s="22" t="str">
        <f t="shared" si="31"/>
        <v/>
      </c>
      <c r="I2026" s="14" t="str">
        <f>IF(OR($C2026="",$F2026=""),"",IFERROR(INDEX(Productos!$I$5:$I$504,MATCH($C2026,Productos!$A$5:$A$504,0)),0)+SUMIFS($F$5:$F2026,$C$5:$C2026,$C2026,$B$5:$B2026,"Entrada")-SUMIFS($F$5:$F2026,$C$5:$C2026,$C2026,$B$5:$B2026,"Salida"))</f>
        <v/>
      </c>
      <c r="J2026" s="20"/>
      <c r="K2026" s="20"/>
      <c r="L2026" s="20"/>
      <c r="M2026" s="14" t="str">
        <f>IF(AND($C2026&lt;&gt;"",$C2026=Kardex!$C$4),COUNTIF($C$5:$C2026,Kardex!$C$4),"")</f>
        <v/>
      </c>
    </row>
    <row r="2027" spans="1:13" x14ac:dyDescent="0.25">
      <c r="A2027" s="24"/>
      <c r="B2027" s="20"/>
      <c r="C2027" s="20"/>
      <c r="D2027" s="14" t="str">
        <f>IF($C2027="","",IFERROR(INDEX(Productos!$B$5:$B$504,MATCH($C2027,Productos!$A$5:$A$504,0)),"Clave no existe"))</f>
        <v/>
      </c>
      <c r="E2027" s="14" t="str">
        <f>IF($C2027="","",IFERROR(INDEX(Productos!$D$5:$D$504,MATCH($C2027,Productos!$A$5:$A$504,0)),""))</f>
        <v/>
      </c>
      <c r="F2027" s="20"/>
      <c r="G2027" s="22" t="str">
        <f>IF($C2027="","",IFERROR(INDEX(Productos!$F$5:$F$504,MATCH($C2027,Productos!$A$5:$A$504,0)),0))</f>
        <v/>
      </c>
      <c r="H2027" s="22" t="str">
        <f t="shared" si="31"/>
        <v/>
      </c>
      <c r="I2027" s="14" t="str">
        <f>IF(OR($C2027="",$F2027=""),"",IFERROR(INDEX(Productos!$I$5:$I$504,MATCH($C2027,Productos!$A$5:$A$504,0)),0)+SUMIFS($F$5:$F2027,$C$5:$C2027,$C2027,$B$5:$B2027,"Entrada")-SUMIFS($F$5:$F2027,$C$5:$C2027,$C2027,$B$5:$B2027,"Salida"))</f>
        <v/>
      </c>
      <c r="J2027" s="20"/>
      <c r="K2027" s="20"/>
      <c r="L2027" s="20"/>
      <c r="M2027" s="14" t="str">
        <f>IF(AND($C2027&lt;&gt;"",$C2027=Kardex!$C$4),COUNTIF($C$5:$C2027,Kardex!$C$4),"")</f>
        <v/>
      </c>
    </row>
    <row r="2028" spans="1:13" x14ac:dyDescent="0.25">
      <c r="A2028" s="24"/>
      <c r="B2028" s="20"/>
      <c r="C2028" s="20"/>
      <c r="D2028" s="14" t="str">
        <f>IF($C2028="","",IFERROR(INDEX(Productos!$B$5:$B$504,MATCH($C2028,Productos!$A$5:$A$504,0)),"Clave no existe"))</f>
        <v/>
      </c>
      <c r="E2028" s="14" t="str">
        <f>IF($C2028="","",IFERROR(INDEX(Productos!$D$5:$D$504,MATCH($C2028,Productos!$A$5:$A$504,0)),""))</f>
        <v/>
      </c>
      <c r="F2028" s="20"/>
      <c r="G2028" s="22" t="str">
        <f>IF($C2028="","",IFERROR(INDEX(Productos!$F$5:$F$504,MATCH($C2028,Productos!$A$5:$A$504,0)),0))</f>
        <v/>
      </c>
      <c r="H2028" s="22" t="str">
        <f t="shared" si="31"/>
        <v/>
      </c>
      <c r="I2028" s="14" t="str">
        <f>IF(OR($C2028="",$F2028=""),"",IFERROR(INDEX(Productos!$I$5:$I$504,MATCH($C2028,Productos!$A$5:$A$504,0)),0)+SUMIFS($F$5:$F2028,$C$5:$C2028,$C2028,$B$5:$B2028,"Entrada")-SUMIFS($F$5:$F2028,$C$5:$C2028,$C2028,$B$5:$B2028,"Salida"))</f>
        <v/>
      </c>
      <c r="J2028" s="20"/>
      <c r="K2028" s="20"/>
      <c r="L2028" s="20"/>
      <c r="M2028" s="14" t="str">
        <f>IF(AND($C2028&lt;&gt;"",$C2028=Kardex!$C$4),COUNTIF($C$5:$C2028,Kardex!$C$4),"")</f>
        <v/>
      </c>
    </row>
    <row r="2029" spans="1:13" x14ac:dyDescent="0.25">
      <c r="A2029" s="24"/>
      <c r="B2029" s="20"/>
      <c r="C2029" s="20"/>
      <c r="D2029" s="14" t="str">
        <f>IF($C2029="","",IFERROR(INDEX(Productos!$B$5:$B$504,MATCH($C2029,Productos!$A$5:$A$504,0)),"Clave no existe"))</f>
        <v/>
      </c>
      <c r="E2029" s="14" t="str">
        <f>IF($C2029="","",IFERROR(INDEX(Productos!$D$5:$D$504,MATCH($C2029,Productos!$A$5:$A$504,0)),""))</f>
        <v/>
      </c>
      <c r="F2029" s="20"/>
      <c r="G2029" s="22" t="str">
        <f>IF($C2029="","",IFERROR(INDEX(Productos!$F$5:$F$504,MATCH($C2029,Productos!$A$5:$A$504,0)),0))</f>
        <v/>
      </c>
      <c r="H2029" s="22" t="str">
        <f t="shared" si="31"/>
        <v/>
      </c>
      <c r="I2029" s="14" t="str">
        <f>IF(OR($C2029="",$F2029=""),"",IFERROR(INDEX(Productos!$I$5:$I$504,MATCH($C2029,Productos!$A$5:$A$504,0)),0)+SUMIFS($F$5:$F2029,$C$5:$C2029,$C2029,$B$5:$B2029,"Entrada")-SUMIFS($F$5:$F2029,$C$5:$C2029,$C2029,$B$5:$B2029,"Salida"))</f>
        <v/>
      </c>
      <c r="J2029" s="20"/>
      <c r="K2029" s="20"/>
      <c r="L2029" s="20"/>
      <c r="M2029" s="14" t="str">
        <f>IF(AND($C2029&lt;&gt;"",$C2029=Kardex!$C$4),COUNTIF($C$5:$C2029,Kardex!$C$4),"")</f>
        <v/>
      </c>
    </row>
    <row r="2030" spans="1:13" x14ac:dyDescent="0.25">
      <c r="A2030" s="24"/>
      <c r="B2030" s="20"/>
      <c r="C2030" s="20"/>
      <c r="D2030" s="14" t="str">
        <f>IF($C2030="","",IFERROR(INDEX(Productos!$B$5:$B$504,MATCH($C2030,Productos!$A$5:$A$504,0)),"Clave no existe"))</f>
        <v/>
      </c>
      <c r="E2030" s="14" t="str">
        <f>IF($C2030="","",IFERROR(INDEX(Productos!$D$5:$D$504,MATCH($C2030,Productos!$A$5:$A$504,0)),""))</f>
        <v/>
      </c>
      <c r="F2030" s="20"/>
      <c r="G2030" s="22" t="str">
        <f>IF($C2030="","",IFERROR(INDEX(Productos!$F$5:$F$504,MATCH($C2030,Productos!$A$5:$A$504,0)),0))</f>
        <v/>
      </c>
      <c r="H2030" s="22" t="str">
        <f t="shared" si="31"/>
        <v/>
      </c>
      <c r="I2030" s="14" t="str">
        <f>IF(OR($C2030="",$F2030=""),"",IFERROR(INDEX(Productos!$I$5:$I$504,MATCH($C2030,Productos!$A$5:$A$504,0)),0)+SUMIFS($F$5:$F2030,$C$5:$C2030,$C2030,$B$5:$B2030,"Entrada")-SUMIFS($F$5:$F2030,$C$5:$C2030,$C2030,$B$5:$B2030,"Salida"))</f>
        <v/>
      </c>
      <c r="J2030" s="20"/>
      <c r="K2030" s="20"/>
      <c r="L2030" s="20"/>
      <c r="M2030" s="14" t="str">
        <f>IF(AND($C2030&lt;&gt;"",$C2030=Kardex!$C$4),COUNTIF($C$5:$C2030,Kardex!$C$4),"")</f>
        <v/>
      </c>
    </row>
    <row r="2031" spans="1:13" x14ac:dyDescent="0.25">
      <c r="A2031" s="24"/>
      <c r="B2031" s="20"/>
      <c r="C2031" s="20"/>
      <c r="D2031" s="14" t="str">
        <f>IF($C2031="","",IFERROR(INDEX(Productos!$B$5:$B$504,MATCH($C2031,Productos!$A$5:$A$504,0)),"Clave no existe"))</f>
        <v/>
      </c>
      <c r="E2031" s="14" t="str">
        <f>IF($C2031="","",IFERROR(INDEX(Productos!$D$5:$D$504,MATCH($C2031,Productos!$A$5:$A$504,0)),""))</f>
        <v/>
      </c>
      <c r="F2031" s="20"/>
      <c r="G2031" s="22" t="str">
        <f>IF($C2031="","",IFERROR(INDEX(Productos!$F$5:$F$504,MATCH($C2031,Productos!$A$5:$A$504,0)),0))</f>
        <v/>
      </c>
      <c r="H2031" s="22" t="str">
        <f t="shared" si="31"/>
        <v/>
      </c>
      <c r="I2031" s="14" t="str">
        <f>IF(OR($C2031="",$F2031=""),"",IFERROR(INDEX(Productos!$I$5:$I$504,MATCH($C2031,Productos!$A$5:$A$504,0)),0)+SUMIFS($F$5:$F2031,$C$5:$C2031,$C2031,$B$5:$B2031,"Entrada")-SUMIFS($F$5:$F2031,$C$5:$C2031,$C2031,$B$5:$B2031,"Salida"))</f>
        <v/>
      </c>
      <c r="J2031" s="20"/>
      <c r="K2031" s="20"/>
      <c r="L2031" s="20"/>
      <c r="M2031" s="14" t="str">
        <f>IF(AND($C2031&lt;&gt;"",$C2031=Kardex!$C$4),COUNTIF($C$5:$C2031,Kardex!$C$4),"")</f>
        <v/>
      </c>
    </row>
    <row r="2032" spans="1:13" x14ac:dyDescent="0.25">
      <c r="A2032" s="24"/>
      <c r="B2032" s="20"/>
      <c r="C2032" s="20"/>
      <c r="D2032" s="14" t="str">
        <f>IF($C2032="","",IFERROR(INDEX(Productos!$B$5:$B$504,MATCH($C2032,Productos!$A$5:$A$504,0)),"Clave no existe"))</f>
        <v/>
      </c>
      <c r="E2032" s="14" t="str">
        <f>IF($C2032="","",IFERROR(INDEX(Productos!$D$5:$D$504,MATCH($C2032,Productos!$A$5:$A$504,0)),""))</f>
        <v/>
      </c>
      <c r="F2032" s="20"/>
      <c r="G2032" s="22" t="str">
        <f>IF($C2032="","",IFERROR(INDEX(Productos!$F$5:$F$504,MATCH($C2032,Productos!$A$5:$A$504,0)),0))</f>
        <v/>
      </c>
      <c r="H2032" s="22" t="str">
        <f t="shared" si="31"/>
        <v/>
      </c>
      <c r="I2032" s="14" t="str">
        <f>IF(OR($C2032="",$F2032=""),"",IFERROR(INDEX(Productos!$I$5:$I$504,MATCH($C2032,Productos!$A$5:$A$504,0)),0)+SUMIFS($F$5:$F2032,$C$5:$C2032,$C2032,$B$5:$B2032,"Entrada")-SUMIFS($F$5:$F2032,$C$5:$C2032,$C2032,$B$5:$B2032,"Salida"))</f>
        <v/>
      </c>
      <c r="J2032" s="20"/>
      <c r="K2032" s="20"/>
      <c r="L2032" s="20"/>
      <c r="M2032" s="14" t="str">
        <f>IF(AND($C2032&lt;&gt;"",$C2032=Kardex!$C$4),COUNTIF($C$5:$C2032,Kardex!$C$4),"")</f>
        <v/>
      </c>
    </row>
    <row r="2033" spans="1:13" x14ac:dyDescent="0.25">
      <c r="A2033" s="24"/>
      <c r="B2033" s="20"/>
      <c r="C2033" s="20"/>
      <c r="D2033" s="14" t="str">
        <f>IF($C2033="","",IFERROR(INDEX(Productos!$B$5:$B$504,MATCH($C2033,Productos!$A$5:$A$504,0)),"Clave no existe"))</f>
        <v/>
      </c>
      <c r="E2033" s="14" t="str">
        <f>IF($C2033="","",IFERROR(INDEX(Productos!$D$5:$D$504,MATCH($C2033,Productos!$A$5:$A$504,0)),""))</f>
        <v/>
      </c>
      <c r="F2033" s="20"/>
      <c r="G2033" s="22" t="str">
        <f>IF($C2033="","",IFERROR(INDEX(Productos!$F$5:$F$504,MATCH($C2033,Productos!$A$5:$A$504,0)),0))</f>
        <v/>
      </c>
      <c r="H2033" s="22" t="str">
        <f t="shared" si="31"/>
        <v/>
      </c>
      <c r="I2033" s="14" t="str">
        <f>IF(OR($C2033="",$F2033=""),"",IFERROR(INDEX(Productos!$I$5:$I$504,MATCH($C2033,Productos!$A$5:$A$504,0)),0)+SUMIFS($F$5:$F2033,$C$5:$C2033,$C2033,$B$5:$B2033,"Entrada")-SUMIFS($F$5:$F2033,$C$5:$C2033,$C2033,$B$5:$B2033,"Salida"))</f>
        <v/>
      </c>
      <c r="J2033" s="20"/>
      <c r="K2033" s="20"/>
      <c r="L2033" s="20"/>
      <c r="M2033" s="14" t="str">
        <f>IF(AND($C2033&lt;&gt;"",$C2033=Kardex!$C$4),COUNTIF($C$5:$C2033,Kardex!$C$4),"")</f>
        <v/>
      </c>
    </row>
    <row r="2034" spans="1:13" x14ac:dyDescent="0.25">
      <c r="A2034" s="24"/>
      <c r="B2034" s="20"/>
      <c r="C2034" s="20"/>
      <c r="D2034" s="14" t="str">
        <f>IF($C2034="","",IFERROR(INDEX(Productos!$B$5:$B$504,MATCH($C2034,Productos!$A$5:$A$504,0)),"Clave no existe"))</f>
        <v/>
      </c>
      <c r="E2034" s="14" t="str">
        <f>IF($C2034="","",IFERROR(INDEX(Productos!$D$5:$D$504,MATCH($C2034,Productos!$A$5:$A$504,0)),""))</f>
        <v/>
      </c>
      <c r="F2034" s="20"/>
      <c r="G2034" s="22" t="str">
        <f>IF($C2034="","",IFERROR(INDEX(Productos!$F$5:$F$504,MATCH($C2034,Productos!$A$5:$A$504,0)),0))</f>
        <v/>
      </c>
      <c r="H2034" s="22" t="str">
        <f t="shared" si="31"/>
        <v/>
      </c>
      <c r="I2034" s="14" t="str">
        <f>IF(OR($C2034="",$F2034=""),"",IFERROR(INDEX(Productos!$I$5:$I$504,MATCH($C2034,Productos!$A$5:$A$504,0)),0)+SUMIFS($F$5:$F2034,$C$5:$C2034,$C2034,$B$5:$B2034,"Entrada")-SUMIFS($F$5:$F2034,$C$5:$C2034,$C2034,$B$5:$B2034,"Salida"))</f>
        <v/>
      </c>
      <c r="J2034" s="20"/>
      <c r="K2034" s="20"/>
      <c r="L2034" s="20"/>
      <c r="M2034" s="14" t="str">
        <f>IF(AND($C2034&lt;&gt;"",$C2034=Kardex!$C$4),COUNTIF($C$5:$C2034,Kardex!$C$4),"")</f>
        <v/>
      </c>
    </row>
    <row r="2035" spans="1:13" x14ac:dyDescent="0.25">
      <c r="A2035" s="24"/>
      <c r="B2035" s="20"/>
      <c r="C2035" s="20"/>
      <c r="D2035" s="14" t="str">
        <f>IF($C2035="","",IFERROR(INDEX(Productos!$B$5:$B$504,MATCH($C2035,Productos!$A$5:$A$504,0)),"Clave no existe"))</f>
        <v/>
      </c>
      <c r="E2035" s="14" t="str">
        <f>IF($C2035="","",IFERROR(INDEX(Productos!$D$5:$D$504,MATCH($C2035,Productos!$A$5:$A$504,0)),""))</f>
        <v/>
      </c>
      <c r="F2035" s="20"/>
      <c r="G2035" s="22" t="str">
        <f>IF($C2035="","",IFERROR(INDEX(Productos!$F$5:$F$504,MATCH($C2035,Productos!$A$5:$A$504,0)),0))</f>
        <v/>
      </c>
      <c r="H2035" s="22" t="str">
        <f t="shared" si="31"/>
        <v/>
      </c>
      <c r="I2035" s="14" t="str">
        <f>IF(OR($C2035="",$F2035=""),"",IFERROR(INDEX(Productos!$I$5:$I$504,MATCH($C2035,Productos!$A$5:$A$504,0)),0)+SUMIFS($F$5:$F2035,$C$5:$C2035,$C2035,$B$5:$B2035,"Entrada")-SUMIFS($F$5:$F2035,$C$5:$C2035,$C2035,$B$5:$B2035,"Salida"))</f>
        <v/>
      </c>
      <c r="J2035" s="20"/>
      <c r="K2035" s="20"/>
      <c r="L2035" s="20"/>
      <c r="M2035" s="14" t="str">
        <f>IF(AND($C2035&lt;&gt;"",$C2035=Kardex!$C$4),COUNTIF($C$5:$C2035,Kardex!$C$4),"")</f>
        <v/>
      </c>
    </row>
    <row r="2036" spans="1:13" x14ac:dyDescent="0.25">
      <c r="A2036" s="24"/>
      <c r="B2036" s="20"/>
      <c r="C2036" s="20"/>
      <c r="D2036" s="14" t="str">
        <f>IF($C2036="","",IFERROR(INDEX(Productos!$B$5:$B$504,MATCH($C2036,Productos!$A$5:$A$504,0)),"Clave no existe"))</f>
        <v/>
      </c>
      <c r="E2036" s="14" t="str">
        <f>IF($C2036="","",IFERROR(INDEX(Productos!$D$5:$D$504,MATCH($C2036,Productos!$A$5:$A$504,0)),""))</f>
        <v/>
      </c>
      <c r="F2036" s="20"/>
      <c r="G2036" s="22" t="str">
        <f>IF($C2036="","",IFERROR(INDEX(Productos!$F$5:$F$504,MATCH($C2036,Productos!$A$5:$A$504,0)),0))</f>
        <v/>
      </c>
      <c r="H2036" s="22" t="str">
        <f t="shared" si="31"/>
        <v/>
      </c>
      <c r="I2036" s="14" t="str">
        <f>IF(OR($C2036="",$F2036=""),"",IFERROR(INDEX(Productos!$I$5:$I$504,MATCH($C2036,Productos!$A$5:$A$504,0)),0)+SUMIFS($F$5:$F2036,$C$5:$C2036,$C2036,$B$5:$B2036,"Entrada")-SUMIFS($F$5:$F2036,$C$5:$C2036,$C2036,$B$5:$B2036,"Salida"))</f>
        <v/>
      </c>
      <c r="J2036" s="20"/>
      <c r="K2036" s="20"/>
      <c r="L2036" s="20"/>
      <c r="M2036" s="14" t="str">
        <f>IF(AND($C2036&lt;&gt;"",$C2036=Kardex!$C$4),COUNTIF($C$5:$C2036,Kardex!$C$4),"")</f>
        <v/>
      </c>
    </row>
    <row r="2037" spans="1:13" x14ac:dyDescent="0.25">
      <c r="A2037" s="24"/>
      <c r="B2037" s="20"/>
      <c r="C2037" s="20"/>
      <c r="D2037" s="14" t="str">
        <f>IF($C2037="","",IFERROR(INDEX(Productos!$B$5:$B$504,MATCH($C2037,Productos!$A$5:$A$504,0)),"Clave no existe"))</f>
        <v/>
      </c>
      <c r="E2037" s="14" t="str">
        <f>IF($C2037="","",IFERROR(INDEX(Productos!$D$5:$D$504,MATCH($C2037,Productos!$A$5:$A$504,0)),""))</f>
        <v/>
      </c>
      <c r="F2037" s="20"/>
      <c r="G2037" s="22" t="str">
        <f>IF($C2037="","",IFERROR(INDEX(Productos!$F$5:$F$504,MATCH($C2037,Productos!$A$5:$A$504,0)),0))</f>
        <v/>
      </c>
      <c r="H2037" s="22" t="str">
        <f t="shared" si="31"/>
        <v/>
      </c>
      <c r="I2037" s="14" t="str">
        <f>IF(OR($C2037="",$F2037=""),"",IFERROR(INDEX(Productos!$I$5:$I$504,MATCH($C2037,Productos!$A$5:$A$504,0)),0)+SUMIFS($F$5:$F2037,$C$5:$C2037,$C2037,$B$5:$B2037,"Entrada")-SUMIFS($F$5:$F2037,$C$5:$C2037,$C2037,$B$5:$B2037,"Salida"))</f>
        <v/>
      </c>
      <c r="J2037" s="20"/>
      <c r="K2037" s="20"/>
      <c r="L2037" s="20"/>
      <c r="M2037" s="14" t="str">
        <f>IF(AND($C2037&lt;&gt;"",$C2037=Kardex!$C$4),COUNTIF($C$5:$C2037,Kardex!$C$4),"")</f>
        <v/>
      </c>
    </row>
    <row r="2038" spans="1:13" x14ac:dyDescent="0.25">
      <c r="A2038" s="24"/>
      <c r="B2038" s="20"/>
      <c r="C2038" s="20"/>
      <c r="D2038" s="14" t="str">
        <f>IF($C2038="","",IFERROR(INDEX(Productos!$B$5:$B$504,MATCH($C2038,Productos!$A$5:$A$504,0)),"Clave no existe"))</f>
        <v/>
      </c>
      <c r="E2038" s="14" t="str">
        <f>IF($C2038="","",IFERROR(INDEX(Productos!$D$5:$D$504,MATCH($C2038,Productos!$A$5:$A$504,0)),""))</f>
        <v/>
      </c>
      <c r="F2038" s="20"/>
      <c r="G2038" s="22" t="str">
        <f>IF($C2038="","",IFERROR(INDEX(Productos!$F$5:$F$504,MATCH($C2038,Productos!$A$5:$A$504,0)),0))</f>
        <v/>
      </c>
      <c r="H2038" s="22" t="str">
        <f t="shared" si="31"/>
        <v/>
      </c>
      <c r="I2038" s="14" t="str">
        <f>IF(OR($C2038="",$F2038=""),"",IFERROR(INDEX(Productos!$I$5:$I$504,MATCH($C2038,Productos!$A$5:$A$504,0)),0)+SUMIFS($F$5:$F2038,$C$5:$C2038,$C2038,$B$5:$B2038,"Entrada")-SUMIFS($F$5:$F2038,$C$5:$C2038,$C2038,$B$5:$B2038,"Salida"))</f>
        <v/>
      </c>
      <c r="J2038" s="20"/>
      <c r="K2038" s="20"/>
      <c r="L2038" s="20"/>
      <c r="M2038" s="14" t="str">
        <f>IF(AND($C2038&lt;&gt;"",$C2038=Kardex!$C$4),COUNTIF($C$5:$C2038,Kardex!$C$4),"")</f>
        <v/>
      </c>
    </row>
    <row r="2039" spans="1:13" x14ac:dyDescent="0.25">
      <c r="A2039" s="24"/>
      <c r="B2039" s="20"/>
      <c r="C2039" s="20"/>
      <c r="D2039" s="14" t="str">
        <f>IF($C2039="","",IFERROR(INDEX(Productos!$B$5:$B$504,MATCH($C2039,Productos!$A$5:$A$504,0)),"Clave no existe"))</f>
        <v/>
      </c>
      <c r="E2039" s="14" t="str">
        <f>IF($C2039="","",IFERROR(INDEX(Productos!$D$5:$D$504,MATCH($C2039,Productos!$A$5:$A$504,0)),""))</f>
        <v/>
      </c>
      <c r="F2039" s="20"/>
      <c r="G2039" s="22" t="str">
        <f>IF($C2039="","",IFERROR(INDEX(Productos!$F$5:$F$504,MATCH($C2039,Productos!$A$5:$A$504,0)),0))</f>
        <v/>
      </c>
      <c r="H2039" s="22" t="str">
        <f t="shared" si="31"/>
        <v/>
      </c>
      <c r="I2039" s="14" t="str">
        <f>IF(OR($C2039="",$F2039=""),"",IFERROR(INDEX(Productos!$I$5:$I$504,MATCH($C2039,Productos!$A$5:$A$504,0)),0)+SUMIFS($F$5:$F2039,$C$5:$C2039,$C2039,$B$5:$B2039,"Entrada")-SUMIFS($F$5:$F2039,$C$5:$C2039,$C2039,$B$5:$B2039,"Salida"))</f>
        <v/>
      </c>
      <c r="J2039" s="20"/>
      <c r="K2039" s="20"/>
      <c r="L2039" s="20"/>
      <c r="M2039" s="14" t="str">
        <f>IF(AND($C2039&lt;&gt;"",$C2039=Kardex!$C$4),COUNTIF($C$5:$C2039,Kardex!$C$4),"")</f>
        <v/>
      </c>
    </row>
    <row r="2040" spans="1:13" x14ac:dyDescent="0.25">
      <c r="A2040" s="24"/>
      <c r="B2040" s="20"/>
      <c r="C2040" s="20"/>
      <c r="D2040" s="14" t="str">
        <f>IF($C2040="","",IFERROR(INDEX(Productos!$B$5:$B$504,MATCH($C2040,Productos!$A$5:$A$504,0)),"Clave no existe"))</f>
        <v/>
      </c>
      <c r="E2040" s="14" t="str">
        <f>IF($C2040="","",IFERROR(INDEX(Productos!$D$5:$D$504,MATCH($C2040,Productos!$A$5:$A$504,0)),""))</f>
        <v/>
      </c>
      <c r="F2040" s="20"/>
      <c r="G2040" s="22" t="str">
        <f>IF($C2040="","",IFERROR(INDEX(Productos!$F$5:$F$504,MATCH($C2040,Productos!$A$5:$A$504,0)),0))</f>
        <v/>
      </c>
      <c r="H2040" s="22" t="str">
        <f t="shared" si="31"/>
        <v/>
      </c>
      <c r="I2040" s="14" t="str">
        <f>IF(OR($C2040="",$F2040=""),"",IFERROR(INDEX(Productos!$I$5:$I$504,MATCH($C2040,Productos!$A$5:$A$504,0)),0)+SUMIFS($F$5:$F2040,$C$5:$C2040,$C2040,$B$5:$B2040,"Entrada")-SUMIFS($F$5:$F2040,$C$5:$C2040,$C2040,$B$5:$B2040,"Salida"))</f>
        <v/>
      </c>
      <c r="J2040" s="20"/>
      <c r="K2040" s="20"/>
      <c r="L2040" s="20"/>
      <c r="M2040" s="14" t="str">
        <f>IF(AND($C2040&lt;&gt;"",$C2040=Kardex!$C$4),COUNTIF($C$5:$C2040,Kardex!$C$4),"")</f>
        <v/>
      </c>
    </row>
    <row r="2041" spans="1:13" x14ac:dyDescent="0.25">
      <c r="A2041" s="24"/>
      <c r="B2041" s="20"/>
      <c r="C2041" s="20"/>
      <c r="D2041" s="14" t="str">
        <f>IF($C2041="","",IFERROR(INDEX(Productos!$B$5:$B$504,MATCH($C2041,Productos!$A$5:$A$504,0)),"Clave no existe"))</f>
        <v/>
      </c>
      <c r="E2041" s="14" t="str">
        <f>IF($C2041="","",IFERROR(INDEX(Productos!$D$5:$D$504,MATCH($C2041,Productos!$A$5:$A$504,0)),""))</f>
        <v/>
      </c>
      <c r="F2041" s="20"/>
      <c r="G2041" s="22" t="str">
        <f>IF($C2041="","",IFERROR(INDEX(Productos!$F$5:$F$504,MATCH($C2041,Productos!$A$5:$A$504,0)),0))</f>
        <v/>
      </c>
      <c r="H2041" s="22" t="str">
        <f t="shared" si="31"/>
        <v/>
      </c>
      <c r="I2041" s="14" t="str">
        <f>IF(OR($C2041="",$F2041=""),"",IFERROR(INDEX(Productos!$I$5:$I$504,MATCH($C2041,Productos!$A$5:$A$504,0)),0)+SUMIFS($F$5:$F2041,$C$5:$C2041,$C2041,$B$5:$B2041,"Entrada")-SUMIFS($F$5:$F2041,$C$5:$C2041,$C2041,$B$5:$B2041,"Salida"))</f>
        <v/>
      </c>
      <c r="J2041" s="20"/>
      <c r="K2041" s="20"/>
      <c r="L2041" s="20"/>
      <c r="M2041" s="14" t="str">
        <f>IF(AND($C2041&lt;&gt;"",$C2041=Kardex!$C$4),COUNTIF($C$5:$C2041,Kardex!$C$4),"")</f>
        <v/>
      </c>
    </row>
    <row r="2042" spans="1:13" x14ac:dyDescent="0.25">
      <c r="A2042" s="24"/>
      <c r="B2042" s="20"/>
      <c r="C2042" s="20"/>
      <c r="D2042" s="14" t="str">
        <f>IF($C2042="","",IFERROR(INDEX(Productos!$B$5:$B$504,MATCH($C2042,Productos!$A$5:$A$504,0)),"Clave no existe"))</f>
        <v/>
      </c>
      <c r="E2042" s="14" t="str">
        <f>IF($C2042="","",IFERROR(INDEX(Productos!$D$5:$D$504,MATCH($C2042,Productos!$A$5:$A$504,0)),""))</f>
        <v/>
      </c>
      <c r="F2042" s="20"/>
      <c r="G2042" s="22" t="str">
        <f>IF($C2042="","",IFERROR(INDEX(Productos!$F$5:$F$504,MATCH($C2042,Productos!$A$5:$A$504,0)),0))</f>
        <v/>
      </c>
      <c r="H2042" s="22" t="str">
        <f t="shared" si="31"/>
        <v/>
      </c>
      <c r="I2042" s="14" t="str">
        <f>IF(OR($C2042="",$F2042=""),"",IFERROR(INDEX(Productos!$I$5:$I$504,MATCH($C2042,Productos!$A$5:$A$504,0)),0)+SUMIFS($F$5:$F2042,$C$5:$C2042,$C2042,$B$5:$B2042,"Entrada")-SUMIFS($F$5:$F2042,$C$5:$C2042,$C2042,$B$5:$B2042,"Salida"))</f>
        <v/>
      </c>
      <c r="J2042" s="20"/>
      <c r="K2042" s="20"/>
      <c r="L2042" s="20"/>
      <c r="M2042" s="14" t="str">
        <f>IF(AND($C2042&lt;&gt;"",$C2042=Kardex!$C$4),COUNTIF($C$5:$C2042,Kardex!$C$4),"")</f>
        <v/>
      </c>
    </row>
    <row r="2043" spans="1:13" x14ac:dyDescent="0.25">
      <c r="A2043" s="24"/>
      <c r="B2043" s="20"/>
      <c r="C2043" s="20"/>
      <c r="D2043" s="14" t="str">
        <f>IF($C2043="","",IFERROR(INDEX(Productos!$B$5:$B$504,MATCH($C2043,Productos!$A$5:$A$504,0)),"Clave no existe"))</f>
        <v/>
      </c>
      <c r="E2043" s="14" t="str">
        <f>IF($C2043="","",IFERROR(INDEX(Productos!$D$5:$D$504,MATCH($C2043,Productos!$A$5:$A$504,0)),""))</f>
        <v/>
      </c>
      <c r="F2043" s="20"/>
      <c r="G2043" s="22" t="str">
        <f>IF($C2043="","",IFERROR(INDEX(Productos!$F$5:$F$504,MATCH($C2043,Productos!$A$5:$A$504,0)),0))</f>
        <v/>
      </c>
      <c r="H2043" s="22" t="str">
        <f t="shared" si="31"/>
        <v/>
      </c>
      <c r="I2043" s="14" t="str">
        <f>IF(OR($C2043="",$F2043=""),"",IFERROR(INDEX(Productos!$I$5:$I$504,MATCH($C2043,Productos!$A$5:$A$504,0)),0)+SUMIFS($F$5:$F2043,$C$5:$C2043,$C2043,$B$5:$B2043,"Entrada")-SUMIFS($F$5:$F2043,$C$5:$C2043,$C2043,$B$5:$B2043,"Salida"))</f>
        <v/>
      </c>
      <c r="J2043" s="20"/>
      <c r="K2043" s="20"/>
      <c r="L2043" s="20"/>
      <c r="M2043" s="14" t="str">
        <f>IF(AND($C2043&lt;&gt;"",$C2043=Kardex!$C$4),COUNTIF($C$5:$C2043,Kardex!$C$4),"")</f>
        <v/>
      </c>
    </row>
    <row r="2044" spans="1:13" x14ac:dyDescent="0.25">
      <c r="A2044" s="24"/>
      <c r="B2044" s="20"/>
      <c r="C2044" s="20"/>
      <c r="D2044" s="14" t="str">
        <f>IF($C2044="","",IFERROR(INDEX(Productos!$B$5:$B$504,MATCH($C2044,Productos!$A$5:$A$504,0)),"Clave no existe"))</f>
        <v/>
      </c>
      <c r="E2044" s="14" t="str">
        <f>IF($C2044="","",IFERROR(INDEX(Productos!$D$5:$D$504,MATCH($C2044,Productos!$A$5:$A$504,0)),""))</f>
        <v/>
      </c>
      <c r="F2044" s="20"/>
      <c r="G2044" s="22" t="str">
        <f>IF($C2044="","",IFERROR(INDEX(Productos!$F$5:$F$504,MATCH($C2044,Productos!$A$5:$A$504,0)),0))</f>
        <v/>
      </c>
      <c r="H2044" s="22" t="str">
        <f t="shared" si="31"/>
        <v/>
      </c>
      <c r="I2044" s="14" t="str">
        <f>IF(OR($C2044="",$F2044=""),"",IFERROR(INDEX(Productos!$I$5:$I$504,MATCH($C2044,Productos!$A$5:$A$504,0)),0)+SUMIFS($F$5:$F2044,$C$5:$C2044,$C2044,$B$5:$B2044,"Entrada")-SUMIFS($F$5:$F2044,$C$5:$C2044,$C2044,$B$5:$B2044,"Salida"))</f>
        <v/>
      </c>
      <c r="J2044" s="20"/>
      <c r="K2044" s="20"/>
      <c r="L2044" s="20"/>
      <c r="M2044" s="14" t="str">
        <f>IF(AND($C2044&lt;&gt;"",$C2044=Kardex!$C$4),COUNTIF($C$5:$C2044,Kardex!$C$4),"")</f>
        <v/>
      </c>
    </row>
    <row r="2045" spans="1:13" x14ac:dyDescent="0.25">
      <c r="A2045" s="24"/>
      <c r="B2045" s="20"/>
      <c r="C2045" s="20"/>
      <c r="D2045" s="14" t="str">
        <f>IF($C2045="","",IFERROR(INDEX(Productos!$B$5:$B$504,MATCH($C2045,Productos!$A$5:$A$504,0)),"Clave no existe"))</f>
        <v/>
      </c>
      <c r="E2045" s="14" t="str">
        <f>IF($C2045="","",IFERROR(INDEX(Productos!$D$5:$D$504,MATCH($C2045,Productos!$A$5:$A$504,0)),""))</f>
        <v/>
      </c>
      <c r="F2045" s="20"/>
      <c r="G2045" s="22" t="str">
        <f>IF($C2045="","",IFERROR(INDEX(Productos!$F$5:$F$504,MATCH($C2045,Productos!$A$5:$A$504,0)),0))</f>
        <v/>
      </c>
      <c r="H2045" s="22" t="str">
        <f t="shared" si="31"/>
        <v/>
      </c>
      <c r="I2045" s="14" t="str">
        <f>IF(OR($C2045="",$F2045=""),"",IFERROR(INDEX(Productos!$I$5:$I$504,MATCH($C2045,Productos!$A$5:$A$504,0)),0)+SUMIFS($F$5:$F2045,$C$5:$C2045,$C2045,$B$5:$B2045,"Entrada")-SUMIFS($F$5:$F2045,$C$5:$C2045,$C2045,$B$5:$B2045,"Salida"))</f>
        <v/>
      </c>
      <c r="J2045" s="20"/>
      <c r="K2045" s="20"/>
      <c r="L2045" s="20"/>
      <c r="M2045" s="14" t="str">
        <f>IF(AND($C2045&lt;&gt;"",$C2045=Kardex!$C$4),COUNTIF($C$5:$C2045,Kardex!$C$4),"")</f>
        <v/>
      </c>
    </row>
    <row r="2046" spans="1:13" x14ac:dyDescent="0.25">
      <c r="A2046" s="24"/>
      <c r="B2046" s="20"/>
      <c r="C2046" s="20"/>
      <c r="D2046" s="14" t="str">
        <f>IF($C2046="","",IFERROR(INDEX(Productos!$B$5:$B$504,MATCH($C2046,Productos!$A$5:$A$504,0)),"Clave no existe"))</f>
        <v/>
      </c>
      <c r="E2046" s="14" t="str">
        <f>IF($C2046="","",IFERROR(INDEX(Productos!$D$5:$D$504,MATCH($C2046,Productos!$A$5:$A$504,0)),""))</f>
        <v/>
      </c>
      <c r="F2046" s="20"/>
      <c r="G2046" s="22" t="str">
        <f>IF($C2046="","",IFERROR(INDEX(Productos!$F$5:$F$504,MATCH($C2046,Productos!$A$5:$A$504,0)),0))</f>
        <v/>
      </c>
      <c r="H2046" s="22" t="str">
        <f t="shared" si="31"/>
        <v/>
      </c>
      <c r="I2046" s="14" t="str">
        <f>IF(OR($C2046="",$F2046=""),"",IFERROR(INDEX(Productos!$I$5:$I$504,MATCH($C2046,Productos!$A$5:$A$504,0)),0)+SUMIFS($F$5:$F2046,$C$5:$C2046,$C2046,$B$5:$B2046,"Entrada")-SUMIFS($F$5:$F2046,$C$5:$C2046,$C2046,$B$5:$B2046,"Salida"))</f>
        <v/>
      </c>
      <c r="J2046" s="20"/>
      <c r="K2046" s="20"/>
      <c r="L2046" s="20"/>
      <c r="M2046" s="14" t="str">
        <f>IF(AND($C2046&lt;&gt;"",$C2046=Kardex!$C$4),COUNTIF($C$5:$C2046,Kardex!$C$4),"")</f>
        <v/>
      </c>
    </row>
    <row r="2047" spans="1:13" x14ac:dyDescent="0.25">
      <c r="A2047" s="24"/>
      <c r="B2047" s="20"/>
      <c r="C2047" s="20"/>
      <c r="D2047" s="14" t="str">
        <f>IF($C2047="","",IFERROR(INDEX(Productos!$B$5:$B$504,MATCH($C2047,Productos!$A$5:$A$504,0)),"Clave no existe"))</f>
        <v/>
      </c>
      <c r="E2047" s="14" t="str">
        <f>IF($C2047="","",IFERROR(INDEX(Productos!$D$5:$D$504,MATCH($C2047,Productos!$A$5:$A$504,0)),""))</f>
        <v/>
      </c>
      <c r="F2047" s="20"/>
      <c r="G2047" s="22" t="str">
        <f>IF($C2047="","",IFERROR(INDEX(Productos!$F$5:$F$504,MATCH($C2047,Productos!$A$5:$A$504,0)),0))</f>
        <v/>
      </c>
      <c r="H2047" s="22" t="str">
        <f t="shared" si="31"/>
        <v/>
      </c>
      <c r="I2047" s="14" t="str">
        <f>IF(OR($C2047="",$F2047=""),"",IFERROR(INDEX(Productos!$I$5:$I$504,MATCH($C2047,Productos!$A$5:$A$504,0)),0)+SUMIFS($F$5:$F2047,$C$5:$C2047,$C2047,$B$5:$B2047,"Entrada")-SUMIFS($F$5:$F2047,$C$5:$C2047,$C2047,$B$5:$B2047,"Salida"))</f>
        <v/>
      </c>
      <c r="J2047" s="20"/>
      <c r="K2047" s="20"/>
      <c r="L2047" s="20"/>
      <c r="M2047" s="14" t="str">
        <f>IF(AND($C2047&lt;&gt;"",$C2047=Kardex!$C$4),COUNTIF($C$5:$C2047,Kardex!$C$4),"")</f>
        <v/>
      </c>
    </row>
    <row r="2048" spans="1:13" x14ac:dyDescent="0.25">
      <c r="A2048" s="24"/>
      <c r="B2048" s="20"/>
      <c r="C2048" s="20"/>
      <c r="D2048" s="14" t="str">
        <f>IF($C2048="","",IFERROR(INDEX(Productos!$B$5:$B$504,MATCH($C2048,Productos!$A$5:$A$504,0)),"Clave no existe"))</f>
        <v/>
      </c>
      <c r="E2048" s="14" t="str">
        <f>IF($C2048="","",IFERROR(INDEX(Productos!$D$5:$D$504,MATCH($C2048,Productos!$A$5:$A$504,0)),""))</f>
        <v/>
      </c>
      <c r="F2048" s="20"/>
      <c r="G2048" s="22" t="str">
        <f>IF($C2048="","",IFERROR(INDEX(Productos!$F$5:$F$504,MATCH($C2048,Productos!$A$5:$A$504,0)),0))</f>
        <v/>
      </c>
      <c r="H2048" s="22" t="str">
        <f t="shared" si="31"/>
        <v/>
      </c>
      <c r="I2048" s="14" t="str">
        <f>IF(OR($C2048="",$F2048=""),"",IFERROR(INDEX(Productos!$I$5:$I$504,MATCH($C2048,Productos!$A$5:$A$504,0)),0)+SUMIFS($F$5:$F2048,$C$5:$C2048,$C2048,$B$5:$B2048,"Entrada")-SUMIFS($F$5:$F2048,$C$5:$C2048,$C2048,$B$5:$B2048,"Salida"))</f>
        <v/>
      </c>
      <c r="J2048" s="20"/>
      <c r="K2048" s="20"/>
      <c r="L2048" s="20"/>
      <c r="M2048" s="14" t="str">
        <f>IF(AND($C2048&lt;&gt;"",$C2048=Kardex!$C$4),COUNTIF($C$5:$C2048,Kardex!$C$4),"")</f>
        <v/>
      </c>
    </row>
    <row r="2049" spans="1:13" x14ac:dyDescent="0.25">
      <c r="A2049" s="24"/>
      <c r="B2049" s="20"/>
      <c r="C2049" s="20"/>
      <c r="D2049" s="14" t="str">
        <f>IF($C2049="","",IFERROR(INDEX(Productos!$B$5:$B$504,MATCH($C2049,Productos!$A$5:$A$504,0)),"Clave no existe"))</f>
        <v/>
      </c>
      <c r="E2049" s="14" t="str">
        <f>IF($C2049="","",IFERROR(INDEX(Productos!$D$5:$D$504,MATCH($C2049,Productos!$A$5:$A$504,0)),""))</f>
        <v/>
      </c>
      <c r="F2049" s="20"/>
      <c r="G2049" s="22" t="str">
        <f>IF($C2049="","",IFERROR(INDEX(Productos!$F$5:$F$504,MATCH($C2049,Productos!$A$5:$A$504,0)),0))</f>
        <v/>
      </c>
      <c r="H2049" s="22" t="str">
        <f t="shared" si="31"/>
        <v/>
      </c>
      <c r="I2049" s="14" t="str">
        <f>IF(OR($C2049="",$F2049=""),"",IFERROR(INDEX(Productos!$I$5:$I$504,MATCH($C2049,Productos!$A$5:$A$504,0)),0)+SUMIFS($F$5:$F2049,$C$5:$C2049,$C2049,$B$5:$B2049,"Entrada")-SUMIFS($F$5:$F2049,$C$5:$C2049,$C2049,$B$5:$B2049,"Salida"))</f>
        <v/>
      </c>
      <c r="J2049" s="20"/>
      <c r="K2049" s="20"/>
      <c r="L2049" s="20"/>
      <c r="M2049" s="14" t="str">
        <f>IF(AND($C2049&lt;&gt;"",$C2049=Kardex!$C$4),COUNTIF($C$5:$C2049,Kardex!$C$4),"")</f>
        <v/>
      </c>
    </row>
    <row r="2050" spans="1:13" x14ac:dyDescent="0.25">
      <c r="A2050" s="24"/>
      <c r="B2050" s="20"/>
      <c r="C2050" s="20"/>
      <c r="D2050" s="14" t="str">
        <f>IF($C2050="","",IFERROR(INDEX(Productos!$B$5:$B$504,MATCH($C2050,Productos!$A$5:$A$504,0)),"Clave no existe"))</f>
        <v/>
      </c>
      <c r="E2050" s="14" t="str">
        <f>IF($C2050="","",IFERROR(INDEX(Productos!$D$5:$D$504,MATCH($C2050,Productos!$A$5:$A$504,0)),""))</f>
        <v/>
      </c>
      <c r="F2050" s="20"/>
      <c r="G2050" s="22" t="str">
        <f>IF($C2050="","",IFERROR(INDEX(Productos!$F$5:$F$504,MATCH($C2050,Productos!$A$5:$A$504,0)),0))</f>
        <v/>
      </c>
      <c r="H2050" s="22" t="str">
        <f t="shared" si="31"/>
        <v/>
      </c>
      <c r="I2050" s="14" t="str">
        <f>IF(OR($C2050="",$F2050=""),"",IFERROR(INDEX(Productos!$I$5:$I$504,MATCH($C2050,Productos!$A$5:$A$504,0)),0)+SUMIFS($F$5:$F2050,$C$5:$C2050,$C2050,$B$5:$B2050,"Entrada")-SUMIFS($F$5:$F2050,$C$5:$C2050,$C2050,$B$5:$B2050,"Salida"))</f>
        <v/>
      </c>
      <c r="J2050" s="20"/>
      <c r="K2050" s="20"/>
      <c r="L2050" s="20"/>
      <c r="M2050" s="14" t="str">
        <f>IF(AND($C2050&lt;&gt;"",$C2050=Kardex!$C$4),COUNTIF($C$5:$C2050,Kardex!$C$4),"")</f>
        <v/>
      </c>
    </row>
    <row r="2051" spans="1:13" x14ac:dyDescent="0.25">
      <c r="A2051" s="24"/>
      <c r="B2051" s="20"/>
      <c r="C2051" s="20"/>
      <c r="D2051" s="14" t="str">
        <f>IF($C2051="","",IFERROR(INDEX(Productos!$B$5:$B$504,MATCH($C2051,Productos!$A$5:$A$504,0)),"Clave no existe"))</f>
        <v/>
      </c>
      <c r="E2051" s="14" t="str">
        <f>IF($C2051="","",IFERROR(INDEX(Productos!$D$5:$D$504,MATCH($C2051,Productos!$A$5:$A$504,0)),""))</f>
        <v/>
      </c>
      <c r="F2051" s="20"/>
      <c r="G2051" s="22" t="str">
        <f>IF($C2051="","",IFERROR(INDEX(Productos!$F$5:$F$504,MATCH($C2051,Productos!$A$5:$A$504,0)),0))</f>
        <v/>
      </c>
      <c r="H2051" s="22" t="str">
        <f t="shared" si="31"/>
        <v/>
      </c>
      <c r="I2051" s="14" t="str">
        <f>IF(OR($C2051="",$F2051=""),"",IFERROR(INDEX(Productos!$I$5:$I$504,MATCH($C2051,Productos!$A$5:$A$504,0)),0)+SUMIFS($F$5:$F2051,$C$5:$C2051,$C2051,$B$5:$B2051,"Entrada")-SUMIFS($F$5:$F2051,$C$5:$C2051,$C2051,$B$5:$B2051,"Salida"))</f>
        <v/>
      </c>
      <c r="J2051" s="20"/>
      <c r="K2051" s="20"/>
      <c r="L2051" s="20"/>
      <c r="M2051" s="14" t="str">
        <f>IF(AND($C2051&lt;&gt;"",$C2051=Kardex!$C$4),COUNTIF($C$5:$C2051,Kardex!$C$4),"")</f>
        <v/>
      </c>
    </row>
    <row r="2052" spans="1:13" x14ac:dyDescent="0.25">
      <c r="A2052" s="24"/>
      <c r="B2052" s="20"/>
      <c r="C2052" s="20"/>
      <c r="D2052" s="14" t="str">
        <f>IF($C2052="","",IFERROR(INDEX(Productos!$B$5:$B$504,MATCH($C2052,Productos!$A$5:$A$504,0)),"Clave no existe"))</f>
        <v/>
      </c>
      <c r="E2052" s="14" t="str">
        <f>IF($C2052="","",IFERROR(INDEX(Productos!$D$5:$D$504,MATCH($C2052,Productos!$A$5:$A$504,0)),""))</f>
        <v/>
      </c>
      <c r="F2052" s="20"/>
      <c r="G2052" s="22" t="str">
        <f>IF($C2052="","",IFERROR(INDEX(Productos!$F$5:$F$504,MATCH($C2052,Productos!$A$5:$A$504,0)),0))</f>
        <v/>
      </c>
      <c r="H2052" s="22" t="str">
        <f t="shared" si="31"/>
        <v/>
      </c>
      <c r="I2052" s="14" t="str">
        <f>IF(OR($C2052="",$F2052=""),"",IFERROR(INDEX(Productos!$I$5:$I$504,MATCH($C2052,Productos!$A$5:$A$504,0)),0)+SUMIFS($F$5:$F2052,$C$5:$C2052,$C2052,$B$5:$B2052,"Entrada")-SUMIFS($F$5:$F2052,$C$5:$C2052,$C2052,$B$5:$B2052,"Salida"))</f>
        <v/>
      </c>
      <c r="J2052" s="20"/>
      <c r="K2052" s="20"/>
      <c r="L2052" s="20"/>
      <c r="M2052" s="14" t="str">
        <f>IF(AND($C2052&lt;&gt;"",$C2052=Kardex!$C$4),COUNTIF($C$5:$C2052,Kardex!$C$4),"")</f>
        <v/>
      </c>
    </row>
    <row r="2053" spans="1:13" x14ac:dyDescent="0.25">
      <c r="A2053" s="24"/>
      <c r="B2053" s="20"/>
      <c r="C2053" s="20"/>
      <c r="D2053" s="14" t="str">
        <f>IF($C2053="","",IFERROR(INDEX(Productos!$B$5:$B$504,MATCH($C2053,Productos!$A$5:$A$504,0)),"Clave no existe"))</f>
        <v/>
      </c>
      <c r="E2053" s="14" t="str">
        <f>IF($C2053="","",IFERROR(INDEX(Productos!$D$5:$D$504,MATCH($C2053,Productos!$A$5:$A$504,0)),""))</f>
        <v/>
      </c>
      <c r="F2053" s="20"/>
      <c r="G2053" s="22" t="str">
        <f>IF($C2053="","",IFERROR(INDEX(Productos!$F$5:$F$504,MATCH($C2053,Productos!$A$5:$A$504,0)),0))</f>
        <v/>
      </c>
      <c r="H2053" s="22" t="str">
        <f t="shared" ref="H2053:H2116" si="32">IF(OR($C2053="",$F2053=""),"",F2053*G2053)</f>
        <v/>
      </c>
      <c r="I2053" s="14" t="str">
        <f>IF(OR($C2053="",$F2053=""),"",IFERROR(INDEX(Productos!$I$5:$I$504,MATCH($C2053,Productos!$A$5:$A$504,0)),0)+SUMIFS($F$5:$F2053,$C$5:$C2053,$C2053,$B$5:$B2053,"Entrada")-SUMIFS($F$5:$F2053,$C$5:$C2053,$C2053,$B$5:$B2053,"Salida"))</f>
        <v/>
      </c>
      <c r="J2053" s="20"/>
      <c r="K2053" s="20"/>
      <c r="L2053" s="20"/>
      <c r="M2053" s="14" t="str">
        <f>IF(AND($C2053&lt;&gt;"",$C2053=Kardex!$C$4),COUNTIF($C$5:$C2053,Kardex!$C$4),"")</f>
        <v/>
      </c>
    </row>
    <row r="2054" spans="1:13" x14ac:dyDescent="0.25">
      <c r="A2054" s="24"/>
      <c r="B2054" s="20"/>
      <c r="C2054" s="20"/>
      <c r="D2054" s="14" t="str">
        <f>IF($C2054="","",IFERROR(INDEX(Productos!$B$5:$B$504,MATCH($C2054,Productos!$A$5:$A$504,0)),"Clave no existe"))</f>
        <v/>
      </c>
      <c r="E2054" s="14" t="str">
        <f>IF($C2054="","",IFERROR(INDEX(Productos!$D$5:$D$504,MATCH($C2054,Productos!$A$5:$A$504,0)),""))</f>
        <v/>
      </c>
      <c r="F2054" s="20"/>
      <c r="G2054" s="22" t="str">
        <f>IF($C2054="","",IFERROR(INDEX(Productos!$F$5:$F$504,MATCH($C2054,Productos!$A$5:$A$504,0)),0))</f>
        <v/>
      </c>
      <c r="H2054" s="22" t="str">
        <f t="shared" si="32"/>
        <v/>
      </c>
      <c r="I2054" s="14" t="str">
        <f>IF(OR($C2054="",$F2054=""),"",IFERROR(INDEX(Productos!$I$5:$I$504,MATCH($C2054,Productos!$A$5:$A$504,0)),0)+SUMIFS($F$5:$F2054,$C$5:$C2054,$C2054,$B$5:$B2054,"Entrada")-SUMIFS($F$5:$F2054,$C$5:$C2054,$C2054,$B$5:$B2054,"Salida"))</f>
        <v/>
      </c>
      <c r="J2054" s="20"/>
      <c r="K2054" s="20"/>
      <c r="L2054" s="20"/>
      <c r="M2054" s="14" t="str">
        <f>IF(AND($C2054&lt;&gt;"",$C2054=Kardex!$C$4),COUNTIF($C$5:$C2054,Kardex!$C$4),"")</f>
        <v/>
      </c>
    </row>
    <row r="2055" spans="1:13" x14ac:dyDescent="0.25">
      <c r="A2055" s="24"/>
      <c r="B2055" s="20"/>
      <c r="C2055" s="20"/>
      <c r="D2055" s="14" t="str">
        <f>IF($C2055="","",IFERROR(INDEX(Productos!$B$5:$B$504,MATCH($C2055,Productos!$A$5:$A$504,0)),"Clave no existe"))</f>
        <v/>
      </c>
      <c r="E2055" s="14" t="str">
        <f>IF($C2055="","",IFERROR(INDEX(Productos!$D$5:$D$504,MATCH($C2055,Productos!$A$5:$A$504,0)),""))</f>
        <v/>
      </c>
      <c r="F2055" s="20"/>
      <c r="G2055" s="22" t="str">
        <f>IF($C2055="","",IFERROR(INDEX(Productos!$F$5:$F$504,MATCH($C2055,Productos!$A$5:$A$504,0)),0))</f>
        <v/>
      </c>
      <c r="H2055" s="22" t="str">
        <f t="shared" si="32"/>
        <v/>
      </c>
      <c r="I2055" s="14" t="str">
        <f>IF(OR($C2055="",$F2055=""),"",IFERROR(INDEX(Productos!$I$5:$I$504,MATCH($C2055,Productos!$A$5:$A$504,0)),0)+SUMIFS($F$5:$F2055,$C$5:$C2055,$C2055,$B$5:$B2055,"Entrada")-SUMIFS($F$5:$F2055,$C$5:$C2055,$C2055,$B$5:$B2055,"Salida"))</f>
        <v/>
      </c>
      <c r="J2055" s="20"/>
      <c r="K2055" s="20"/>
      <c r="L2055" s="20"/>
      <c r="M2055" s="14" t="str">
        <f>IF(AND($C2055&lt;&gt;"",$C2055=Kardex!$C$4),COUNTIF($C$5:$C2055,Kardex!$C$4),"")</f>
        <v/>
      </c>
    </row>
    <row r="2056" spans="1:13" x14ac:dyDescent="0.25">
      <c r="A2056" s="24"/>
      <c r="B2056" s="20"/>
      <c r="C2056" s="20"/>
      <c r="D2056" s="14" t="str">
        <f>IF($C2056="","",IFERROR(INDEX(Productos!$B$5:$B$504,MATCH($C2056,Productos!$A$5:$A$504,0)),"Clave no existe"))</f>
        <v/>
      </c>
      <c r="E2056" s="14" t="str">
        <f>IF($C2056="","",IFERROR(INDEX(Productos!$D$5:$D$504,MATCH($C2056,Productos!$A$5:$A$504,0)),""))</f>
        <v/>
      </c>
      <c r="F2056" s="20"/>
      <c r="G2056" s="22" t="str">
        <f>IF($C2056="","",IFERROR(INDEX(Productos!$F$5:$F$504,MATCH($C2056,Productos!$A$5:$A$504,0)),0))</f>
        <v/>
      </c>
      <c r="H2056" s="22" t="str">
        <f t="shared" si="32"/>
        <v/>
      </c>
      <c r="I2056" s="14" t="str">
        <f>IF(OR($C2056="",$F2056=""),"",IFERROR(INDEX(Productos!$I$5:$I$504,MATCH($C2056,Productos!$A$5:$A$504,0)),0)+SUMIFS($F$5:$F2056,$C$5:$C2056,$C2056,$B$5:$B2056,"Entrada")-SUMIFS($F$5:$F2056,$C$5:$C2056,$C2056,$B$5:$B2056,"Salida"))</f>
        <v/>
      </c>
      <c r="J2056" s="20"/>
      <c r="K2056" s="20"/>
      <c r="L2056" s="20"/>
      <c r="M2056" s="14" t="str">
        <f>IF(AND($C2056&lt;&gt;"",$C2056=Kardex!$C$4),COUNTIF($C$5:$C2056,Kardex!$C$4),"")</f>
        <v/>
      </c>
    </row>
    <row r="2057" spans="1:13" x14ac:dyDescent="0.25">
      <c r="A2057" s="24"/>
      <c r="B2057" s="20"/>
      <c r="C2057" s="20"/>
      <c r="D2057" s="14" t="str">
        <f>IF($C2057="","",IFERROR(INDEX(Productos!$B$5:$B$504,MATCH($C2057,Productos!$A$5:$A$504,0)),"Clave no existe"))</f>
        <v/>
      </c>
      <c r="E2057" s="14" t="str">
        <f>IF($C2057="","",IFERROR(INDEX(Productos!$D$5:$D$504,MATCH($C2057,Productos!$A$5:$A$504,0)),""))</f>
        <v/>
      </c>
      <c r="F2057" s="20"/>
      <c r="G2057" s="22" t="str">
        <f>IF($C2057="","",IFERROR(INDEX(Productos!$F$5:$F$504,MATCH($C2057,Productos!$A$5:$A$504,0)),0))</f>
        <v/>
      </c>
      <c r="H2057" s="22" t="str">
        <f t="shared" si="32"/>
        <v/>
      </c>
      <c r="I2057" s="14" t="str">
        <f>IF(OR($C2057="",$F2057=""),"",IFERROR(INDEX(Productos!$I$5:$I$504,MATCH($C2057,Productos!$A$5:$A$504,0)),0)+SUMIFS($F$5:$F2057,$C$5:$C2057,$C2057,$B$5:$B2057,"Entrada")-SUMIFS($F$5:$F2057,$C$5:$C2057,$C2057,$B$5:$B2057,"Salida"))</f>
        <v/>
      </c>
      <c r="J2057" s="20"/>
      <c r="K2057" s="20"/>
      <c r="L2057" s="20"/>
      <c r="M2057" s="14" t="str">
        <f>IF(AND($C2057&lt;&gt;"",$C2057=Kardex!$C$4),COUNTIF($C$5:$C2057,Kardex!$C$4),"")</f>
        <v/>
      </c>
    </row>
    <row r="2058" spans="1:13" x14ac:dyDescent="0.25">
      <c r="A2058" s="24"/>
      <c r="B2058" s="20"/>
      <c r="C2058" s="20"/>
      <c r="D2058" s="14" t="str">
        <f>IF($C2058="","",IFERROR(INDEX(Productos!$B$5:$B$504,MATCH($C2058,Productos!$A$5:$A$504,0)),"Clave no existe"))</f>
        <v/>
      </c>
      <c r="E2058" s="14" t="str">
        <f>IF($C2058="","",IFERROR(INDEX(Productos!$D$5:$D$504,MATCH($C2058,Productos!$A$5:$A$504,0)),""))</f>
        <v/>
      </c>
      <c r="F2058" s="20"/>
      <c r="G2058" s="22" t="str">
        <f>IF($C2058="","",IFERROR(INDEX(Productos!$F$5:$F$504,MATCH($C2058,Productos!$A$5:$A$504,0)),0))</f>
        <v/>
      </c>
      <c r="H2058" s="22" t="str">
        <f t="shared" si="32"/>
        <v/>
      </c>
      <c r="I2058" s="14" t="str">
        <f>IF(OR($C2058="",$F2058=""),"",IFERROR(INDEX(Productos!$I$5:$I$504,MATCH($C2058,Productos!$A$5:$A$504,0)),0)+SUMIFS($F$5:$F2058,$C$5:$C2058,$C2058,$B$5:$B2058,"Entrada")-SUMIFS($F$5:$F2058,$C$5:$C2058,$C2058,$B$5:$B2058,"Salida"))</f>
        <v/>
      </c>
      <c r="J2058" s="20"/>
      <c r="K2058" s="20"/>
      <c r="L2058" s="20"/>
      <c r="M2058" s="14" t="str">
        <f>IF(AND($C2058&lt;&gt;"",$C2058=Kardex!$C$4),COUNTIF($C$5:$C2058,Kardex!$C$4),"")</f>
        <v/>
      </c>
    </row>
    <row r="2059" spans="1:13" x14ac:dyDescent="0.25">
      <c r="A2059" s="24"/>
      <c r="B2059" s="20"/>
      <c r="C2059" s="20"/>
      <c r="D2059" s="14" t="str">
        <f>IF($C2059="","",IFERROR(INDEX(Productos!$B$5:$B$504,MATCH($C2059,Productos!$A$5:$A$504,0)),"Clave no existe"))</f>
        <v/>
      </c>
      <c r="E2059" s="14" t="str">
        <f>IF($C2059="","",IFERROR(INDEX(Productos!$D$5:$D$504,MATCH($C2059,Productos!$A$5:$A$504,0)),""))</f>
        <v/>
      </c>
      <c r="F2059" s="20"/>
      <c r="G2059" s="22" t="str">
        <f>IF($C2059="","",IFERROR(INDEX(Productos!$F$5:$F$504,MATCH($C2059,Productos!$A$5:$A$504,0)),0))</f>
        <v/>
      </c>
      <c r="H2059" s="22" t="str">
        <f t="shared" si="32"/>
        <v/>
      </c>
      <c r="I2059" s="14" t="str">
        <f>IF(OR($C2059="",$F2059=""),"",IFERROR(INDEX(Productos!$I$5:$I$504,MATCH($C2059,Productos!$A$5:$A$504,0)),0)+SUMIFS($F$5:$F2059,$C$5:$C2059,$C2059,$B$5:$B2059,"Entrada")-SUMIFS($F$5:$F2059,$C$5:$C2059,$C2059,$B$5:$B2059,"Salida"))</f>
        <v/>
      </c>
      <c r="J2059" s="20"/>
      <c r="K2059" s="20"/>
      <c r="L2059" s="20"/>
      <c r="M2059" s="14" t="str">
        <f>IF(AND($C2059&lt;&gt;"",$C2059=Kardex!$C$4),COUNTIF($C$5:$C2059,Kardex!$C$4),"")</f>
        <v/>
      </c>
    </row>
    <row r="2060" spans="1:13" x14ac:dyDescent="0.25">
      <c r="A2060" s="24"/>
      <c r="B2060" s="20"/>
      <c r="C2060" s="20"/>
      <c r="D2060" s="14" t="str">
        <f>IF($C2060="","",IFERROR(INDEX(Productos!$B$5:$B$504,MATCH($C2060,Productos!$A$5:$A$504,0)),"Clave no existe"))</f>
        <v/>
      </c>
      <c r="E2060" s="14" t="str">
        <f>IF($C2060="","",IFERROR(INDEX(Productos!$D$5:$D$504,MATCH($C2060,Productos!$A$5:$A$504,0)),""))</f>
        <v/>
      </c>
      <c r="F2060" s="20"/>
      <c r="G2060" s="22" t="str">
        <f>IF($C2060="","",IFERROR(INDEX(Productos!$F$5:$F$504,MATCH($C2060,Productos!$A$5:$A$504,0)),0))</f>
        <v/>
      </c>
      <c r="H2060" s="22" t="str">
        <f t="shared" si="32"/>
        <v/>
      </c>
      <c r="I2060" s="14" t="str">
        <f>IF(OR($C2060="",$F2060=""),"",IFERROR(INDEX(Productos!$I$5:$I$504,MATCH($C2060,Productos!$A$5:$A$504,0)),0)+SUMIFS($F$5:$F2060,$C$5:$C2060,$C2060,$B$5:$B2060,"Entrada")-SUMIFS($F$5:$F2060,$C$5:$C2060,$C2060,$B$5:$B2060,"Salida"))</f>
        <v/>
      </c>
      <c r="J2060" s="20"/>
      <c r="K2060" s="20"/>
      <c r="L2060" s="20"/>
      <c r="M2060" s="14" t="str">
        <f>IF(AND($C2060&lt;&gt;"",$C2060=Kardex!$C$4),COUNTIF($C$5:$C2060,Kardex!$C$4),"")</f>
        <v/>
      </c>
    </row>
    <row r="2061" spans="1:13" x14ac:dyDescent="0.25">
      <c r="A2061" s="24"/>
      <c r="B2061" s="20"/>
      <c r="C2061" s="20"/>
      <c r="D2061" s="14" t="str">
        <f>IF($C2061="","",IFERROR(INDEX(Productos!$B$5:$B$504,MATCH($C2061,Productos!$A$5:$A$504,0)),"Clave no existe"))</f>
        <v/>
      </c>
      <c r="E2061" s="14" t="str">
        <f>IF($C2061="","",IFERROR(INDEX(Productos!$D$5:$D$504,MATCH($C2061,Productos!$A$5:$A$504,0)),""))</f>
        <v/>
      </c>
      <c r="F2061" s="20"/>
      <c r="G2061" s="22" t="str">
        <f>IF($C2061="","",IFERROR(INDEX(Productos!$F$5:$F$504,MATCH($C2061,Productos!$A$5:$A$504,0)),0))</f>
        <v/>
      </c>
      <c r="H2061" s="22" t="str">
        <f t="shared" si="32"/>
        <v/>
      </c>
      <c r="I2061" s="14" t="str">
        <f>IF(OR($C2061="",$F2061=""),"",IFERROR(INDEX(Productos!$I$5:$I$504,MATCH($C2061,Productos!$A$5:$A$504,0)),0)+SUMIFS($F$5:$F2061,$C$5:$C2061,$C2061,$B$5:$B2061,"Entrada")-SUMIFS($F$5:$F2061,$C$5:$C2061,$C2061,$B$5:$B2061,"Salida"))</f>
        <v/>
      </c>
      <c r="J2061" s="20"/>
      <c r="K2061" s="20"/>
      <c r="L2061" s="20"/>
      <c r="M2061" s="14" t="str">
        <f>IF(AND($C2061&lt;&gt;"",$C2061=Kardex!$C$4),COUNTIF($C$5:$C2061,Kardex!$C$4),"")</f>
        <v/>
      </c>
    </row>
    <row r="2062" spans="1:13" x14ac:dyDescent="0.25">
      <c r="A2062" s="24"/>
      <c r="B2062" s="20"/>
      <c r="C2062" s="20"/>
      <c r="D2062" s="14" t="str">
        <f>IF($C2062="","",IFERROR(INDEX(Productos!$B$5:$B$504,MATCH($C2062,Productos!$A$5:$A$504,0)),"Clave no existe"))</f>
        <v/>
      </c>
      <c r="E2062" s="14" t="str">
        <f>IF($C2062="","",IFERROR(INDEX(Productos!$D$5:$D$504,MATCH($C2062,Productos!$A$5:$A$504,0)),""))</f>
        <v/>
      </c>
      <c r="F2062" s="20"/>
      <c r="G2062" s="22" t="str">
        <f>IF($C2062="","",IFERROR(INDEX(Productos!$F$5:$F$504,MATCH($C2062,Productos!$A$5:$A$504,0)),0))</f>
        <v/>
      </c>
      <c r="H2062" s="22" t="str">
        <f t="shared" si="32"/>
        <v/>
      </c>
      <c r="I2062" s="14" t="str">
        <f>IF(OR($C2062="",$F2062=""),"",IFERROR(INDEX(Productos!$I$5:$I$504,MATCH($C2062,Productos!$A$5:$A$504,0)),0)+SUMIFS($F$5:$F2062,$C$5:$C2062,$C2062,$B$5:$B2062,"Entrada")-SUMIFS($F$5:$F2062,$C$5:$C2062,$C2062,$B$5:$B2062,"Salida"))</f>
        <v/>
      </c>
      <c r="J2062" s="20"/>
      <c r="K2062" s="20"/>
      <c r="L2062" s="20"/>
      <c r="M2062" s="14" t="str">
        <f>IF(AND($C2062&lt;&gt;"",$C2062=Kardex!$C$4),COUNTIF($C$5:$C2062,Kardex!$C$4),"")</f>
        <v/>
      </c>
    </row>
    <row r="2063" spans="1:13" x14ac:dyDescent="0.25">
      <c r="A2063" s="24"/>
      <c r="B2063" s="20"/>
      <c r="C2063" s="20"/>
      <c r="D2063" s="14" t="str">
        <f>IF($C2063="","",IFERROR(INDEX(Productos!$B$5:$B$504,MATCH($C2063,Productos!$A$5:$A$504,0)),"Clave no existe"))</f>
        <v/>
      </c>
      <c r="E2063" s="14" t="str">
        <f>IF($C2063="","",IFERROR(INDEX(Productos!$D$5:$D$504,MATCH($C2063,Productos!$A$5:$A$504,0)),""))</f>
        <v/>
      </c>
      <c r="F2063" s="20"/>
      <c r="G2063" s="22" t="str">
        <f>IF($C2063="","",IFERROR(INDEX(Productos!$F$5:$F$504,MATCH($C2063,Productos!$A$5:$A$504,0)),0))</f>
        <v/>
      </c>
      <c r="H2063" s="22" t="str">
        <f t="shared" si="32"/>
        <v/>
      </c>
      <c r="I2063" s="14" t="str">
        <f>IF(OR($C2063="",$F2063=""),"",IFERROR(INDEX(Productos!$I$5:$I$504,MATCH($C2063,Productos!$A$5:$A$504,0)),0)+SUMIFS($F$5:$F2063,$C$5:$C2063,$C2063,$B$5:$B2063,"Entrada")-SUMIFS($F$5:$F2063,$C$5:$C2063,$C2063,$B$5:$B2063,"Salida"))</f>
        <v/>
      </c>
      <c r="J2063" s="20"/>
      <c r="K2063" s="20"/>
      <c r="L2063" s="20"/>
      <c r="M2063" s="14" t="str">
        <f>IF(AND($C2063&lt;&gt;"",$C2063=Kardex!$C$4),COUNTIF($C$5:$C2063,Kardex!$C$4),"")</f>
        <v/>
      </c>
    </row>
    <row r="2064" spans="1:13" x14ac:dyDescent="0.25">
      <c r="A2064" s="24"/>
      <c r="B2064" s="20"/>
      <c r="C2064" s="20"/>
      <c r="D2064" s="14" t="str">
        <f>IF($C2064="","",IFERROR(INDEX(Productos!$B$5:$B$504,MATCH($C2064,Productos!$A$5:$A$504,0)),"Clave no existe"))</f>
        <v/>
      </c>
      <c r="E2064" s="14" t="str">
        <f>IF($C2064="","",IFERROR(INDEX(Productos!$D$5:$D$504,MATCH($C2064,Productos!$A$5:$A$504,0)),""))</f>
        <v/>
      </c>
      <c r="F2064" s="20"/>
      <c r="G2064" s="22" t="str">
        <f>IF($C2064="","",IFERROR(INDEX(Productos!$F$5:$F$504,MATCH($C2064,Productos!$A$5:$A$504,0)),0))</f>
        <v/>
      </c>
      <c r="H2064" s="22" t="str">
        <f t="shared" si="32"/>
        <v/>
      </c>
      <c r="I2064" s="14" t="str">
        <f>IF(OR($C2064="",$F2064=""),"",IFERROR(INDEX(Productos!$I$5:$I$504,MATCH($C2064,Productos!$A$5:$A$504,0)),0)+SUMIFS($F$5:$F2064,$C$5:$C2064,$C2064,$B$5:$B2064,"Entrada")-SUMIFS($F$5:$F2064,$C$5:$C2064,$C2064,$B$5:$B2064,"Salida"))</f>
        <v/>
      </c>
      <c r="J2064" s="20"/>
      <c r="K2064" s="20"/>
      <c r="L2064" s="20"/>
      <c r="M2064" s="14" t="str">
        <f>IF(AND($C2064&lt;&gt;"",$C2064=Kardex!$C$4),COUNTIF($C$5:$C2064,Kardex!$C$4),"")</f>
        <v/>
      </c>
    </row>
    <row r="2065" spans="1:13" x14ac:dyDescent="0.25">
      <c r="A2065" s="24"/>
      <c r="B2065" s="20"/>
      <c r="C2065" s="20"/>
      <c r="D2065" s="14" t="str">
        <f>IF($C2065="","",IFERROR(INDEX(Productos!$B$5:$B$504,MATCH($C2065,Productos!$A$5:$A$504,0)),"Clave no existe"))</f>
        <v/>
      </c>
      <c r="E2065" s="14" t="str">
        <f>IF($C2065="","",IFERROR(INDEX(Productos!$D$5:$D$504,MATCH($C2065,Productos!$A$5:$A$504,0)),""))</f>
        <v/>
      </c>
      <c r="F2065" s="20"/>
      <c r="G2065" s="22" t="str">
        <f>IF($C2065="","",IFERROR(INDEX(Productos!$F$5:$F$504,MATCH($C2065,Productos!$A$5:$A$504,0)),0))</f>
        <v/>
      </c>
      <c r="H2065" s="22" t="str">
        <f t="shared" si="32"/>
        <v/>
      </c>
      <c r="I2065" s="14" t="str">
        <f>IF(OR($C2065="",$F2065=""),"",IFERROR(INDEX(Productos!$I$5:$I$504,MATCH($C2065,Productos!$A$5:$A$504,0)),0)+SUMIFS($F$5:$F2065,$C$5:$C2065,$C2065,$B$5:$B2065,"Entrada")-SUMIFS($F$5:$F2065,$C$5:$C2065,$C2065,$B$5:$B2065,"Salida"))</f>
        <v/>
      </c>
      <c r="J2065" s="20"/>
      <c r="K2065" s="20"/>
      <c r="L2065" s="20"/>
      <c r="M2065" s="14" t="str">
        <f>IF(AND($C2065&lt;&gt;"",$C2065=Kardex!$C$4),COUNTIF($C$5:$C2065,Kardex!$C$4),"")</f>
        <v/>
      </c>
    </row>
    <row r="2066" spans="1:13" x14ac:dyDescent="0.25">
      <c r="A2066" s="24"/>
      <c r="B2066" s="20"/>
      <c r="C2066" s="20"/>
      <c r="D2066" s="14" t="str">
        <f>IF($C2066="","",IFERROR(INDEX(Productos!$B$5:$B$504,MATCH($C2066,Productos!$A$5:$A$504,0)),"Clave no existe"))</f>
        <v/>
      </c>
      <c r="E2066" s="14" t="str">
        <f>IF($C2066="","",IFERROR(INDEX(Productos!$D$5:$D$504,MATCH($C2066,Productos!$A$5:$A$504,0)),""))</f>
        <v/>
      </c>
      <c r="F2066" s="20"/>
      <c r="G2066" s="22" t="str">
        <f>IF($C2066="","",IFERROR(INDEX(Productos!$F$5:$F$504,MATCH($C2066,Productos!$A$5:$A$504,0)),0))</f>
        <v/>
      </c>
      <c r="H2066" s="22" t="str">
        <f t="shared" si="32"/>
        <v/>
      </c>
      <c r="I2066" s="14" t="str">
        <f>IF(OR($C2066="",$F2066=""),"",IFERROR(INDEX(Productos!$I$5:$I$504,MATCH($C2066,Productos!$A$5:$A$504,0)),0)+SUMIFS($F$5:$F2066,$C$5:$C2066,$C2066,$B$5:$B2066,"Entrada")-SUMIFS($F$5:$F2066,$C$5:$C2066,$C2066,$B$5:$B2066,"Salida"))</f>
        <v/>
      </c>
      <c r="J2066" s="20"/>
      <c r="K2066" s="20"/>
      <c r="L2066" s="20"/>
      <c r="M2066" s="14" t="str">
        <f>IF(AND($C2066&lt;&gt;"",$C2066=Kardex!$C$4),COUNTIF($C$5:$C2066,Kardex!$C$4),"")</f>
        <v/>
      </c>
    </row>
    <row r="2067" spans="1:13" x14ac:dyDescent="0.25">
      <c r="A2067" s="24"/>
      <c r="B2067" s="20"/>
      <c r="C2067" s="20"/>
      <c r="D2067" s="14" t="str">
        <f>IF($C2067="","",IFERROR(INDEX(Productos!$B$5:$B$504,MATCH($C2067,Productos!$A$5:$A$504,0)),"Clave no existe"))</f>
        <v/>
      </c>
      <c r="E2067" s="14" t="str">
        <f>IF($C2067="","",IFERROR(INDEX(Productos!$D$5:$D$504,MATCH($C2067,Productos!$A$5:$A$504,0)),""))</f>
        <v/>
      </c>
      <c r="F2067" s="20"/>
      <c r="G2067" s="22" t="str">
        <f>IF($C2067="","",IFERROR(INDEX(Productos!$F$5:$F$504,MATCH($C2067,Productos!$A$5:$A$504,0)),0))</f>
        <v/>
      </c>
      <c r="H2067" s="22" t="str">
        <f t="shared" si="32"/>
        <v/>
      </c>
      <c r="I2067" s="14" t="str">
        <f>IF(OR($C2067="",$F2067=""),"",IFERROR(INDEX(Productos!$I$5:$I$504,MATCH($C2067,Productos!$A$5:$A$504,0)),0)+SUMIFS($F$5:$F2067,$C$5:$C2067,$C2067,$B$5:$B2067,"Entrada")-SUMIFS($F$5:$F2067,$C$5:$C2067,$C2067,$B$5:$B2067,"Salida"))</f>
        <v/>
      </c>
      <c r="J2067" s="20"/>
      <c r="K2067" s="20"/>
      <c r="L2067" s="20"/>
      <c r="M2067" s="14" t="str">
        <f>IF(AND($C2067&lt;&gt;"",$C2067=Kardex!$C$4),COUNTIF($C$5:$C2067,Kardex!$C$4),"")</f>
        <v/>
      </c>
    </row>
    <row r="2068" spans="1:13" x14ac:dyDescent="0.25">
      <c r="A2068" s="24"/>
      <c r="B2068" s="20"/>
      <c r="C2068" s="20"/>
      <c r="D2068" s="14" t="str">
        <f>IF($C2068="","",IFERROR(INDEX(Productos!$B$5:$B$504,MATCH($C2068,Productos!$A$5:$A$504,0)),"Clave no existe"))</f>
        <v/>
      </c>
      <c r="E2068" s="14" t="str">
        <f>IF($C2068="","",IFERROR(INDEX(Productos!$D$5:$D$504,MATCH($C2068,Productos!$A$5:$A$504,0)),""))</f>
        <v/>
      </c>
      <c r="F2068" s="20"/>
      <c r="G2068" s="22" t="str">
        <f>IF($C2068="","",IFERROR(INDEX(Productos!$F$5:$F$504,MATCH($C2068,Productos!$A$5:$A$504,0)),0))</f>
        <v/>
      </c>
      <c r="H2068" s="22" t="str">
        <f t="shared" si="32"/>
        <v/>
      </c>
      <c r="I2068" s="14" t="str">
        <f>IF(OR($C2068="",$F2068=""),"",IFERROR(INDEX(Productos!$I$5:$I$504,MATCH($C2068,Productos!$A$5:$A$504,0)),0)+SUMIFS($F$5:$F2068,$C$5:$C2068,$C2068,$B$5:$B2068,"Entrada")-SUMIFS($F$5:$F2068,$C$5:$C2068,$C2068,$B$5:$B2068,"Salida"))</f>
        <v/>
      </c>
      <c r="J2068" s="20"/>
      <c r="K2068" s="20"/>
      <c r="L2068" s="20"/>
      <c r="M2068" s="14" t="str">
        <f>IF(AND($C2068&lt;&gt;"",$C2068=Kardex!$C$4),COUNTIF($C$5:$C2068,Kardex!$C$4),"")</f>
        <v/>
      </c>
    </row>
    <row r="2069" spans="1:13" x14ac:dyDescent="0.25">
      <c r="A2069" s="24"/>
      <c r="B2069" s="20"/>
      <c r="C2069" s="20"/>
      <c r="D2069" s="14" t="str">
        <f>IF($C2069="","",IFERROR(INDEX(Productos!$B$5:$B$504,MATCH($C2069,Productos!$A$5:$A$504,0)),"Clave no existe"))</f>
        <v/>
      </c>
      <c r="E2069" s="14" t="str">
        <f>IF($C2069="","",IFERROR(INDEX(Productos!$D$5:$D$504,MATCH($C2069,Productos!$A$5:$A$504,0)),""))</f>
        <v/>
      </c>
      <c r="F2069" s="20"/>
      <c r="G2069" s="22" t="str">
        <f>IF($C2069="","",IFERROR(INDEX(Productos!$F$5:$F$504,MATCH($C2069,Productos!$A$5:$A$504,0)),0))</f>
        <v/>
      </c>
      <c r="H2069" s="22" t="str">
        <f t="shared" si="32"/>
        <v/>
      </c>
      <c r="I2069" s="14" t="str">
        <f>IF(OR($C2069="",$F2069=""),"",IFERROR(INDEX(Productos!$I$5:$I$504,MATCH($C2069,Productos!$A$5:$A$504,0)),0)+SUMIFS($F$5:$F2069,$C$5:$C2069,$C2069,$B$5:$B2069,"Entrada")-SUMIFS($F$5:$F2069,$C$5:$C2069,$C2069,$B$5:$B2069,"Salida"))</f>
        <v/>
      </c>
      <c r="J2069" s="20"/>
      <c r="K2069" s="20"/>
      <c r="L2069" s="20"/>
      <c r="M2069" s="14" t="str">
        <f>IF(AND($C2069&lt;&gt;"",$C2069=Kardex!$C$4),COUNTIF($C$5:$C2069,Kardex!$C$4),"")</f>
        <v/>
      </c>
    </row>
    <row r="2070" spans="1:13" x14ac:dyDescent="0.25">
      <c r="A2070" s="24"/>
      <c r="B2070" s="20"/>
      <c r="C2070" s="20"/>
      <c r="D2070" s="14" t="str">
        <f>IF($C2070="","",IFERROR(INDEX(Productos!$B$5:$B$504,MATCH($C2070,Productos!$A$5:$A$504,0)),"Clave no existe"))</f>
        <v/>
      </c>
      <c r="E2070" s="14" t="str">
        <f>IF($C2070="","",IFERROR(INDEX(Productos!$D$5:$D$504,MATCH($C2070,Productos!$A$5:$A$504,0)),""))</f>
        <v/>
      </c>
      <c r="F2070" s="20"/>
      <c r="G2070" s="22" t="str">
        <f>IF($C2070="","",IFERROR(INDEX(Productos!$F$5:$F$504,MATCH($C2070,Productos!$A$5:$A$504,0)),0))</f>
        <v/>
      </c>
      <c r="H2070" s="22" t="str">
        <f t="shared" si="32"/>
        <v/>
      </c>
      <c r="I2070" s="14" t="str">
        <f>IF(OR($C2070="",$F2070=""),"",IFERROR(INDEX(Productos!$I$5:$I$504,MATCH($C2070,Productos!$A$5:$A$504,0)),0)+SUMIFS($F$5:$F2070,$C$5:$C2070,$C2070,$B$5:$B2070,"Entrada")-SUMIFS($F$5:$F2070,$C$5:$C2070,$C2070,$B$5:$B2070,"Salida"))</f>
        <v/>
      </c>
      <c r="J2070" s="20"/>
      <c r="K2070" s="20"/>
      <c r="L2070" s="20"/>
      <c r="M2070" s="14" t="str">
        <f>IF(AND($C2070&lt;&gt;"",$C2070=Kardex!$C$4),COUNTIF($C$5:$C2070,Kardex!$C$4),"")</f>
        <v/>
      </c>
    </row>
    <row r="2071" spans="1:13" x14ac:dyDescent="0.25">
      <c r="A2071" s="24"/>
      <c r="B2071" s="20"/>
      <c r="C2071" s="20"/>
      <c r="D2071" s="14" t="str">
        <f>IF($C2071="","",IFERROR(INDEX(Productos!$B$5:$B$504,MATCH($C2071,Productos!$A$5:$A$504,0)),"Clave no existe"))</f>
        <v/>
      </c>
      <c r="E2071" s="14" t="str">
        <f>IF($C2071="","",IFERROR(INDEX(Productos!$D$5:$D$504,MATCH($C2071,Productos!$A$5:$A$504,0)),""))</f>
        <v/>
      </c>
      <c r="F2071" s="20"/>
      <c r="G2071" s="22" t="str">
        <f>IF($C2071="","",IFERROR(INDEX(Productos!$F$5:$F$504,MATCH($C2071,Productos!$A$5:$A$504,0)),0))</f>
        <v/>
      </c>
      <c r="H2071" s="22" t="str">
        <f t="shared" si="32"/>
        <v/>
      </c>
      <c r="I2071" s="14" t="str">
        <f>IF(OR($C2071="",$F2071=""),"",IFERROR(INDEX(Productos!$I$5:$I$504,MATCH($C2071,Productos!$A$5:$A$504,0)),0)+SUMIFS($F$5:$F2071,$C$5:$C2071,$C2071,$B$5:$B2071,"Entrada")-SUMIFS($F$5:$F2071,$C$5:$C2071,$C2071,$B$5:$B2071,"Salida"))</f>
        <v/>
      </c>
      <c r="J2071" s="20"/>
      <c r="K2071" s="20"/>
      <c r="L2071" s="20"/>
      <c r="M2071" s="14" t="str">
        <f>IF(AND($C2071&lt;&gt;"",$C2071=Kardex!$C$4),COUNTIF($C$5:$C2071,Kardex!$C$4),"")</f>
        <v/>
      </c>
    </row>
    <row r="2072" spans="1:13" x14ac:dyDescent="0.25">
      <c r="A2072" s="24"/>
      <c r="B2072" s="20"/>
      <c r="C2072" s="20"/>
      <c r="D2072" s="14" t="str">
        <f>IF($C2072="","",IFERROR(INDEX(Productos!$B$5:$B$504,MATCH($C2072,Productos!$A$5:$A$504,0)),"Clave no existe"))</f>
        <v/>
      </c>
      <c r="E2072" s="14" t="str">
        <f>IF($C2072="","",IFERROR(INDEX(Productos!$D$5:$D$504,MATCH($C2072,Productos!$A$5:$A$504,0)),""))</f>
        <v/>
      </c>
      <c r="F2072" s="20"/>
      <c r="G2072" s="22" t="str">
        <f>IF($C2072="","",IFERROR(INDEX(Productos!$F$5:$F$504,MATCH($C2072,Productos!$A$5:$A$504,0)),0))</f>
        <v/>
      </c>
      <c r="H2072" s="22" t="str">
        <f t="shared" si="32"/>
        <v/>
      </c>
      <c r="I2072" s="14" t="str">
        <f>IF(OR($C2072="",$F2072=""),"",IFERROR(INDEX(Productos!$I$5:$I$504,MATCH($C2072,Productos!$A$5:$A$504,0)),0)+SUMIFS($F$5:$F2072,$C$5:$C2072,$C2072,$B$5:$B2072,"Entrada")-SUMIFS($F$5:$F2072,$C$5:$C2072,$C2072,$B$5:$B2072,"Salida"))</f>
        <v/>
      </c>
      <c r="J2072" s="20"/>
      <c r="K2072" s="20"/>
      <c r="L2072" s="20"/>
      <c r="M2072" s="14" t="str">
        <f>IF(AND($C2072&lt;&gt;"",$C2072=Kardex!$C$4),COUNTIF($C$5:$C2072,Kardex!$C$4),"")</f>
        <v/>
      </c>
    </row>
    <row r="2073" spans="1:13" x14ac:dyDescent="0.25">
      <c r="A2073" s="24"/>
      <c r="B2073" s="20"/>
      <c r="C2073" s="20"/>
      <c r="D2073" s="14" t="str">
        <f>IF($C2073="","",IFERROR(INDEX(Productos!$B$5:$B$504,MATCH($C2073,Productos!$A$5:$A$504,0)),"Clave no existe"))</f>
        <v/>
      </c>
      <c r="E2073" s="14" t="str">
        <f>IF($C2073="","",IFERROR(INDEX(Productos!$D$5:$D$504,MATCH($C2073,Productos!$A$5:$A$504,0)),""))</f>
        <v/>
      </c>
      <c r="F2073" s="20"/>
      <c r="G2073" s="22" t="str">
        <f>IF($C2073="","",IFERROR(INDEX(Productos!$F$5:$F$504,MATCH($C2073,Productos!$A$5:$A$504,0)),0))</f>
        <v/>
      </c>
      <c r="H2073" s="22" t="str">
        <f t="shared" si="32"/>
        <v/>
      </c>
      <c r="I2073" s="14" t="str">
        <f>IF(OR($C2073="",$F2073=""),"",IFERROR(INDEX(Productos!$I$5:$I$504,MATCH($C2073,Productos!$A$5:$A$504,0)),0)+SUMIFS($F$5:$F2073,$C$5:$C2073,$C2073,$B$5:$B2073,"Entrada")-SUMIFS($F$5:$F2073,$C$5:$C2073,$C2073,$B$5:$B2073,"Salida"))</f>
        <v/>
      </c>
      <c r="J2073" s="20"/>
      <c r="K2073" s="20"/>
      <c r="L2073" s="20"/>
      <c r="M2073" s="14" t="str">
        <f>IF(AND($C2073&lt;&gt;"",$C2073=Kardex!$C$4),COUNTIF($C$5:$C2073,Kardex!$C$4),"")</f>
        <v/>
      </c>
    </row>
    <row r="2074" spans="1:13" x14ac:dyDescent="0.25">
      <c r="A2074" s="24"/>
      <c r="B2074" s="20"/>
      <c r="C2074" s="20"/>
      <c r="D2074" s="14" t="str">
        <f>IF($C2074="","",IFERROR(INDEX(Productos!$B$5:$B$504,MATCH($C2074,Productos!$A$5:$A$504,0)),"Clave no existe"))</f>
        <v/>
      </c>
      <c r="E2074" s="14" t="str">
        <f>IF($C2074="","",IFERROR(INDEX(Productos!$D$5:$D$504,MATCH($C2074,Productos!$A$5:$A$504,0)),""))</f>
        <v/>
      </c>
      <c r="F2074" s="20"/>
      <c r="G2074" s="22" t="str">
        <f>IF($C2074="","",IFERROR(INDEX(Productos!$F$5:$F$504,MATCH($C2074,Productos!$A$5:$A$504,0)),0))</f>
        <v/>
      </c>
      <c r="H2074" s="22" t="str">
        <f t="shared" si="32"/>
        <v/>
      </c>
      <c r="I2074" s="14" t="str">
        <f>IF(OR($C2074="",$F2074=""),"",IFERROR(INDEX(Productos!$I$5:$I$504,MATCH($C2074,Productos!$A$5:$A$504,0)),0)+SUMIFS($F$5:$F2074,$C$5:$C2074,$C2074,$B$5:$B2074,"Entrada")-SUMIFS($F$5:$F2074,$C$5:$C2074,$C2074,$B$5:$B2074,"Salida"))</f>
        <v/>
      </c>
      <c r="J2074" s="20"/>
      <c r="K2074" s="20"/>
      <c r="L2074" s="20"/>
      <c r="M2074" s="14" t="str">
        <f>IF(AND($C2074&lt;&gt;"",$C2074=Kardex!$C$4),COUNTIF($C$5:$C2074,Kardex!$C$4),"")</f>
        <v/>
      </c>
    </row>
    <row r="2075" spans="1:13" x14ac:dyDescent="0.25">
      <c r="A2075" s="24"/>
      <c r="B2075" s="20"/>
      <c r="C2075" s="20"/>
      <c r="D2075" s="14" t="str">
        <f>IF($C2075="","",IFERROR(INDEX(Productos!$B$5:$B$504,MATCH($C2075,Productos!$A$5:$A$504,0)),"Clave no existe"))</f>
        <v/>
      </c>
      <c r="E2075" s="14" t="str">
        <f>IF($C2075="","",IFERROR(INDEX(Productos!$D$5:$D$504,MATCH($C2075,Productos!$A$5:$A$504,0)),""))</f>
        <v/>
      </c>
      <c r="F2075" s="20"/>
      <c r="G2075" s="22" t="str">
        <f>IF($C2075="","",IFERROR(INDEX(Productos!$F$5:$F$504,MATCH($C2075,Productos!$A$5:$A$504,0)),0))</f>
        <v/>
      </c>
      <c r="H2075" s="22" t="str">
        <f t="shared" si="32"/>
        <v/>
      </c>
      <c r="I2075" s="14" t="str">
        <f>IF(OR($C2075="",$F2075=""),"",IFERROR(INDEX(Productos!$I$5:$I$504,MATCH($C2075,Productos!$A$5:$A$504,0)),0)+SUMIFS($F$5:$F2075,$C$5:$C2075,$C2075,$B$5:$B2075,"Entrada")-SUMIFS($F$5:$F2075,$C$5:$C2075,$C2075,$B$5:$B2075,"Salida"))</f>
        <v/>
      </c>
      <c r="J2075" s="20"/>
      <c r="K2075" s="20"/>
      <c r="L2075" s="20"/>
      <c r="M2075" s="14" t="str">
        <f>IF(AND($C2075&lt;&gt;"",$C2075=Kardex!$C$4),COUNTIF($C$5:$C2075,Kardex!$C$4),"")</f>
        <v/>
      </c>
    </row>
    <row r="2076" spans="1:13" x14ac:dyDescent="0.25">
      <c r="A2076" s="24"/>
      <c r="B2076" s="20"/>
      <c r="C2076" s="20"/>
      <c r="D2076" s="14" t="str">
        <f>IF($C2076="","",IFERROR(INDEX(Productos!$B$5:$B$504,MATCH($C2076,Productos!$A$5:$A$504,0)),"Clave no existe"))</f>
        <v/>
      </c>
      <c r="E2076" s="14" t="str">
        <f>IF($C2076="","",IFERROR(INDEX(Productos!$D$5:$D$504,MATCH($C2076,Productos!$A$5:$A$504,0)),""))</f>
        <v/>
      </c>
      <c r="F2076" s="20"/>
      <c r="G2076" s="22" t="str">
        <f>IF($C2076="","",IFERROR(INDEX(Productos!$F$5:$F$504,MATCH($C2076,Productos!$A$5:$A$504,0)),0))</f>
        <v/>
      </c>
      <c r="H2076" s="22" t="str">
        <f t="shared" si="32"/>
        <v/>
      </c>
      <c r="I2076" s="14" t="str">
        <f>IF(OR($C2076="",$F2076=""),"",IFERROR(INDEX(Productos!$I$5:$I$504,MATCH($C2076,Productos!$A$5:$A$504,0)),0)+SUMIFS($F$5:$F2076,$C$5:$C2076,$C2076,$B$5:$B2076,"Entrada")-SUMIFS($F$5:$F2076,$C$5:$C2076,$C2076,$B$5:$B2076,"Salida"))</f>
        <v/>
      </c>
      <c r="J2076" s="20"/>
      <c r="K2076" s="20"/>
      <c r="L2076" s="20"/>
      <c r="M2076" s="14" t="str">
        <f>IF(AND($C2076&lt;&gt;"",$C2076=Kardex!$C$4),COUNTIF($C$5:$C2076,Kardex!$C$4),"")</f>
        <v/>
      </c>
    </row>
    <row r="2077" spans="1:13" x14ac:dyDescent="0.25">
      <c r="A2077" s="24"/>
      <c r="B2077" s="20"/>
      <c r="C2077" s="20"/>
      <c r="D2077" s="14" t="str">
        <f>IF($C2077="","",IFERROR(INDEX(Productos!$B$5:$B$504,MATCH($C2077,Productos!$A$5:$A$504,0)),"Clave no existe"))</f>
        <v/>
      </c>
      <c r="E2077" s="14" t="str">
        <f>IF($C2077="","",IFERROR(INDEX(Productos!$D$5:$D$504,MATCH($C2077,Productos!$A$5:$A$504,0)),""))</f>
        <v/>
      </c>
      <c r="F2077" s="20"/>
      <c r="G2077" s="22" t="str">
        <f>IF($C2077="","",IFERROR(INDEX(Productos!$F$5:$F$504,MATCH($C2077,Productos!$A$5:$A$504,0)),0))</f>
        <v/>
      </c>
      <c r="H2077" s="22" t="str">
        <f t="shared" si="32"/>
        <v/>
      </c>
      <c r="I2077" s="14" t="str">
        <f>IF(OR($C2077="",$F2077=""),"",IFERROR(INDEX(Productos!$I$5:$I$504,MATCH($C2077,Productos!$A$5:$A$504,0)),0)+SUMIFS($F$5:$F2077,$C$5:$C2077,$C2077,$B$5:$B2077,"Entrada")-SUMIFS($F$5:$F2077,$C$5:$C2077,$C2077,$B$5:$B2077,"Salida"))</f>
        <v/>
      </c>
      <c r="J2077" s="20"/>
      <c r="K2077" s="20"/>
      <c r="L2077" s="20"/>
      <c r="M2077" s="14" t="str">
        <f>IF(AND($C2077&lt;&gt;"",$C2077=Kardex!$C$4),COUNTIF($C$5:$C2077,Kardex!$C$4),"")</f>
        <v/>
      </c>
    </row>
    <row r="2078" spans="1:13" x14ac:dyDescent="0.25">
      <c r="A2078" s="24"/>
      <c r="B2078" s="20"/>
      <c r="C2078" s="20"/>
      <c r="D2078" s="14" t="str">
        <f>IF($C2078="","",IFERROR(INDEX(Productos!$B$5:$B$504,MATCH($C2078,Productos!$A$5:$A$504,0)),"Clave no existe"))</f>
        <v/>
      </c>
      <c r="E2078" s="14" t="str">
        <f>IF($C2078="","",IFERROR(INDEX(Productos!$D$5:$D$504,MATCH($C2078,Productos!$A$5:$A$504,0)),""))</f>
        <v/>
      </c>
      <c r="F2078" s="20"/>
      <c r="G2078" s="22" t="str">
        <f>IF($C2078="","",IFERROR(INDEX(Productos!$F$5:$F$504,MATCH($C2078,Productos!$A$5:$A$504,0)),0))</f>
        <v/>
      </c>
      <c r="H2078" s="22" t="str">
        <f t="shared" si="32"/>
        <v/>
      </c>
      <c r="I2078" s="14" t="str">
        <f>IF(OR($C2078="",$F2078=""),"",IFERROR(INDEX(Productos!$I$5:$I$504,MATCH($C2078,Productos!$A$5:$A$504,0)),0)+SUMIFS($F$5:$F2078,$C$5:$C2078,$C2078,$B$5:$B2078,"Entrada")-SUMIFS($F$5:$F2078,$C$5:$C2078,$C2078,$B$5:$B2078,"Salida"))</f>
        <v/>
      </c>
      <c r="J2078" s="20"/>
      <c r="K2078" s="20"/>
      <c r="L2078" s="20"/>
      <c r="M2078" s="14" t="str">
        <f>IF(AND($C2078&lt;&gt;"",$C2078=Kardex!$C$4),COUNTIF($C$5:$C2078,Kardex!$C$4),"")</f>
        <v/>
      </c>
    </row>
    <row r="2079" spans="1:13" x14ac:dyDescent="0.25">
      <c r="A2079" s="24"/>
      <c r="B2079" s="20"/>
      <c r="C2079" s="20"/>
      <c r="D2079" s="14" t="str">
        <f>IF($C2079="","",IFERROR(INDEX(Productos!$B$5:$B$504,MATCH($C2079,Productos!$A$5:$A$504,0)),"Clave no existe"))</f>
        <v/>
      </c>
      <c r="E2079" s="14" t="str">
        <f>IF($C2079="","",IFERROR(INDEX(Productos!$D$5:$D$504,MATCH($C2079,Productos!$A$5:$A$504,0)),""))</f>
        <v/>
      </c>
      <c r="F2079" s="20"/>
      <c r="G2079" s="22" t="str">
        <f>IF($C2079="","",IFERROR(INDEX(Productos!$F$5:$F$504,MATCH($C2079,Productos!$A$5:$A$504,0)),0))</f>
        <v/>
      </c>
      <c r="H2079" s="22" t="str">
        <f t="shared" si="32"/>
        <v/>
      </c>
      <c r="I2079" s="14" t="str">
        <f>IF(OR($C2079="",$F2079=""),"",IFERROR(INDEX(Productos!$I$5:$I$504,MATCH($C2079,Productos!$A$5:$A$504,0)),0)+SUMIFS($F$5:$F2079,$C$5:$C2079,$C2079,$B$5:$B2079,"Entrada")-SUMIFS($F$5:$F2079,$C$5:$C2079,$C2079,$B$5:$B2079,"Salida"))</f>
        <v/>
      </c>
      <c r="J2079" s="20"/>
      <c r="K2079" s="20"/>
      <c r="L2079" s="20"/>
      <c r="M2079" s="14" t="str">
        <f>IF(AND($C2079&lt;&gt;"",$C2079=Kardex!$C$4),COUNTIF($C$5:$C2079,Kardex!$C$4),"")</f>
        <v/>
      </c>
    </row>
    <row r="2080" spans="1:13" x14ac:dyDescent="0.25">
      <c r="A2080" s="24"/>
      <c r="B2080" s="20"/>
      <c r="C2080" s="20"/>
      <c r="D2080" s="14" t="str">
        <f>IF($C2080="","",IFERROR(INDEX(Productos!$B$5:$B$504,MATCH($C2080,Productos!$A$5:$A$504,0)),"Clave no existe"))</f>
        <v/>
      </c>
      <c r="E2080" s="14" t="str">
        <f>IF($C2080="","",IFERROR(INDEX(Productos!$D$5:$D$504,MATCH($C2080,Productos!$A$5:$A$504,0)),""))</f>
        <v/>
      </c>
      <c r="F2080" s="20"/>
      <c r="G2080" s="22" t="str">
        <f>IF($C2080="","",IFERROR(INDEX(Productos!$F$5:$F$504,MATCH($C2080,Productos!$A$5:$A$504,0)),0))</f>
        <v/>
      </c>
      <c r="H2080" s="22" t="str">
        <f t="shared" si="32"/>
        <v/>
      </c>
      <c r="I2080" s="14" t="str">
        <f>IF(OR($C2080="",$F2080=""),"",IFERROR(INDEX(Productos!$I$5:$I$504,MATCH($C2080,Productos!$A$5:$A$504,0)),0)+SUMIFS($F$5:$F2080,$C$5:$C2080,$C2080,$B$5:$B2080,"Entrada")-SUMIFS($F$5:$F2080,$C$5:$C2080,$C2080,$B$5:$B2080,"Salida"))</f>
        <v/>
      </c>
      <c r="J2080" s="20"/>
      <c r="K2080" s="20"/>
      <c r="L2080" s="20"/>
      <c r="M2080" s="14" t="str">
        <f>IF(AND($C2080&lt;&gt;"",$C2080=Kardex!$C$4),COUNTIF($C$5:$C2080,Kardex!$C$4),"")</f>
        <v/>
      </c>
    </row>
    <row r="2081" spans="1:13" x14ac:dyDescent="0.25">
      <c r="A2081" s="24"/>
      <c r="B2081" s="20"/>
      <c r="C2081" s="20"/>
      <c r="D2081" s="14" t="str">
        <f>IF($C2081="","",IFERROR(INDEX(Productos!$B$5:$B$504,MATCH($C2081,Productos!$A$5:$A$504,0)),"Clave no existe"))</f>
        <v/>
      </c>
      <c r="E2081" s="14" t="str">
        <f>IF($C2081="","",IFERROR(INDEX(Productos!$D$5:$D$504,MATCH($C2081,Productos!$A$5:$A$504,0)),""))</f>
        <v/>
      </c>
      <c r="F2081" s="20"/>
      <c r="G2081" s="22" t="str">
        <f>IF($C2081="","",IFERROR(INDEX(Productos!$F$5:$F$504,MATCH($C2081,Productos!$A$5:$A$504,0)),0))</f>
        <v/>
      </c>
      <c r="H2081" s="22" t="str">
        <f t="shared" si="32"/>
        <v/>
      </c>
      <c r="I2081" s="14" t="str">
        <f>IF(OR($C2081="",$F2081=""),"",IFERROR(INDEX(Productos!$I$5:$I$504,MATCH($C2081,Productos!$A$5:$A$504,0)),0)+SUMIFS($F$5:$F2081,$C$5:$C2081,$C2081,$B$5:$B2081,"Entrada")-SUMIFS($F$5:$F2081,$C$5:$C2081,$C2081,$B$5:$B2081,"Salida"))</f>
        <v/>
      </c>
      <c r="J2081" s="20"/>
      <c r="K2081" s="20"/>
      <c r="L2081" s="20"/>
      <c r="M2081" s="14" t="str">
        <f>IF(AND($C2081&lt;&gt;"",$C2081=Kardex!$C$4),COUNTIF($C$5:$C2081,Kardex!$C$4),"")</f>
        <v/>
      </c>
    </row>
    <row r="2082" spans="1:13" x14ac:dyDescent="0.25">
      <c r="A2082" s="24"/>
      <c r="B2082" s="20"/>
      <c r="C2082" s="20"/>
      <c r="D2082" s="14" t="str">
        <f>IF($C2082="","",IFERROR(INDEX(Productos!$B$5:$B$504,MATCH($C2082,Productos!$A$5:$A$504,0)),"Clave no existe"))</f>
        <v/>
      </c>
      <c r="E2082" s="14" t="str">
        <f>IF($C2082="","",IFERROR(INDEX(Productos!$D$5:$D$504,MATCH($C2082,Productos!$A$5:$A$504,0)),""))</f>
        <v/>
      </c>
      <c r="F2082" s="20"/>
      <c r="G2082" s="22" t="str">
        <f>IF($C2082="","",IFERROR(INDEX(Productos!$F$5:$F$504,MATCH($C2082,Productos!$A$5:$A$504,0)),0))</f>
        <v/>
      </c>
      <c r="H2082" s="22" t="str">
        <f t="shared" si="32"/>
        <v/>
      </c>
      <c r="I2082" s="14" t="str">
        <f>IF(OR($C2082="",$F2082=""),"",IFERROR(INDEX(Productos!$I$5:$I$504,MATCH($C2082,Productos!$A$5:$A$504,0)),0)+SUMIFS($F$5:$F2082,$C$5:$C2082,$C2082,$B$5:$B2082,"Entrada")-SUMIFS($F$5:$F2082,$C$5:$C2082,$C2082,$B$5:$B2082,"Salida"))</f>
        <v/>
      </c>
      <c r="J2082" s="20"/>
      <c r="K2082" s="20"/>
      <c r="L2082" s="20"/>
      <c r="M2082" s="14" t="str">
        <f>IF(AND($C2082&lt;&gt;"",$C2082=Kardex!$C$4),COUNTIF($C$5:$C2082,Kardex!$C$4),"")</f>
        <v/>
      </c>
    </row>
    <row r="2083" spans="1:13" x14ac:dyDescent="0.25">
      <c r="A2083" s="24"/>
      <c r="B2083" s="20"/>
      <c r="C2083" s="20"/>
      <c r="D2083" s="14" t="str">
        <f>IF($C2083="","",IFERROR(INDEX(Productos!$B$5:$B$504,MATCH($C2083,Productos!$A$5:$A$504,0)),"Clave no existe"))</f>
        <v/>
      </c>
      <c r="E2083" s="14" t="str">
        <f>IF($C2083="","",IFERROR(INDEX(Productos!$D$5:$D$504,MATCH($C2083,Productos!$A$5:$A$504,0)),""))</f>
        <v/>
      </c>
      <c r="F2083" s="20"/>
      <c r="G2083" s="22" t="str">
        <f>IF($C2083="","",IFERROR(INDEX(Productos!$F$5:$F$504,MATCH($C2083,Productos!$A$5:$A$504,0)),0))</f>
        <v/>
      </c>
      <c r="H2083" s="22" t="str">
        <f t="shared" si="32"/>
        <v/>
      </c>
      <c r="I2083" s="14" t="str">
        <f>IF(OR($C2083="",$F2083=""),"",IFERROR(INDEX(Productos!$I$5:$I$504,MATCH($C2083,Productos!$A$5:$A$504,0)),0)+SUMIFS($F$5:$F2083,$C$5:$C2083,$C2083,$B$5:$B2083,"Entrada")-SUMIFS($F$5:$F2083,$C$5:$C2083,$C2083,$B$5:$B2083,"Salida"))</f>
        <v/>
      </c>
      <c r="J2083" s="20"/>
      <c r="K2083" s="20"/>
      <c r="L2083" s="20"/>
      <c r="M2083" s="14" t="str">
        <f>IF(AND($C2083&lt;&gt;"",$C2083=Kardex!$C$4),COUNTIF($C$5:$C2083,Kardex!$C$4),"")</f>
        <v/>
      </c>
    </row>
    <row r="2084" spans="1:13" x14ac:dyDescent="0.25">
      <c r="A2084" s="24"/>
      <c r="B2084" s="20"/>
      <c r="C2084" s="20"/>
      <c r="D2084" s="14" t="str">
        <f>IF($C2084="","",IFERROR(INDEX(Productos!$B$5:$B$504,MATCH($C2084,Productos!$A$5:$A$504,0)),"Clave no existe"))</f>
        <v/>
      </c>
      <c r="E2084" s="14" t="str">
        <f>IF($C2084="","",IFERROR(INDEX(Productos!$D$5:$D$504,MATCH($C2084,Productos!$A$5:$A$504,0)),""))</f>
        <v/>
      </c>
      <c r="F2084" s="20"/>
      <c r="G2084" s="22" t="str">
        <f>IF($C2084="","",IFERROR(INDEX(Productos!$F$5:$F$504,MATCH($C2084,Productos!$A$5:$A$504,0)),0))</f>
        <v/>
      </c>
      <c r="H2084" s="22" t="str">
        <f t="shared" si="32"/>
        <v/>
      </c>
      <c r="I2084" s="14" t="str">
        <f>IF(OR($C2084="",$F2084=""),"",IFERROR(INDEX(Productos!$I$5:$I$504,MATCH($C2084,Productos!$A$5:$A$504,0)),0)+SUMIFS($F$5:$F2084,$C$5:$C2084,$C2084,$B$5:$B2084,"Entrada")-SUMIFS($F$5:$F2084,$C$5:$C2084,$C2084,$B$5:$B2084,"Salida"))</f>
        <v/>
      </c>
      <c r="J2084" s="20"/>
      <c r="K2084" s="20"/>
      <c r="L2084" s="20"/>
      <c r="M2084" s="14" t="str">
        <f>IF(AND($C2084&lt;&gt;"",$C2084=Kardex!$C$4),COUNTIF($C$5:$C2084,Kardex!$C$4),"")</f>
        <v/>
      </c>
    </row>
    <row r="2085" spans="1:13" x14ac:dyDescent="0.25">
      <c r="A2085" s="24"/>
      <c r="B2085" s="20"/>
      <c r="C2085" s="20"/>
      <c r="D2085" s="14" t="str">
        <f>IF($C2085="","",IFERROR(INDEX(Productos!$B$5:$B$504,MATCH($C2085,Productos!$A$5:$A$504,0)),"Clave no existe"))</f>
        <v/>
      </c>
      <c r="E2085" s="14" t="str">
        <f>IF($C2085="","",IFERROR(INDEX(Productos!$D$5:$D$504,MATCH($C2085,Productos!$A$5:$A$504,0)),""))</f>
        <v/>
      </c>
      <c r="F2085" s="20"/>
      <c r="G2085" s="22" t="str">
        <f>IF($C2085="","",IFERROR(INDEX(Productos!$F$5:$F$504,MATCH($C2085,Productos!$A$5:$A$504,0)),0))</f>
        <v/>
      </c>
      <c r="H2085" s="22" t="str">
        <f t="shared" si="32"/>
        <v/>
      </c>
      <c r="I2085" s="14" t="str">
        <f>IF(OR($C2085="",$F2085=""),"",IFERROR(INDEX(Productos!$I$5:$I$504,MATCH($C2085,Productos!$A$5:$A$504,0)),0)+SUMIFS($F$5:$F2085,$C$5:$C2085,$C2085,$B$5:$B2085,"Entrada")-SUMIFS($F$5:$F2085,$C$5:$C2085,$C2085,$B$5:$B2085,"Salida"))</f>
        <v/>
      </c>
      <c r="J2085" s="20"/>
      <c r="K2085" s="20"/>
      <c r="L2085" s="20"/>
      <c r="M2085" s="14" t="str">
        <f>IF(AND($C2085&lt;&gt;"",$C2085=Kardex!$C$4),COUNTIF($C$5:$C2085,Kardex!$C$4),"")</f>
        <v/>
      </c>
    </row>
    <row r="2086" spans="1:13" x14ac:dyDescent="0.25">
      <c r="A2086" s="24"/>
      <c r="B2086" s="20"/>
      <c r="C2086" s="20"/>
      <c r="D2086" s="14" t="str">
        <f>IF($C2086="","",IFERROR(INDEX(Productos!$B$5:$B$504,MATCH($C2086,Productos!$A$5:$A$504,0)),"Clave no existe"))</f>
        <v/>
      </c>
      <c r="E2086" s="14" t="str">
        <f>IF($C2086="","",IFERROR(INDEX(Productos!$D$5:$D$504,MATCH($C2086,Productos!$A$5:$A$504,0)),""))</f>
        <v/>
      </c>
      <c r="F2086" s="20"/>
      <c r="G2086" s="22" t="str">
        <f>IF($C2086="","",IFERROR(INDEX(Productos!$F$5:$F$504,MATCH($C2086,Productos!$A$5:$A$504,0)),0))</f>
        <v/>
      </c>
      <c r="H2086" s="22" t="str">
        <f t="shared" si="32"/>
        <v/>
      </c>
      <c r="I2086" s="14" t="str">
        <f>IF(OR($C2086="",$F2086=""),"",IFERROR(INDEX(Productos!$I$5:$I$504,MATCH($C2086,Productos!$A$5:$A$504,0)),0)+SUMIFS($F$5:$F2086,$C$5:$C2086,$C2086,$B$5:$B2086,"Entrada")-SUMIFS($F$5:$F2086,$C$5:$C2086,$C2086,$B$5:$B2086,"Salida"))</f>
        <v/>
      </c>
      <c r="J2086" s="20"/>
      <c r="K2086" s="20"/>
      <c r="L2086" s="20"/>
      <c r="M2086" s="14" t="str">
        <f>IF(AND($C2086&lt;&gt;"",$C2086=Kardex!$C$4),COUNTIF($C$5:$C2086,Kardex!$C$4),"")</f>
        <v/>
      </c>
    </row>
    <row r="2087" spans="1:13" x14ac:dyDescent="0.25">
      <c r="A2087" s="24"/>
      <c r="B2087" s="20"/>
      <c r="C2087" s="20"/>
      <c r="D2087" s="14" t="str">
        <f>IF($C2087="","",IFERROR(INDEX(Productos!$B$5:$B$504,MATCH($C2087,Productos!$A$5:$A$504,0)),"Clave no existe"))</f>
        <v/>
      </c>
      <c r="E2087" s="14" t="str">
        <f>IF($C2087="","",IFERROR(INDEX(Productos!$D$5:$D$504,MATCH($C2087,Productos!$A$5:$A$504,0)),""))</f>
        <v/>
      </c>
      <c r="F2087" s="20"/>
      <c r="G2087" s="22" t="str">
        <f>IF($C2087="","",IFERROR(INDEX(Productos!$F$5:$F$504,MATCH($C2087,Productos!$A$5:$A$504,0)),0))</f>
        <v/>
      </c>
      <c r="H2087" s="22" t="str">
        <f t="shared" si="32"/>
        <v/>
      </c>
      <c r="I2087" s="14" t="str">
        <f>IF(OR($C2087="",$F2087=""),"",IFERROR(INDEX(Productos!$I$5:$I$504,MATCH($C2087,Productos!$A$5:$A$504,0)),0)+SUMIFS($F$5:$F2087,$C$5:$C2087,$C2087,$B$5:$B2087,"Entrada")-SUMIFS($F$5:$F2087,$C$5:$C2087,$C2087,$B$5:$B2087,"Salida"))</f>
        <v/>
      </c>
      <c r="J2087" s="20"/>
      <c r="K2087" s="20"/>
      <c r="L2087" s="20"/>
      <c r="M2087" s="14" t="str">
        <f>IF(AND($C2087&lt;&gt;"",$C2087=Kardex!$C$4),COUNTIF($C$5:$C2087,Kardex!$C$4),"")</f>
        <v/>
      </c>
    </row>
    <row r="2088" spans="1:13" x14ac:dyDescent="0.25">
      <c r="A2088" s="24"/>
      <c r="B2088" s="20"/>
      <c r="C2088" s="20"/>
      <c r="D2088" s="14" t="str">
        <f>IF($C2088="","",IFERROR(INDEX(Productos!$B$5:$B$504,MATCH($C2088,Productos!$A$5:$A$504,0)),"Clave no existe"))</f>
        <v/>
      </c>
      <c r="E2088" s="14" t="str">
        <f>IF($C2088="","",IFERROR(INDEX(Productos!$D$5:$D$504,MATCH($C2088,Productos!$A$5:$A$504,0)),""))</f>
        <v/>
      </c>
      <c r="F2088" s="20"/>
      <c r="G2088" s="22" t="str">
        <f>IF($C2088="","",IFERROR(INDEX(Productos!$F$5:$F$504,MATCH($C2088,Productos!$A$5:$A$504,0)),0))</f>
        <v/>
      </c>
      <c r="H2088" s="22" t="str">
        <f t="shared" si="32"/>
        <v/>
      </c>
      <c r="I2088" s="14" t="str">
        <f>IF(OR($C2088="",$F2088=""),"",IFERROR(INDEX(Productos!$I$5:$I$504,MATCH($C2088,Productos!$A$5:$A$504,0)),0)+SUMIFS($F$5:$F2088,$C$5:$C2088,$C2088,$B$5:$B2088,"Entrada")-SUMIFS($F$5:$F2088,$C$5:$C2088,$C2088,$B$5:$B2088,"Salida"))</f>
        <v/>
      </c>
      <c r="J2088" s="20"/>
      <c r="K2088" s="20"/>
      <c r="L2088" s="20"/>
      <c r="M2088" s="14" t="str">
        <f>IF(AND($C2088&lt;&gt;"",$C2088=Kardex!$C$4),COUNTIF($C$5:$C2088,Kardex!$C$4),"")</f>
        <v/>
      </c>
    </row>
    <row r="2089" spans="1:13" x14ac:dyDescent="0.25">
      <c r="A2089" s="24"/>
      <c r="B2089" s="20"/>
      <c r="C2089" s="20"/>
      <c r="D2089" s="14" t="str">
        <f>IF($C2089="","",IFERROR(INDEX(Productos!$B$5:$B$504,MATCH($C2089,Productos!$A$5:$A$504,0)),"Clave no existe"))</f>
        <v/>
      </c>
      <c r="E2089" s="14" t="str">
        <f>IF($C2089="","",IFERROR(INDEX(Productos!$D$5:$D$504,MATCH($C2089,Productos!$A$5:$A$504,0)),""))</f>
        <v/>
      </c>
      <c r="F2089" s="20"/>
      <c r="G2089" s="22" t="str">
        <f>IF($C2089="","",IFERROR(INDEX(Productos!$F$5:$F$504,MATCH($C2089,Productos!$A$5:$A$504,0)),0))</f>
        <v/>
      </c>
      <c r="H2089" s="22" t="str">
        <f t="shared" si="32"/>
        <v/>
      </c>
      <c r="I2089" s="14" t="str">
        <f>IF(OR($C2089="",$F2089=""),"",IFERROR(INDEX(Productos!$I$5:$I$504,MATCH($C2089,Productos!$A$5:$A$504,0)),0)+SUMIFS($F$5:$F2089,$C$5:$C2089,$C2089,$B$5:$B2089,"Entrada")-SUMIFS($F$5:$F2089,$C$5:$C2089,$C2089,$B$5:$B2089,"Salida"))</f>
        <v/>
      </c>
      <c r="J2089" s="20"/>
      <c r="K2089" s="20"/>
      <c r="L2089" s="20"/>
      <c r="M2089" s="14" t="str">
        <f>IF(AND($C2089&lt;&gt;"",$C2089=Kardex!$C$4),COUNTIF($C$5:$C2089,Kardex!$C$4),"")</f>
        <v/>
      </c>
    </row>
    <row r="2090" spans="1:13" x14ac:dyDescent="0.25">
      <c r="A2090" s="24"/>
      <c r="B2090" s="20"/>
      <c r="C2090" s="20"/>
      <c r="D2090" s="14" t="str">
        <f>IF($C2090="","",IFERROR(INDEX(Productos!$B$5:$B$504,MATCH($C2090,Productos!$A$5:$A$504,0)),"Clave no existe"))</f>
        <v/>
      </c>
      <c r="E2090" s="14" t="str">
        <f>IF($C2090="","",IFERROR(INDEX(Productos!$D$5:$D$504,MATCH($C2090,Productos!$A$5:$A$504,0)),""))</f>
        <v/>
      </c>
      <c r="F2090" s="20"/>
      <c r="G2090" s="22" t="str">
        <f>IF($C2090="","",IFERROR(INDEX(Productos!$F$5:$F$504,MATCH($C2090,Productos!$A$5:$A$504,0)),0))</f>
        <v/>
      </c>
      <c r="H2090" s="22" t="str">
        <f t="shared" si="32"/>
        <v/>
      </c>
      <c r="I2090" s="14" t="str">
        <f>IF(OR($C2090="",$F2090=""),"",IFERROR(INDEX(Productos!$I$5:$I$504,MATCH($C2090,Productos!$A$5:$A$504,0)),0)+SUMIFS($F$5:$F2090,$C$5:$C2090,$C2090,$B$5:$B2090,"Entrada")-SUMIFS($F$5:$F2090,$C$5:$C2090,$C2090,$B$5:$B2090,"Salida"))</f>
        <v/>
      </c>
      <c r="J2090" s="20"/>
      <c r="K2090" s="20"/>
      <c r="L2090" s="20"/>
      <c r="M2090" s="14" t="str">
        <f>IF(AND($C2090&lt;&gt;"",$C2090=Kardex!$C$4),COUNTIF($C$5:$C2090,Kardex!$C$4),"")</f>
        <v/>
      </c>
    </row>
    <row r="2091" spans="1:13" x14ac:dyDescent="0.25">
      <c r="A2091" s="24"/>
      <c r="B2091" s="20"/>
      <c r="C2091" s="20"/>
      <c r="D2091" s="14" t="str">
        <f>IF($C2091="","",IFERROR(INDEX(Productos!$B$5:$B$504,MATCH($C2091,Productos!$A$5:$A$504,0)),"Clave no existe"))</f>
        <v/>
      </c>
      <c r="E2091" s="14" t="str">
        <f>IF($C2091="","",IFERROR(INDEX(Productos!$D$5:$D$504,MATCH($C2091,Productos!$A$5:$A$504,0)),""))</f>
        <v/>
      </c>
      <c r="F2091" s="20"/>
      <c r="G2091" s="22" t="str">
        <f>IF($C2091="","",IFERROR(INDEX(Productos!$F$5:$F$504,MATCH($C2091,Productos!$A$5:$A$504,0)),0))</f>
        <v/>
      </c>
      <c r="H2091" s="22" t="str">
        <f t="shared" si="32"/>
        <v/>
      </c>
      <c r="I2091" s="14" t="str">
        <f>IF(OR($C2091="",$F2091=""),"",IFERROR(INDEX(Productos!$I$5:$I$504,MATCH($C2091,Productos!$A$5:$A$504,0)),0)+SUMIFS($F$5:$F2091,$C$5:$C2091,$C2091,$B$5:$B2091,"Entrada")-SUMIFS($F$5:$F2091,$C$5:$C2091,$C2091,$B$5:$B2091,"Salida"))</f>
        <v/>
      </c>
      <c r="J2091" s="20"/>
      <c r="K2091" s="20"/>
      <c r="L2091" s="20"/>
      <c r="M2091" s="14" t="str">
        <f>IF(AND($C2091&lt;&gt;"",$C2091=Kardex!$C$4),COUNTIF($C$5:$C2091,Kardex!$C$4),"")</f>
        <v/>
      </c>
    </row>
    <row r="2092" spans="1:13" x14ac:dyDescent="0.25">
      <c r="A2092" s="24"/>
      <c r="B2092" s="20"/>
      <c r="C2092" s="20"/>
      <c r="D2092" s="14" t="str">
        <f>IF($C2092="","",IFERROR(INDEX(Productos!$B$5:$B$504,MATCH($C2092,Productos!$A$5:$A$504,0)),"Clave no existe"))</f>
        <v/>
      </c>
      <c r="E2092" s="14" t="str">
        <f>IF($C2092="","",IFERROR(INDEX(Productos!$D$5:$D$504,MATCH($C2092,Productos!$A$5:$A$504,0)),""))</f>
        <v/>
      </c>
      <c r="F2092" s="20"/>
      <c r="G2092" s="22" t="str">
        <f>IF($C2092="","",IFERROR(INDEX(Productos!$F$5:$F$504,MATCH($C2092,Productos!$A$5:$A$504,0)),0))</f>
        <v/>
      </c>
      <c r="H2092" s="22" t="str">
        <f t="shared" si="32"/>
        <v/>
      </c>
      <c r="I2092" s="14" t="str">
        <f>IF(OR($C2092="",$F2092=""),"",IFERROR(INDEX(Productos!$I$5:$I$504,MATCH($C2092,Productos!$A$5:$A$504,0)),0)+SUMIFS($F$5:$F2092,$C$5:$C2092,$C2092,$B$5:$B2092,"Entrada")-SUMIFS($F$5:$F2092,$C$5:$C2092,$C2092,$B$5:$B2092,"Salida"))</f>
        <v/>
      </c>
      <c r="J2092" s="20"/>
      <c r="K2092" s="20"/>
      <c r="L2092" s="20"/>
      <c r="M2092" s="14" t="str">
        <f>IF(AND($C2092&lt;&gt;"",$C2092=Kardex!$C$4),COUNTIF($C$5:$C2092,Kardex!$C$4),"")</f>
        <v/>
      </c>
    </row>
    <row r="2093" spans="1:13" x14ac:dyDescent="0.25">
      <c r="A2093" s="24"/>
      <c r="B2093" s="20"/>
      <c r="C2093" s="20"/>
      <c r="D2093" s="14" t="str">
        <f>IF($C2093="","",IFERROR(INDEX(Productos!$B$5:$B$504,MATCH($C2093,Productos!$A$5:$A$504,0)),"Clave no existe"))</f>
        <v/>
      </c>
      <c r="E2093" s="14" t="str">
        <f>IF($C2093="","",IFERROR(INDEX(Productos!$D$5:$D$504,MATCH($C2093,Productos!$A$5:$A$504,0)),""))</f>
        <v/>
      </c>
      <c r="F2093" s="20"/>
      <c r="G2093" s="22" t="str">
        <f>IF($C2093="","",IFERROR(INDEX(Productos!$F$5:$F$504,MATCH($C2093,Productos!$A$5:$A$504,0)),0))</f>
        <v/>
      </c>
      <c r="H2093" s="22" t="str">
        <f t="shared" si="32"/>
        <v/>
      </c>
      <c r="I2093" s="14" t="str">
        <f>IF(OR($C2093="",$F2093=""),"",IFERROR(INDEX(Productos!$I$5:$I$504,MATCH($C2093,Productos!$A$5:$A$504,0)),0)+SUMIFS($F$5:$F2093,$C$5:$C2093,$C2093,$B$5:$B2093,"Entrada")-SUMIFS($F$5:$F2093,$C$5:$C2093,$C2093,$B$5:$B2093,"Salida"))</f>
        <v/>
      </c>
      <c r="J2093" s="20"/>
      <c r="K2093" s="20"/>
      <c r="L2093" s="20"/>
      <c r="M2093" s="14" t="str">
        <f>IF(AND($C2093&lt;&gt;"",$C2093=Kardex!$C$4),COUNTIF($C$5:$C2093,Kardex!$C$4),"")</f>
        <v/>
      </c>
    </row>
    <row r="2094" spans="1:13" x14ac:dyDescent="0.25">
      <c r="A2094" s="24"/>
      <c r="B2094" s="20"/>
      <c r="C2094" s="20"/>
      <c r="D2094" s="14" t="str">
        <f>IF($C2094="","",IFERROR(INDEX(Productos!$B$5:$B$504,MATCH($C2094,Productos!$A$5:$A$504,0)),"Clave no existe"))</f>
        <v/>
      </c>
      <c r="E2094" s="14" t="str">
        <f>IF($C2094="","",IFERROR(INDEX(Productos!$D$5:$D$504,MATCH($C2094,Productos!$A$5:$A$504,0)),""))</f>
        <v/>
      </c>
      <c r="F2094" s="20"/>
      <c r="G2094" s="22" t="str">
        <f>IF($C2094="","",IFERROR(INDEX(Productos!$F$5:$F$504,MATCH($C2094,Productos!$A$5:$A$504,0)),0))</f>
        <v/>
      </c>
      <c r="H2094" s="22" t="str">
        <f t="shared" si="32"/>
        <v/>
      </c>
      <c r="I2094" s="14" t="str">
        <f>IF(OR($C2094="",$F2094=""),"",IFERROR(INDEX(Productos!$I$5:$I$504,MATCH($C2094,Productos!$A$5:$A$504,0)),0)+SUMIFS($F$5:$F2094,$C$5:$C2094,$C2094,$B$5:$B2094,"Entrada")-SUMIFS($F$5:$F2094,$C$5:$C2094,$C2094,$B$5:$B2094,"Salida"))</f>
        <v/>
      </c>
      <c r="J2094" s="20"/>
      <c r="K2094" s="20"/>
      <c r="L2094" s="20"/>
      <c r="M2094" s="14" t="str">
        <f>IF(AND($C2094&lt;&gt;"",$C2094=Kardex!$C$4),COUNTIF($C$5:$C2094,Kardex!$C$4),"")</f>
        <v/>
      </c>
    </row>
    <row r="2095" spans="1:13" x14ac:dyDescent="0.25">
      <c r="A2095" s="24"/>
      <c r="B2095" s="20"/>
      <c r="C2095" s="20"/>
      <c r="D2095" s="14" t="str">
        <f>IF($C2095="","",IFERROR(INDEX(Productos!$B$5:$B$504,MATCH($C2095,Productos!$A$5:$A$504,0)),"Clave no existe"))</f>
        <v/>
      </c>
      <c r="E2095" s="14" t="str">
        <f>IF($C2095="","",IFERROR(INDEX(Productos!$D$5:$D$504,MATCH($C2095,Productos!$A$5:$A$504,0)),""))</f>
        <v/>
      </c>
      <c r="F2095" s="20"/>
      <c r="G2095" s="22" t="str">
        <f>IF($C2095="","",IFERROR(INDEX(Productos!$F$5:$F$504,MATCH($C2095,Productos!$A$5:$A$504,0)),0))</f>
        <v/>
      </c>
      <c r="H2095" s="22" t="str">
        <f t="shared" si="32"/>
        <v/>
      </c>
      <c r="I2095" s="14" t="str">
        <f>IF(OR($C2095="",$F2095=""),"",IFERROR(INDEX(Productos!$I$5:$I$504,MATCH($C2095,Productos!$A$5:$A$504,0)),0)+SUMIFS($F$5:$F2095,$C$5:$C2095,$C2095,$B$5:$B2095,"Entrada")-SUMIFS($F$5:$F2095,$C$5:$C2095,$C2095,$B$5:$B2095,"Salida"))</f>
        <v/>
      </c>
      <c r="J2095" s="20"/>
      <c r="K2095" s="20"/>
      <c r="L2095" s="20"/>
      <c r="M2095" s="14" t="str">
        <f>IF(AND($C2095&lt;&gt;"",$C2095=Kardex!$C$4),COUNTIF($C$5:$C2095,Kardex!$C$4),"")</f>
        <v/>
      </c>
    </row>
    <row r="2096" spans="1:13" x14ac:dyDescent="0.25">
      <c r="A2096" s="24"/>
      <c r="B2096" s="20"/>
      <c r="C2096" s="20"/>
      <c r="D2096" s="14" t="str">
        <f>IF($C2096="","",IFERROR(INDEX(Productos!$B$5:$B$504,MATCH($C2096,Productos!$A$5:$A$504,0)),"Clave no existe"))</f>
        <v/>
      </c>
      <c r="E2096" s="14" t="str">
        <f>IF($C2096="","",IFERROR(INDEX(Productos!$D$5:$D$504,MATCH($C2096,Productos!$A$5:$A$504,0)),""))</f>
        <v/>
      </c>
      <c r="F2096" s="20"/>
      <c r="G2096" s="22" t="str">
        <f>IF($C2096="","",IFERROR(INDEX(Productos!$F$5:$F$504,MATCH($C2096,Productos!$A$5:$A$504,0)),0))</f>
        <v/>
      </c>
      <c r="H2096" s="22" t="str">
        <f t="shared" si="32"/>
        <v/>
      </c>
      <c r="I2096" s="14" t="str">
        <f>IF(OR($C2096="",$F2096=""),"",IFERROR(INDEX(Productos!$I$5:$I$504,MATCH($C2096,Productos!$A$5:$A$504,0)),0)+SUMIFS($F$5:$F2096,$C$5:$C2096,$C2096,$B$5:$B2096,"Entrada")-SUMIFS($F$5:$F2096,$C$5:$C2096,$C2096,$B$5:$B2096,"Salida"))</f>
        <v/>
      </c>
      <c r="J2096" s="20"/>
      <c r="K2096" s="20"/>
      <c r="L2096" s="20"/>
      <c r="M2096" s="14" t="str">
        <f>IF(AND($C2096&lt;&gt;"",$C2096=Kardex!$C$4),COUNTIF($C$5:$C2096,Kardex!$C$4),"")</f>
        <v/>
      </c>
    </row>
    <row r="2097" spans="1:13" x14ac:dyDescent="0.25">
      <c r="A2097" s="24"/>
      <c r="B2097" s="20"/>
      <c r="C2097" s="20"/>
      <c r="D2097" s="14" t="str">
        <f>IF($C2097="","",IFERROR(INDEX(Productos!$B$5:$B$504,MATCH($C2097,Productos!$A$5:$A$504,0)),"Clave no existe"))</f>
        <v/>
      </c>
      <c r="E2097" s="14" t="str">
        <f>IF($C2097="","",IFERROR(INDEX(Productos!$D$5:$D$504,MATCH($C2097,Productos!$A$5:$A$504,0)),""))</f>
        <v/>
      </c>
      <c r="F2097" s="20"/>
      <c r="G2097" s="22" t="str">
        <f>IF($C2097="","",IFERROR(INDEX(Productos!$F$5:$F$504,MATCH($C2097,Productos!$A$5:$A$504,0)),0))</f>
        <v/>
      </c>
      <c r="H2097" s="22" t="str">
        <f t="shared" si="32"/>
        <v/>
      </c>
      <c r="I2097" s="14" t="str">
        <f>IF(OR($C2097="",$F2097=""),"",IFERROR(INDEX(Productos!$I$5:$I$504,MATCH($C2097,Productos!$A$5:$A$504,0)),0)+SUMIFS($F$5:$F2097,$C$5:$C2097,$C2097,$B$5:$B2097,"Entrada")-SUMIFS($F$5:$F2097,$C$5:$C2097,$C2097,$B$5:$B2097,"Salida"))</f>
        <v/>
      </c>
      <c r="J2097" s="20"/>
      <c r="K2097" s="20"/>
      <c r="L2097" s="20"/>
      <c r="M2097" s="14" t="str">
        <f>IF(AND($C2097&lt;&gt;"",$C2097=Kardex!$C$4),COUNTIF($C$5:$C2097,Kardex!$C$4),"")</f>
        <v/>
      </c>
    </row>
    <row r="2098" spans="1:13" x14ac:dyDescent="0.25">
      <c r="A2098" s="24"/>
      <c r="B2098" s="20"/>
      <c r="C2098" s="20"/>
      <c r="D2098" s="14" t="str">
        <f>IF($C2098="","",IFERROR(INDEX(Productos!$B$5:$B$504,MATCH($C2098,Productos!$A$5:$A$504,0)),"Clave no existe"))</f>
        <v/>
      </c>
      <c r="E2098" s="14" t="str">
        <f>IF($C2098="","",IFERROR(INDEX(Productos!$D$5:$D$504,MATCH($C2098,Productos!$A$5:$A$504,0)),""))</f>
        <v/>
      </c>
      <c r="F2098" s="20"/>
      <c r="G2098" s="22" t="str">
        <f>IF($C2098="","",IFERROR(INDEX(Productos!$F$5:$F$504,MATCH($C2098,Productos!$A$5:$A$504,0)),0))</f>
        <v/>
      </c>
      <c r="H2098" s="22" t="str">
        <f t="shared" si="32"/>
        <v/>
      </c>
      <c r="I2098" s="14" t="str">
        <f>IF(OR($C2098="",$F2098=""),"",IFERROR(INDEX(Productos!$I$5:$I$504,MATCH($C2098,Productos!$A$5:$A$504,0)),0)+SUMIFS($F$5:$F2098,$C$5:$C2098,$C2098,$B$5:$B2098,"Entrada")-SUMIFS($F$5:$F2098,$C$5:$C2098,$C2098,$B$5:$B2098,"Salida"))</f>
        <v/>
      </c>
      <c r="J2098" s="20"/>
      <c r="K2098" s="20"/>
      <c r="L2098" s="20"/>
      <c r="M2098" s="14" t="str">
        <f>IF(AND($C2098&lt;&gt;"",$C2098=Kardex!$C$4),COUNTIF($C$5:$C2098,Kardex!$C$4),"")</f>
        <v/>
      </c>
    </row>
    <row r="2099" spans="1:13" x14ac:dyDescent="0.25">
      <c r="A2099" s="24"/>
      <c r="B2099" s="20"/>
      <c r="C2099" s="20"/>
      <c r="D2099" s="14" t="str">
        <f>IF($C2099="","",IFERROR(INDEX(Productos!$B$5:$B$504,MATCH($C2099,Productos!$A$5:$A$504,0)),"Clave no existe"))</f>
        <v/>
      </c>
      <c r="E2099" s="14" t="str">
        <f>IF($C2099="","",IFERROR(INDEX(Productos!$D$5:$D$504,MATCH($C2099,Productos!$A$5:$A$504,0)),""))</f>
        <v/>
      </c>
      <c r="F2099" s="20"/>
      <c r="G2099" s="22" t="str">
        <f>IF($C2099="","",IFERROR(INDEX(Productos!$F$5:$F$504,MATCH($C2099,Productos!$A$5:$A$504,0)),0))</f>
        <v/>
      </c>
      <c r="H2099" s="22" t="str">
        <f t="shared" si="32"/>
        <v/>
      </c>
      <c r="I2099" s="14" t="str">
        <f>IF(OR($C2099="",$F2099=""),"",IFERROR(INDEX(Productos!$I$5:$I$504,MATCH($C2099,Productos!$A$5:$A$504,0)),0)+SUMIFS($F$5:$F2099,$C$5:$C2099,$C2099,$B$5:$B2099,"Entrada")-SUMIFS($F$5:$F2099,$C$5:$C2099,$C2099,$B$5:$B2099,"Salida"))</f>
        <v/>
      </c>
      <c r="J2099" s="20"/>
      <c r="K2099" s="20"/>
      <c r="L2099" s="20"/>
      <c r="M2099" s="14" t="str">
        <f>IF(AND($C2099&lt;&gt;"",$C2099=Kardex!$C$4),COUNTIF($C$5:$C2099,Kardex!$C$4),"")</f>
        <v/>
      </c>
    </row>
    <row r="2100" spans="1:13" x14ac:dyDescent="0.25">
      <c r="A2100" s="24"/>
      <c r="B2100" s="20"/>
      <c r="C2100" s="20"/>
      <c r="D2100" s="14" t="str">
        <f>IF($C2100="","",IFERROR(INDEX(Productos!$B$5:$B$504,MATCH($C2100,Productos!$A$5:$A$504,0)),"Clave no existe"))</f>
        <v/>
      </c>
      <c r="E2100" s="14" t="str">
        <f>IF($C2100="","",IFERROR(INDEX(Productos!$D$5:$D$504,MATCH($C2100,Productos!$A$5:$A$504,0)),""))</f>
        <v/>
      </c>
      <c r="F2100" s="20"/>
      <c r="G2100" s="22" t="str">
        <f>IF($C2100="","",IFERROR(INDEX(Productos!$F$5:$F$504,MATCH($C2100,Productos!$A$5:$A$504,0)),0))</f>
        <v/>
      </c>
      <c r="H2100" s="22" t="str">
        <f t="shared" si="32"/>
        <v/>
      </c>
      <c r="I2100" s="14" t="str">
        <f>IF(OR($C2100="",$F2100=""),"",IFERROR(INDEX(Productos!$I$5:$I$504,MATCH($C2100,Productos!$A$5:$A$504,0)),0)+SUMIFS($F$5:$F2100,$C$5:$C2100,$C2100,$B$5:$B2100,"Entrada")-SUMIFS($F$5:$F2100,$C$5:$C2100,$C2100,$B$5:$B2100,"Salida"))</f>
        <v/>
      </c>
      <c r="J2100" s="20"/>
      <c r="K2100" s="20"/>
      <c r="L2100" s="20"/>
      <c r="M2100" s="14" t="str">
        <f>IF(AND($C2100&lt;&gt;"",$C2100=Kardex!$C$4),COUNTIF($C$5:$C2100,Kardex!$C$4),"")</f>
        <v/>
      </c>
    </row>
    <row r="2101" spans="1:13" x14ac:dyDescent="0.25">
      <c r="A2101" s="24"/>
      <c r="B2101" s="20"/>
      <c r="C2101" s="20"/>
      <c r="D2101" s="14" t="str">
        <f>IF($C2101="","",IFERROR(INDEX(Productos!$B$5:$B$504,MATCH($C2101,Productos!$A$5:$A$504,0)),"Clave no existe"))</f>
        <v/>
      </c>
      <c r="E2101" s="14" t="str">
        <f>IF($C2101="","",IFERROR(INDEX(Productos!$D$5:$D$504,MATCH($C2101,Productos!$A$5:$A$504,0)),""))</f>
        <v/>
      </c>
      <c r="F2101" s="20"/>
      <c r="G2101" s="22" t="str">
        <f>IF($C2101="","",IFERROR(INDEX(Productos!$F$5:$F$504,MATCH($C2101,Productos!$A$5:$A$504,0)),0))</f>
        <v/>
      </c>
      <c r="H2101" s="22" t="str">
        <f t="shared" si="32"/>
        <v/>
      </c>
      <c r="I2101" s="14" t="str">
        <f>IF(OR($C2101="",$F2101=""),"",IFERROR(INDEX(Productos!$I$5:$I$504,MATCH($C2101,Productos!$A$5:$A$504,0)),0)+SUMIFS($F$5:$F2101,$C$5:$C2101,$C2101,$B$5:$B2101,"Entrada")-SUMIFS($F$5:$F2101,$C$5:$C2101,$C2101,$B$5:$B2101,"Salida"))</f>
        <v/>
      </c>
      <c r="J2101" s="20"/>
      <c r="K2101" s="20"/>
      <c r="L2101" s="20"/>
      <c r="M2101" s="14" t="str">
        <f>IF(AND($C2101&lt;&gt;"",$C2101=Kardex!$C$4),COUNTIF($C$5:$C2101,Kardex!$C$4),"")</f>
        <v/>
      </c>
    </row>
    <row r="2102" spans="1:13" x14ac:dyDescent="0.25">
      <c r="A2102" s="24"/>
      <c r="B2102" s="20"/>
      <c r="C2102" s="20"/>
      <c r="D2102" s="14" t="str">
        <f>IF($C2102="","",IFERROR(INDEX(Productos!$B$5:$B$504,MATCH($C2102,Productos!$A$5:$A$504,0)),"Clave no existe"))</f>
        <v/>
      </c>
      <c r="E2102" s="14" t="str">
        <f>IF($C2102="","",IFERROR(INDEX(Productos!$D$5:$D$504,MATCH($C2102,Productos!$A$5:$A$504,0)),""))</f>
        <v/>
      </c>
      <c r="F2102" s="20"/>
      <c r="G2102" s="22" t="str">
        <f>IF($C2102="","",IFERROR(INDEX(Productos!$F$5:$F$504,MATCH($C2102,Productos!$A$5:$A$504,0)),0))</f>
        <v/>
      </c>
      <c r="H2102" s="22" t="str">
        <f t="shared" si="32"/>
        <v/>
      </c>
      <c r="I2102" s="14" t="str">
        <f>IF(OR($C2102="",$F2102=""),"",IFERROR(INDEX(Productos!$I$5:$I$504,MATCH($C2102,Productos!$A$5:$A$504,0)),0)+SUMIFS($F$5:$F2102,$C$5:$C2102,$C2102,$B$5:$B2102,"Entrada")-SUMIFS($F$5:$F2102,$C$5:$C2102,$C2102,$B$5:$B2102,"Salida"))</f>
        <v/>
      </c>
      <c r="J2102" s="20"/>
      <c r="K2102" s="20"/>
      <c r="L2102" s="20"/>
      <c r="M2102" s="14" t="str">
        <f>IF(AND($C2102&lt;&gt;"",$C2102=Kardex!$C$4),COUNTIF($C$5:$C2102,Kardex!$C$4),"")</f>
        <v/>
      </c>
    </row>
    <row r="2103" spans="1:13" x14ac:dyDescent="0.25">
      <c r="A2103" s="24"/>
      <c r="B2103" s="20"/>
      <c r="C2103" s="20"/>
      <c r="D2103" s="14" t="str">
        <f>IF($C2103="","",IFERROR(INDEX(Productos!$B$5:$B$504,MATCH($C2103,Productos!$A$5:$A$504,0)),"Clave no existe"))</f>
        <v/>
      </c>
      <c r="E2103" s="14" t="str">
        <f>IF($C2103="","",IFERROR(INDEX(Productos!$D$5:$D$504,MATCH($C2103,Productos!$A$5:$A$504,0)),""))</f>
        <v/>
      </c>
      <c r="F2103" s="20"/>
      <c r="G2103" s="22" t="str">
        <f>IF($C2103="","",IFERROR(INDEX(Productos!$F$5:$F$504,MATCH($C2103,Productos!$A$5:$A$504,0)),0))</f>
        <v/>
      </c>
      <c r="H2103" s="22" t="str">
        <f t="shared" si="32"/>
        <v/>
      </c>
      <c r="I2103" s="14" t="str">
        <f>IF(OR($C2103="",$F2103=""),"",IFERROR(INDEX(Productos!$I$5:$I$504,MATCH($C2103,Productos!$A$5:$A$504,0)),0)+SUMIFS($F$5:$F2103,$C$5:$C2103,$C2103,$B$5:$B2103,"Entrada")-SUMIFS($F$5:$F2103,$C$5:$C2103,$C2103,$B$5:$B2103,"Salida"))</f>
        <v/>
      </c>
      <c r="J2103" s="20"/>
      <c r="K2103" s="20"/>
      <c r="L2103" s="20"/>
      <c r="M2103" s="14" t="str">
        <f>IF(AND($C2103&lt;&gt;"",$C2103=Kardex!$C$4),COUNTIF($C$5:$C2103,Kardex!$C$4),"")</f>
        <v/>
      </c>
    </row>
    <row r="2104" spans="1:13" x14ac:dyDescent="0.25">
      <c r="A2104" s="24"/>
      <c r="B2104" s="20"/>
      <c r="C2104" s="20"/>
      <c r="D2104" s="14" t="str">
        <f>IF($C2104="","",IFERROR(INDEX(Productos!$B$5:$B$504,MATCH($C2104,Productos!$A$5:$A$504,0)),"Clave no existe"))</f>
        <v/>
      </c>
      <c r="E2104" s="14" t="str">
        <f>IF($C2104="","",IFERROR(INDEX(Productos!$D$5:$D$504,MATCH($C2104,Productos!$A$5:$A$504,0)),""))</f>
        <v/>
      </c>
      <c r="F2104" s="20"/>
      <c r="G2104" s="22" t="str">
        <f>IF($C2104="","",IFERROR(INDEX(Productos!$F$5:$F$504,MATCH($C2104,Productos!$A$5:$A$504,0)),0))</f>
        <v/>
      </c>
      <c r="H2104" s="22" t="str">
        <f t="shared" si="32"/>
        <v/>
      </c>
      <c r="I2104" s="14" t="str">
        <f>IF(OR($C2104="",$F2104=""),"",IFERROR(INDEX(Productos!$I$5:$I$504,MATCH($C2104,Productos!$A$5:$A$504,0)),0)+SUMIFS($F$5:$F2104,$C$5:$C2104,$C2104,$B$5:$B2104,"Entrada")-SUMIFS($F$5:$F2104,$C$5:$C2104,$C2104,$B$5:$B2104,"Salida"))</f>
        <v/>
      </c>
      <c r="J2104" s="20"/>
      <c r="K2104" s="20"/>
      <c r="L2104" s="20"/>
      <c r="M2104" s="14" t="str">
        <f>IF(AND($C2104&lt;&gt;"",$C2104=Kardex!$C$4),COUNTIF($C$5:$C2104,Kardex!$C$4),"")</f>
        <v/>
      </c>
    </row>
    <row r="2105" spans="1:13" x14ac:dyDescent="0.25">
      <c r="A2105" s="24"/>
      <c r="B2105" s="20"/>
      <c r="C2105" s="20"/>
      <c r="D2105" s="14" t="str">
        <f>IF($C2105="","",IFERROR(INDEX(Productos!$B$5:$B$504,MATCH($C2105,Productos!$A$5:$A$504,0)),"Clave no existe"))</f>
        <v/>
      </c>
      <c r="E2105" s="14" t="str">
        <f>IF($C2105="","",IFERROR(INDEX(Productos!$D$5:$D$504,MATCH($C2105,Productos!$A$5:$A$504,0)),""))</f>
        <v/>
      </c>
      <c r="F2105" s="20"/>
      <c r="G2105" s="22" t="str">
        <f>IF($C2105="","",IFERROR(INDEX(Productos!$F$5:$F$504,MATCH($C2105,Productos!$A$5:$A$504,0)),0))</f>
        <v/>
      </c>
      <c r="H2105" s="22" t="str">
        <f t="shared" si="32"/>
        <v/>
      </c>
      <c r="I2105" s="14" t="str">
        <f>IF(OR($C2105="",$F2105=""),"",IFERROR(INDEX(Productos!$I$5:$I$504,MATCH($C2105,Productos!$A$5:$A$504,0)),0)+SUMIFS($F$5:$F2105,$C$5:$C2105,$C2105,$B$5:$B2105,"Entrada")-SUMIFS($F$5:$F2105,$C$5:$C2105,$C2105,$B$5:$B2105,"Salida"))</f>
        <v/>
      </c>
      <c r="J2105" s="20"/>
      <c r="K2105" s="20"/>
      <c r="L2105" s="20"/>
      <c r="M2105" s="14" t="str">
        <f>IF(AND($C2105&lt;&gt;"",$C2105=Kardex!$C$4),COUNTIF($C$5:$C2105,Kardex!$C$4),"")</f>
        <v/>
      </c>
    </row>
    <row r="2106" spans="1:13" x14ac:dyDescent="0.25">
      <c r="A2106" s="24"/>
      <c r="B2106" s="20"/>
      <c r="C2106" s="20"/>
      <c r="D2106" s="14" t="str">
        <f>IF($C2106="","",IFERROR(INDEX(Productos!$B$5:$B$504,MATCH($C2106,Productos!$A$5:$A$504,0)),"Clave no existe"))</f>
        <v/>
      </c>
      <c r="E2106" s="14" t="str">
        <f>IF($C2106="","",IFERROR(INDEX(Productos!$D$5:$D$504,MATCH($C2106,Productos!$A$5:$A$504,0)),""))</f>
        <v/>
      </c>
      <c r="F2106" s="20"/>
      <c r="G2106" s="22" t="str">
        <f>IF($C2106="","",IFERROR(INDEX(Productos!$F$5:$F$504,MATCH($C2106,Productos!$A$5:$A$504,0)),0))</f>
        <v/>
      </c>
      <c r="H2106" s="22" t="str">
        <f t="shared" si="32"/>
        <v/>
      </c>
      <c r="I2106" s="14" t="str">
        <f>IF(OR($C2106="",$F2106=""),"",IFERROR(INDEX(Productos!$I$5:$I$504,MATCH($C2106,Productos!$A$5:$A$504,0)),0)+SUMIFS($F$5:$F2106,$C$5:$C2106,$C2106,$B$5:$B2106,"Entrada")-SUMIFS($F$5:$F2106,$C$5:$C2106,$C2106,$B$5:$B2106,"Salida"))</f>
        <v/>
      </c>
      <c r="J2106" s="20"/>
      <c r="K2106" s="20"/>
      <c r="L2106" s="20"/>
      <c r="M2106" s="14" t="str">
        <f>IF(AND($C2106&lt;&gt;"",$C2106=Kardex!$C$4),COUNTIF($C$5:$C2106,Kardex!$C$4),"")</f>
        <v/>
      </c>
    </row>
    <row r="2107" spans="1:13" x14ac:dyDescent="0.25">
      <c r="A2107" s="24"/>
      <c r="B2107" s="20"/>
      <c r="C2107" s="20"/>
      <c r="D2107" s="14" t="str">
        <f>IF($C2107="","",IFERROR(INDEX(Productos!$B$5:$B$504,MATCH($C2107,Productos!$A$5:$A$504,0)),"Clave no existe"))</f>
        <v/>
      </c>
      <c r="E2107" s="14" t="str">
        <f>IF($C2107="","",IFERROR(INDEX(Productos!$D$5:$D$504,MATCH($C2107,Productos!$A$5:$A$504,0)),""))</f>
        <v/>
      </c>
      <c r="F2107" s="20"/>
      <c r="G2107" s="22" t="str">
        <f>IF($C2107="","",IFERROR(INDEX(Productos!$F$5:$F$504,MATCH($C2107,Productos!$A$5:$A$504,0)),0))</f>
        <v/>
      </c>
      <c r="H2107" s="22" t="str">
        <f t="shared" si="32"/>
        <v/>
      </c>
      <c r="I2107" s="14" t="str">
        <f>IF(OR($C2107="",$F2107=""),"",IFERROR(INDEX(Productos!$I$5:$I$504,MATCH($C2107,Productos!$A$5:$A$504,0)),0)+SUMIFS($F$5:$F2107,$C$5:$C2107,$C2107,$B$5:$B2107,"Entrada")-SUMIFS($F$5:$F2107,$C$5:$C2107,$C2107,$B$5:$B2107,"Salida"))</f>
        <v/>
      </c>
      <c r="J2107" s="20"/>
      <c r="K2107" s="20"/>
      <c r="L2107" s="20"/>
      <c r="M2107" s="14" t="str">
        <f>IF(AND($C2107&lt;&gt;"",$C2107=Kardex!$C$4),COUNTIF($C$5:$C2107,Kardex!$C$4),"")</f>
        <v/>
      </c>
    </row>
    <row r="2108" spans="1:13" x14ac:dyDescent="0.25">
      <c r="A2108" s="24"/>
      <c r="B2108" s="20"/>
      <c r="C2108" s="20"/>
      <c r="D2108" s="14" t="str">
        <f>IF($C2108="","",IFERROR(INDEX(Productos!$B$5:$B$504,MATCH($C2108,Productos!$A$5:$A$504,0)),"Clave no existe"))</f>
        <v/>
      </c>
      <c r="E2108" s="14" t="str">
        <f>IF($C2108="","",IFERROR(INDEX(Productos!$D$5:$D$504,MATCH($C2108,Productos!$A$5:$A$504,0)),""))</f>
        <v/>
      </c>
      <c r="F2108" s="20"/>
      <c r="G2108" s="22" t="str">
        <f>IF($C2108="","",IFERROR(INDEX(Productos!$F$5:$F$504,MATCH($C2108,Productos!$A$5:$A$504,0)),0))</f>
        <v/>
      </c>
      <c r="H2108" s="22" t="str">
        <f t="shared" si="32"/>
        <v/>
      </c>
      <c r="I2108" s="14" t="str">
        <f>IF(OR($C2108="",$F2108=""),"",IFERROR(INDEX(Productos!$I$5:$I$504,MATCH($C2108,Productos!$A$5:$A$504,0)),0)+SUMIFS($F$5:$F2108,$C$5:$C2108,$C2108,$B$5:$B2108,"Entrada")-SUMIFS($F$5:$F2108,$C$5:$C2108,$C2108,$B$5:$B2108,"Salida"))</f>
        <v/>
      </c>
      <c r="J2108" s="20"/>
      <c r="K2108" s="20"/>
      <c r="L2108" s="20"/>
      <c r="M2108" s="14" t="str">
        <f>IF(AND($C2108&lt;&gt;"",$C2108=Kardex!$C$4),COUNTIF($C$5:$C2108,Kardex!$C$4),"")</f>
        <v/>
      </c>
    </row>
    <row r="2109" spans="1:13" x14ac:dyDescent="0.25">
      <c r="A2109" s="24"/>
      <c r="B2109" s="20"/>
      <c r="C2109" s="20"/>
      <c r="D2109" s="14" t="str">
        <f>IF($C2109="","",IFERROR(INDEX(Productos!$B$5:$B$504,MATCH($C2109,Productos!$A$5:$A$504,0)),"Clave no existe"))</f>
        <v/>
      </c>
      <c r="E2109" s="14" t="str">
        <f>IF($C2109="","",IFERROR(INDEX(Productos!$D$5:$D$504,MATCH($C2109,Productos!$A$5:$A$504,0)),""))</f>
        <v/>
      </c>
      <c r="F2109" s="20"/>
      <c r="G2109" s="22" t="str">
        <f>IF($C2109="","",IFERROR(INDEX(Productos!$F$5:$F$504,MATCH($C2109,Productos!$A$5:$A$504,0)),0))</f>
        <v/>
      </c>
      <c r="H2109" s="22" t="str">
        <f t="shared" si="32"/>
        <v/>
      </c>
      <c r="I2109" s="14" t="str">
        <f>IF(OR($C2109="",$F2109=""),"",IFERROR(INDEX(Productos!$I$5:$I$504,MATCH($C2109,Productos!$A$5:$A$504,0)),0)+SUMIFS($F$5:$F2109,$C$5:$C2109,$C2109,$B$5:$B2109,"Entrada")-SUMIFS($F$5:$F2109,$C$5:$C2109,$C2109,$B$5:$B2109,"Salida"))</f>
        <v/>
      </c>
      <c r="J2109" s="20"/>
      <c r="K2109" s="20"/>
      <c r="L2109" s="20"/>
      <c r="M2109" s="14" t="str">
        <f>IF(AND($C2109&lt;&gt;"",$C2109=Kardex!$C$4),COUNTIF($C$5:$C2109,Kardex!$C$4),"")</f>
        <v/>
      </c>
    </row>
    <row r="2110" spans="1:13" x14ac:dyDescent="0.25">
      <c r="A2110" s="24"/>
      <c r="B2110" s="20"/>
      <c r="C2110" s="20"/>
      <c r="D2110" s="14" t="str">
        <f>IF($C2110="","",IFERROR(INDEX(Productos!$B$5:$B$504,MATCH($C2110,Productos!$A$5:$A$504,0)),"Clave no existe"))</f>
        <v/>
      </c>
      <c r="E2110" s="14" t="str">
        <f>IF($C2110="","",IFERROR(INDEX(Productos!$D$5:$D$504,MATCH($C2110,Productos!$A$5:$A$504,0)),""))</f>
        <v/>
      </c>
      <c r="F2110" s="20"/>
      <c r="G2110" s="22" t="str">
        <f>IF($C2110="","",IFERROR(INDEX(Productos!$F$5:$F$504,MATCH($C2110,Productos!$A$5:$A$504,0)),0))</f>
        <v/>
      </c>
      <c r="H2110" s="22" t="str">
        <f t="shared" si="32"/>
        <v/>
      </c>
      <c r="I2110" s="14" t="str">
        <f>IF(OR($C2110="",$F2110=""),"",IFERROR(INDEX(Productos!$I$5:$I$504,MATCH($C2110,Productos!$A$5:$A$504,0)),0)+SUMIFS($F$5:$F2110,$C$5:$C2110,$C2110,$B$5:$B2110,"Entrada")-SUMIFS($F$5:$F2110,$C$5:$C2110,$C2110,$B$5:$B2110,"Salida"))</f>
        <v/>
      </c>
      <c r="J2110" s="20"/>
      <c r="K2110" s="20"/>
      <c r="L2110" s="20"/>
      <c r="M2110" s="14" t="str">
        <f>IF(AND($C2110&lt;&gt;"",$C2110=Kardex!$C$4),COUNTIF($C$5:$C2110,Kardex!$C$4),"")</f>
        <v/>
      </c>
    </row>
    <row r="2111" spans="1:13" x14ac:dyDescent="0.25">
      <c r="A2111" s="24"/>
      <c r="B2111" s="20"/>
      <c r="C2111" s="20"/>
      <c r="D2111" s="14" t="str">
        <f>IF($C2111="","",IFERROR(INDEX(Productos!$B$5:$B$504,MATCH($C2111,Productos!$A$5:$A$504,0)),"Clave no existe"))</f>
        <v/>
      </c>
      <c r="E2111" s="14" t="str">
        <f>IF($C2111="","",IFERROR(INDEX(Productos!$D$5:$D$504,MATCH($C2111,Productos!$A$5:$A$504,0)),""))</f>
        <v/>
      </c>
      <c r="F2111" s="20"/>
      <c r="G2111" s="22" t="str">
        <f>IF($C2111="","",IFERROR(INDEX(Productos!$F$5:$F$504,MATCH($C2111,Productos!$A$5:$A$504,0)),0))</f>
        <v/>
      </c>
      <c r="H2111" s="22" t="str">
        <f t="shared" si="32"/>
        <v/>
      </c>
      <c r="I2111" s="14" t="str">
        <f>IF(OR($C2111="",$F2111=""),"",IFERROR(INDEX(Productos!$I$5:$I$504,MATCH($C2111,Productos!$A$5:$A$504,0)),0)+SUMIFS($F$5:$F2111,$C$5:$C2111,$C2111,$B$5:$B2111,"Entrada")-SUMIFS($F$5:$F2111,$C$5:$C2111,$C2111,$B$5:$B2111,"Salida"))</f>
        <v/>
      </c>
      <c r="J2111" s="20"/>
      <c r="K2111" s="20"/>
      <c r="L2111" s="20"/>
      <c r="M2111" s="14" t="str">
        <f>IF(AND($C2111&lt;&gt;"",$C2111=Kardex!$C$4),COUNTIF($C$5:$C2111,Kardex!$C$4),"")</f>
        <v/>
      </c>
    </row>
    <row r="2112" spans="1:13" x14ac:dyDescent="0.25">
      <c r="A2112" s="24"/>
      <c r="B2112" s="20"/>
      <c r="C2112" s="20"/>
      <c r="D2112" s="14" t="str">
        <f>IF($C2112="","",IFERROR(INDEX(Productos!$B$5:$B$504,MATCH($C2112,Productos!$A$5:$A$504,0)),"Clave no existe"))</f>
        <v/>
      </c>
      <c r="E2112" s="14" t="str">
        <f>IF($C2112="","",IFERROR(INDEX(Productos!$D$5:$D$504,MATCH($C2112,Productos!$A$5:$A$504,0)),""))</f>
        <v/>
      </c>
      <c r="F2112" s="20"/>
      <c r="G2112" s="22" t="str">
        <f>IF($C2112="","",IFERROR(INDEX(Productos!$F$5:$F$504,MATCH($C2112,Productos!$A$5:$A$504,0)),0))</f>
        <v/>
      </c>
      <c r="H2112" s="22" t="str">
        <f t="shared" si="32"/>
        <v/>
      </c>
      <c r="I2112" s="14" t="str">
        <f>IF(OR($C2112="",$F2112=""),"",IFERROR(INDEX(Productos!$I$5:$I$504,MATCH($C2112,Productos!$A$5:$A$504,0)),0)+SUMIFS($F$5:$F2112,$C$5:$C2112,$C2112,$B$5:$B2112,"Entrada")-SUMIFS($F$5:$F2112,$C$5:$C2112,$C2112,$B$5:$B2112,"Salida"))</f>
        <v/>
      </c>
      <c r="J2112" s="20"/>
      <c r="K2112" s="20"/>
      <c r="L2112" s="20"/>
      <c r="M2112" s="14" t="str">
        <f>IF(AND($C2112&lt;&gt;"",$C2112=Kardex!$C$4),COUNTIF($C$5:$C2112,Kardex!$C$4),"")</f>
        <v/>
      </c>
    </row>
    <row r="2113" spans="1:13" x14ac:dyDescent="0.25">
      <c r="A2113" s="24"/>
      <c r="B2113" s="20"/>
      <c r="C2113" s="20"/>
      <c r="D2113" s="14" t="str">
        <f>IF($C2113="","",IFERROR(INDEX(Productos!$B$5:$B$504,MATCH($C2113,Productos!$A$5:$A$504,0)),"Clave no existe"))</f>
        <v/>
      </c>
      <c r="E2113" s="14" t="str">
        <f>IF($C2113="","",IFERROR(INDEX(Productos!$D$5:$D$504,MATCH($C2113,Productos!$A$5:$A$504,0)),""))</f>
        <v/>
      </c>
      <c r="F2113" s="20"/>
      <c r="G2113" s="22" t="str">
        <f>IF($C2113="","",IFERROR(INDEX(Productos!$F$5:$F$504,MATCH($C2113,Productos!$A$5:$A$504,0)),0))</f>
        <v/>
      </c>
      <c r="H2113" s="22" t="str">
        <f t="shared" si="32"/>
        <v/>
      </c>
      <c r="I2113" s="14" t="str">
        <f>IF(OR($C2113="",$F2113=""),"",IFERROR(INDEX(Productos!$I$5:$I$504,MATCH($C2113,Productos!$A$5:$A$504,0)),0)+SUMIFS($F$5:$F2113,$C$5:$C2113,$C2113,$B$5:$B2113,"Entrada")-SUMIFS($F$5:$F2113,$C$5:$C2113,$C2113,$B$5:$B2113,"Salida"))</f>
        <v/>
      </c>
      <c r="J2113" s="20"/>
      <c r="K2113" s="20"/>
      <c r="L2113" s="20"/>
      <c r="M2113" s="14" t="str">
        <f>IF(AND($C2113&lt;&gt;"",$C2113=Kardex!$C$4),COUNTIF($C$5:$C2113,Kardex!$C$4),"")</f>
        <v/>
      </c>
    </row>
    <row r="2114" spans="1:13" x14ac:dyDescent="0.25">
      <c r="A2114" s="24"/>
      <c r="B2114" s="20"/>
      <c r="C2114" s="20"/>
      <c r="D2114" s="14" t="str">
        <f>IF($C2114="","",IFERROR(INDEX(Productos!$B$5:$B$504,MATCH($C2114,Productos!$A$5:$A$504,0)),"Clave no existe"))</f>
        <v/>
      </c>
      <c r="E2114" s="14" t="str">
        <f>IF($C2114="","",IFERROR(INDEX(Productos!$D$5:$D$504,MATCH($C2114,Productos!$A$5:$A$504,0)),""))</f>
        <v/>
      </c>
      <c r="F2114" s="20"/>
      <c r="G2114" s="22" t="str">
        <f>IF($C2114="","",IFERROR(INDEX(Productos!$F$5:$F$504,MATCH($C2114,Productos!$A$5:$A$504,0)),0))</f>
        <v/>
      </c>
      <c r="H2114" s="22" t="str">
        <f t="shared" si="32"/>
        <v/>
      </c>
      <c r="I2114" s="14" t="str">
        <f>IF(OR($C2114="",$F2114=""),"",IFERROR(INDEX(Productos!$I$5:$I$504,MATCH($C2114,Productos!$A$5:$A$504,0)),0)+SUMIFS($F$5:$F2114,$C$5:$C2114,$C2114,$B$5:$B2114,"Entrada")-SUMIFS($F$5:$F2114,$C$5:$C2114,$C2114,$B$5:$B2114,"Salida"))</f>
        <v/>
      </c>
      <c r="J2114" s="20"/>
      <c r="K2114" s="20"/>
      <c r="L2114" s="20"/>
      <c r="M2114" s="14" t="str">
        <f>IF(AND($C2114&lt;&gt;"",$C2114=Kardex!$C$4),COUNTIF($C$5:$C2114,Kardex!$C$4),"")</f>
        <v/>
      </c>
    </row>
    <row r="2115" spans="1:13" x14ac:dyDescent="0.25">
      <c r="A2115" s="24"/>
      <c r="B2115" s="20"/>
      <c r="C2115" s="20"/>
      <c r="D2115" s="14" t="str">
        <f>IF($C2115="","",IFERROR(INDEX(Productos!$B$5:$B$504,MATCH($C2115,Productos!$A$5:$A$504,0)),"Clave no existe"))</f>
        <v/>
      </c>
      <c r="E2115" s="14" t="str">
        <f>IF($C2115="","",IFERROR(INDEX(Productos!$D$5:$D$504,MATCH($C2115,Productos!$A$5:$A$504,0)),""))</f>
        <v/>
      </c>
      <c r="F2115" s="20"/>
      <c r="G2115" s="22" t="str">
        <f>IF($C2115="","",IFERROR(INDEX(Productos!$F$5:$F$504,MATCH($C2115,Productos!$A$5:$A$504,0)),0))</f>
        <v/>
      </c>
      <c r="H2115" s="22" t="str">
        <f t="shared" si="32"/>
        <v/>
      </c>
      <c r="I2115" s="14" t="str">
        <f>IF(OR($C2115="",$F2115=""),"",IFERROR(INDEX(Productos!$I$5:$I$504,MATCH($C2115,Productos!$A$5:$A$504,0)),0)+SUMIFS($F$5:$F2115,$C$5:$C2115,$C2115,$B$5:$B2115,"Entrada")-SUMIFS($F$5:$F2115,$C$5:$C2115,$C2115,$B$5:$B2115,"Salida"))</f>
        <v/>
      </c>
      <c r="J2115" s="20"/>
      <c r="K2115" s="20"/>
      <c r="L2115" s="20"/>
      <c r="M2115" s="14" t="str">
        <f>IF(AND($C2115&lt;&gt;"",$C2115=Kardex!$C$4),COUNTIF($C$5:$C2115,Kardex!$C$4),"")</f>
        <v/>
      </c>
    </row>
    <row r="2116" spans="1:13" x14ac:dyDescent="0.25">
      <c r="A2116" s="24"/>
      <c r="B2116" s="20"/>
      <c r="C2116" s="20"/>
      <c r="D2116" s="14" t="str">
        <f>IF($C2116="","",IFERROR(INDEX(Productos!$B$5:$B$504,MATCH($C2116,Productos!$A$5:$A$504,0)),"Clave no existe"))</f>
        <v/>
      </c>
      <c r="E2116" s="14" t="str">
        <f>IF($C2116="","",IFERROR(INDEX(Productos!$D$5:$D$504,MATCH($C2116,Productos!$A$5:$A$504,0)),""))</f>
        <v/>
      </c>
      <c r="F2116" s="20"/>
      <c r="G2116" s="22" t="str">
        <f>IF($C2116="","",IFERROR(INDEX(Productos!$F$5:$F$504,MATCH($C2116,Productos!$A$5:$A$504,0)),0))</f>
        <v/>
      </c>
      <c r="H2116" s="22" t="str">
        <f t="shared" si="32"/>
        <v/>
      </c>
      <c r="I2116" s="14" t="str">
        <f>IF(OR($C2116="",$F2116=""),"",IFERROR(INDEX(Productos!$I$5:$I$504,MATCH($C2116,Productos!$A$5:$A$504,0)),0)+SUMIFS($F$5:$F2116,$C$5:$C2116,$C2116,$B$5:$B2116,"Entrada")-SUMIFS($F$5:$F2116,$C$5:$C2116,$C2116,$B$5:$B2116,"Salida"))</f>
        <v/>
      </c>
      <c r="J2116" s="20"/>
      <c r="K2116" s="20"/>
      <c r="L2116" s="20"/>
      <c r="M2116" s="14" t="str">
        <f>IF(AND($C2116&lt;&gt;"",$C2116=Kardex!$C$4),COUNTIF($C$5:$C2116,Kardex!$C$4),"")</f>
        <v/>
      </c>
    </row>
    <row r="2117" spans="1:13" x14ac:dyDescent="0.25">
      <c r="A2117" s="24"/>
      <c r="B2117" s="20"/>
      <c r="C2117" s="20"/>
      <c r="D2117" s="14" t="str">
        <f>IF($C2117="","",IFERROR(INDEX(Productos!$B$5:$B$504,MATCH($C2117,Productos!$A$5:$A$504,0)),"Clave no existe"))</f>
        <v/>
      </c>
      <c r="E2117" s="14" t="str">
        <f>IF($C2117="","",IFERROR(INDEX(Productos!$D$5:$D$504,MATCH($C2117,Productos!$A$5:$A$504,0)),""))</f>
        <v/>
      </c>
      <c r="F2117" s="20"/>
      <c r="G2117" s="22" t="str">
        <f>IF($C2117="","",IFERROR(INDEX(Productos!$F$5:$F$504,MATCH($C2117,Productos!$A$5:$A$504,0)),0))</f>
        <v/>
      </c>
      <c r="H2117" s="22" t="str">
        <f t="shared" ref="H2117:H2180" si="33">IF(OR($C2117="",$F2117=""),"",F2117*G2117)</f>
        <v/>
      </c>
      <c r="I2117" s="14" t="str">
        <f>IF(OR($C2117="",$F2117=""),"",IFERROR(INDEX(Productos!$I$5:$I$504,MATCH($C2117,Productos!$A$5:$A$504,0)),0)+SUMIFS($F$5:$F2117,$C$5:$C2117,$C2117,$B$5:$B2117,"Entrada")-SUMIFS($F$5:$F2117,$C$5:$C2117,$C2117,$B$5:$B2117,"Salida"))</f>
        <v/>
      </c>
      <c r="J2117" s="20"/>
      <c r="K2117" s="20"/>
      <c r="L2117" s="20"/>
      <c r="M2117" s="14" t="str">
        <f>IF(AND($C2117&lt;&gt;"",$C2117=Kardex!$C$4),COUNTIF($C$5:$C2117,Kardex!$C$4),"")</f>
        <v/>
      </c>
    </row>
    <row r="2118" spans="1:13" x14ac:dyDescent="0.25">
      <c r="A2118" s="24"/>
      <c r="B2118" s="20"/>
      <c r="C2118" s="20"/>
      <c r="D2118" s="14" t="str">
        <f>IF($C2118="","",IFERROR(INDEX(Productos!$B$5:$B$504,MATCH($C2118,Productos!$A$5:$A$504,0)),"Clave no existe"))</f>
        <v/>
      </c>
      <c r="E2118" s="14" t="str">
        <f>IF($C2118="","",IFERROR(INDEX(Productos!$D$5:$D$504,MATCH($C2118,Productos!$A$5:$A$504,0)),""))</f>
        <v/>
      </c>
      <c r="F2118" s="20"/>
      <c r="G2118" s="22" t="str">
        <f>IF($C2118="","",IFERROR(INDEX(Productos!$F$5:$F$504,MATCH($C2118,Productos!$A$5:$A$504,0)),0))</f>
        <v/>
      </c>
      <c r="H2118" s="22" t="str">
        <f t="shared" si="33"/>
        <v/>
      </c>
      <c r="I2118" s="14" t="str">
        <f>IF(OR($C2118="",$F2118=""),"",IFERROR(INDEX(Productos!$I$5:$I$504,MATCH($C2118,Productos!$A$5:$A$504,0)),0)+SUMIFS($F$5:$F2118,$C$5:$C2118,$C2118,$B$5:$B2118,"Entrada")-SUMIFS($F$5:$F2118,$C$5:$C2118,$C2118,$B$5:$B2118,"Salida"))</f>
        <v/>
      </c>
      <c r="J2118" s="20"/>
      <c r="K2118" s="20"/>
      <c r="L2118" s="20"/>
      <c r="M2118" s="14" t="str">
        <f>IF(AND($C2118&lt;&gt;"",$C2118=Kardex!$C$4),COUNTIF($C$5:$C2118,Kardex!$C$4),"")</f>
        <v/>
      </c>
    </row>
    <row r="2119" spans="1:13" x14ac:dyDescent="0.25">
      <c r="A2119" s="24"/>
      <c r="B2119" s="20"/>
      <c r="C2119" s="20"/>
      <c r="D2119" s="14" t="str">
        <f>IF($C2119="","",IFERROR(INDEX(Productos!$B$5:$B$504,MATCH($C2119,Productos!$A$5:$A$504,0)),"Clave no existe"))</f>
        <v/>
      </c>
      <c r="E2119" s="14" t="str">
        <f>IF($C2119="","",IFERROR(INDEX(Productos!$D$5:$D$504,MATCH($C2119,Productos!$A$5:$A$504,0)),""))</f>
        <v/>
      </c>
      <c r="F2119" s="20"/>
      <c r="G2119" s="22" t="str">
        <f>IF($C2119="","",IFERROR(INDEX(Productos!$F$5:$F$504,MATCH($C2119,Productos!$A$5:$A$504,0)),0))</f>
        <v/>
      </c>
      <c r="H2119" s="22" t="str">
        <f t="shared" si="33"/>
        <v/>
      </c>
      <c r="I2119" s="14" t="str">
        <f>IF(OR($C2119="",$F2119=""),"",IFERROR(INDEX(Productos!$I$5:$I$504,MATCH($C2119,Productos!$A$5:$A$504,0)),0)+SUMIFS($F$5:$F2119,$C$5:$C2119,$C2119,$B$5:$B2119,"Entrada")-SUMIFS($F$5:$F2119,$C$5:$C2119,$C2119,$B$5:$B2119,"Salida"))</f>
        <v/>
      </c>
      <c r="J2119" s="20"/>
      <c r="K2119" s="20"/>
      <c r="L2119" s="20"/>
      <c r="M2119" s="14" t="str">
        <f>IF(AND($C2119&lt;&gt;"",$C2119=Kardex!$C$4),COUNTIF($C$5:$C2119,Kardex!$C$4),"")</f>
        <v/>
      </c>
    </row>
    <row r="2120" spans="1:13" x14ac:dyDescent="0.25">
      <c r="A2120" s="24"/>
      <c r="B2120" s="20"/>
      <c r="C2120" s="20"/>
      <c r="D2120" s="14" t="str">
        <f>IF($C2120="","",IFERROR(INDEX(Productos!$B$5:$B$504,MATCH($C2120,Productos!$A$5:$A$504,0)),"Clave no existe"))</f>
        <v/>
      </c>
      <c r="E2120" s="14" t="str">
        <f>IF($C2120="","",IFERROR(INDEX(Productos!$D$5:$D$504,MATCH($C2120,Productos!$A$5:$A$504,0)),""))</f>
        <v/>
      </c>
      <c r="F2120" s="20"/>
      <c r="G2120" s="22" t="str">
        <f>IF($C2120="","",IFERROR(INDEX(Productos!$F$5:$F$504,MATCH($C2120,Productos!$A$5:$A$504,0)),0))</f>
        <v/>
      </c>
      <c r="H2120" s="22" t="str">
        <f t="shared" si="33"/>
        <v/>
      </c>
      <c r="I2120" s="14" t="str">
        <f>IF(OR($C2120="",$F2120=""),"",IFERROR(INDEX(Productos!$I$5:$I$504,MATCH($C2120,Productos!$A$5:$A$504,0)),0)+SUMIFS($F$5:$F2120,$C$5:$C2120,$C2120,$B$5:$B2120,"Entrada")-SUMIFS($F$5:$F2120,$C$5:$C2120,$C2120,$B$5:$B2120,"Salida"))</f>
        <v/>
      </c>
      <c r="J2120" s="20"/>
      <c r="K2120" s="20"/>
      <c r="L2120" s="20"/>
      <c r="M2120" s="14" t="str">
        <f>IF(AND($C2120&lt;&gt;"",$C2120=Kardex!$C$4),COUNTIF($C$5:$C2120,Kardex!$C$4),"")</f>
        <v/>
      </c>
    </row>
    <row r="2121" spans="1:13" x14ac:dyDescent="0.25">
      <c r="A2121" s="24"/>
      <c r="B2121" s="20"/>
      <c r="C2121" s="20"/>
      <c r="D2121" s="14" t="str">
        <f>IF($C2121="","",IFERROR(INDEX(Productos!$B$5:$B$504,MATCH($C2121,Productos!$A$5:$A$504,0)),"Clave no existe"))</f>
        <v/>
      </c>
      <c r="E2121" s="14" t="str">
        <f>IF($C2121="","",IFERROR(INDEX(Productos!$D$5:$D$504,MATCH($C2121,Productos!$A$5:$A$504,0)),""))</f>
        <v/>
      </c>
      <c r="F2121" s="20"/>
      <c r="G2121" s="22" t="str">
        <f>IF($C2121="","",IFERROR(INDEX(Productos!$F$5:$F$504,MATCH($C2121,Productos!$A$5:$A$504,0)),0))</f>
        <v/>
      </c>
      <c r="H2121" s="22" t="str">
        <f t="shared" si="33"/>
        <v/>
      </c>
      <c r="I2121" s="14" t="str">
        <f>IF(OR($C2121="",$F2121=""),"",IFERROR(INDEX(Productos!$I$5:$I$504,MATCH($C2121,Productos!$A$5:$A$504,0)),0)+SUMIFS($F$5:$F2121,$C$5:$C2121,$C2121,$B$5:$B2121,"Entrada")-SUMIFS($F$5:$F2121,$C$5:$C2121,$C2121,$B$5:$B2121,"Salida"))</f>
        <v/>
      </c>
      <c r="J2121" s="20"/>
      <c r="K2121" s="20"/>
      <c r="L2121" s="20"/>
      <c r="M2121" s="14" t="str">
        <f>IF(AND($C2121&lt;&gt;"",$C2121=Kardex!$C$4),COUNTIF($C$5:$C2121,Kardex!$C$4),"")</f>
        <v/>
      </c>
    </row>
    <row r="2122" spans="1:13" x14ac:dyDescent="0.25">
      <c r="A2122" s="24"/>
      <c r="B2122" s="20"/>
      <c r="C2122" s="20"/>
      <c r="D2122" s="14" t="str">
        <f>IF($C2122="","",IFERROR(INDEX(Productos!$B$5:$B$504,MATCH($C2122,Productos!$A$5:$A$504,0)),"Clave no existe"))</f>
        <v/>
      </c>
      <c r="E2122" s="14" t="str">
        <f>IF($C2122="","",IFERROR(INDEX(Productos!$D$5:$D$504,MATCH($C2122,Productos!$A$5:$A$504,0)),""))</f>
        <v/>
      </c>
      <c r="F2122" s="20"/>
      <c r="G2122" s="22" t="str">
        <f>IF($C2122="","",IFERROR(INDEX(Productos!$F$5:$F$504,MATCH($C2122,Productos!$A$5:$A$504,0)),0))</f>
        <v/>
      </c>
      <c r="H2122" s="22" t="str">
        <f t="shared" si="33"/>
        <v/>
      </c>
      <c r="I2122" s="14" t="str">
        <f>IF(OR($C2122="",$F2122=""),"",IFERROR(INDEX(Productos!$I$5:$I$504,MATCH($C2122,Productos!$A$5:$A$504,0)),0)+SUMIFS($F$5:$F2122,$C$5:$C2122,$C2122,$B$5:$B2122,"Entrada")-SUMIFS($F$5:$F2122,$C$5:$C2122,$C2122,$B$5:$B2122,"Salida"))</f>
        <v/>
      </c>
      <c r="J2122" s="20"/>
      <c r="K2122" s="20"/>
      <c r="L2122" s="20"/>
      <c r="M2122" s="14" t="str">
        <f>IF(AND($C2122&lt;&gt;"",$C2122=Kardex!$C$4),COUNTIF($C$5:$C2122,Kardex!$C$4),"")</f>
        <v/>
      </c>
    </row>
    <row r="2123" spans="1:13" x14ac:dyDescent="0.25">
      <c r="A2123" s="24"/>
      <c r="B2123" s="20"/>
      <c r="C2123" s="20"/>
      <c r="D2123" s="14" t="str">
        <f>IF($C2123="","",IFERROR(INDEX(Productos!$B$5:$B$504,MATCH($C2123,Productos!$A$5:$A$504,0)),"Clave no existe"))</f>
        <v/>
      </c>
      <c r="E2123" s="14" t="str">
        <f>IF($C2123="","",IFERROR(INDEX(Productos!$D$5:$D$504,MATCH($C2123,Productos!$A$5:$A$504,0)),""))</f>
        <v/>
      </c>
      <c r="F2123" s="20"/>
      <c r="G2123" s="22" t="str">
        <f>IF($C2123="","",IFERROR(INDEX(Productos!$F$5:$F$504,MATCH($C2123,Productos!$A$5:$A$504,0)),0))</f>
        <v/>
      </c>
      <c r="H2123" s="22" t="str">
        <f t="shared" si="33"/>
        <v/>
      </c>
      <c r="I2123" s="14" t="str">
        <f>IF(OR($C2123="",$F2123=""),"",IFERROR(INDEX(Productos!$I$5:$I$504,MATCH($C2123,Productos!$A$5:$A$504,0)),0)+SUMIFS($F$5:$F2123,$C$5:$C2123,$C2123,$B$5:$B2123,"Entrada")-SUMIFS($F$5:$F2123,$C$5:$C2123,$C2123,$B$5:$B2123,"Salida"))</f>
        <v/>
      </c>
      <c r="J2123" s="20"/>
      <c r="K2123" s="20"/>
      <c r="L2123" s="20"/>
      <c r="M2123" s="14" t="str">
        <f>IF(AND($C2123&lt;&gt;"",$C2123=Kardex!$C$4),COUNTIF($C$5:$C2123,Kardex!$C$4),"")</f>
        <v/>
      </c>
    </row>
    <row r="2124" spans="1:13" x14ac:dyDescent="0.25">
      <c r="A2124" s="24"/>
      <c r="B2124" s="20"/>
      <c r="C2124" s="20"/>
      <c r="D2124" s="14" t="str">
        <f>IF($C2124="","",IFERROR(INDEX(Productos!$B$5:$B$504,MATCH($C2124,Productos!$A$5:$A$504,0)),"Clave no existe"))</f>
        <v/>
      </c>
      <c r="E2124" s="14" t="str">
        <f>IF($C2124="","",IFERROR(INDEX(Productos!$D$5:$D$504,MATCH($C2124,Productos!$A$5:$A$504,0)),""))</f>
        <v/>
      </c>
      <c r="F2124" s="20"/>
      <c r="G2124" s="22" t="str">
        <f>IF($C2124="","",IFERROR(INDEX(Productos!$F$5:$F$504,MATCH($C2124,Productos!$A$5:$A$504,0)),0))</f>
        <v/>
      </c>
      <c r="H2124" s="22" t="str">
        <f t="shared" si="33"/>
        <v/>
      </c>
      <c r="I2124" s="14" t="str">
        <f>IF(OR($C2124="",$F2124=""),"",IFERROR(INDEX(Productos!$I$5:$I$504,MATCH($C2124,Productos!$A$5:$A$504,0)),0)+SUMIFS($F$5:$F2124,$C$5:$C2124,$C2124,$B$5:$B2124,"Entrada")-SUMIFS($F$5:$F2124,$C$5:$C2124,$C2124,$B$5:$B2124,"Salida"))</f>
        <v/>
      </c>
      <c r="J2124" s="20"/>
      <c r="K2124" s="20"/>
      <c r="L2124" s="20"/>
      <c r="M2124" s="14" t="str">
        <f>IF(AND($C2124&lt;&gt;"",$C2124=Kardex!$C$4),COUNTIF($C$5:$C2124,Kardex!$C$4),"")</f>
        <v/>
      </c>
    </row>
    <row r="2125" spans="1:13" x14ac:dyDescent="0.25">
      <c r="A2125" s="24"/>
      <c r="B2125" s="20"/>
      <c r="C2125" s="20"/>
      <c r="D2125" s="14" t="str">
        <f>IF($C2125="","",IFERROR(INDEX(Productos!$B$5:$B$504,MATCH($C2125,Productos!$A$5:$A$504,0)),"Clave no existe"))</f>
        <v/>
      </c>
      <c r="E2125" s="14" t="str">
        <f>IF($C2125="","",IFERROR(INDEX(Productos!$D$5:$D$504,MATCH($C2125,Productos!$A$5:$A$504,0)),""))</f>
        <v/>
      </c>
      <c r="F2125" s="20"/>
      <c r="G2125" s="22" t="str">
        <f>IF($C2125="","",IFERROR(INDEX(Productos!$F$5:$F$504,MATCH($C2125,Productos!$A$5:$A$504,0)),0))</f>
        <v/>
      </c>
      <c r="H2125" s="22" t="str">
        <f t="shared" si="33"/>
        <v/>
      </c>
      <c r="I2125" s="14" t="str">
        <f>IF(OR($C2125="",$F2125=""),"",IFERROR(INDEX(Productos!$I$5:$I$504,MATCH($C2125,Productos!$A$5:$A$504,0)),0)+SUMIFS($F$5:$F2125,$C$5:$C2125,$C2125,$B$5:$B2125,"Entrada")-SUMIFS($F$5:$F2125,$C$5:$C2125,$C2125,$B$5:$B2125,"Salida"))</f>
        <v/>
      </c>
      <c r="J2125" s="20"/>
      <c r="K2125" s="20"/>
      <c r="L2125" s="20"/>
      <c r="M2125" s="14" t="str">
        <f>IF(AND($C2125&lt;&gt;"",$C2125=Kardex!$C$4),COUNTIF($C$5:$C2125,Kardex!$C$4),"")</f>
        <v/>
      </c>
    </row>
    <row r="2126" spans="1:13" x14ac:dyDescent="0.25">
      <c r="A2126" s="24"/>
      <c r="B2126" s="20"/>
      <c r="C2126" s="20"/>
      <c r="D2126" s="14" t="str">
        <f>IF($C2126="","",IFERROR(INDEX(Productos!$B$5:$B$504,MATCH($C2126,Productos!$A$5:$A$504,0)),"Clave no existe"))</f>
        <v/>
      </c>
      <c r="E2126" s="14" t="str">
        <f>IF($C2126="","",IFERROR(INDEX(Productos!$D$5:$D$504,MATCH($C2126,Productos!$A$5:$A$504,0)),""))</f>
        <v/>
      </c>
      <c r="F2126" s="20"/>
      <c r="G2126" s="22" t="str">
        <f>IF($C2126="","",IFERROR(INDEX(Productos!$F$5:$F$504,MATCH($C2126,Productos!$A$5:$A$504,0)),0))</f>
        <v/>
      </c>
      <c r="H2126" s="22" t="str">
        <f t="shared" si="33"/>
        <v/>
      </c>
      <c r="I2126" s="14" t="str">
        <f>IF(OR($C2126="",$F2126=""),"",IFERROR(INDEX(Productos!$I$5:$I$504,MATCH($C2126,Productos!$A$5:$A$504,0)),0)+SUMIFS($F$5:$F2126,$C$5:$C2126,$C2126,$B$5:$B2126,"Entrada")-SUMIFS($F$5:$F2126,$C$5:$C2126,$C2126,$B$5:$B2126,"Salida"))</f>
        <v/>
      </c>
      <c r="J2126" s="20"/>
      <c r="K2126" s="20"/>
      <c r="L2126" s="20"/>
      <c r="M2126" s="14" t="str">
        <f>IF(AND($C2126&lt;&gt;"",$C2126=Kardex!$C$4),COUNTIF($C$5:$C2126,Kardex!$C$4),"")</f>
        <v/>
      </c>
    </row>
    <row r="2127" spans="1:13" x14ac:dyDescent="0.25">
      <c r="A2127" s="24"/>
      <c r="B2127" s="20"/>
      <c r="C2127" s="20"/>
      <c r="D2127" s="14" t="str">
        <f>IF($C2127="","",IFERROR(INDEX(Productos!$B$5:$B$504,MATCH($C2127,Productos!$A$5:$A$504,0)),"Clave no existe"))</f>
        <v/>
      </c>
      <c r="E2127" s="14" t="str">
        <f>IF($C2127="","",IFERROR(INDEX(Productos!$D$5:$D$504,MATCH($C2127,Productos!$A$5:$A$504,0)),""))</f>
        <v/>
      </c>
      <c r="F2127" s="20"/>
      <c r="G2127" s="22" t="str">
        <f>IF($C2127="","",IFERROR(INDEX(Productos!$F$5:$F$504,MATCH($C2127,Productos!$A$5:$A$504,0)),0))</f>
        <v/>
      </c>
      <c r="H2127" s="22" t="str">
        <f t="shared" si="33"/>
        <v/>
      </c>
      <c r="I2127" s="14" t="str">
        <f>IF(OR($C2127="",$F2127=""),"",IFERROR(INDEX(Productos!$I$5:$I$504,MATCH($C2127,Productos!$A$5:$A$504,0)),0)+SUMIFS($F$5:$F2127,$C$5:$C2127,$C2127,$B$5:$B2127,"Entrada")-SUMIFS($F$5:$F2127,$C$5:$C2127,$C2127,$B$5:$B2127,"Salida"))</f>
        <v/>
      </c>
      <c r="J2127" s="20"/>
      <c r="K2127" s="20"/>
      <c r="L2127" s="20"/>
      <c r="M2127" s="14" t="str">
        <f>IF(AND($C2127&lt;&gt;"",$C2127=Kardex!$C$4),COUNTIF($C$5:$C2127,Kardex!$C$4),"")</f>
        <v/>
      </c>
    </row>
    <row r="2128" spans="1:13" x14ac:dyDescent="0.25">
      <c r="A2128" s="24"/>
      <c r="B2128" s="20"/>
      <c r="C2128" s="20"/>
      <c r="D2128" s="14" t="str">
        <f>IF($C2128="","",IFERROR(INDEX(Productos!$B$5:$B$504,MATCH($C2128,Productos!$A$5:$A$504,0)),"Clave no existe"))</f>
        <v/>
      </c>
      <c r="E2128" s="14" t="str">
        <f>IF($C2128="","",IFERROR(INDEX(Productos!$D$5:$D$504,MATCH($C2128,Productos!$A$5:$A$504,0)),""))</f>
        <v/>
      </c>
      <c r="F2128" s="20"/>
      <c r="G2128" s="22" t="str">
        <f>IF($C2128="","",IFERROR(INDEX(Productos!$F$5:$F$504,MATCH($C2128,Productos!$A$5:$A$504,0)),0))</f>
        <v/>
      </c>
      <c r="H2128" s="22" t="str">
        <f t="shared" si="33"/>
        <v/>
      </c>
      <c r="I2128" s="14" t="str">
        <f>IF(OR($C2128="",$F2128=""),"",IFERROR(INDEX(Productos!$I$5:$I$504,MATCH($C2128,Productos!$A$5:$A$504,0)),0)+SUMIFS($F$5:$F2128,$C$5:$C2128,$C2128,$B$5:$B2128,"Entrada")-SUMIFS($F$5:$F2128,$C$5:$C2128,$C2128,$B$5:$B2128,"Salida"))</f>
        <v/>
      </c>
      <c r="J2128" s="20"/>
      <c r="K2128" s="20"/>
      <c r="L2128" s="20"/>
      <c r="M2128" s="14" t="str">
        <f>IF(AND($C2128&lt;&gt;"",$C2128=Kardex!$C$4),COUNTIF($C$5:$C2128,Kardex!$C$4),"")</f>
        <v/>
      </c>
    </row>
    <row r="2129" spans="1:13" x14ac:dyDescent="0.25">
      <c r="A2129" s="24"/>
      <c r="B2129" s="20"/>
      <c r="C2129" s="20"/>
      <c r="D2129" s="14" t="str">
        <f>IF($C2129="","",IFERROR(INDEX(Productos!$B$5:$B$504,MATCH($C2129,Productos!$A$5:$A$504,0)),"Clave no existe"))</f>
        <v/>
      </c>
      <c r="E2129" s="14" t="str">
        <f>IF($C2129="","",IFERROR(INDEX(Productos!$D$5:$D$504,MATCH($C2129,Productos!$A$5:$A$504,0)),""))</f>
        <v/>
      </c>
      <c r="F2129" s="20"/>
      <c r="G2129" s="22" t="str">
        <f>IF($C2129="","",IFERROR(INDEX(Productos!$F$5:$F$504,MATCH($C2129,Productos!$A$5:$A$504,0)),0))</f>
        <v/>
      </c>
      <c r="H2129" s="22" t="str">
        <f t="shared" si="33"/>
        <v/>
      </c>
      <c r="I2129" s="14" t="str">
        <f>IF(OR($C2129="",$F2129=""),"",IFERROR(INDEX(Productos!$I$5:$I$504,MATCH($C2129,Productos!$A$5:$A$504,0)),0)+SUMIFS($F$5:$F2129,$C$5:$C2129,$C2129,$B$5:$B2129,"Entrada")-SUMIFS($F$5:$F2129,$C$5:$C2129,$C2129,$B$5:$B2129,"Salida"))</f>
        <v/>
      </c>
      <c r="J2129" s="20"/>
      <c r="K2129" s="20"/>
      <c r="L2129" s="20"/>
      <c r="M2129" s="14" t="str">
        <f>IF(AND($C2129&lt;&gt;"",$C2129=Kardex!$C$4),COUNTIF($C$5:$C2129,Kardex!$C$4),"")</f>
        <v/>
      </c>
    </row>
    <row r="2130" spans="1:13" x14ac:dyDescent="0.25">
      <c r="A2130" s="24"/>
      <c r="B2130" s="20"/>
      <c r="C2130" s="20"/>
      <c r="D2130" s="14" t="str">
        <f>IF($C2130="","",IFERROR(INDEX(Productos!$B$5:$B$504,MATCH($C2130,Productos!$A$5:$A$504,0)),"Clave no existe"))</f>
        <v/>
      </c>
      <c r="E2130" s="14" t="str">
        <f>IF($C2130="","",IFERROR(INDEX(Productos!$D$5:$D$504,MATCH($C2130,Productos!$A$5:$A$504,0)),""))</f>
        <v/>
      </c>
      <c r="F2130" s="20"/>
      <c r="G2130" s="22" t="str">
        <f>IF($C2130="","",IFERROR(INDEX(Productos!$F$5:$F$504,MATCH($C2130,Productos!$A$5:$A$504,0)),0))</f>
        <v/>
      </c>
      <c r="H2130" s="22" t="str">
        <f t="shared" si="33"/>
        <v/>
      </c>
      <c r="I2130" s="14" t="str">
        <f>IF(OR($C2130="",$F2130=""),"",IFERROR(INDEX(Productos!$I$5:$I$504,MATCH($C2130,Productos!$A$5:$A$504,0)),0)+SUMIFS($F$5:$F2130,$C$5:$C2130,$C2130,$B$5:$B2130,"Entrada")-SUMIFS($F$5:$F2130,$C$5:$C2130,$C2130,$B$5:$B2130,"Salida"))</f>
        <v/>
      </c>
      <c r="J2130" s="20"/>
      <c r="K2130" s="20"/>
      <c r="L2130" s="20"/>
      <c r="M2130" s="14" t="str">
        <f>IF(AND($C2130&lt;&gt;"",$C2130=Kardex!$C$4),COUNTIF($C$5:$C2130,Kardex!$C$4),"")</f>
        <v/>
      </c>
    </row>
    <row r="2131" spans="1:13" x14ac:dyDescent="0.25">
      <c r="A2131" s="24"/>
      <c r="B2131" s="20"/>
      <c r="C2131" s="20"/>
      <c r="D2131" s="14" t="str">
        <f>IF($C2131="","",IFERROR(INDEX(Productos!$B$5:$B$504,MATCH($C2131,Productos!$A$5:$A$504,0)),"Clave no existe"))</f>
        <v/>
      </c>
      <c r="E2131" s="14" t="str">
        <f>IF($C2131="","",IFERROR(INDEX(Productos!$D$5:$D$504,MATCH($C2131,Productos!$A$5:$A$504,0)),""))</f>
        <v/>
      </c>
      <c r="F2131" s="20"/>
      <c r="G2131" s="22" t="str">
        <f>IF($C2131="","",IFERROR(INDEX(Productos!$F$5:$F$504,MATCH($C2131,Productos!$A$5:$A$504,0)),0))</f>
        <v/>
      </c>
      <c r="H2131" s="22" t="str">
        <f t="shared" si="33"/>
        <v/>
      </c>
      <c r="I2131" s="14" t="str">
        <f>IF(OR($C2131="",$F2131=""),"",IFERROR(INDEX(Productos!$I$5:$I$504,MATCH($C2131,Productos!$A$5:$A$504,0)),0)+SUMIFS($F$5:$F2131,$C$5:$C2131,$C2131,$B$5:$B2131,"Entrada")-SUMIFS($F$5:$F2131,$C$5:$C2131,$C2131,$B$5:$B2131,"Salida"))</f>
        <v/>
      </c>
      <c r="J2131" s="20"/>
      <c r="K2131" s="20"/>
      <c r="L2131" s="20"/>
      <c r="M2131" s="14" t="str">
        <f>IF(AND($C2131&lt;&gt;"",$C2131=Kardex!$C$4),COUNTIF($C$5:$C2131,Kardex!$C$4),"")</f>
        <v/>
      </c>
    </row>
    <row r="2132" spans="1:13" x14ac:dyDescent="0.25">
      <c r="A2132" s="24"/>
      <c r="B2132" s="20"/>
      <c r="C2132" s="20"/>
      <c r="D2132" s="14" t="str">
        <f>IF($C2132="","",IFERROR(INDEX(Productos!$B$5:$B$504,MATCH($C2132,Productos!$A$5:$A$504,0)),"Clave no existe"))</f>
        <v/>
      </c>
      <c r="E2132" s="14" t="str">
        <f>IF($C2132="","",IFERROR(INDEX(Productos!$D$5:$D$504,MATCH($C2132,Productos!$A$5:$A$504,0)),""))</f>
        <v/>
      </c>
      <c r="F2132" s="20"/>
      <c r="G2132" s="22" t="str">
        <f>IF($C2132="","",IFERROR(INDEX(Productos!$F$5:$F$504,MATCH($C2132,Productos!$A$5:$A$504,0)),0))</f>
        <v/>
      </c>
      <c r="H2132" s="22" t="str">
        <f t="shared" si="33"/>
        <v/>
      </c>
      <c r="I2132" s="14" t="str">
        <f>IF(OR($C2132="",$F2132=""),"",IFERROR(INDEX(Productos!$I$5:$I$504,MATCH($C2132,Productos!$A$5:$A$504,0)),0)+SUMIFS($F$5:$F2132,$C$5:$C2132,$C2132,$B$5:$B2132,"Entrada")-SUMIFS($F$5:$F2132,$C$5:$C2132,$C2132,$B$5:$B2132,"Salida"))</f>
        <v/>
      </c>
      <c r="J2132" s="20"/>
      <c r="K2132" s="20"/>
      <c r="L2132" s="20"/>
      <c r="M2132" s="14" t="str">
        <f>IF(AND($C2132&lt;&gt;"",$C2132=Kardex!$C$4),COUNTIF($C$5:$C2132,Kardex!$C$4),"")</f>
        <v/>
      </c>
    </row>
    <row r="2133" spans="1:13" x14ac:dyDescent="0.25">
      <c r="A2133" s="24"/>
      <c r="B2133" s="20"/>
      <c r="C2133" s="20"/>
      <c r="D2133" s="14" t="str">
        <f>IF($C2133="","",IFERROR(INDEX(Productos!$B$5:$B$504,MATCH($C2133,Productos!$A$5:$A$504,0)),"Clave no existe"))</f>
        <v/>
      </c>
      <c r="E2133" s="14" t="str">
        <f>IF($C2133="","",IFERROR(INDEX(Productos!$D$5:$D$504,MATCH($C2133,Productos!$A$5:$A$504,0)),""))</f>
        <v/>
      </c>
      <c r="F2133" s="20"/>
      <c r="G2133" s="22" t="str">
        <f>IF($C2133="","",IFERROR(INDEX(Productos!$F$5:$F$504,MATCH($C2133,Productos!$A$5:$A$504,0)),0))</f>
        <v/>
      </c>
      <c r="H2133" s="22" t="str">
        <f t="shared" si="33"/>
        <v/>
      </c>
      <c r="I2133" s="14" t="str">
        <f>IF(OR($C2133="",$F2133=""),"",IFERROR(INDEX(Productos!$I$5:$I$504,MATCH($C2133,Productos!$A$5:$A$504,0)),0)+SUMIFS($F$5:$F2133,$C$5:$C2133,$C2133,$B$5:$B2133,"Entrada")-SUMIFS($F$5:$F2133,$C$5:$C2133,$C2133,$B$5:$B2133,"Salida"))</f>
        <v/>
      </c>
      <c r="J2133" s="20"/>
      <c r="K2133" s="20"/>
      <c r="L2133" s="20"/>
      <c r="M2133" s="14" t="str">
        <f>IF(AND($C2133&lt;&gt;"",$C2133=Kardex!$C$4),COUNTIF($C$5:$C2133,Kardex!$C$4),"")</f>
        <v/>
      </c>
    </row>
    <row r="2134" spans="1:13" x14ac:dyDescent="0.25">
      <c r="A2134" s="24"/>
      <c r="B2134" s="20"/>
      <c r="C2134" s="20"/>
      <c r="D2134" s="14" t="str">
        <f>IF($C2134="","",IFERROR(INDEX(Productos!$B$5:$B$504,MATCH($C2134,Productos!$A$5:$A$504,0)),"Clave no existe"))</f>
        <v/>
      </c>
      <c r="E2134" s="14" t="str">
        <f>IF($C2134="","",IFERROR(INDEX(Productos!$D$5:$D$504,MATCH($C2134,Productos!$A$5:$A$504,0)),""))</f>
        <v/>
      </c>
      <c r="F2134" s="20"/>
      <c r="G2134" s="22" t="str">
        <f>IF($C2134="","",IFERROR(INDEX(Productos!$F$5:$F$504,MATCH($C2134,Productos!$A$5:$A$504,0)),0))</f>
        <v/>
      </c>
      <c r="H2134" s="22" t="str">
        <f t="shared" si="33"/>
        <v/>
      </c>
      <c r="I2134" s="14" t="str">
        <f>IF(OR($C2134="",$F2134=""),"",IFERROR(INDEX(Productos!$I$5:$I$504,MATCH($C2134,Productos!$A$5:$A$504,0)),0)+SUMIFS($F$5:$F2134,$C$5:$C2134,$C2134,$B$5:$B2134,"Entrada")-SUMIFS($F$5:$F2134,$C$5:$C2134,$C2134,$B$5:$B2134,"Salida"))</f>
        <v/>
      </c>
      <c r="J2134" s="20"/>
      <c r="K2134" s="20"/>
      <c r="L2134" s="20"/>
      <c r="M2134" s="14" t="str">
        <f>IF(AND($C2134&lt;&gt;"",$C2134=Kardex!$C$4),COUNTIF($C$5:$C2134,Kardex!$C$4),"")</f>
        <v/>
      </c>
    </row>
    <row r="2135" spans="1:13" x14ac:dyDescent="0.25">
      <c r="A2135" s="24"/>
      <c r="B2135" s="20"/>
      <c r="C2135" s="20"/>
      <c r="D2135" s="14" t="str">
        <f>IF($C2135="","",IFERROR(INDEX(Productos!$B$5:$B$504,MATCH($C2135,Productos!$A$5:$A$504,0)),"Clave no existe"))</f>
        <v/>
      </c>
      <c r="E2135" s="14" t="str">
        <f>IF($C2135="","",IFERROR(INDEX(Productos!$D$5:$D$504,MATCH($C2135,Productos!$A$5:$A$504,0)),""))</f>
        <v/>
      </c>
      <c r="F2135" s="20"/>
      <c r="G2135" s="22" t="str">
        <f>IF($C2135="","",IFERROR(INDEX(Productos!$F$5:$F$504,MATCH($C2135,Productos!$A$5:$A$504,0)),0))</f>
        <v/>
      </c>
      <c r="H2135" s="22" t="str">
        <f t="shared" si="33"/>
        <v/>
      </c>
      <c r="I2135" s="14" t="str">
        <f>IF(OR($C2135="",$F2135=""),"",IFERROR(INDEX(Productos!$I$5:$I$504,MATCH($C2135,Productos!$A$5:$A$504,0)),0)+SUMIFS($F$5:$F2135,$C$5:$C2135,$C2135,$B$5:$B2135,"Entrada")-SUMIFS($F$5:$F2135,$C$5:$C2135,$C2135,$B$5:$B2135,"Salida"))</f>
        <v/>
      </c>
      <c r="J2135" s="20"/>
      <c r="K2135" s="20"/>
      <c r="L2135" s="20"/>
      <c r="M2135" s="14" t="str">
        <f>IF(AND($C2135&lt;&gt;"",$C2135=Kardex!$C$4),COUNTIF($C$5:$C2135,Kardex!$C$4),"")</f>
        <v/>
      </c>
    </row>
    <row r="2136" spans="1:13" x14ac:dyDescent="0.25">
      <c r="A2136" s="24"/>
      <c r="B2136" s="20"/>
      <c r="C2136" s="20"/>
      <c r="D2136" s="14" t="str">
        <f>IF($C2136="","",IFERROR(INDEX(Productos!$B$5:$B$504,MATCH($C2136,Productos!$A$5:$A$504,0)),"Clave no existe"))</f>
        <v/>
      </c>
      <c r="E2136" s="14" t="str">
        <f>IF($C2136="","",IFERROR(INDEX(Productos!$D$5:$D$504,MATCH($C2136,Productos!$A$5:$A$504,0)),""))</f>
        <v/>
      </c>
      <c r="F2136" s="20"/>
      <c r="G2136" s="22" t="str">
        <f>IF($C2136="","",IFERROR(INDEX(Productos!$F$5:$F$504,MATCH($C2136,Productos!$A$5:$A$504,0)),0))</f>
        <v/>
      </c>
      <c r="H2136" s="22" t="str">
        <f t="shared" si="33"/>
        <v/>
      </c>
      <c r="I2136" s="14" t="str">
        <f>IF(OR($C2136="",$F2136=""),"",IFERROR(INDEX(Productos!$I$5:$I$504,MATCH($C2136,Productos!$A$5:$A$504,0)),0)+SUMIFS($F$5:$F2136,$C$5:$C2136,$C2136,$B$5:$B2136,"Entrada")-SUMIFS($F$5:$F2136,$C$5:$C2136,$C2136,$B$5:$B2136,"Salida"))</f>
        <v/>
      </c>
      <c r="J2136" s="20"/>
      <c r="K2136" s="20"/>
      <c r="L2136" s="20"/>
      <c r="M2136" s="14" t="str">
        <f>IF(AND($C2136&lt;&gt;"",$C2136=Kardex!$C$4),COUNTIF($C$5:$C2136,Kardex!$C$4),"")</f>
        <v/>
      </c>
    </row>
    <row r="2137" spans="1:13" x14ac:dyDescent="0.25">
      <c r="A2137" s="24"/>
      <c r="B2137" s="20"/>
      <c r="C2137" s="20"/>
      <c r="D2137" s="14" t="str">
        <f>IF($C2137="","",IFERROR(INDEX(Productos!$B$5:$B$504,MATCH($C2137,Productos!$A$5:$A$504,0)),"Clave no existe"))</f>
        <v/>
      </c>
      <c r="E2137" s="14" t="str">
        <f>IF($C2137="","",IFERROR(INDEX(Productos!$D$5:$D$504,MATCH($C2137,Productos!$A$5:$A$504,0)),""))</f>
        <v/>
      </c>
      <c r="F2137" s="20"/>
      <c r="G2137" s="22" t="str">
        <f>IF($C2137="","",IFERROR(INDEX(Productos!$F$5:$F$504,MATCH($C2137,Productos!$A$5:$A$504,0)),0))</f>
        <v/>
      </c>
      <c r="H2137" s="22" t="str">
        <f t="shared" si="33"/>
        <v/>
      </c>
      <c r="I2137" s="14" t="str">
        <f>IF(OR($C2137="",$F2137=""),"",IFERROR(INDEX(Productos!$I$5:$I$504,MATCH($C2137,Productos!$A$5:$A$504,0)),0)+SUMIFS($F$5:$F2137,$C$5:$C2137,$C2137,$B$5:$B2137,"Entrada")-SUMIFS($F$5:$F2137,$C$5:$C2137,$C2137,$B$5:$B2137,"Salida"))</f>
        <v/>
      </c>
      <c r="J2137" s="20"/>
      <c r="K2137" s="20"/>
      <c r="L2137" s="20"/>
      <c r="M2137" s="14" t="str">
        <f>IF(AND($C2137&lt;&gt;"",$C2137=Kardex!$C$4),COUNTIF($C$5:$C2137,Kardex!$C$4),"")</f>
        <v/>
      </c>
    </row>
    <row r="2138" spans="1:13" x14ac:dyDescent="0.25">
      <c r="A2138" s="24"/>
      <c r="B2138" s="20"/>
      <c r="C2138" s="20"/>
      <c r="D2138" s="14" t="str">
        <f>IF($C2138="","",IFERROR(INDEX(Productos!$B$5:$B$504,MATCH($C2138,Productos!$A$5:$A$504,0)),"Clave no existe"))</f>
        <v/>
      </c>
      <c r="E2138" s="14" t="str">
        <f>IF($C2138="","",IFERROR(INDEX(Productos!$D$5:$D$504,MATCH($C2138,Productos!$A$5:$A$504,0)),""))</f>
        <v/>
      </c>
      <c r="F2138" s="20"/>
      <c r="G2138" s="22" t="str">
        <f>IF($C2138="","",IFERROR(INDEX(Productos!$F$5:$F$504,MATCH($C2138,Productos!$A$5:$A$504,0)),0))</f>
        <v/>
      </c>
      <c r="H2138" s="22" t="str">
        <f t="shared" si="33"/>
        <v/>
      </c>
      <c r="I2138" s="14" t="str">
        <f>IF(OR($C2138="",$F2138=""),"",IFERROR(INDEX(Productos!$I$5:$I$504,MATCH($C2138,Productos!$A$5:$A$504,0)),0)+SUMIFS($F$5:$F2138,$C$5:$C2138,$C2138,$B$5:$B2138,"Entrada")-SUMIFS($F$5:$F2138,$C$5:$C2138,$C2138,$B$5:$B2138,"Salida"))</f>
        <v/>
      </c>
      <c r="J2138" s="20"/>
      <c r="K2138" s="20"/>
      <c r="L2138" s="20"/>
      <c r="M2138" s="14" t="str">
        <f>IF(AND($C2138&lt;&gt;"",$C2138=Kardex!$C$4),COUNTIF($C$5:$C2138,Kardex!$C$4),"")</f>
        <v/>
      </c>
    </row>
    <row r="2139" spans="1:13" x14ac:dyDescent="0.25">
      <c r="A2139" s="24"/>
      <c r="B2139" s="20"/>
      <c r="C2139" s="20"/>
      <c r="D2139" s="14" t="str">
        <f>IF($C2139="","",IFERROR(INDEX(Productos!$B$5:$B$504,MATCH($C2139,Productos!$A$5:$A$504,0)),"Clave no existe"))</f>
        <v/>
      </c>
      <c r="E2139" s="14" t="str">
        <f>IF($C2139="","",IFERROR(INDEX(Productos!$D$5:$D$504,MATCH($C2139,Productos!$A$5:$A$504,0)),""))</f>
        <v/>
      </c>
      <c r="F2139" s="20"/>
      <c r="G2139" s="22" t="str">
        <f>IF($C2139="","",IFERROR(INDEX(Productos!$F$5:$F$504,MATCH($C2139,Productos!$A$5:$A$504,0)),0))</f>
        <v/>
      </c>
      <c r="H2139" s="22" t="str">
        <f t="shared" si="33"/>
        <v/>
      </c>
      <c r="I2139" s="14" t="str">
        <f>IF(OR($C2139="",$F2139=""),"",IFERROR(INDEX(Productos!$I$5:$I$504,MATCH($C2139,Productos!$A$5:$A$504,0)),0)+SUMIFS($F$5:$F2139,$C$5:$C2139,$C2139,$B$5:$B2139,"Entrada")-SUMIFS($F$5:$F2139,$C$5:$C2139,$C2139,$B$5:$B2139,"Salida"))</f>
        <v/>
      </c>
      <c r="J2139" s="20"/>
      <c r="K2139" s="20"/>
      <c r="L2139" s="20"/>
      <c r="M2139" s="14" t="str">
        <f>IF(AND($C2139&lt;&gt;"",$C2139=Kardex!$C$4),COUNTIF($C$5:$C2139,Kardex!$C$4),"")</f>
        <v/>
      </c>
    </row>
    <row r="2140" spans="1:13" x14ac:dyDescent="0.25">
      <c r="A2140" s="24"/>
      <c r="B2140" s="20"/>
      <c r="C2140" s="20"/>
      <c r="D2140" s="14" t="str">
        <f>IF($C2140="","",IFERROR(INDEX(Productos!$B$5:$B$504,MATCH($C2140,Productos!$A$5:$A$504,0)),"Clave no existe"))</f>
        <v/>
      </c>
      <c r="E2140" s="14" t="str">
        <f>IF($C2140="","",IFERROR(INDEX(Productos!$D$5:$D$504,MATCH($C2140,Productos!$A$5:$A$504,0)),""))</f>
        <v/>
      </c>
      <c r="F2140" s="20"/>
      <c r="G2140" s="22" t="str">
        <f>IF($C2140="","",IFERROR(INDEX(Productos!$F$5:$F$504,MATCH($C2140,Productos!$A$5:$A$504,0)),0))</f>
        <v/>
      </c>
      <c r="H2140" s="22" t="str">
        <f t="shared" si="33"/>
        <v/>
      </c>
      <c r="I2140" s="14" t="str">
        <f>IF(OR($C2140="",$F2140=""),"",IFERROR(INDEX(Productos!$I$5:$I$504,MATCH($C2140,Productos!$A$5:$A$504,0)),0)+SUMIFS($F$5:$F2140,$C$5:$C2140,$C2140,$B$5:$B2140,"Entrada")-SUMIFS($F$5:$F2140,$C$5:$C2140,$C2140,$B$5:$B2140,"Salida"))</f>
        <v/>
      </c>
      <c r="J2140" s="20"/>
      <c r="K2140" s="20"/>
      <c r="L2140" s="20"/>
      <c r="M2140" s="14" t="str">
        <f>IF(AND($C2140&lt;&gt;"",$C2140=Kardex!$C$4),COUNTIF($C$5:$C2140,Kardex!$C$4),"")</f>
        <v/>
      </c>
    </row>
    <row r="2141" spans="1:13" x14ac:dyDescent="0.25">
      <c r="A2141" s="24"/>
      <c r="B2141" s="20"/>
      <c r="C2141" s="20"/>
      <c r="D2141" s="14" t="str">
        <f>IF($C2141="","",IFERROR(INDEX(Productos!$B$5:$B$504,MATCH($C2141,Productos!$A$5:$A$504,0)),"Clave no existe"))</f>
        <v/>
      </c>
      <c r="E2141" s="14" t="str">
        <f>IF($C2141="","",IFERROR(INDEX(Productos!$D$5:$D$504,MATCH($C2141,Productos!$A$5:$A$504,0)),""))</f>
        <v/>
      </c>
      <c r="F2141" s="20"/>
      <c r="G2141" s="22" t="str">
        <f>IF($C2141="","",IFERROR(INDEX(Productos!$F$5:$F$504,MATCH($C2141,Productos!$A$5:$A$504,0)),0))</f>
        <v/>
      </c>
      <c r="H2141" s="22" t="str">
        <f t="shared" si="33"/>
        <v/>
      </c>
      <c r="I2141" s="14" t="str">
        <f>IF(OR($C2141="",$F2141=""),"",IFERROR(INDEX(Productos!$I$5:$I$504,MATCH($C2141,Productos!$A$5:$A$504,0)),0)+SUMIFS($F$5:$F2141,$C$5:$C2141,$C2141,$B$5:$B2141,"Entrada")-SUMIFS($F$5:$F2141,$C$5:$C2141,$C2141,$B$5:$B2141,"Salida"))</f>
        <v/>
      </c>
      <c r="J2141" s="20"/>
      <c r="K2141" s="20"/>
      <c r="L2141" s="20"/>
      <c r="M2141" s="14" t="str">
        <f>IF(AND($C2141&lt;&gt;"",$C2141=Kardex!$C$4),COUNTIF($C$5:$C2141,Kardex!$C$4),"")</f>
        <v/>
      </c>
    </row>
    <row r="2142" spans="1:13" x14ac:dyDescent="0.25">
      <c r="A2142" s="24"/>
      <c r="B2142" s="20"/>
      <c r="C2142" s="20"/>
      <c r="D2142" s="14" t="str">
        <f>IF($C2142="","",IFERROR(INDEX(Productos!$B$5:$B$504,MATCH($C2142,Productos!$A$5:$A$504,0)),"Clave no existe"))</f>
        <v/>
      </c>
      <c r="E2142" s="14" t="str">
        <f>IF($C2142="","",IFERROR(INDEX(Productos!$D$5:$D$504,MATCH($C2142,Productos!$A$5:$A$504,0)),""))</f>
        <v/>
      </c>
      <c r="F2142" s="20"/>
      <c r="G2142" s="22" t="str">
        <f>IF($C2142="","",IFERROR(INDEX(Productos!$F$5:$F$504,MATCH($C2142,Productos!$A$5:$A$504,0)),0))</f>
        <v/>
      </c>
      <c r="H2142" s="22" t="str">
        <f t="shared" si="33"/>
        <v/>
      </c>
      <c r="I2142" s="14" t="str">
        <f>IF(OR($C2142="",$F2142=""),"",IFERROR(INDEX(Productos!$I$5:$I$504,MATCH($C2142,Productos!$A$5:$A$504,0)),0)+SUMIFS($F$5:$F2142,$C$5:$C2142,$C2142,$B$5:$B2142,"Entrada")-SUMIFS($F$5:$F2142,$C$5:$C2142,$C2142,$B$5:$B2142,"Salida"))</f>
        <v/>
      </c>
      <c r="J2142" s="20"/>
      <c r="K2142" s="20"/>
      <c r="L2142" s="20"/>
      <c r="M2142" s="14" t="str">
        <f>IF(AND($C2142&lt;&gt;"",$C2142=Kardex!$C$4),COUNTIF($C$5:$C2142,Kardex!$C$4),"")</f>
        <v/>
      </c>
    </row>
    <row r="2143" spans="1:13" x14ac:dyDescent="0.25">
      <c r="A2143" s="24"/>
      <c r="B2143" s="20"/>
      <c r="C2143" s="20"/>
      <c r="D2143" s="14" t="str">
        <f>IF($C2143="","",IFERROR(INDEX(Productos!$B$5:$B$504,MATCH($C2143,Productos!$A$5:$A$504,0)),"Clave no existe"))</f>
        <v/>
      </c>
      <c r="E2143" s="14" t="str">
        <f>IF($C2143="","",IFERROR(INDEX(Productos!$D$5:$D$504,MATCH($C2143,Productos!$A$5:$A$504,0)),""))</f>
        <v/>
      </c>
      <c r="F2143" s="20"/>
      <c r="G2143" s="22" t="str">
        <f>IF($C2143="","",IFERROR(INDEX(Productos!$F$5:$F$504,MATCH($C2143,Productos!$A$5:$A$504,0)),0))</f>
        <v/>
      </c>
      <c r="H2143" s="22" t="str">
        <f t="shared" si="33"/>
        <v/>
      </c>
      <c r="I2143" s="14" t="str">
        <f>IF(OR($C2143="",$F2143=""),"",IFERROR(INDEX(Productos!$I$5:$I$504,MATCH($C2143,Productos!$A$5:$A$504,0)),0)+SUMIFS($F$5:$F2143,$C$5:$C2143,$C2143,$B$5:$B2143,"Entrada")-SUMIFS($F$5:$F2143,$C$5:$C2143,$C2143,$B$5:$B2143,"Salida"))</f>
        <v/>
      </c>
      <c r="J2143" s="20"/>
      <c r="K2143" s="20"/>
      <c r="L2143" s="20"/>
      <c r="M2143" s="14" t="str">
        <f>IF(AND($C2143&lt;&gt;"",$C2143=Kardex!$C$4),COUNTIF($C$5:$C2143,Kardex!$C$4),"")</f>
        <v/>
      </c>
    </row>
    <row r="2144" spans="1:13" x14ac:dyDescent="0.25">
      <c r="A2144" s="24"/>
      <c r="B2144" s="20"/>
      <c r="C2144" s="20"/>
      <c r="D2144" s="14" t="str">
        <f>IF($C2144="","",IFERROR(INDEX(Productos!$B$5:$B$504,MATCH($C2144,Productos!$A$5:$A$504,0)),"Clave no existe"))</f>
        <v/>
      </c>
      <c r="E2144" s="14" t="str">
        <f>IF($C2144="","",IFERROR(INDEX(Productos!$D$5:$D$504,MATCH($C2144,Productos!$A$5:$A$504,0)),""))</f>
        <v/>
      </c>
      <c r="F2144" s="20"/>
      <c r="G2144" s="22" t="str">
        <f>IF($C2144="","",IFERROR(INDEX(Productos!$F$5:$F$504,MATCH($C2144,Productos!$A$5:$A$504,0)),0))</f>
        <v/>
      </c>
      <c r="H2144" s="22" t="str">
        <f t="shared" si="33"/>
        <v/>
      </c>
      <c r="I2144" s="14" t="str">
        <f>IF(OR($C2144="",$F2144=""),"",IFERROR(INDEX(Productos!$I$5:$I$504,MATCH($C2144,Productos!$A$5:$A$504,0)),0)+SUMIFS($F$5:$F2144,$C$5:$C2144,$C2144,$B$5:$B2144,"Entrada")-SUMIFS($F$5:$F2144,$C$5:$C2144,$C2144,$B$5:$B2144,"Salida"))</f>
        <v/>
      </c>
      <c r="J2144" s="20"/>
      <c r="K2144" s="20"/>
      <c r="L2144" s="20"/>
      <c r="M2144" s="14" t="str">
        <f>IF(AND($C2144&lt;&gt;"",$C2144=Kardex!$C$4),COUNTIF($C$5:$C2144,Kardex!$C$4),"")</f>
        <v/>
      </c>
    </row>
    <row r="2145" spans="1:13" x14ac:dyDescent="0.25">
      <c r="A2145" s="24"/>
      <c r="B2145" s="20"/>
      <c r="C2145" s="20"/>
      <c r="D2145" s="14" t="str">
        <f>IF($C2145="","",IFERROR(INDEX(Productos!$B$5:$B$504,MATCH($C2145,Productos!$A$5:$A$504,0)),"Clave no existe"))</f>
        <v/>
      </c>
      <c r="E2145" s="14" t="str">
        <f>IF($C2145="","",IFERROR(INDEX(Productos!$D$5:$D$504,MATCH($C2145,Productos!$A$5:$A$504,0)),""))</f>
        <v/>
      </c>
      <c r="F2145" s="20"/>
      <c r="G2145" s="22" t="str">
        <f>IF($C2145="","",IFERROR(INDEX(Productos!$F$5:$F$504,MATCH($C2145,Productos!$A$5:$A$504,0)),0))</f>
        <v/>
      </c>
      <c r="H2145" s="22" t="str">
        <f t="shared" si="33"/>
        <v/>
      </c>
      <c r="I2145" s="14" t="str">
        <f>IF(OR($C2145="",$F2145=""),"",IFERROR(INDEX(Productos!$I$5:$I$504,MATCH($C2145,Productos!$A$5:$A$504,0)),0)+SUMIFS($F$5:$F2145,$C$5:$C2145,$C2145,$B$5:$B2145,"Entrada")-SUMIFS($F$5:$F2145,$C$5:$C2145,$C2145,$B$5:$B2145,"Salida"))</f>
        <v/>
      </c>
      <c r="J2145" s="20"/>
      <c r="K2145" s="20"/>
      <c r="L2145" s="20"/>
      <c r="M2145" s="14" t="str">
        <f>IF(AND($C2145&lt;&gt;"",$C2145=Kardex!$C$4),COUNTIF($C$5:$C2145,Kardex!$C$4),"")</f>
        <v/>
      </c>
    </row>
    <row r="2146" spans="1:13" x14ac:dyDescent="0.25">
      <c r="A2146" s="24"/>
      <c r="B2146" s="20"/>
      <c r="C2146" s="20"/>
      <c r="D2146" s="14" t="str">
        <f>IF($C2146="","",IFERROR(INDEX(Productos!$B$5:$B$504,MATCH($C2146,Productos!$A$5:$A$504,0)),"Clave no existe"))</f>
        <v/>
      </c>
      <c r="E2146" s="14" t="str">
        <f>IF($C2146="","",IFERROR(INDEX(Productos!$D$5:$D$504,MATCH($C2146,Productos!$A$5:$A$504,0)),""))</f>
        <v/>
      </c>
      <c r="F2146" s="20"/>
      <c r="G2146" s="22" t="str">
        <f>IF($C2146="","",IFERROR(INDEX(Productos!$F$5:$F$504,MATCH($C2146,Productos!$A$5:$A$504,0)),0))</f>
        <v/>
      </c>
      <c r="H2146" s="22" t="str">
        <f t="shared" si="33"/>
        <v/>
      </c>
      <c r="I2146" s="14" t="str">
        <f>IF(OR($C2146="",$F2146=""),"",IFERROR(INDEX(Productos!$I$5:$I$504,MATCH($C2146,Productos!$A$5:$A$504,0)),0)+SUMIFS($F$5:$F2146,$C$5:$C2146,$C2146,$B$5:$B2146,"Entrada")-SUMIFS($F$5:$F2146,$C$5:$C2146,$C2146,$B$5:$B2146,"Salida"))</f>
        <v/>
      </c>
      <c r="J2146" s="20"/>
      <c r="K2146" s="20"/>
      <c r="L2146" s="20"/>
      <c r="M2146" s="14" t="str">
        <f>IF(AND($C2146&lt;&gt;"",$C2146=Kardex!$C$4),COUNTIF($C$5:$C2146,Kardex!$C$4),"")</f>
        <v/>
      </c>
    </row>
    <row r="2147" spans="1:13" x14ac:dyDescent="0.25">
      <c r="A2147" s="24"/>
      <c r="B2147" s="20"/>
      <c r="C2147" s="20"/>
      <c r="D2147" s="14" t="str">
        <f>IF($C2147="","",IFERROR(INDEX(Productos!$B$5:$B$504,MATCH($C2147,Productos!$A$5:$A$504,0)),"Clave no existe"))</f>
        <v/>
      </c>
      <c r="E2147" s="14" t="str">
        <f>IF($C2147="","",IFERROR(INDEX(Productos!$D$5:$D$504,MATCH($C2147,Productos!$A$5:$A$504,0)),""))</f>
        <v/>
      </c>
      <c r="F2147" s="20"/>
      <c r="G2147" s="22" t="str">
        <f>IF($C2147="","",IFERROR(INDEX(Productos!$F$5:$F$504,MATCH($C2147,Productos!$A$5:$A$504,0)),0))</f>
        <v/>
      </c>
      <c r="H2147" s="22" t="str">
        <f t="shared" si="33"/>
        <v/>
      </c>
      <c r="I2147" s="14" t="str">
        <f>IF(OR($C2147="",$F2147=""),"",IFERROR(INDEX(Productos!$I$5:$I$504,MATCH($C2147,Productos!$A$5:$A$504,0)),0)+SUMIFS($F$5:$F2147,$C$5:$C2147,$C2147,$B$5:$B2147,"Entrada")-SUMIFS($F$5:$F2147,$C$5:$C2147,$C2147,$B$5:$B2147,"Salida"))</f>
        <v/>
      </c>
      <c r="J2147" s="20"/>
      <c r="K2147" s="20"/>
      <c r="L2147" s="20"/>
      <c r="M2147" s="14" t="str">
        <f>IF(AND($C2147&lt;&gt;"",$C2147=Kardex!$C$4),COUNTIF($C$5:$C2147,Kardex!$C$4),"")</f>
        <v/>
      </c>
    </row>
    <row r="2148" spans="1:13" x14ac:dyDescent="0.25">
      <c r="A2148" s="24"/>
      <c r="B2148" s="20"/>
      <c r="C2148" s="20"/>
      <c r="D2148" s="14" t="str">
        <f>IF($C2148="","",IFERROR(INDEX(Productos!$B$5:$B$504,MATCH($C2148,Productos!$A$5:$A$504,0)),"Clave no existe"))</f>
        <v/>
      </c>
      <c r="E2148" s="14" t="str">
        <f>IF($C2148="","",IFERROR(INDEX(Productos!$D$5:$D$504,MATCH($C2148,Productos!$A$5:$A$504,0)),""))</f>
        <v/>
      </c>
      <c r="F2148" s="20"/>
      <c r="G2148" s="22" t="str">
        <f>IF($C2148="","",IFERROR(INDEX(Productos!$F$5:$F$504,MATCH($C2148,Productos!$A$5:$A$504,0)),0))</f>
        <v/>
      </c>
      <c r="H2148" s="22" t="str">
        <f t="shared" si="33"/>
        <v/>
      </c>
      <c r="I2148" s="14" t="str">
        <f>IF(OR($C2148="",$F2148=""),"",IFERROR(INDEX(Productos!$I$5:$I$504,MATCH($C2148,Productos!$A$5:$A$504,0)),0)+SUMIFS($F$5:$F2148,$C$5:$C2148,$C2148,$B$5:$B2148,"Entrada")-SUMIFS($F$5:$F2148,$C$5:$C2148,$C2148,$B$5:$B2148,"Salida"))</f>
        <v/>
      </c>
      <c r="J2148" s="20"/>
      <c r="K2148" s="20"/>
      <c r="L2148" s="20"/>
      <c r="M2148" s="14" t="str">
        <f>IF(AND($C2148&lt;&gt;"",$C2148=Kardex!$C$4),COUNTIF($C$5:$C2148,Kardex!$C$4),"")</f>
        <v/>
      </c>
    </row>
    <row r="2149" spans="1:13" x14ac:dyDescent="0.25">
      <c r="A2149" s="24"/>
      <c r="B2149" s="20"/>
      <c r="C2149" s="20"/>
      <c r="D2149" s="14" t="str">
        <f>IF($C2149="","",IFERROR(INDEX(Productos!$B$5:$B$504,MATCH($C2149,Productos!$A$5:$A$504,0)),"Clave no existe"))</f>
        <v/>
      </c>
      <c r="E2149" s="14" t="str">
        <f>IF($C2149="","",IFERROR(INDEX(Productos!$D$5:$D$504,MATCH($C2149,Productos!$A$5:$A$504,0)),""))</f>
        <v/>
      </c>
      <c r="F2149" s="20"/>
      <c r="G2149" s="22" t="str">
        <f>IF($C2149="","",IFERROR(INDEX(Productos!$F$5:$F$504,MATCH($C2149,Productos!$A$5:$A$504,0)),0))</f>
        <v/>
      </c>
      <c r="H2149" s="22" t="str">
        <f t="shared" si="33"/>
        <v/>
      </c>
      <c r="I2149" s="14" t="str">
        <f>IF(OR($C2149="",$F2149=""),"",IFERROR(INDEX(Productos!$I$5:$I$504,MATCH($C2149,Productos!$A$5:$A$504,0)),0)+SUMIFS($F$5:$F2149,$C$5:$C2149,$C2149,$B$5:$B2149,"Entrada")-SUMIFS($F$5:$F2149,$C$5:$C2149,$C2149,$B$5:$B2149,"Salida"))</f>
        <v/>
      </c>
      <c r="J2149" s="20"/>
      <c r="K2149" s="20"/>
      <c r="L2149" s="20"/>
      <c r="M2149" s="14" t="str">
        <f>IF(AND($C2149&lt;&gt;"",$C2149=Kardex!$C$4),COUNTIF($C$5:$C2149,Kardex!$C$4),"")</f>
        <v/>
      </c>
    </row>
    <row r="2150" spans="1:13" x14ac:dyDescent="0.25">
      <c r="A2150" s="24"/>
      <c r="B2150" s="20"/>
      <c r="C2150" s="20"/>
      <c r="D2150" s="14" t="str">
        <f>IF($C2150="","",IFERROR(INDEX(Productos!$B$5:$B$504,MATCH($C2150,Productos!$A$5:$A$504,0)),"Clave no existe"))</f>
        <v/>
      </c>
      <c r="E2150" s="14" t="str">
        <f>IF($C2150="","",IFERROR(INDEX(Productos!$D$5:$D$504,MATCH($C2150,Productos!$A$5:$A$504,0)),""))</f>
        <v/>
      </c>
      <c r="F2150" s="20"/>
      <c r="G2150" s="22" t="str">
        <f>IF($C2150="","",IFERROR(INDEX(Productos!$F$5:$F$504,MATCH($C2150,Productos!$A$5:$A$504,0)),0))</f>
        <v/>
      </c>
      <c r="H2150" s="22" t="str">
        <f t="shared" si="33"/>
        <v/>
      </c>
      <c r="I2150" s="14" t="str">
        <f>IF(OR($C2150="",$F2150=""),"",IFERROR(INDEX(Productos!$I$5:$I$504,MATCH($C2150,Productos!$A$5:$A$504,0)),0)+SUMIFS($F$5:$F2150,$C$5:$C2150,$C2150,$B$5:$B2150,"Entrada")-SUMIFS($F$5:$F2150,$C$5:$C2150,$C2150,$B$5:$B2150,"Salida"))</f>
        <v/>
      </c>
      <c r="J2150" s="20"/>
      <c r="K2150" s="20"/>
      <c r="L2150" s="20"/>
      <c r="M2150" s="14" t="str">
        <f>IF(AND($C2150&lt;&gt;"",$C2150=Kardex!$C$4),COUNTIF($C$5:$C2150,Kardex!$C$4),"")</f>
        <v/>
      </c>
    </row>
    <row r="2151" spans="1:13" x14ac:dyDescent="0.25">
      <c r="A2151" s="24"/>
      <c r="B2151" s="20"/>
      <c r="C2151" s="20"/>
      <c r="D2151" s="14" t="str">
        <f>IF($C2151="","",IFERROR(INDEX(Productos!$B$5:$B$504,MATCH($C2151,Productos!$A$5:$A$504,0)),"Clave no existe"))</f>
        <v/>
      </c>
      <c r="E2151" s="14" t="str">
        <f>IF($C2151="","",IFERROR(INDEX(Productos!$D$5:$D$504,MATCH($C2151,Productos!$A$5:$A$504,0)),""))</f>
        <v/>
      </c>
      <c r="F2151" s="20"/>
      <c r="G2151" s="22" t="str">
        <f>IF($C2151="","",IFERROR(INDEX(Productos!$F$5:$F$504,MATCH($C2151,Productos!$A$5:$A$504,0)),0))</f>
        <v/>
      </c>
      <c r="H2151" s="22" t="str">
        <f t="shared" si="33"/>
        <v/>
      </c>
      <c r="I2151" s="14" t="str">
        <f>IF(OR($C2151="",$F2151=""),"",IFERROR(INDEX(Productos!$I$5:$I$504,MATCH($C2151,Productos!$A$5:$A$504,0)),0)+SUMIFS($F$5:$F2151,$C$5:$C2151,$C2151,$B$5:$B2151,"Entrada")-SUMIFS($F$5:$F2151,$C$5:$C2151,$C2151,$B$5:$B2151,"Salida"))</f>
        <v/>
      </c>
      <c r="J2151" s="20"/>
      <c r="K2151" s="20"/>
      <c r="L2151" s="20"/>
      <c r="M2151" s="14" t="str">
        <f>IF(AND($C2151&lt;&gt;"",$C2151=Kardex!$C$4),COUNTIF($C$5:$C2151,Kardex!$C$4),"")</f>
        <v/>
      </c>
    </row>
    <row r="2152" spans="1:13" x14ac:dyDescent="0.25">
      <c r="A2152" s="24"/>
      <c r="B2152" s="20"/>
      <c r="C2152" s="20"/>
      <c r="D2152" s="14" t="str">
        <f>IF($C2152="","",IFERROR(INDEX(Productos!$B$5:$B$504,MATCH($C2152,Productos!$A$5:$A$504,0)),"Clave no existe"))</f>
        <v/>
      </c>
      <c r="E2152" s="14" t="str">
        <f>IF($C2152="","",IFERROR(INDEX(Productos!$D$5:$D$504,MATCH($C2152,Productos!$A$5:$A$504,0)),""))</f>
        <v/>
      </c>
      <c r="F2152" s="20"/>
      <c r="G2152" s="22" t="str">
        <f>IF($C2152="","",IFERROR(INDEX(Productos!$F$5:$F$504,MATCH($C2152,Productos!$A$5:$A$504,0)),0))</f>
        <v/>
      </c>
      <c r="H2152" s="22" t="str">
        <f t="shared" si="33"/>
        <v/>
      </c>
      <c r="I2152" s="14" t="str">
        <f>IF(OR($C2152="",$F2152=""),"",IFERROR(INDEX(Productos!$I$5:$I$504,MATCH($C2152,Productos!$A$5:$A$504,0)),0)+SUMIFS($F$5:$F2152,$C$5:$C2152,$C2152,$B$5:$B2152,"Entrada")-SUMIFS($F$5:$F2152,$C$5:$C2152,$C2152,$B$5:$B2152,"Salida"))</f>
        <v/>
      </c>
      <c r="J2152" s="20"/>
      <c r="K2152" s="20"/>
      <c r="L2152" s="20"/>
      <c r="M2152" s="14" t="str">
        <f>IF(AND($C2152&lt;&gt;"",$C2152=Kardex!$C$4),COUNTIF($C$5:$C2152,Kardex!$C$4),"")</f>
        <v/>
      </c>
    </row>
    <row r="2153" spans="1:13" x14ac:dyDescent="0.25">
      <c r="A2153" s="24"/>
      <c r="B2153" s="20"/>
      <c r="C2153" s="20"/>
      <c r="D2153" s="14" t="str">
        <f>IF($C2153="","",IFERROR(INDEX(Productos!$B$5:$B$504,MATCH($C2153,Productos!$A$5:$A$504,0)),"Clave no existe"))</f>
        <v/>
      </c>
      <c r="E2153" s="14" t="str">
        <f>IF($C2153="","",IFERROR(INDEX(Productos!$D$5:$D$504,MATCH($C2153,Productos!$A$5:$A$504,0)),""))</f>
        <v/>
      </c>
      <c r="F2153" s="20"/>
      <c r="G2153" s="22" t="str">
        <f>IF($C2153="","",IFERROR(INDEX(Productos!$F$5:$F$504,MATCH($C2153,Productos!$A$5:$A$504,0)),0))</f>
        <v/>
      </c>
      <c r="H2153" s="22" t="str">
        <f t="shared" si="33"/>
        <v/>
      </c>
      <c r="I2153" s="14" t="str">
        <f>IF(OR($C2153="",$F2153=""),"",IFERROR(INDEX(Productos!$I$5:$I$504,MATCH($C2153,Productos!$A$5:$A$504,0)),0)+SUMIFS($F$5:$F2153,$C$5:$C2153,$C2153,$B$5:$B2153,"Entrada")-SUMIFS($F$5:$F2153,$C$5:$C2153,$C2153,$B$5:$B2153,"Salida"))</f>
        <v/>
      </c>
      <c r="J2153" s="20"/>
      <c r="K2153" s="20"/>
      <c r="L2153" s="20"/>
      <c r="M2153" s="14" t="str">
        <f>IF(AND($C2153&lt;&gt;"",$C2153=Kardex!$C$4),COUNTIF($C$5:$C2153,Kardex!$C$4),"")</f>
        <v/>
      </c>
    </row>
    <row r="2154" spans="1:13" x14ac:dyDescent="0.25">
      <c r="A2154" s="24"/>
      <c r="B2154" s="20"/>
      <c r="C2154" s="20"/>
      <c r="D2154" s="14" t="str">
        <f>IF($C2154="","",IFERROR(INDEX(Productos!$B$5:$B$504,MATCH($C2154,Productos!$A$5:$A$504,0)),"Clave no existe"))</f>
        <v/>
      </c>
      <c r="E2154" s="14" t="str">
        <f>IF($C2154="","",IFERROR(INDEX(Productos!$D$5:$D$504,MATCH($C2154,Productos!$A$5:$A$504,0)),""))</f>
        <v/>
      </c>
      <c r="F2154" s="20"/>
      <c r="G2154" s="22" t="str">
        <f>IF($C2154="","",IFERROR(INDEX(Productos!$F$5:$F$504,MATCH($C2154,Productos!$A$5:$A$504,0)),0))</f>
        <v/>
      </c>
      <c r="H2154" s="22" t="str">
        <f t="shared" si="33"/>
        <v/>
      </c>
      <c r="I2154" s="14" t="str">
        <f>IF(OR($C2154="",$F2154=""),"",IFERROR(INDEX(Productos!$I$5:$I$504,MATCH($C2154,Productos!$A$5:$A$504,0)),0)+SUMIFS($F$5:$F2154,$C$5:$C2154,$C2154,$B$5:$B2154,"Entrada")-SUMIFS($F$5:$F2154,$C$5:$C2154,$C2154,$B$5:$B2154,"Salida"))</f>
        <v/>
      </c>
      <c r="J2154" s="20"/>
      <c r="K2154" s="20"/>
      <c r="L2154" s="20"/>
      <c r="M2154" s="14" t="str">
        <f>IF(AND($C2154&lt;&gt;"",$C2154=Kardex!$C$4),COUNTIF($C$5:$C2154,Kardex!$C$4),"")</f>
        <v/>
      </c>
    </row>
    <row r="2155" spans="1:13" x14ac:dyDescent="0.25">
      <c r="A2155" s="24"/>
      <c r="B2155" s="20"/>
      <c r="C2155" s="20"/>
      <c r="D2155" s="14" t="str">
        <f>IF($C2155="","",IFERROR(INDEX(Productos!$B$5:$B$504,MATCH($C2155,Productos!$A$5:$A$504,0)),"Clave no existe"))</f>
        <v/>
      </c>
      <c r="E2155" s="14" t="str">
        <f>IF($C2155="","",IFERROR(INDEX(Productos!$D$5:$D$504,MATCH($C2155,Productos!$A$5:$A$504,0)),""))</f>
        <v/>
      </c>
      <c r="F2155" s="20"/>
      <c r="G2155" s="22" t="str">
        <f>IF($C2155="","",IFERROR(INDEX(Productos!$F$5:$F$504,MATCH($C2155,Productos!$A$5:$A$504,0)),0))</f>
        <v/>
      </c>
      <c r="H2155" s="22" t="str">
        <f t="shared" si="33"/>
        <v/>
      </c>
      <c r="I2155" s="14" t="str">
        <f>IF(OR($C2155="",$F2155=""),"",IFERROR(INDEX(Productos!$I$5:$I$504,MATCH($C2155,Productos!$A$5:$A$504,0)),0)+SUMIFS($F$5:$F2155,$C$5:$C2155,$C2155,$B$5:$B2155,"Entrada")-SUMIFS($F$5:$F2155,$C$5:$C2155,$C2155,$B$5:$B2155,"Salida"))</f>
        <v/>
      </c>
      <c r="J2155" s="20"/>
      <c r="K2155" s="20"/>
      <c r="L2155" s="20"/>
      <c r="M2155" s="14" t="str">
        <f>IF(AND($C2155&lt;&gt;"",$C2155=Kardex!$C$4),COUNTIF($C$5:$C2155,Kardex!$C$4),"")</f>
        <v/>
      </c>
    </row>
    <row r="2156" spans="1:13" x14ac:dyDescent="0.25">
      <c r="A2156" s="24"/>
      <c r="B2156" s="20"/>
      <c r="C2156" s="20"/>
      <c r="D2156" s="14" t="str">
        <f>IF($C2156="","",IFERROR(INDEX(Productos!$B$5:$B$504,MATCH($C2156,Productos!$A$5:$A$504,0)),"Clave no existe"))</f>
        <v/>
      </c>
      <c r="E2156" s="14" t="str">
        <f>IF($C2156="","",IFERROR(INDEX(Productos!$D$5:$D$504,MATCH($C2156,Productos!$A$5:$A$504,0)),""))</f>
        <v/>
      </c>
      <c r="F2156" s="20"/>
      <c r="G2156" s="22" t="str">
        <f>IF($C2156="","",IFERROR(INDEX(Productos!$F$5:$F$504,MATCH($C2156,Productos!$A$5:$A$504,0)),0))</f>
        <v/>
      </c>
      <c r="H2156" s="22" t="str">
        <f t="shared" si="33"/>
        <v/>
      </c>
      <c r="I2156" s="14" t="str">
        <f>IF(OR($C2156="",$F2156=""),"",IFERROR(INDEX(Productos!$I$5:$I$504,MATCH($C2156,Productos!$A$5:$A$504,0)),0)+SUMIFS($F$5:$F2156,$C$5:$C2156,$C2156,$B$5:$B2156,"Entrada")-SUMIFS($F$5:$F2156,$C$5:$C2156,$C2156,$B$5:$B2156,"Salida"))</f>
        <v/>
      </c>
      <c r="J2156" s="20"/>
      <c r="K2156" s="20"/>
      <c r="L2156" s="20"/>
      <c r="M2156" s="14" t="str">
        <f>IF(AND($C2156&lt;&gt;"",$C2156=Kardex!$C$4),COUNTIF($C$5:$C2156,Kardex!$C$4),"")</f>
        <v/>
      </c>
    </row>
    <row r="2157" spans="1:13" x14ac:dyDescent="0.25">
      <c r="A2157" s="24"/>
      <c r="B2157" s="20"/>
      <c r="C2157" s="20"/>
      <c r="D2157" s="14" t="str">
        <f>IF($C2157="","",IFERROR(INDEX(Productos!$B$5:$B$504,MATCH($C2157,Productos!$A$5:$A$504,0)),"Clave no existe"))</f>
        <v/>
      </c>
      <c r="E2157" s="14" t="str">
        <f>IF($C2157="","",IFERROR(INDEX(Productos!$D$5:$D$504,MATCH($C2157,Productos!$A$5:$A$504,0)),""))</f>
        <v/>
      </c>
      <c r="F2157" s="20"/>
      <c r="G2157" s="22" t="str">
        <f>IF($C2157="","",IFERROR(INDEX(Productos!$F$5:$F$504,MATCH($C2157,Productos!$A$5:$A$504,0)),0))</f>
        <v/>
      </c>
      <c r="H2157" s="22" t="str">
        <f t="shared" si="33"/>
        <v/>
      </c>
      <c r="I2157" s="14" t="str">
        <f>IF(OR($C2157="",$F2157=""),"",IFERROR(INDEX(Productos!$I$5:$I$504,MATCH($C2157,Productos!$A$5:$A$504,0)),0)+SUMIFS($F$5:$F2157,$C$5:$C2157,$C2157,$B$5:$B2157,"Entrada")-SUMIFS($F$5:$F2157,$C$5:$C2157,$C2157,$B$5:$B2157,"Salida"))</f>
        <v/>
      </c>
      <c r="J2157" s="20"/>
      <c r="K2157" s="20"/>
      <c r="L2157" s="20"/>
      <c r="M2157" s="14" t="str">
        <f>IF(AND($C2157&lt;&gt;"",$C2157=Kardex!$C$4),COUNTIF($C$5:$C2157,Kardex!$C$4),"")</f>
        <v/>
      </c>
    </row>
    <row r="2158" spans="1:13" x14ac:dyDescent="0.25">
      <c r="A2158" s="24"/>
      <c r="B2158" s="20"/>
      <c r="C2158" s="20"/>
      <c r="D2158" s="14" t="str">
        <f>IF($C2158="","",IFERROR(INDEX(Productos!$B$5:$B$504,MATCH($C2158,Productos!$A$5:$A$504,0)),"Clave no existe"))</f>
        <v/>
      </c>
      <c r="E2158" s="14" t="str">
        <f>IF($C2158="","",IFERROR(INDEX(Productos!$D$5:$D$504,MATCH($C2158,Productos!$A$5:$A$504,0)),""))</f>
        <v/>
      </c>
      <c r="F2158" s="20"/>
      <c r="G2158" s="22" t="str">
        <f>IF($C2158="","",IFERROR(INDEX(Productos!$F$5:$F$504,MATCH($C2158,Productos!$A$5:$A$504,0)),0))</f>
        <v/>
      </c>
      <c r="H2158" s="22" t="str">
        <f t="shared" si="33"/>
        <v/>
      </c>
      <c r="I2158" s="14" t="str">
        <f>IF(OR($C2158="",$F2158=""),"",IFERROR(INDEX(Productos!$I$5:$I$504,MATCH($C2158,Productos!$A$5:$A$504,0)),0)+SUMIFS($F$5:$F2158,$C$5:$C2158,$C2158,$B$5:$B2158,"Entrada")-SUMIFS($F$5:$F2158,$C$5:$C2158,$C2158,$B$5:$B2158,"Salida"))</f>
        <v/>
      </c>
      <c r="J2158" s="20"/>
      <c r="K2158" s="20"/>
      <c r="L2158" s="20"/>
      <c r="M2158" s="14" t="str">
        <f>IF(AND($C2158&lt;&gt;"",$C2158=Kardex!$C$4),COUNTIF($C$5:$C2158,Kardex!$C$4),"")</f>
        <v/>
      </c>
    </row>
    <row r="2159" spans="1:13" x14ac:dyDescent="0.25">
      <c r="A2159" s="24"/>
      <c r="B2159" s="20"/>
      <c r="C2159" s="20"/>
      <c r="D2159" s="14" t="str">
        <f>IF($C2159="","",IFERROR(INDEX(Productos!$B$5:$B$504,MATCH($C2159,Productos!$A$5:$A$504,0)),"Clave no existe"))</f>
        <v/>
      </c>
      <c r="E2159" s="14" t="str">
        <f>IF($C2159="","",IFERROR(INDEX(Productos!$D$5:$D$504,MATCH($C2159,Productos!$A$5:$A$504,0)),""))</f>
        <v/>
      </c>
      <c r="F2159" s="20"/>
      <c r="G2159" s="22" t="str">
        <f>IF($C2159="","",IFERROR(INDEX(Productos!$F$5:$F$504,MATCH($C2159,Productos!$A$5:$A$504,0)),0))</f>
        <v/>
      </c>
      <c r="H2159" s="22" t="str">
        <f t="shared" si="33"/>
        <v/>
      </c>
      <c r="I2159" s="14" t="str">
        <f>IF(OR($C2159="",$F2159=""),"",IFERROR(INDEX(Productos!$I$5:$I$504,MATCH($C2159,Productos!$A$5:$A$504,0)),0)+SUMIFS($F$5:$F2159,$C$5:$C2159,$C2159,$B$5:$B2159,"Entrada")-SUMIFS($F$5:$F2159,$C$5:$C2159,$C2159,$B$5:$B2159,"Salida"))</f>
        <v/>
      </c>
      <c r="J2159" s="20"/>
      <c r="K2159" s="20"/>
      <c r="L2159" s="20"/>
      <c r="M2159" s="14" t="str">
        <f>IF(AND($C2159&lt;&gt;"",$C2159=Kardex!$C$4),COUNTIF($C$5:$C2159,Kardex!$C$4),"")</f>
        <v/>
      </c>
    </row>
    <row r="2160" spans="1:13" x14ac:dyDescent="0.25">
      <c r="A2160" s="24"/>
      <c r="B2160" s="20"/>
      <c r="C2160" s="20"/>
      <c r="D2160" s="14" t="str">
        <f>IF($C2160="","",IFERROR(INDEX(Productos!$B$5:$B$504,MATCH($C2160,Productos!$A$5:$A$504,0)),"Clave no existe"))</f>
        <v/>
      </c>
      <c r="E2160" s="14" t="str">
        <f>IF($C2160="","",IFERROR(INDEX(Productos!$D$5:$D$504,MATCH($C2160,Productos!$A$5:$A$504,0)),""))</f>
        <v/>
      </c>
      <c r="F2160" s="20"/>
      <c r="G2160" s="22" t="str">
        <f>IF($C2160="","",IFERROR(INDEX(Productos!$F$5:$F$504,MATCH($C2160,Productos!$A$5:$A$504,0)),0))</f>
        <v/>
      </c>
      <c r="H2160" s="22" t="str">
        <f t="shared" si="33"/>
        <v/>
      </c>
      <c r="I2160" s="14" t="str">
        <f>IF(OR($C2160="",$F2160=""),"",IFERROR(INDEX(Productos!$I$5:$I$504,MATCH($C2160,Productos!$A$5:$A$504,0)),0)+SUMIFS($F$5:$F2160,$C$5:$C2160,$C2160,$B$5:$B2160,"Entrada")-SUMIFS($F$5:$F2160,$C$5:$C2160,$C2160,$B$5:$B2160,"Salida"))</f>
        <v/>
      </c>
      <c r="J2160" s="20"/>
      <c r="K2160" s="20"/>
      <c r="L2160" s="20"/>
      <c r="M2160" s="14" t="str">
        <f>IF(AND($C2160&lt;&gt;"",$C2160=Kardex!$C$4),COUNTIF($C$5:$C2160,Kardex!$C$4),"")</f>
        <v/>
      </c>
    </row>
    <row r="2161" spans="1:13" x14ac:dyDescent="0.25">
      <c r="A2161" s="24"/>
      <c r="B2161" s="20"/>
      <c r="C2161" s="20"/>
      <c r="D2161" s="14" t="str">
        <f>IF($C2161="","",IFERROR(INDEX(Productos!$B$5:$B$504,MATCH($C2161,Productos!$A$5:$A$504,0)),"Clave no existe"))</f>
        <v/>
      </c>
      <c r="E2161" s="14" t="str">
        <f>IF($C2161="","",IFERROR(INDEX(Productos!$D$5:$D$504,MATCH($C2161,Productos!$A$5:$A$504,0)),""))</f>
        <v/>
      </c>
      <c r="F2161" s="20"/>
      <c r="G2161" s="22" t="str">
        <f>IF($C2161="","",IFERROR(INDEX(Productos!$F$5:$F$504,MATCH($C2161,Productos!$A$5:$A$504,0)),0))</f>
        <v/>
      </c>
      <c r="H2161" s="22" t="str">
        <f t="shared" si="33"/>
        <v/>
      </c>
      <c r="I2161" s="14" t="str">
        <f>IF(OR($C2161="",$F2161=""),"",IFERROR(INDEX(Productos!$I$5:$I$504,MATCH($C2161,Productos!$A$5:$A$504,0)),0)+SUMIFS($F$5:$F2161,$C$5:$C2161,$C2161,$B$5:$B2161,"Entrada")-SUMIFS($F$5:$F2161,$C$5:$C2161,$C2161,$B$5:$B2161,"Salida"))</f>
        <v/>
      </c>
      <c r="J2161" s="20"/>
      <c r="K2161" s="20"/>
      <c r="L2161" s="20"/>
      <c r="M2161" s="14" t="str">
        <f>IF(AND($C2161&lt;&gt;"",$C2161=Kardex!$C$4),COUNTIF($C$5:$C2161,Kardex!$C$4),"")</f>
        <v/>
      </c>
    </row>
    <row r="2162" spans="1:13" x14ac:dyDescent="0.25">
      <c r="A2162" s="24"/>
      <c r="B2162" s="20"/>
      <c r="C2162" s="20"/>
      <c r="D2162" s="14" t="str">
        <f>IF($C2162="","",IFERROR(INDEX(Productos!$B$5:$B$504,MATCH($C2162,Productos!$A$5:$A$504,0)),"Clave no existe"))</f>
        <v/>
      </c>
      <c r="E2162" s="14" t="str">
        <f>IF($C2162="","",IFERROR(INDEX(Productos!$D$5:$D$504,MATCH($C2162,Productos!$A$5:$A$504,0)),""))</f>
        <v/>
      </c>
      <c r="F2162" s="20"/>
      <c r="G2162" s="22" t="str">
        <f>IF($C2162="","",IFERROR(INDEX(Productos!$F$5:$F$504,MATCH($C2162,Productos!$A$5:$A$504,0)),0))</f>
        <v/>
      </c>
      <c r="H2162" s="22" t="str">
        <f t="shared" si="33"/>
        <v/>
      </c>
      <c r="I2162" s="14" t="str">
        <f>IF(OR($C2162="",$F2162=""),"",IFERROR(INDEX(Productos!$I$5:$I$504,MATCH($C2162,Productos!$A$5:$A$504,0)),0)+SUMIFS($F$5:$F2162,$C$5:$C2162,$C2162,$B$5:$B2162,"Entrada")-SUMIFS($F$5:$F2162,$C$5:$C2162,$C2162,$B$5:$B2162,"Salida"))</f>
        <v/>
      </c>
      <c r="J2162" s="20"/>
      <c r="K2162" s="20"/>
      <c r="L2162" s="20"/>
      <c r="M2162" s="14" t="str">
        <f>IF(AND($C2162&lt;&gt;"",$C2162=Kardex!$C$4),COUNTIF($C$5:$C2162,Kardex!$C$4),"")</f>
        <v/>
      </c>
    </row>
    <row r="2163" spans="1:13" x14ac:dyDescent="0.25">
      <c r="A2163" s="24"/>
      <c r="B2163" s="20"/>
      <c r="C2163" s="20"/>
      <c r="D2163" s="14" t="str">
        <f>IF($C2163="","",IFERROR(INDEX(Productos!$B$5:$B$504,MATCH($C2163,Productos!$A$5:$A$504,0)),"Clave no existe"))</f>
        <v/>
      </c>
      <c r="E2163" s="14" t="str">
        <f>IF($C2163="","",IFERROR(INDEX(Productos!$D$5:$D$504,MATCH($C2163,Productos!$A$5:$A$504,0)),""))</f>
        <v/>
      </c>
      <c r="F2163" s="20"/>
      <c r="G2163" s="22" t="str">
        <f>IF($C2163="","",IFERROR(INDEX(Productos!$F$5:$F$504,MATCH($C2163,Productos!$A$5:$A$504,0)),0))</f>
        <v/>
      </c>
      <c r="H2163" s="22" t="str">
        <f t="shared" si="33"/>
        <v/>
      </c>
      <c r="I2163" s="14" t="str">
        <f>IF(OR($C2163="",$F2163=""),"",IFERROR(INDEX(Productos!$I$5:$I$504,MATCH($C2163,Productos!$A$5:$A$504,0)),0)+SUMIFS($F$5:$F2163,$C$5:$C2163,$C2163,$B$5:$B2163,"Entrada")-SUMIFS($F$5:$F2163,$C$5:$C2163,$C2163,$B$5:$B2163,"Salida"))</f>
        <v/>
      </c>
      <c r="J2163" s="20"/>
      <c r="K2163" s="20"/>
      <c r="L2163" s="20"/>
      <c r="M2163" s="14" t="str">
        <f>IF(AND($C2163&lt;&gt;"",$C2163=Kardex!$C$4),COUNTIF($C$5:$C2163,Kardex!$C$4),"")</f>
        <v/>
      </c>
    </row>
    <row r="2164" spans="1:13" x14ac:dyDescent="0.25">
      <c r="A2164" s="24"/>
      <c r="B2164" s="20"/>
      <c r="C2164" s="20"/>
      <c r="D2164" s="14" t="str">
        <f>IF($C2164="","",IFERROR(INDEX(Productos!$B$5:$B$504,MATCH($C2164,Productos!$A$5:$A$504,0)),"Clave no existe"))</f>
        <v/>
      </c>
      <c r="E2164" s="14" t="str">
        <f>IF($C2164="","",IFERROR(INDEX(Productos!$D$5:$D$504,MATCH($C2164,Productos!$A$5:$A$504,0)),""))</f>
        <v/>
      </c>
      <c r="F2164" s="20"/>
      <c r="G2164" s="22" t="str">
        <f>IF($C2164="","",IFERROR(INDEX(Productos!$F$5:$F$504,MATCH($C2164,Productos!$A$5:$A$504,0)),0))</f>
        <v/>
      </c>
      <c r="H2164" s="22" t="str">
        <f t="shared" si="33"/>
        <v/>
      </c>
      <c r="I2164" s="14" t="str">
        <f>IF(OR($C2164="",$F2164=""),"",IFERROR(INDEX(Productos!$I$5:$I$504,MATCH($C2164,Productos!$A$5:$A$504,0)),0)+SUMIFS($F$5:$F2164,$C$5:$C2164,$C2164,$B$5:$B2164,"Entrada")-SUMIFS($F$5:$F2164,$C$5:$C2164,$C2164,$B$5:$B2164,"Salida"))</f>
        <v/>
      </c>
      <c r="J2164" s="20"/>
      <c r="K2164" s="20"/>
      <c r="L2164" s="20"/>
      <c r="M2164" s="14" t="str">
        <f>IF(AND($C2164&lt;&gt;"",$C2164=Kardex!$C$4),COUNTIF($C$5:$C2164,Kardex!$C$4),"")</f>
        <v/>
      </c>
    </row>
    <row r="2165" spans="1:13" x14ac:dyDescent="0.25">
      <c r="A2165" s="24"/>
      <c r="B2165" s="20"/>
      <c r="C2165" s="20"/>
      <c r="D2165" s="14" t="str">
        <f>IF($C2165="","",IFERROR(INDEX(Productos!$B$5:$B$504,MATCH($C2165,Productos!$A$5:$A$504,0)),"Clave no existe"))</f>
        <v/>
      </c>
      <c r="E2165" s="14" t="str">
        <f>IF($C2165="","",IFERROR(INDEX(Productos!$D$5:$D$504,MATCH($C2165,Productos!$A$5:$A$504,0)),""))</f>
        <v/>
      </c>
      <c r="F2165" s="20"/>
      <c r="G2165" s="22" t="str">
        <f>IF($C2165="","",IFERROR(INDEX(Productos!$F$5:$F$504,MATCH($C2165,Productos!$A$5:$A$504,0)),0))</f>
        <v/>
      </c>
      <c r="H2165" s="22" t="str">
        <f t="shared" si="33"/>
        <v/>
      </c>
      <c r="I2165" s="14" t="str">
        <f>IF(OR($C2165="",$F2165=""),"",IFERROR(INDEX(Productos!$I$5:$I$504,MATCH($C2165,Productos!$A$5:$A$504,0)),0)+SUMIFS($F$5:$F2165,$C$5:$C2165,$C2165,$B$5:$B2165,"Entrada")-SUMIFS($F$5:$F2165,$C$5:$C2165,$C2165,$B$5:$B2165,"Salida"))</f>
        <v/>
      </c>
      <c r="J2165" s="20"/>
      <c r="K2165" s="20"/>
      <c r="L2165" s="20"/>
      <c r="M2165" s="14" t="str">
        <f>IF(AND($C2165&lt;&gt;"",$C2165=Kardex!$C$4),COUNTIF($C$5:$C2165,Kardex!$C$4),"")</f>
        <v/>
      </c>
    </row>
    <row r="2166" spans="1:13" x14ac:dyDescent="0.25">
      <c r="A2166" s="24"/>
      <c r="B2166" s="20"/>
      <c r="C2166" s="20"/>
      <c r="D2166" s="14" t="str">
        <f>IF($C2166="","",IFERROR(INDEX(Productos!$B$5:$B$504,MATCH($C2166,Productos!$A$5:$A$504,0)),"Clave no existe"))</f>
        <v/>
      </c>
      <c r="E2166" s="14" t="str">
        <f>IF($C2166="","",IFERROR(INDEX(Productos!$D$5:$D$504,MATCH($C2166,Productos!$A$5:$A$504,0)),""))</f>
        <v/>
      </c>
      <c r="F2166" s="20"/>
      <c r="G2166" s="22" t="str">
        <f>IF($C2166="","",IFERROR(INDEX(Productos!$F$5:$F$504,MATCH($C2166,Productos!$A$5:$A$504,0)),0))</f>
        <v/>
      </c>
      <c r="H2166" s="22" t="str">
        <f t="shared" si="33"/>
        <v/>
      </c>
      <c r="I2166" s="14" t="str">
        <f>IF(OR($C2166="",$F2166=""),"",IFERROR(INDEX(Productos!$I$5:$I$504,MATCH($C2166,Productos!$A$5:$A$504,0)),0)+SUMIFS($F$5:$F2166,$C$5:$C2166,$C2166,$B$5:$B2166,"Entrada")-SUMIFS($F$5:$F2166,$C$5:$C2166,$C2166,$B$5:$B2166,"Salida"))</f>
        <v/>
      </c>
      <c r="J2166" s="20"/>
      <c r="K2166" s="20"/>
      <c r="L2166" s="20"/>
      <c r="M2166" s="14" t="str">
        <f>IF(AND($C2166&lt;&gt;"",$C2166=Kardex!$C$4),COUNTIF($C$5:$C2166,Kardex!$C$4),"")</f>
        <v/>
      </c>
    </row>
    <row r="2167" spans="1:13" x14ac:dyDescent="0.25">
      <c r="A2167" s="24"/>
      <c r="B2167" s="20"/>
      <c r="C2167" s="20"/>
      <c r="D2167" s="14" t="str">
        <f>IF($C2167="","",IFERROR(INDEX(Productos!$B$5:$B$504,MATCH($C2167,Productos!$A$5:$A$504,0)),"Clave no existe"))</f>
        <v/>
      </c>
      <c r="E2167" s="14" t="str">
        <f>IF($C2167="","",IFERROR(INDEX(Productos!$D$5:$D$504,MATCH($C2167,Productos!$A$5:$A$504,0)),""))</f>
        <v/>
      </c>
      <c r="F2167" s="20"/>
      <c r="G2167" s="22" t="str">
        <f>IF($C2167="","",IFERROR(INDEX(Productos!$F$5:$F$504,MATCH($C2167,Productos!$A$5:$A$504,0)),0))</f>
        <v/>
      </c>
      <c r="H2167" s="22" t="str">
        <f t="shared" si="33"/>
        <v/>
      </c>
      <c r="I2167" s="14" t="str">
        <f>IF(OR($C2167="",$F2167=""),"",IFERROR(INDEX(Productos!$I$5:$I$504,MATCH($C2167,Productos!$A$5:$A$504,0)),0)+SUMIFS($F$5:$F2167,$C$5:$C2167,$C2167,$B$5:$B2167,"Entrada")-SUMIFS($F$5:$F2167,$C$5:$C2167,$C2167,$B$5:$B2167,"Salida"))</f>
        <v/>
      </c>
      <c r="J2167" s="20"/>
      <c r="K2167" s="20"/>
      <c r="L2167" s="20"/>
      <c r="M2167" s="14" t="str">
        <f>IF(AND($C2167&lt;&gt;"",$C2167=Kardex!$C$4),COUNTIF($C$5:$C2167,Kardex!$C$4),"")</f>
        <v/>
      </c>
    </row>
    <row r="2168" spans="1:13" x14ac:dyDescent="0.25">
      <c r="A2168" s="24"/>
      <c r="B2168" s="20"/>
      <c r="C2168" s="20"/>
      <c r="D2168" s="14" t="str">
        <f>IF($C2168="","",IFERROR(INDEX(Productos!$B$5:$B$504,MATCH($C2168,Productos!$A$5:$A$504,0)),"Clave no existe"))</f>
        <v/>
      </c>
      <c r="E2168" s="14" t="str">
        <f>IF($C2168="","",IFERROR(INDEX(Productos!$D$5:$D$504,MATCH($C2168,Productos!$A$5:$A$504,0)),""))</f>
        <v/>
      </c>
      <c r="F2168" s="20"/>
      <c r="G2168" s="22" t="str">
        <f>IF($C2168="","",IFERROR(INDEX(Productos!$F$5:$F$504,MATCH($C2168,Productos!$A$5:$A$504,0)),0))</f>
        <v/>
      </c>
      <c r="H2168" s="22" t="str">
        <f t="shared" si="33"/>
        <v/>
      </c>
      <c r="I2168" s="14" t="str">
        <f>IF(OR($C2168="",$F2168=""),"",IFERROR(INDEX(Productos!$I$5:$I$504,MATCH($C2168,Productos!$A$5:$A$504,0)),0)+SUMIFS($F$5:$F2168,$C$5:$C2168,$C2168,$B$5:$B2168,"Entrada")-SUMIFS($F$5:$F2168,$C$5:$C2168,$C2168,$B$5:$B2168,"Salida"))</f>
        <v/>
      </c>
      <c r="J2168" s="20"/>
      <c r="K2168" s="20"/>
      <c r="L2168" s="20"/>
      <c r="M2168" s="14" t="str">
        <f>IF(AND($C2168&lt;&gt;"",$C2168=Kardex!$C$4),COUNTIF($C$5:$C2168,Kardex!$C$4),"")</f>
        <v/>
      </c>
    </row>
    <row r="2169" spans="1:13" x14ac:dyDescent="0.25">
      <c r="A2169" s="24"/>
      <c r="B2169" s="20"/>
      <c r="C2169" s="20"/>
      <c r="D2169" s="14" t="str">
        <f>IF($C2169="","",IFERROR(INDEX(Productos!$B$5:$B$504,MATCH($C2169,Productos!$A$5:$A$504,0)),"Clave no existe"))</f>
        <v/>
      </c>
      <c r="E2169" s="14" t="str">
        <f>IF($C2169="","",IFERROR(INDEX(Productos!$D$5:$D$504,MATCH($C2169,Productos!$A$5:$A$504,0)),""))</f>
        <v/>
      </c>
      <c r="F2169" s="20"/>
      <c r="G2169" s="22" t="str">
        <f>IF($C2169="","",IFERROR(INDEX(Productos!$F$5:$F$504,MATCH($C2169,Productos!$A$5:$A$504,0)),0))</f>
        <v/>
      </c>
      <c r="H2169" s="22" t="str">
        <f t="shared" si="33"/>
        <v/>
      </c>
      <c r="I2169" s="14" t="str">
        <f>IF(OR($C2169="",$F2169=""),"",IFERROR(INDEX(Productos!$I$5:$I$504,MATCH($C2169,Productos!$A$5:$A$504,0)),0)+SUMIFS($F$5:$F2169,$C$5:$C2169,$C2169,$B$5:$B2169,"Entrada")-SUMIFS($F$5:$F2169,$C$5:$C2169,$C2169,$B$5:$B2169,"Salida"))</f>
        <v/>
      </c>
      <c r="J2169" s="20"/>
      <c r="K2169" s="20"/>
      <c r="L2169" s="20"/>
      <c r="M2169" s="14" t="str">
        <f>IF(AND($C2169&lt;&gt;"",$C2169=Kardex!$C$4),COUNTIF($C$5:$C2169,Kardex!$C$4),"")</f>
        <v/>
      </c>
    </row>
    <row r="2170" spans="1:13" x14ac:dyDescent="0.25">
      <c r="A2170" s="24"/>
      <c r="B2170" s="20"/>
      <c r="C2170" s="20"/>
      <c r="D2170" s="14" t="str">
        <f>IF($C2170="","",IFERROR(INDEX(Productos!$B$5:$B$504,MATCH($C2170,Productos!$A$5:$A$504,0)),"Clave no existe"))</f>
        <v/>
      </c>
      <c r="E2170" s="14" t="str">
        <f>IF($C2170="","",IFERROR(INDEX(Productos!$D$5:$D$504,MATCH($C2170,Productos!$A$5:$A$504,0)),""))</f>
        <v/>
      </c>
      <c r="F2170" s="20"/>
      <c r="G2170" s="22" t="str">
        <f>IF($C2170="","",IFERROR(INDEX(Productos!$F$5:$F$504,MATCH($C2170,Productos!$A$5:$A$504,0)),0))</f>
        <v/>
      </c>
      <c r="H2170" s="22" t="str">
        <f t="shared" si="33"/>
        <v/>
      </c>
      <c r="I2170" s="14" t="str">
        <f>IF(OR($C2170="",$F2170=""),"",IFERROR(INDEX(Productos!$I$5:$I$504,MATCH($C2170,Productos!$A$5:$A$504,0)),0)+SUMIFS($F$5:$F2170,$C$5:$C2170,$C2170,$B$5:$B2170,"Entrada")-SUMIFS($F$5:$F2170,$C$5:$C2170,$C2170,$B$5:$B2170,"Salida"))</f>
        <v/>
      </c>
      <c r="J2170" s="20"/>
      <c r="K2170" s="20"/>
      <c r="L2170" s="20"/>
      <c r="M2170" s="14" t="str">
        <f>IF(AND($C2170&lt;&gt;"",$C2170=Kardex!$C$4),COUNTIF($C$5:$C2170,Kardex!$C$4),"")</f>
        <v/>
      </c>
    </row>
    <row r="2171" spans="1:13" x14ac:dyDescent="0.25">
      <c r="A2171" s="24"/>
      <c r="B2171" s="20"/>
      <c r="C2171" s="20"/>
      <c r="D2171" s="14" t="str">
        <f>IF($C2171="","",IFERROR(INDEX(Productos!$B$5:$B$504,MATCH($C2171,Productos!$A$5:$A$504,0)),"Clave no existe"))</f>
        <v/>
      </c>
      <c r="E2171" s="14" t="str">
        <f>IF($C2171="","",IFERROR(INDEX(Productos!$D$5:$D$504,MATCH($C2171,Productos!$A$5:$A$504,0)),""))</f>
        <v/>
      </c>
      <c r="F2171" s="20"/>
      <c r="G2171" s="22" t="str">
        <f>IF($C2171="","",IFERROR(INDEX(Productos!$F$5:$F$504,MATCH($C2171,Productos!$A$5:$A$504,0)),0))</f>
        <v/>
      </c>
      <c r="H2171" s="22" t="str">
        <f t="shared" si="33"/>
        <v/>
      </c>
      <c r="I2171" s="14" t="str">
        <f>IF(OR($C2171="",$F2171=""),"",IFERROR(INDEX(Productos!$I$5:$I$504,MATCH($C2171,Productos!$A$5:$A$504,0)),0)+SUMIFS($F$5:$F2171,$C$5:$C2171,$C2171,$B$5:$B2171,"Entrada")-SUMIFS($F$5:$F2171,$C$5:$C2171,$C2171,$B$5:$B2171,"Salida"))</f>
        <v/>
      </c>
      <c r="J2171" s="20"/>
      <c r="K2171" s="20"/>
      <c r="L2171" s="20"/>
      <c r="M2171" s="14" t="str">
        <f>IF(AND($C2171&lt;&gt;"",$C2171=Kardex!$C$4),COUNTIF($C$5:$C2171,Kardex!$C$4),"")</f>
        <v/>
      </c>
    </row>
    <row r="2172" spans="1:13" x14ac:dyDescent="0.25">
      <c r="A2172" s="24"/>
      <c r="B2172" s="20"/>
      <c r="C2172" s="20"/>
      <c r="D2172" s="14" t="str">
        <f>IF($C2172="","",IFERROR(INDEX(Productos!$B$5:$B$504,MATCH($C2172,Productos!$A$5:$A$504,0)),"Clave no existe"))</f>
        <v/>
      </c>
      <c r="E2172" s="14" t="str">
        <f>IF($C2172="","",IFERROR(INDEX(Productos!$D$5:$D$504,MATCH($C2172,Productos!$A$5:$A$504,0)),""))</f>
        <v/>
      </c>
      <c r="F2172" s="20"/>
      <c r="G2172" s="22" t="str">
        <f>IF($C2172="","",IFERROR(INDEX(Productos!$F$5:$F$504,MATCH($C2172,Productos!$A$5:$A$504,0)),0))</f>
        <v/>
      </c>
      <c r="H2172" s="22" t="str">
        <f t="shared" si="33"/>
        <v/>
      </c>
      <c r="I2172" s="14" t="str">
        <f>IF(OR($C2172="",$F2172=""),"",IFERROR(INDEX(Productos!$I$5:$I$504,MATCH($C2172,Productos!$A$5:$A$504,0)),0)+SUMIFS($F$5:$F2172,$C$5:$C2172,$C2172,$B$5:$B2172,"Entrada")-SUMIFS($F$5:$F2172,$C$5:$C2172,$C2172,$B$5:$B2172,"Salida"))</f>
        <v/>
      </c>
      <c r="J2172" s="20"/>
      <c r="K2172" s="20"/>
      <c r="L2172" s="20"/>
      <c r="M2172" s="14" t="str">
        <f>IF(AND($C2172&lt;&gt;"",$C2172=Kardex!$C$4),COUNTIF($C$5:$C2172,Kardex!$C$4),"")</f>
        <v/>
      </c>
    </row>
    <row r="2173" spans="1:13" x14ac:dyDescent="0.25">
      <c r="A2173" s="24"/>
      <c r="B2173" s="20"/>
      <c r="C2173" s="20"/>
      <c r="D2173" s="14" t="str">
        <f>IF($C2173="","",IFERROR(INDEX(Productos!$B$5:$B$504,MATCH($C2173,Productos!$A$5:$A$504,0)),"Clave no existe"))</f>
        <v/>
      </c>
      <c r="E2173" s="14" t="str">
        <f>IF($C2173="","",IFERROR(INDEX(Productos!$D$5:$D$504,MATCH($C2173,Productos!$A$5:$A$504,0)),""))</f>
        <v/>
      </c>
      <c r="F2173" s="20"/>
      <c r="G2173" s="22" t="str">
        <f>IF($C2173="","",IFERROR(INDEX(Productos!$F$5:$F$504,MATCH($C2173,Productos!$A$5:$A$504,0)),0))</f>
        <v/>
      </c>
      <c r="H2173" s="22" t="str">
        <f t="shared" si="33"/>
        <v/>
      </c>
      <c r="I2173" s="14" t="str">
        <f>IF(OR($C2173="",$F2173=""),"",IFERROR(INDEX(Productos!$I$5:$I$504,MATCH($C2173,Productos!$A$5:$A$504,0)),0)+SUMIFS($F$5:$F2173,$C$5:$C2173,$C2173,$B$5:$B2173,"Entrada")-SUMIFS($F$5:$F2173,$C$5:$C2173,$C2173,$B$5:$B2173,"Salida"))</f>
        <v/>
      </c>
      <c r="J2173" s="20"/>
      <c r="K2173" s="20"/>
      <c r="L2173" s="20"/>
      <c r="M2173" s="14" t="str">
        <f>IF(AND($C2173&lt;&gt;"",$C2173=Kardex!$C$4),COUNTIF($C$5:$C2173,Kardex!$C$4),"")</f>
        <v/>
      </c>
    </row>
    <row r="2174" spans="1:13" x14ac:dyDescent="0.25">
      <c r="A2174" s="24"/>
      <c r="B2174" s="20"/>
      <c r="C2174" s="20"/>
      <c r="D2174" s="14" t="str">
        <f>IF($C2174="","",IFERROR(INDEX(Productos!$B$5:$B$504,MATCH($C2174,Productos!$A$5:$A$504,0)),"Clave no existe"))</f>
        <v/>
      </c>
      <c r="E2174" s="14" t="str">
        <f>IF($C2174="","",IFERROR(INDEX(Productos!$D$5:$D$504,MATCH($C2174,Productos!$A$5:$A$504,0)),""))</f>
        <v/>
      </c>
      <c r="F2174" s="20"/>
      <c r="G2174" s="22" t="str">
        <f>IF($C2174="","",IFERROR(INDEX(Productos!$F$5:$F$504,MATCH($C2174,Productos!$A$5:$A$504,0)),0))</f>
        <v/>
      </c>
      <c r="H2174" s="22" t="str">
        <f t="shared" si="33"/>
        <v/>
      </c>
      <c r="I2174" s="14" t="str">
        <f>IF(OR($C2174="",$F2174=""),"",IFERROR(INDEX(Productos!$I$5:$I$504,MATCH($C2174,Productos!$A$5:$A$504,0)),0)+SUMIFS($F$5:$F2174,$C$5:$C2174,$C2174,$B$5:$B2174,"Entrada")-SUMIFS($F$5:$F2174,$C$5:$C2174,$C2174,$B$5:$B2174,"Salida"))</f>
        <v/>
      </c>
      <c r="J2174" s="20"/>
      <c r="K2174" s="20"/>
      <c r="L2174" s="20"/>
      <c r="M2174" s="14" t="str">
        <f>IF(AND($C2174&lt;&gt;"",$C2174=Kardex!$C$4),COUNTIF($C$5:$C2174,Kardex!$C$4),"")</f>
        <v/>
      </c>
    </row>
    <row r="2175" spans="1:13" x14ac:dyDescent="0.25">
      <c r="A2175" s="24"/>
      <c r="B2175" s="20"/>
      <c r="C2175" s="20"/>
      <c r="D2175" s="14" t="str">
        <f>IF($C2175="","",IFERROR(INDEX(Productos!$B$5:$B$504,MATCH($C2175,Productos!$A$5:$A$504,0)),"Clave no existe"))</f>
        <v/>
      </c>
      <c r="E2175" s="14" t="str">
        <f>IF($C2175="","",IFERROR(INDEX(Productos!$D$5:$D$504,MATCH($C2175,Productos!$A$5:$A$504,0)),""))</f>
        <v/>
      </c>
      <c r="F2175" s="20"/>
      <c r="G2175" s="22" t="str">
        <f>IF($C2175="","",IFERROR(INDEX(Productos!$F$5:$F$504,MATCH($C2175,Productos!$A$5:$A$504,0)),0))</f>
        <v/>
      </c>
      <c r="H2175" s="22" t="str">
        <f t="shared" si="33"/>
        <v/>
      </c>
      <c r="I2175" s="14" t="str">
        <f>IF(OR($C2175="",$F2175=""),"",IFERROR(INDEX(Productos!$I$5:$I$504,MATCH($C2175,Productos!$A$5:$A$504,0)),0)+SUMIFS($F$5:$F2175,$C$5:$C2175,$C2175,$B$5:$B2175,"Entrada")-SUMIFS($F$5:$F2175,$C$5:$C2175,$C2175,$B$5:$B2175,"Salida"))</f>
        <v/>
      </c>
      <c r="J2175" s="20"/>
      <c r="K2175" s="20"/>
      <c r="L2175" s="20"/>
      <c r="M2175" s="14" t="str">
        <f>IF(AND($C2175&lt;&gt;"",$C2175=Kardex!$C$4),COUNTIF($C$5:$C2175,Kardex!$C$4),"")</f>
        <v/>
      </c>
    </row>
    <row r="2176" spans="1:13" x14ac:dyDescent="0.25">
      <c r="A2176" s="24"/>
      <c r="B2176" s="20"/>
      <c r="C2176" s="20"/>
      <c r="D2176" s="14" t="str">
        <f>IF($C2176="","",IFERROR(INDEX(Productos!$B$5:$B$504,MATCH($C2176,Productos!$A$5:$A$504,0)),"Clave no existe"))</f>
        <v/>
      </c>
      <c r="E2176" s="14" t="str">
        <f>IF($C2176="","",IFERROR(INDEX(Productos!$D$5:$D$504,MATCH($C2176,Productos!$A$5:$A$504,0)),""))</f>
        <v/>
      </c>
      <c r="F2176" s="20"/>
      <c r="G2176" s="22" t="str">
        <f>IF($C2176="","",IFERROR(INDEX(Productos!$F$5:$F$504,MATCH($C2176,Productos!$A$5:$A$504,0)),0))</f>
        <v/>
      </c>
      <c r="H2176" s="22" t="str">
        <f t="shared" si="33"/>
        <v/>
      </c>
      <c r="I2176" s="14" t="str">
        <f>IF(OR($C2176="",$F2176=""),"",IFERROR(INDEX(Productos!$I$5:$I$504,MATCH($C2176,Productos!$A$5:$A$504,0)),0)+SUMIFS($F$5:$F2176,$C$5:$C2176,$C2176,$B$5:$B2176,"Entrada")-SUMIFS($F$5:$F2176,$C$5:$C2176,$C2176,$B$5:$B2176,"Salida"))</f>
        <v/>
      </c>
      <c r="J2176" s="20"/>
      <c r="K2176" s="20"/>
      <c r="L2176" s="20"/>
      <c r="M2176" s="14" t="str">
        <f>IF(AND($C2176&lt;&gt;"",$C2176=Kardex!$C$4),COUNTIF($C$5:$C2176,Kardex!$C$4),"")</f>
        <v/>
      </c>
    </row>
    <row r="2177" spans="1:13" x14ac:dyDescent="0.25">
      <c r="A2177" s="24"/>
      <c r="B2177" s="20"/>
      <c r="C2177" s="20"/>
      <c r="D2177" s="14" t="str">
        <f>IF($C2177="","",IFERROR(INDEX(Productos!$B$5:$B$504,MATCH($C2177,Productos!$A$5:$A$504,0)),"Clave no existe"))</f>
        <v/>
      </c>
      <c r="E2177" s="14" t="str">
        <f>IF($C2177="","",IFERROR(INDEX(Productos!$D$5:$D$504,MATCH($C2177,Productos!$A$5:$A$504,0)),""))</f>
        <v/>
      </c>
      <c r="F2177" s="20"/>
      <c r="G2177" s="22" t="str">
        <f>IF($C2177="","",IFERROR(INDEX(Productos!$F$5:$F$504,MATCH($C2177,Productos!$A$5:$A$504,0)),0))</f>
        <v/>
      </c>
      <c r="H2177" s="22" t="str">
        <f t="shared" si="33"/>
        <v/>
      </c>
      <c r="I2177" s="14" t="str">
        <f>IF(OR($C2177="",$F2177=""),"",IFERROR(INDEX(Productos!$I$5:$I$504,MATCH($C2177,Productos!$A$5:$A$504,0)),0)+SUMIFS($F$5:$F2177,$C$5:$C2177,$C2177,$B$5:$B2177,"Entrada")-SUMIFS($F$5:$F2177,$C$5:$C2177,$C2177,$B$5:$B2177,"Salida"))</f>
        <v/>
      </c>
      <c r="J2177" s="20"/>
      <c r="K2177" s="20"/>
      <c r="L2177" s="20"/>
      <c r="M2177" s="14" t="str">
        <f>IF(AND($C2177&lt;&gt;"",$C2177=Kardex!$C$4),COUNTIF($C$5:$C2177,Kardex!$C$4),"")</f>
        <v/>
      </c>
    </row>
    <row r="2178" spans="1:13" x14ac:dyDescent="0.25">
      <c r="A2178" s="24"/>
      <c r="B2178" s="20"/>
      <c r="C2178" s="20"/>
      <c r="D2178" s="14" t="str">
        <f>IF($C2178="","",IFERROR(INDEX(Productos!$B$5:$B$504,MATCH($C2178,Productos!$A$5:$A$504,0)),"Clave no existe"))</f>
        <v/>
      </c>
      <c r="E2178" s="14" t="str">
        <f>IF($C2178="","",IFERROR(INDEX(Productos!$D$5:$D$504,MATCH($C2178,Productos!$A$5:$A$504,0)),""))</f>
        <v/>
      </c>
      <c r="F2178" s="20"/>
      <c r="G2178" s="22" t="str">
        <f>IF($C2178="","",IFERROR(INDEX(Productos!$F$5:$F$504,MATCH($C2178,Productos!$A$5:$A$504,0)),0))</f>
        <v/>
      </c>
      <c r="H2178" s="22" t="str">
        <f t="shared" si="33"/>
        <v/>
      </c>
      <c r="I2178" s="14" t="str">
        <f>IF(OR($C2178="",$F2178=""),"",IFERROR(INDEX(Productos!$I$5:$I$504,MATCH($C2178,Productos!$A$5:$A$504,0)),0)+SUMIFS($F$5:$F2178,$C$5:$C2178,$C2178,$B$5:$B2178,"Entrada")-SUMIFS($F$5:$F2178,$C$5:$C2178,$C2178,$B$5:$B2178,"Salida"))</f>
        <v/>
      </c>
      <c r="J2178" s="20"/>
      <c r="K2178" s="20"/>
      <c r="L2178" s="20"/>
      <c r="M2178" s="14" t="str">
        <f>IF(AND($C2178&lt;&gt;"",$C2178=Kardex!$C$4),COUNTIF($C$5:$C2178,Kardex!$C$4),"")</f>
        <v/>
      </c>
    </row>
    <row r="2179" spans="1:13" x14ac:dyDescent="0.25">
      <c r="A2179" s="24"/>
      <c r="B2179" s="20"/>
      <c r="C2179" s="20"/>
      <c r="D2179" s="14" t="str">
        <f>IF($C2179="","",IFERROR(INDEX(Productos!$B$5:$B$504,MATCH($C2179,Productos!$A$5:$A$504,0)),"Clave no existe"))</f>
        <v/>
      </c>
      <c r="E2179" s="14" t="str">
        <f>IF($C2179="","",IFERROR(INDEX(Productos!$D$5:$D$504,MATCH($C2179,Productos!$A$5:$A$504,0)),""))</f>
        <v/>
      </c>
      <c r="F2179" s="20"/>
      <c r="G2179" s="22" t="str">
        <f>IF($C2179="","",IFERROR(INDEX(Productos!$F$5:$F$504,MATCH($C2179,Productos!$A$5:$A$504,0)),0))</f>
        <v/>
      </c>
      <c r="H2179" s="22" t="str">
        <f t="shared" si="33"/>
        <v/>
      </c>
      <c r="I2179" s="14" t="str">
        <f>IF(OR($C2179="",$F2179=""),"",IFERROR(INDEX(Productos!$I$5:$I$504,MATCH($C2179,Productos!$A$5:$A$504,0)),0)+SUMIFS($F$5:$F2179,$C$5:$C2179,$C2179,$B$5:$B2179,"Entrada")-SUMIFS($F$5:$F2179,$C$5:$C2179,$C2179,$B$5:$B2179,"Salida"))</f>
        <v/>
      </c>
      <c r="J2179" s="20"/>
      <c r="K2179" s="20"/>
      <c r="L2179" s="20"/>
      <c r="M2179" s="14" t="str">
        <f>IF(AND($C2179&lt;&gt;"",$C2179=Kardex!$C$4),COUNTIF($C$5:$C2179,Kardex!$C$4),"")</f>
        <v/>
      </c>
    </row>
    <row r="2180" spans="1:13" x14ac:dyDescent="0.25">
      <c r="A2180" s="24"/>
      <c r="B2180" s="20"/>
      <c r="C2180" s="20"/>
      <c r="D2180" s="14" t="str">
        <f>IF($C2180="","",IFERROR(INDEX(Productos!$B$5:$B$504,MATCH($C2180,Productos!$A$5:$A$504,0)),"Clave no existe"))</f>
        <v/>
      </c>
      <c r="E2180" s="14" t="str">
        <f>IF($C2180="","",IFERROR(INDEX(Productos!$D$5:$D$504,MATCH($C2180,Productos!$A$5:$A$504,0)),""))</f>
        <v/>
      </c>
      <c r="F2180" s="20"/>
      <c r="G2180" s="22" t="str">
        <f>IF($C2180="","",IFERROR(INDEX(Productos!$F$5:$F$504,MATCH($C2180,Productos!$A$5:$A$504,0)),0))</f>
        <v/>
      </c>
      <c r="H2180" s="22" t="str">
        <f t="shared" si="33"/>
        <v/>
      </c>
      <c r="I2180" s="14" t="str">
        <f>IF(OR($C2180="",$F2180=""),"",IFERROR(INDEX(Productos!$I$5:$I$504,MATCH($C2180,Productos!$A$5:$A$504,0)),0)+SUMIFS($F$5:$F2180,$C$5:$C2180,$C2180,$B$5:$B2180,"Entrada")-SUMIFS($F$5:$F2180,$C$5:$C2180,$C2180,$B$5:$B2180,"Salida"))</f>
        <v/>
      </c>
      <c r="J2180" s="20"/>
      <c r="K2180" s="20"/>
      <c r="L2180" s="20"/>
      <c r="M2180" s="14" t="str">
        <f>IF(AND($C2180&lt;&gt;"",$C2180=Kardex!$C$4),COUNTIF($C$5:$C2180,Kardex!$C$4),"")</f>
        <v/>
      </c>
    </row>
    <row r="2181" spans="1:13" x14ac:dyDescent="0.25">
      <c r="A2181" s="24"/>
      <c r="B2181" s="20"/>
      <c r="C2181" s="20"/>
      <c r="D2181" s="14" t="str">
        <f>IF($C2181="","",IFERROR(INDEX(Productos!$B$5:$B$504,MATCH($C2181,Productos!$A$5:$A$504,0)),"Clave no existe"))</f>
        <v/>
      </c>
      <c r="E2181" s="14" t="str">
        <f>IF($C2181="","",IFERROR(INDEX(Productos!$D$5:$D$504,MATCH($C2181,Productos!$A$5:$A$504,0)),""))</f>
        <v/>
      </c>
      <c r="F2181" s="20"/>
      <c r="G2181" s="22" t="str">
        <f>IF($C2181="","",IFERROR(INDEX(Productos!$F$5:$F$504,MATCH($C2181,Productos!$A$5:$A$504,0)),0))</f>
        <v/>
      </c>
      <c r="H2181" s="22" t="str">
        <f t="shared" ref="H2181:H2244" si="34">IF(OR($C2181="",$F2181=""),"",F2181*G2181)</f>
        <v/>
      </c>
      <c r="I2181" s="14" t="str">
        <f>IF(OR($C2181="",$F2181=""),"",IFERROR(INDEX(Productos!$I$5:$I$504,MATCH($C2181,Productos!$A$5:$A$504,0)),0)+SUMIFS($F$5:$F2181,$C$5:$C2181,$C2181,$B$5:$B2181,"Entrada")-SUMIFS($F$5:$F2181,$C$5:$C2181,$C2181,$B$5:$B2181,"Salida"))</f>
        <v/>
      </c>
      <c r="J2181" s="20"/>
      <c r="K2181" s="20"/>
      <c r="L2181" s="20"/>
      <c r="M2181" s="14" t="str">
        <f>IF(AND($C2181&lt;&gt;"",$C2181=Kardex!$C$4),COUNTIF($C$5:$C2181,Kardex!$C$4),"")</f>
        <v/>
      </c>
    </row>
    <row r="2182" spans="1:13" x14ac:dyDescent="0.25">
      <c r="A2182" s="24"/>
      <c r="B2182" s="20"/>
      <c r="C2182" s="20"/>
      <c r="D2182" s="14" t="str">
        <f>IF($C2182="","",IFERROR(INDEX(Productos!$B$5:$B$504,MATCH($C2182,Productos!$A$5:$A$504,0)),"Clave no existe"))</f>
        <v/>
      </c>
      <c r="E2182" s="14" t="str">
        <f>IF($C2182="","",IFERROR(INDEX(Productos!$D$5:$D$504,MATCH($C2182,Productos!$A$5:$A$504,0)),""))</f>
        <v/>
      </c>
      <c r="F2182" s="20"/>
      <c r="G2182" s="22" t="str">
        <f>IF($C2182="","",IFERROR(INDEX(Productos!$F$5:$F$504,MATCH($C2182,Productos!$A$5:$A$504,0)),0))</f>
        <v/>
      </c>
      <c r="H2182" s="22" t="str">
        <f t="shared" si="34"/>
        <v/>
      </c>
      <c r="I2182" s="14" t="str">
        <f>IF(OR($C2182="",$F2182=""),"",IFERROR(INDEX(Productos!$I$5:$I$504,MATCH($C2182,Productos!$A$5:$A$504,0)),0)+SUMIFS($F$5:$F2182,$C$5:$C2182,$C2182,$B$5:$B2182,"Entrada")-SUMIFS($F$5:$F2182,$C$5:$C2182,$C2182,$B$5:$B2182,"Salida"))</f>
        <v/>
      </c>
      <c r="J2182" s="20"/>
      <c r="K2182" s="20"/>
      <c r="L2182" s="20"/>
      <c r="M2182" s="14" t="str">
        <f>IF(AND($C2182&lt;&gt;"",$C2182=Kardex!$C$4),COUNTIF($C$5:$C2182,Kardex!$C$4),"")</f>
        <v/>
      </c>
    </row>
    <row r="2183" spans="1:13" x14ac:dyDescent="0.25">
      <c r="A2183" s="24"/>
      <c r="B2183" s="20"/>
      <c r="C2183" s="20"/>
      <c r="D2183" s="14" t="str">
        <f>IF($C2183="","",IFERROR(INDEX(Productos!$B$5:$B$504,MATCH($C2183,Productos!$A$5:$A$504,0)),"Clave no existe"))</f>
        <v/>
      </c>
      <c r="E2183" s="14" t="str">
        <f>IF($C2183="","",IFERROR(INDEX(Productos!$D$5:$D$504,MATCH($C2183,Productos!$A$5:$A$504,0)),""))</f>
        <v/>
      </c>
      <c r="F2183" s="20"/>
      <c r="G2183" s="22" t="str">
        <f>IF($C2183="","",IFERROR(INDEX(Productos!$F$5:$F$504,MATCH($C2183,Productos!$A$5:$A$504,0)),0))</f>
        <v/>
      </c>
      <c r="H2183" s="22" t="str">
        <f t="shared" si="34"/>
        <v/>
      </c>
      <c r="I2183" s="14" t="str">
        <f>IF(OR($C2183="",$F2183=""),"",IFERROR(INDEX(Productos!$I$5:$I$504,MATCH($C2183,Productos!$A$5:$A$504,0)),0)+SUMIFS($F$5:$F2183,$C$5:$C2183,$C2183,$B$5:$B2183,"Entrada")-SUMIFS($F$5:$F2183,$C$5:$C2183,$C2183,$B$5:$B2183,"Salida"))</f>
        <v/>
      </c>
      <c r="J2183" s="20"/>
      <c r="K2183" s="20"/>
      <c r="L2183" s="20"/>
      <c r="M2183" s="14" t="str">
        <f>IF(AND($C2183&lt;&gt;"",$C2183=Kardex!$C$4),COUNTIF($C$5:$C2183,Kardex!$C$4),"")</f>
        <v/>
      </c>
    </row>
    <row r="2184" spans="1:13" x14ac:dyDescent="0.25">
      <c r="A2184" s="24"/>
      <c r="B2184" s="20"/>
      <c r="C2184" s="20"/>
      <c r="D2184" s="14" t="str">
        <f>IF($C2184="","",IFERROR(INDEX(Productos!$B$5:$B$504,MATCH($C2184,Productos!$A$5:$A$504,0)),"Clave no existe"))</f>
        <v/>
      </c>
      <c r="E2184" s="14" t="str">
        <f>IF($C2184="","",IFERROR(INDEX(Productos!$D$5:$D$504,MATCH($C2184,Productos!$A$5:$A$504,0)),""))</f>
        <v/>
      </c>
      <c r="F2184" s="20"/>
      <c r="G2184" s="22" t="str">
        <f>IF($C2184="","",IFERROR(INDEX(Productos!$F$5:$F$504,MATCH($C2184,Productos!$A$5:$A$504,0)),0))</f>
        <v/>
      </c>
      <c r="H2184" s="22" t="str">
        <f t="shared" si="34"/>
        <v/>
      </c>
      <c r="I2184" s="14" t="str">
        <f>IF(OR($C2184="",$F2184=""),"",IFERROR(INDEX(Productos!$I$5:$I$504,MATCH($C2184,Productos!$A$5:$A$504,0)),0)+SUMIFS($F$5:$F2184,$C$5:$C2184,$C2184,$B$5:$B2184,"Entrada")-SUMIFS($F$5:$F2184,$C$5:$C2184,$C2184,$B$5:$B2184,"Salida"))</f>
        <v/>
      </c>
      <c r="J2184" s="20"/>
      <c r="K2184" s="20"/>
      <c r="L2184" s="20"/>
      <c r="M2184" s="14" t="str">
        <f>IF(AND($C2184&lt;&gt;"",$C2184=Kardex!$C$4),COUNTIF($C$5:$C2184,Kardex!$C$4),"")</f>
        <v/>
      </c>
    </row>
    <row r="2185" spans="1:13" x14ac:dyDescent="0.25">
      <c r="A2185" s="24"/>
      <c r="B2185" s="20"/>
      <c r="C2185" s="20"/>
      <c r="D2185" s="14" t="str">
        <f>IF($C2185="","",IFERROR(INDEX(Productos!$B$5:$B$504,MATCH($C2185,Productos!$A$5:$A$504,0)),"Clave no existe"))</f>
        <v/>
      </c>
      <c r="E2185" s="14" t="str">
        <f>IF($C2185="","",IFERROR(INDEX(Productos!$D$5:$D$504,MATCH($C2185,Productos!$A$5:$A$504,0)),""))</f>
        <v/>
      </c>
      <c r="F2185" s="20"/>
      <c r="G2185" s="22" t="str">
        <f>IF($C2185="","",IFERROR(INDEX(Productos!$F$5:$F$504,MATCH($C2185,Productos!$A$5:$A$504,0)),0))</f>
        <v/>
      </c>
      <c r="H2185" s="22" t="str">
        <f t="shared" si="34"/>
        <v/>
      </c>
      <c r="I2185" s="14" t="str">
        <f>IF(OR($C2185="",$F2185=""),"",IFERROR(INDEX(Productos!$I$5:$I$504,MATCH($C2185,Productos!$A$5:$A$504,0)),0)+SUMIFS($F$5:$F2185,$C$5:$C2185,$C2185,$B$5:$B2185,"Entrada")-SUMIFS($F$5:$F2185,$C$5:$C2185,$C2185,$B$5:$B2185,"Salida"))</f>
        <v/>
      </c>
      <c r="J2185" s="20"/>
      <c r="K2185" s="20"/>
      <c r="L2185" s="20"/>
      <c r="M2185" s="14" t="str">
        <f>IF(AND($C2185&lt;&gt;"",$C2185=Kardex!$C$4),COUNTIF($C$5:$C2185,Kardex!$C$4),"")</f>
        <v/>
      </c>
    </row>
    <row r="2186" spans="1:13" x14ac:dyDescent="0.25">
      <c r="A2186" s="24"/>
      <c r="B2186" s="20"/>
      <c r="C2186" s="20"/>
      <c r="D2186" s="14" t="str">
        <f>IF($C2186="","",IFERROR(INDEX(Productos!$B$5:$B$504,MATCH($C2186,Productos!$A$5:$A$504,0)),"Clave no existe"))</f>
        <v/>
      </c>
      <c r="E2186" s="14" t="str">
        <f>IF($C2186="","",IFERROR(INDEX(Productos!$D$5:$D$504,MATCH($C2186,Productos!$A$5:$A$504,0)),""))</f>
        <v/>
      </c>
      <c r="F2186" s="20"/>
      <c r="G2186" s="22" t="str">
        <f>IF($C2186="","",IFERROR(INDEX(Productos!$F$5:$F$504,MATCH($C2186,Productos!$A$5:$A$504,0)),0))</f>
        <v/>
      </c>
      <c r="H2186" s="22" t="str">
        <f t="shared" si="34"/>
        <v/>
      </c>
      <c r="I2186" s="14" t="str">
        <f>IF(OR($C2186="",$F2186=""),"",IFERROR(INDEX(Productos!$I$5:$I$504,MATCH($C2186,Productos!$A$5:$A$504,0)),0)+SUMIFS($F$5:$F2186,$C$5:$C2186,$C2186,$B$5:$B2186,"Entrada")-SUMIFS($F$5:$F2186,$C$5:$C2186,$C2186,$B$5:$B2186,"Salida"))</f>
        <v/>
      </c>
      <c r="J2186" s="20"/>
      <c r="K2186" s="20"/>
      <c r="L2186" s="20"/>
      <c r="M2186" s="14" t="str">
        <f>IF(AND($C2186&lt;&gt;"",$C2186=Kardex!$C$4),COUNTIF($C$5:$C2186,Kardex!$C$4),"")</f>
        <v/>
      </c>
    </row>
    <row r="2187" spans="1:13" x14ac:dyDescent="0.25">
      <c r="A2187" s="24"/>
      <c r="B2187" s="20"/>
      <c r="C2187" s="20"/>
      <c r="D2187" s="14" t="str">
        <f>IF($C2187="","",IFERROR(INDEX(Productos!$B$5:$B$504,MATCH($C2187,Productos!$A$5:$A$504,0)),"Clave no existe"))</f>
        <v/>
      </c>
      <c r="E2187" s="14" t="str">
        <f>IF($C2187="","",IFERROR(INDEX(Productos!$D$5:$D$504,MATCH($C2187,Productos!$A$5:$A$504,0)),""))</f>
        <v/>
      </c>
      <c r="F2187" s="20"/>
      <c r="G2187" s="22" t="str">
        <f>IF($C2187="","",IFERROR(INDEX(Productos!$F$5:$F$504,MATCH($C2187,Productos!$A$5:$A$504,0)),0))</f>
        <v/>
      </c>
      <c r="H2187" s="22" t="str">
        <f t="shared" si="34"/>
        <v/>
      </c>
      <c r="I2187" s="14" t="str">
        <f>IF(OR($C2187="",$F2187=""),"",IFERROR(INDEX(Productos!$I$5:$I$504,MATCH($C2187,Productos!$A$5:$A$504,0)),0)+SUMIFS($F$5:$F2187,$C$5:$C2187,$C2187,$B$5:$B2187,"Entrada")-SUMIFS($F$5:$F2187,$C$5:$C2187,$C2187,$B$5:$B2187,"Salida"))</f>
        <v/>
      </c>
      <c r="J2187" s="20"/>
      <c r="K2187" s="20"/>
      <c r="L2187" s="20"/>
      <c r="M2187" s="14" t="str">
        <f>IF(AND($C2187&lt;&gt;"",$C2187=Kardex!$C$4),COUNTIF($C$5:$C2187,Kardex!$C$4),"")</f>
        <v/>
      </c>
    </row>
    <row r="2188" spans="1:13" x14ac:dyDescent="0.25">
      <c r="A2188" s="24"/>
      <c r="B2188" s="20"/>
      <c r="C2188" s="20"/>
      <c r="D2188" s="14" t="str">
        <f>IF($C2188="","",IFERROR(INDEX(Productos!$B$5:$B$504,MATCH($C2188,Productos!$A$5:$A$504,0)),"Clave no existe"))</f>
        <v/>
      </c>
      <c r="E2188" s="14" t="str">
        <f>IF($C2188="","",IFERROR(INDEX(Productos!$D$5:$D$504,MATCH($C2188,Productos!$A$5:$A$504,0)),""))</f>
        <v/>
      </c>
      <c r="F2188" s="20"/>
      <c r="G2188" s="22" t="str">
        <f>IF($C2188="","",IFERROR(INDEX(Productos!$F$5:$F$504,MATCH($C2188,Productos!$A$5:$A$504,0)),0))</f>
        <v/>
      </c>
      <c r="H2188" s="22" t="str">
        <f t="shared" si="34"/>
        <v/>
      </c>
      <c r="I2188" s="14" t="str">
        <f>IF(OR($C2188="",$F2188=""),"",IFERROR(INDEX(Productos!$I$5:$I$504,MATCH($C2188,Productos!$A$5:$A$504,0)),0)+SUMIFS($F$5:$F2188,$C$5:$C2188,$C2188,$B$5:$B2188,"Entrada")-SUMIFS($F$5:$F2188,$C$5:$C2188,$C2188,$B$5:$B2188,"Salida"))</f>
        <v/>
      </c>
      <c r="J2188" s="20"/>
      <c r="K2188" s="20"/>
      <c r="L2188" s="20"/>
      <c r="M2188" s="14" t="str">
        <f>IF(AND($C2188&lt;&gt;"",$C2188=Kardex!$C$4),COUNTIF($C$5:$C2188,Kardex!$C$4),"")</f>
        <v/>
      </c>
    </row>
    <row r="2189" spans="1:13" x14ac:dyDescent="0.25">
      <c r="A2189" s="24"/>
      <c r="B2189" s="20"/>
      <c r="C2189" s="20"/>
      <c r="D2189" s="14" t="str">
        <f>IF($C2189="","",IFERROR(INDEX(Productos!$B$5:$B$504,MATCH($C2189,Productos!$A$5:$A$504,0)),"Clave no existe"))</f>
        <v/>
      </c>
      <c r="E2189" s="14" t="str">
        <f>IF($C2189="","",IFERROR(INDEX(Productos!$D$5:$D$504,MATCH($C2189,Productos!$A$5:$A$504,0)),""))</f>
        <v/>
      </c>
      <c r="F2189" s="20"/>
      <c r="G2189" s="22" t="str">
        <f>IF($C2189="","",IFERROR(INDEX(Productos!$F$5:$F$504,MATCH($C2189,Productos!$A$5:$A$504,0)),0))</f>
        <v/>
      </c>
      <c r="H2189" s="22" t="str">
        <f t="shared" si="34"/>
        <v/>
      </c>
      <c r="I2189" s="14" t="str">
        <f>IF(OR($C2189="",$F2189=""),"",IFERROR(INDEX(Productos!$I$5:$I$504,MATCH($C2189,Productos!$A$5:$A$504,0)),0)+SUMIFS($F$5:$F2189,$C$5:$C2189,$C2189,$B$5:$B2189,"Entrada")-SUMIFS($F$5:$F2189,$C$5:$C2189,$C2189,$B$5:$B2189,"Salida"))</f>
        <v/>
      </c>
      <c r="J2189" s="20"/>
      <c r="K2189" s="20"/>
      <c r="L2189" s="20"/>
      <c r="M2189" s="14" t="str">
        <f>IF(AND($C2189&lt;&gt;"",$C2189=Kardex!$C$4),COUNTIF($C$5:$C2189,Kardex!$C$4),"")</f>
        <v/>
      </c>
    </row>
    <row r="2190" spans="1:13" x14ac:dyDescent="0.25">
      <c r="A2190" s="24"/>
      <c r="B2190" s="20"/>
      <c r="C2190" s="20"/>
      <c r="D2190" s="14" t="str">
        <f>IF($C2190="","",IFERROR(INDEX(Productos!$B$5:$B$504,MATCH($C2190,Productos!$A$5:$A$504,0)),"Clave no existe"))</f>
        <v/>
      </c>
      <c r="E2190" s="14" t="str">
        <f>IF($C2190="","",IFERROR(INDEX(Productos!$D$5:$D$504,MATCH($C2190,Productos!$A$5:$A$504,0)),""))</f>
        <v/>
      </c>
      <c r="F2190" s="20"/>
      <c r="G2190" s="22" t="str">
        <f>IF($C2190="","",IFERROR(INDEX(Productos!$F$5:$F$504,MATCH($C2190,Productos!$A$5:$A$504,0)),0))</f>
        <v/>
      </c>
      <c r="H2190" s="22" t="str">
        <f t="shared" si="34"/>
        <v/>
      </c>
      <c r="I2190" s="14" t="str">
        <f>IF(OR($C2190="",$F2190=""),"",IFERROR(INDEX(Productos!$I$5:$I$504,MATCH($C2190,Productos!$A$5:$A$504,0)),0)+SUMIFS($F$5:$F2190,$C$5:$C2190,$C2190,$B$5:$B2190,"Entrada")-SUMIFS($F$5:$F2190,$C$5:$C2190,$C2190,$B$5:$B2190,"Salida"))</f>
        <v/>
      </c>
      <c r="J2190" s="20"/>
      <c r="K2190" s="20"/>
      <c r="L2190" s="20"/>
      <c r="M2190" s="14" t="str">
        <f>IF(AND($C2190&lt;&gt;"",$C2190=Kardex!$C$4),COUNTIF($C$5:$C2190,Kardex!$C$4),"")</f>
        <v/>
      </c>
    </row>
    <row r="2191" spans="1:13" x14ac:dyDescent="0.25">
      <c r="A2191" s="24"/>
      <c r="B2191" s="20"/>
      <c r="C2191" s="20"/>
      <c r="D2191" s="14" t="str">
        <f>IF($C2191="","",IFERROR(INDEX(Productos!$B$5:$B$504,MATCH($C2191,Productos!$A$5:$A$504,0)),"Clave no existe"))</f>
        <v/>
      </c>
      <c r="E2191" s="14" t="str">
        <f>IF($C2191="","",IFERROR(INDEX(Productos!$D$5:$D$504,MATCH($C2191,Productos!$A$5:$A$504,0)),""))</f>
        <v/>
      </c>
      <c r="F2191" s="20"/>
      <c r="G2191" s="22" t="str">
        <f>IF($C2191="","",IFERROR(INDEX(Productos!$F$5:$F$504,MATCH($C2191,Productos!$A$5:$A$504,0)),0))</f>
        <v/>
      </c>
      <c r="H2191" s="22" t="str">
        <f t="shared" si="34"/>
        <v/>
      </c>
      <c r="I2191" s="14" t="str">
        <f>IF(OR($C2191="",$F2191=""),"",IFERROR(INDEX(Productos!$I$5:$I$504,MATCH($C2191,Productos!$A$5:$A$504,0)),0)+SUMIFS($F$5:$F2191,$C$5:$C2191,$C2191,$B$5:$B2191,"Entrada")-SUMIFS($F$5:$F2191,$C$5:$C2191,$C2191,$B$5:$B2191,"Salida"))</f>
        <v/>
      </c>
      <c r="J2191" s="20"/>
      <c r="K2191" s="20"/>
      <c r="L2191" s="20"/>
      <c r="M2191" s="14" t="str">
        <f>IF(AND($C2191&lt;&gt;"",$C2191=Kardex!$C$4),COUNTIF($C$5:$C2191,Kardex!$C$4),"")</f>
        <v/>
      </c>
    </row>
    <row r="2192" spans="1:13" x14ac:dyDescent="0.25">
      <c r="A2192" s="24"/>
      <c r="B2192" s="20"/>
      <c r="C2192" s="20"/>
      <c r="D2192" s="14" t="str">
        <f>IF($C2192="","",IFERROR(INDEX(Productos!$B$5:$B$504,MATCH($C2192,Productos!$A$5:$A$504,0)),"Clave no existe"))</f>
        <v/>
      </c>
      <c r="E2192" s="14" t="str">
        <f>IF($C2192="","",IFERROR(INDEX(Productos!$D$5:$D$504,MATCH($C2192,Productos!$A$5:$A$504,0)),""))</f>
        <v/>
      </c>
      <c r="F2192" s="20"/>
      <c r="G2192" s="22" t="str">
        <f>IF($C2192="","",IFERROR(INDEX(Productos!$F$5:$F$504,MATCH($C2192,Productos!$A$5:$A$504,0)),0))</f>
        <v/>
      </c>
      <c r="H2192" s="22" t="str">
        <f t="shared" si="34"/>
        <v/>
      </c>
      <c r="I2192" s="14" t="str">
        <f>IF(OR($C2192="",$F2192=""),"",IFERROR(INDEX(Productos!$I$5:$I$504,MATCH($C2192,Productos!$A$5:$A$504,0)),0)+SUMIFS($F$5:$F2192,$C$5:$C2192,$C2192,$B$5:$B2192,"Entrada")-SUMIFS($F$5:$F2192,$C$5:$C2192,$C2192,$B$5:$B2192,"Salida"))</f>
        <v/>
      </c>
      <c r="J2192" s="20"/>
      <c r="K2192" s="20"/>
      <c r="L2192" s="20"/>
      <c r="M2192" s="14" t="str">
        <f>IF(AND($C2192&lt;&gt;"",$C2192=Kardex!$C$4),COUNTIF($C$5:$C2192,Kardex!$C$4),"")</f>
        <v/>
      </c>
    </row>
    <row r="2193" spans="1:13" x14ac:dyDescent="0.25">
      <c r="A2193" s="24"/>
      <c r="B2193" s="20"/>
      <c r="C2193" s="20"/>
      <c r="D2193" s="14" t="str">
        <f>IF($C2193="","",IFERROR(INDEX(Productos!$B$5:$B$504,MATCH($C2193,Productos!$A$5:$A$504,0)),"Clave no existe"))</f>
        <v/>
      </c>
      <c r="E2193" s="14" t="str">
        <f>IF($C2193="","",IFERROR(INDEX(Productos!$D$5:$D$504,MATCH($C2193,Productos!$A$5:$A$504,0)),""))</f>
        <v/>
      </c>
      <c r="F2193" s="20"/>
      <c r="G2193" s="22" t="str">
        <f>IF($C2193="","",IFERROR(INDEX(Productos!$F$5:$F$504,MATCH($C2193,Productos!$A$5:$A$504,0)),0))</f>
        <v/>
      </c>
      <c r="H2193" s="22" t="str">
        <f t="shared" si="34"/>
        <v/>
      </c>
      <c r="I2193" s="14" t="str">
        <f>IF(OR($C2193="",$F2193=""),"",IFERROR(INDEX(Productos!$I$5:$I$504,MATCH($C2193,Productos!$A$5:$A$504,0)),0)+SUMIFS($F$5:$F2193,$C$5:$C2193,$C2193,$B$5:$B2193,"Entrada")-SUMIFS($F$5:$F2193,$C$5:$C2193,$C2193,$B$5:$B2193,"Salida"))</f>
        <v/>
      </c>
      <c r="J2193" s="20"/>
      <c r="K2193" s="20"/>
      <c r="L2193" s="20"/>
      <c r="M2193" s="14" t="str">
        <f>IF(AND($C2193&lt;&gt;"",$C2193=Kardex!$C$4),COUNTIF($C$5:$C2193,Kardex!$C$4),"")</f>
        <v/>
      </c>
    </row>
    <row r="2194" spans="1:13" x14ac:dyDescent="0.25">
      <c r="A2194" s="24"/>
      <c r="B2194" s="20"/>
      <c r="C2194" s="20"/>
      <c r="D2194" s="14" t="str">
        <f>IF($C2194="","",IFERROR(INDEX(Productos!$B$5:$B$504,MATCH($C2194,Productos!$A$5:$A$504,0)),"Clave no existe"))</f>
        <v/>
      </c>
      <c r="E2194" s="14" t="str">
        <f>IF($C2194="","",IFERROR(INDEX(Productos!$D$5:$D$504,MATCH($C2194,Productos!$A$5:$A$504,0)),""))</f>
        <v/>
      </c>
      <c r="F2194" s="20"/>
      <c r="G2194" s="22" t="str">
        <f>IF($C2194="","",IFERROR(INDEX(Productos!$F$5:$F$504,MATCH($C2194,Productos!$A$5:$A$504,0)),0))</f>
        <v/>
      </c>
      <c r="H2194" s="22" t="str">
        <f t="shared" si="34"/>
        <v/>
      </c>
      <c r="I2194" s="14" t="str">
        <f>IF(OR($C2194="",$F2194=""),"",IFERROR(INDEX(Productos!$I$5:$I$504,MATCH($C2194,Productos!$A$5:$A$504,0)),0)+SUMIFS($F$5:$F2194,$C$5:$C2194,$C2194,$B$5:$B2194,"Entrada")-SUMIFS($F$5:$F2194,$C$5:$C2194,$C2194,$B$5:$B2194,"Salida"))</f>
        <v/>
      </c>
      <c r="J2194" s="20"/>
      <c r="K2194" s="20"/>
      <c r="L2194" s="20"/>
      <c r="M2194" s="14" t="str">
        <f>IF(AND($C2194&lt;&gt;"",$C2194=Kardex!$C$4),COUNTIF($C$5:$C2194,Kardex!$C$4),"")</f>
        <v/>
      </c>
    </row>
    <row r="2195" spans="1:13" x14ac:dyDescent="0.25">
      <c r="A2195" s="24"/>
      <c r="B2195" s="20"/>
      <c r="C2195" s="20"/>
      <c r="D2195" s="14" t="str">
        <f>IF($C2195="","",IFERROR(INDEX(Productos!$B$5:$B$504,MATCH($C2195,Productos!$A$5:$A$504,0)),"Clave no existe"))</f>
        <v/>
      </c>
      <c r="E2195" s="14" t="str">
        <f>IF($C2195="","",IFERROR(INDEX(Productos!$D$5:$D$504,MATCH($C2195,Productos!$A$5:$A$504,0)),""))</f>
        <v/>
      </c>
      <c r="F2195" s="20"/>
      <c r="G2195" s="22" t="str">
        <f>IF($C2195="","",IFERROR(INDEX(Productos!$F$5:$F$504,MATCH($C2195,Productos!$A$5:$A$504,0)),0))</f>
        <v/>
      </c>
      <c r="H2195" s="22" t="str">
        <f t="shared" si="34"/>
        <v/>
      </c>
      <c r="I2195" s="14" t="str">
        <f>IF(OR($C2195="",$F2195=""),"",IFERROR(INDEX(Productos!$I$5:$I$504,MATCH($C2195,Productos!$A$5:$A$504,0)),0)+SUMIFS($F$5:$F2195,$C$5:$C2195,$C2195,$B$5:$B2195,"Entrada")-SUMIFS($F$5:$F2195,$C$5:$C2195,$C2195,$B$5:$B2195,"Salida"))</f>
        <v/>
      </c>
      <c r="J2195" s="20"/>
      <c r="K2195" s="20"/>
      <c r="L2195" s="20"/>
      <c r="M2195" s="14" t="str">
        <f>IF(AND($C2195&lt;&gt;"",$C2195=Kardex!$C$4),COUNTIF($C$5:$C2195,Kardex!$C$4),"")</f>
        <v/>
      </c>
    </row>
    <row r="2196" spans="1:13" x14ac:dyDescent="0.25">
      <c r="A2196" s="24"/>
      <c r="B2196" s="20"/>
      <c r="C2196" s="20"/>
      <c r="D2196" s="14" t="str">
        <f>IF($C2196="","",IFERROR(INDEX(Productos!$B$5:$B$504,MATCH($C2196,Productos!$A$5:$A$504,0)),"Clave no existe"))</f>
        <v/>
      </c>
      <c r="E2196" s="14" t="str">
        <f>IF($C2196="","",IFERROR(INDEX(Productos!$D$5:$D$504,MATCH($C2196,Productos!$A$5:$A$504,0)),""))</f>
        <v/>
      </c>
      <c r="F2196" s="20"/>
      <c r="G2196" s="22" t="str">
        <f>IF($C2196="","",IFERROR(INDEX(Productos!$F$5:$F$504,MATCH($C2196,Productos!$A$5:$A$504,0)),0))</f>
        <v/>
      </c>
      <c r="H2196" s="22" t="str">
        <f t="shared" si="34"/>
        <v/>
      </c>
      <c r="I2196" s="14" t="str">
        <f>IF(OR($C2196="",$F2196=""),"",IFERROR(INDEX(Productos!$I$5:$I$504,MATCH($C2196,Productos!$A$5:$A$504,0)),0)+SUMIFS($F$5:$F2196,$C$5:$C2196,$C2196,$B$5:$B2196,"Entrada")-SUMIFS($F$5:$F2196,$C$5:$C2196,$C2196,$B$5:$B2196,"Salida"))</f>
        <v/>
      </c>
      <c r="J2196" s="20"/>
      <c r="K2196" s="20"/>
      <c r="L2196" s="20"/>
      <c r="M2196" s="14" t="str">
        <f>IF(AND($C2196&lt;&gt;"",$C2196=Kardex!$C$4),COUNTIF($C$5:$C2196,Kardex!$C$4),"")</f>
        <v/>
      </c>
    </row>
    <row r="2197" spans="1:13" x14ac:dyDescent="0.25">
      <c r="A2197" s="24"/>
      <c r="B2197" s="20"/>
      <c r="C2197" s="20"/>
      <c r="D2197" s="14" t="str">
        <f>IF($C2197="","",IFERROR(INDEX(Productos!$B$5:$B$504,MATCH($C2197,Productos!$A$5:$A$504,0)),"Clave no existe"))</f>
        <v/>
      </c>
      <c r="E2197" s="14" t="str">
        <f>IF($C2197="","",IFERROR(INDEX(Productos!$D$5:$D$504,MATCH($C2197,Productos!$A$5:$A$504,0)),""))</f>
        <v/>
      </c>
      <c r="F2197" s="20"/>
      <c r="G2197" s="22" t="str">
        <f>IF($C2197="","",IFERROR(INDEX(Productos!$F$5:$F$504,MATCH($C2197,Productos!$A$5:$A$504,0)),0))</f>
        <v/>
      </c>
      <c r="H2197" s="22" t="str">
        <f t="shared" si="34"/>
        <v/>
      </c>
      <c r="I2197" s="14" t="str">
        <f>IF(OR($C2197="",$F2197=""),"",IFERROR(INDEX(Productos!$I$5:$I$504,MATCH($C2197,Productos!$A$5:$A$504,0)),0)+SUMIFS($F$5:$F2197,$C$5:$C2197,$C2197,$B$5:$B2197,"Entrada")-SUMIFS($F$5:$F2197,$C$5:$C2197,$C2197,$B$5:$B2197,"Salida"))</f>
        <v/>
      </c>
      <c r="J2197" s="20"/>
      <c r="K2197" s="20"/>
      <c r="L2197" s="20"/>
      <c r="M2197" s="14" t="str">
        <f>IF(AND($C2197&lt;&gt;"",$C2197=Kardex!$C$4),COUNTIF($C$5:$C2197,Kardex!$C$4),"")</f>
        <v/>
      </c>
    </row>
    <row r="2198" spans="1:13" x14ac:dyDescent="0.25">
      <c r="A2198" s="24"/>
      <c r="B2198" s="20"/>
      <c r="C2198" s="20"/>
      <c r="D2198" s="14" t="str">
        <f>IF($C2198="","",IFERROR(INDEX(Productos!$B$5:$B$504,MATCH($C2198,Productos!$A$5:$A$504,0)),"Clave no existe"))</f>
        <v/>
      </c>
      <c r="E2198" s="14" t="str">
        <f>IF($C2198="","",IFERROR(INDEX(Productos!$D$5:$D$504,MATCH($C2198,Productos!$A$5:$A$504,0)),""))</f>
        <v/>
      </c>
      <c r="F2198" s="20"/>
      <c r="G2198" s="22" t="str">
        <f>IF($C2198="","",IFERROR(INDEX(Productos!$F$5:$F$504,MATCH($C2198,Productos!$A$5:$A$504,0)),0))</f>
        <v/>
      </c>
      <c r="H2198" s="22" t="str">
        <f t="shared" si="34"/>
        <v/>
      </c>
      <c r="I2198" s="14" t="str">
        <f>IF(OR($C2198="",$F2198=""),"",IFERROR(INDEX(Productos!$I$5:$I$504,MATCH($C2198,Productos!$A$5:$A$504,0)),0)+SUMIFS($F$5:$F2198,$C$5:$C2198,$C2198,$B$5:$B2198,"Entrada")-SUMIFS($F$5:$F2198,$C$5:$C2198,$C2198,$B$5:$B2198,"Salida"))</f>
        <v/>
      </c>
      <c r="J2198" s="20"/>
      <c r="K2198" s="20"/>
      <c r="L2198" s="20"/>
      <c r="M2198" s="14" t="str">
        <f>IF(AND($C2198&lt;&gt;"",$C2198=Kardex!$C$4),COUNTIF($C$5:$C2198,Kardex!$C$4),"")</f>
        <v/>
      </c>
    </row>
    <row r="2199" spans="1:13" x14ac:dyDescent="0.25">
      <c r="A2199" s="24"/>
      <c r="B2199" s="20"/>
      <c r="C2199" s="20"/>
      <c r="D2199" s="14" t="str">
        <f>IF($C2199="","",IFERROR(INDEX(Productos!$B$5:$B$504,MATCH($C2199,Productos!$A$5:$A$504,0)),"Clave no existe"))</f>
        <v/>
      </c>
      <c r="E2199" s="14" t="str">
        <f>IF($C2199="","",IFERROR(INDEX(Productos!$D$5:$D$504,MATCH($C2199,Productos!$A$5:$A$504,0)),""))</f>
        <v/>
      </c>
      <c r="F2199" s="20"/>
      <c r="G2199" s="22" t="str">
        <f>IF($C2199="","",IFERROR(INDEX(Productos!$F$5:$F$504,MATCH($C2199,Productos!$A$5:$A$504,0)),0))</f>
        <v/>
      </c>
      <c r="H2199" s="22" t="str">
        <f t="shared" si="34"/>
        <v/>
      </c>
      <c r="I2199" s="14" t="str">
        <f>IF(OR($C2199="",$F2199=""),"",IFERROR(INDEX(Productos!$I$5:$I$504,MATCH($C2199,Productos!$A$5:$A$504,0)),0)+SUMIFS($F$5:$F2199,$C$5:$C2199,$C2199,$B$5:$B2199,"Entrada")-SUMIFS($F$5:$F2199,$C$5:$C2199,$C2199,$B$5:$B2199,"Salida"))</f>
        <v/>
      </c>
      <c r="J2199" s="20"/>
      <c r="K2199" s="20"/>
      <c r="L2199" s="20"/>
      <c r="M2199" s="14" t="str">
        <f>IF(AND($C2199&lt;&gt;"",$C2199=Kardex!$C$4),COUNTIF($C$5:$C2199,Kardex!$C$4),"")</f>
        <v/>
      </c>
    </row>
    <row r="2200" spans="1:13" x14ac:dyDescent="0.25">
      <c r="A2200" s="24"/>
      <c r="B2200" s="20"/>
      <c r="C2200" s="20"/>
      <c r="D2200" s="14" t="str">
        <f>IF($C2200="","",IFERROR(INDEX(Productos!$B$5:$B$504,MATCH($C2200,Productos!$A$5:$A$504,0)),"Clave no existe"))</f>
        <v/>
      </c>
      <c r="E2200" s="14" t="str">
        <f>IF($C2200="","",IFERROR(INDEX(Productos!$D$5:$D$504,MATCH($C2200,Productos!$A$5:$A$504,0)),""))</f>
        <v/>
      </c>
      <c r="F2200" s="20"/>
      <c r="G2200" s="22" t="str">
        <f>IF($C2200="","",IFERROR(INDEX(Productos!$F$5:$F$504,MATCH($C2200,Productos!$A$5:$A$504,0)),0))</f>
        <v/>
      </c>
      <c r="H2200" s="22" t="str">
        <f t="shared" si="34"/>
        <v/>
      </c>
      <c r="I2200" s="14" t="str">
        <f>IF(OR($C2200="",$F2200=""),"",IFERROR(INDEX(Productos!$I$5:$I$504,MATCH($C2200,Productos!$A$5:$A$504,0)),0)+SUMIFS($F$5:$F2200,$C$5:$C2200,$C2200,$B$5:$B2200,"Entrada")-SUMIFS($F$5:$F2200,$C$5:$C2200,$C2200,$B$5:$B2200,"Salida"))</f>
        <v/>
      </c>
      <c r="J2200" s="20"/>
      <c r="K2200" s="20"/>
      <c r="L2200" s="20"/>
      <c r="M2200" s="14" t="str">
        <f>IF(AND($C2200&lt;&gt;"",$C2200=Kardex!$C$4),COUNTIF($C$5:$C2200,Kardex!$C$4),"")</f>
        <v/>
      </c>
    </row>
    <row r="2201" spans="1:13" x14ac:dyDescent="0.25">
      <c r="A2201" s="24"/>
      <c r="B2201" s="20"/>
      <c r="C2201" s="20"/>
      <c r="D2201" s="14" t="str">
        <f>IF($C2201="","",IFERROR(INDEX(Productos!$B$5:$B$504,MATCH($C2201,Productos!$A$5:$A$504,0)),"Clave no existe"))</f>
        <v/>
      </c>
      <c r="E2201" s="14" t="str">
        <f>IF($C2201="","",IFERROR(INDEX(Productos!$D$5:$D$504,MATCH($C2201,Productos!$A$5:$A$504,0)),""))</f>
        <v/>
      </c>
      <c r="F2201" s="20"/>
      <c r="G2201" s="22" t="str">
        <f>IF($C2201="","",IFERROR(INDEX(Productos!$F$5:$F$504,MATCH($C2201,Productos!$A$5:$A$504,0)),0))</f>
        <v/>
      </c>
      <c r="H2201" s="22" t="str">
        <f t="shared" si="34"/>
        <v/>
      </c>
      <c r="I2201" s="14" t="str">
        <f>IF(OR($C2201="",$F2201=""),"",IFERROR(INDEX(Productos!$I$5:$I$504,MATCH($C2201,Productos!$A$5:$A$504,0)),0)+SUMIFS($F$5:$F2201,$C$5:$C2201,$C2201,$B$5:$B2201,"Entrada")-SUMIFS($F$5:$F2201,$C$5:$C2201,$C2201,$B$5:$B2201,"Salida"))</f>
        <v/>
      </c>
      <c r="J2201" s="20"/>
      <c r="K2201" s="20"/>
      <c r="L2201" s="20"/>
      <c r="M2201" s="14" t="str">
        <f>IF(AND($C2201&lt;&gt;"",$C2201=Kardex!$C$4),COUNTIF($C$5:$C2201,Kardex!$C$4),"")</f>
        <v/>
      </c>
    </row>
    <row r="2202" spans="1:13" x14ac:dyDescent="0.25">
      <c r="A2202" s="24"/>
      <c r="B2202" s="20"/>
      <c r="C2202" s="20"/>
      <c r="D2202" s="14" t="str">
        <f>IF($C2202="","",IFERROR(INDEX(Productos!$B$5:$B$504,MATCH($C2202,Productos!$A$5:$A$504,0)),"Clave no existe"))</f>
        <v/>
      </c>
      <c r="E2202" s="14" t="str">
        <f>IF($C2202="","",IFERROR(INDEX(Productos!$D$5:$D$504,MATCH($C2202,Productos!$A$5:$A$504,0)),""))</f>
        <v/>
      </c>
      <c r="F2202" s="20"/>
      <c r="G2202" s="22" t="str">
        <f>IF($C2202="","",IFERROR(INDEX(Productos!$F$5:$F$504,MATCH($C2202,Productos!$A$5:$A$504,0)),0))</f>
        <v/>
      </c>
      <c r="H2202" s="22" t="str">
        <f t="shared" si="34"/>
        <v/>
      </c>
      <c r="I2202" s="14" t="str">
        <f>IF(OR($C2202="",$F2202=""),"",IFERROR(INDEX(Productos!$I$5:$I$504,MATCH($C2202,Productos!$A$5:$A$504,0)),0)+SUMIFS($F$5:$F2202,$C$5:$C2202,$C2202,$B$5:$B2202,"Entrada")-SUMIFS($F$5:$F2202,$C$5:$C2202,$C2202,$B$5:$B2202,"Salida"))</f>
        <v/>
      </c>
      <c r="J2202" s="20"/>
      <c r="K2202" s="20"/>
      <c r="L2202" s="20"/>
      <c r="M2202" s="14" t="str">
        <f>IF(AND($C2202&lt;&gt;"",$C2202=Kardex!$C$4),COUNTIF($C$5:$C2202,Kardex!$C$4),"")</f>
        <v/>
      </c>
    </row>
    <row r="2203" spans="1:13" x14ac:dyDescent="0.25">
      <c r="A2203" s="24"/>
      <c r="B2203" s="20"/>
      <c r="C2203" s="20"/>
      <c r="D2203" s="14" t="str">
        <f>IF($C2203="","",IFERROR(INDEX(Productos!$B$5:$B$504,MATCH($C2203,Productos!$A$5:$A$504,0)),"Clave no existe"))</f>
        <v/>
      </c>
      <c r="E2203" s="14" t="str">
        <f>IF($C2203="","",IFERROR(INDEX(Productos!$D$5:$D$504,MATCH($C2203,Productos!$A$5:$A$504,0)),""))</f>
        <v/>
      </c>
      <c r="F2203" s="20"/>
      <c r="G2203" s="22" t="str">
        <f>IF($C2203="","",IFERROR(INDEX(Productos!$F$5:$F$504,MATCH($C2203,Productos!$A$5:$A$504,0)),0))</f>
        <v/>
      </c>
      <c r="H2203" s="22" t="str">
        <f t="shared" si="34"/>
        <v/>
      </c>
      <c r="I2203" s="14" t="str">
        <f>IF(OR($C2203="",$F2203=""),"",IFERROR(INDEX(Productos!$I$5:$I$504,MATCH($C2203,Productos!$A$5:$A$504,0)),0)+SUMIFS($F$5:$F2203,$C$5:$C2203,$C2203,$B$5:$B2203,"Entrada")-SUMIFS($F$5:$F2203,$C$5:$C2203,$C2203,$B$5:$B2203,"Salida"))</f>
        <v/>
      </c>
      <c r="J2203" s="20"/>
      <c r="K2203" s="20"/>
      <c r="L2203" s="20"/>
      <c r="M2203" s="14" t="str">
        <f>IF(AND($C2203&lt;&gt;"",$C2203=Kardex!$C$4),COUNTIF($C$5:$C2203,Kardex!$C$4),"")</f>
        <v/>
      </c>
    </row>
    <row r="2204" spans="1:13" x14ac:dyDescent="0.25">
      <c r="A2204" s="24"/>
      <c r="B2204" s="20"/>
      <c r="C2204" s="20"/>
      <c r="D2204" s="14" t="str">
        <f>IF($C2204="","",IFERROR(INDEX(Productos!$B$5:$B$504,MATCH($C2204,Productos!$A$5:$A$504,0)),"Clave no existe"))</f>
        <v/>
      </c>
      <c r="E2204" s="14" t="str">
        <f>IF($C2204="","",IFERROR(INDEX(Productos!$D$5:$D$504,MATCH($C2204,Productos!$A$5:$A$504,0)),""))</f>
        <v/>
      </c>
      <c r="F2204" s="20"/>
      <c r="G2204" s="22" t="str">
        <f>IF($C2204="","",IFERROR(INDEX(Productos!$F$5:$F$504,MATCH($C2204,Productos!$A$5:$A$504,0)),0))</f>
        <v/>
      </c>
      <c r="H2204" s="22" t="str">
        <f t="shared" si="34"/>
        <v/>
      </c>
      <c r="I2204" s="14" t="str">
        <f>IF(OR($C2204="",$F2204=""),"",IFERROR(INDEX(Productos!$I$5:$I$504,MATCH($C2204,Productos!$A$5:$A$504,0)),0)+SUMIFS($F$5:$F2204,$C$5:$C2204,$C2204,$B$5:$B2204,"Entrada")-SUMIFS($F$5:$F2204,$C$5:$C2204,$C2204,$B$5:$B2204,"Salida"))</f>
        <v/>
      </c>
      <c r="J2204" s="20"/>
      <c r="K2204" s="20"/>
      <c r="L2204" s="20"/>
      <c r="M2204" s="14" t="str">
        <f>IF(AND($C2204&lt;&gt;"",$C2204=Kardex!$C$4),COUNTIF($C$5:$C2204,Kardex!$C$4),"")</f>
        <v/>
      </c>
    </row>
    <row r="2205" spans="1:13" x14ac:dyDescent="0.25">
      <c r="A2205" s="24"/>
      <c r="B2205" s="20"/>
      <c r="C2205" s="20"/>
      <c r="D2205" s="14" t="str">
        <f>IF($C2205="","",IFERROR(INDEX(Productos!$B$5:$B$504,MATCH($C2205,Productos!$A$5:$A$504,0)),"Clave no existe"))</f>
        <v/>
      </c>
      <c r="E2205" s="14" t="str">
        <f>IF($C2205="","",IFERROR(INDEX(Productos!$D$5:$D$504,MATCH($C2205,Productos!$A$5:$A$504,0)),""))</f>
        <v/>
      </c>
      <c r="F2205" s="20"/>
      <c r="G2205" s="22" t="str">
        <f>IF($C2205="","",IFERROR(INDEX(Productos!$F$5:$F$504,MATCH($C2205,Productos!$A$5:$A$504,0)),0))</f>
        <v/>
      </c>
      <c r="H2205" s="22" t="str">
        <f t="shared" si="34"/>
        <v/>
      </c>
      <c r="I2205" s="14" t="str">
        <f>IF(OR($C2205="",$F2205=""),"",IFERROR(INDEX(Productos!$I$5:$I$504,MATCH($C2205,Productos!$A$5:$A$504,0)),0)+SUMIFS($F$5:$F2205,$C$5:$C2205,$C2205,$B$5:$B2205,"Entrada")-SUMIFS($F$5:$F2205,$C$5:$C2205,$C2205,$B$5:$B2205,"Salida"))</f>
        <v/>
      </c>
      <c r="J2205" s="20"/>
      <c r="K2205" s="20"/>
      <c r="L2205" s="20"/>
      <c r="M2205" s="14" t="str">
        <f>IF(AND($C2205&lt;&gt;"",$C2205=Kardex!$C$4),COUNTIF($C$5:$C2205,Kardex!$C$4),"")</f>
        <v/>
      </c>
    </row>
    <row r="2206" spans="1:13" x14ac:dyDescent="0.25">
      <c r="A2206" s="24"/>
      <c r="B2206" s="20"/>
      <c r="C2206" s="20"/>
      <c r="D2206" s="14" t="str">
        <f>IF($C2206="","",IFERROR(INDEX(Productos!$B$5:$B$504,MATCH($C2206,Productos!$A$5:$A$504,0)),"Clave no existe"))</f>
        <v/>
      </c>
      <c r="E2206" s="14" t="str">
        <f>IF($C2206="","",IFERROR(INDEX(Productos!$D$5:$D$504,MATCH($C2206,Productos!$A$5:$A$504,0)),""))</f>
        <v/>
      </c>
      <c r="F2206" s="20"/>
      <c r="G2206" s="22" t="str">
        <f>IF($C2206="","",IFERROR(INDEX(Productos!$F$5:$F$504,MATCH($C2206,Productos!$A$5:$A$504,0)),0))</f>
        <v/>
      </c>
      <c r="H2206" s="22" t="str">
        <f t="shared" si="34"/>
        <v/>
      </c>
      <c r="I2206" s="14" t="str">
        <f>IF(OR($C2206="",$F2206=""),"",IFERROR(INDEX(Productos!$I$5:$I$504,MATCH($C2206,Productos!$A$5:$A$504,0)),0)+SUMIFS($F$5:$F2206,$C$5:$C2206,$C2206,$B$5:$B2206,"Entrada")-SUMIFS($F$5:$F2206,$C$5:$C2206,$C2206,$B$5:$B2206,"Salida"))</f>
        <v/>
      </c>
      <c r="J2206" s="20"/>
      <c r="K2206" s="20"/>
      <c r="L2206" s="20"/>
      <c r="M2206" s="14" t="str">
        <f>IF(AND($C2206&lt;&gt;"",$C2206=Kardex!$C$4),COUNTIF($C$5:$C2206,Kardex!$C$4),"")</f>
        <v/>
      </c>
    </row>
    <row r="2207" spans="1:13" x14ac:dyDescent="0.25">
      <c r="A2207" s="24"/>
      <c r="B2207" s="20"/>
      <c r="C2207" s="20"/>
      <c r="D2207" s="14" t="str">
        <f>IF($C2207="","",IFERROR(INDEX(Productos!$B$5:$B$504,MATCH($C2207,Productos!$A$5:$A$504,0)),"Clave no existe"))</f>
        <v/>
      </c>
      <c r="E2207" s="14" t="str">
        <f>IF($C2207="","",IFERROR(INDEX(Productos!$D$5:$D$504,MATCH($C2207,Productos!$A$5:$A$504,0)),""))</f>
        <v/>
      </c>
      <c r="F2207" s="20"/>
      <c r="G2207" s="22" t="str">
        <f>IF($C2207="","",IFERROR(INDEX(Productos!$F$5:$F$504,MATCH($C2207,Productos!$A$5:$A$504,0)),0))</f>
        <v/>
      </c>
      <c r="H2207" s="22" t="str">
        <f t="shared" si="34"/>
        <v/>
      </c>
      <c r="I2207" s="14" t="str">
        <f>IF(OR($C2207="",$F2207=""),"",IFERROR(INDEX(Productos!$I$5:$I$504,MATCH($C2207,Productos!$A$5:$A$504,0)),0)+SUMIFS($F$5:$F2207,$C$5:$C2207,$C2207,$B$5:$B2207,"Entrada")-SUMIFS($F$5:$F2207,$C$5:$C2207,$C2207,$B$5:$B2207,"Salida"))</f>
        <v/>
      </c>
      <c r="J2207" s="20"/>
      <c r="K2207" s="20"/>
      <c r="L2207" s="20"/>
      <c r="M2207" s="14" t="str">
        <f>IF(AND($C2207&lt;&gt;"",$C2207=Kardex!$C$4),COUNTIF($C$5:$C2207,Kardex!$C$4),"")</f>
        <v/>
      </c>
    </row>
    <row r="2208" spans="1:13" x14ac:dyDescent="0.25">
      <c r="A2208" s="24"/>
      <c r="B2208" s="20"/>
      <c r="C2208" s="20"/>
      <c r="D2208" s="14" t="str">
        <f>IF($C2208="","",IFERROR(INDEX(Productos!$B$5:$B$504,MATCH($C2208,Productos!$A$5:$A$504,0)),"Clave no existe"))</f>
        <v/>
      </c>
      <c r="E2208" s="14" t="str">
        <f>IF($C2208="","",IFERROR(INDEX(Productos!$D$5:$D$504,MATCH($C2208,Productos!$A$5:$A$504,0)),""))</f>
        <v/>
      </c>
      <c r="F2208" s="20"/>
      <c r="G2208" s="22" t="str">
        <f>IF($C2208="","",IFERROR(INDEX(Productos!$F$5:$F$504,MATCH($C2208,Productos!$A$5:$A$504,0)),0))</f>
        <v/>
      </c>
      <c r="H2208" s="22" t="str">
        <f t="shared" si="34"/>
        <v/>
      </c>
      <c r="I2208" s="14" t="str">
        <f>IF(OR($C2208="",$F2208=""),"",IFERROR(INDEX(Productos!$I$5:$I$504,MATCH($C2208,Productos!$A$5:$A$504,0)),0)+SUMIFS($F$5:$F2208,$C$5:$C2208,$C2208,$B$5:$B2208,"Entrada")-SUMIFS($F$5:$F2208,$C$5:$C2208,$C2208,$B$5:$B2208,"Salida"))</f>
        <v/>
      </c>
      <c r="J2208" s="20"/>
      <c r="K2208" s="20"/>
      <c r="L2208" s="20"/>
      <c r="M2208" s="14" t="str">
        <f>IF(AND($C2208&lt;&gt;"",$C2208=Kardex!$C$4),COUNTIF($C$5:$C2208,Kardex!$C$4),"")</f>
        <v/>
      </c>
    </row>
    <row r="2209" spans="1:13" x14ac:dyDescent="0.25">
      <c r="A2209" s="24"/>
      <c r="B2209" s="20"/>
      <c r="C2209" s="20"/>
      <c r="D2209" s="14" t="str">
        <f>IF($C2209="","",IFERROR(INDEX(Productos!$B$5:$B$504,MATCH($C2209,Productos!$A$5:$A$504,0)),"Clave no existe"))</f>
        <v/>
      </c>
      <c r="E2209" s="14" t="str">
        <f>IF($C2209="","",IFERROR(INDEX(Productos!$D$5:$D$504,MATCH($C2209,Productos!$A$5:$A$504,0)),""))</f>
        <v/>
      </c>
      <c r="F2209" s="20"/>
      <c r="G2209" s="22" t="str">
        <f>IF($C2209="","",IFERROR(INDEX(Productos!$F$5:$F$504,MATCH($C2209,Productos!$A$5:$A$504,0)),0))</f>
        <v/>
      </c>
      <c r="H2209" s="22" t="str">
        <f t="shared" si="34"/>
        <v/>
      </c>
      <c r="I2209" s="14" t="str">
        <f>IF(OR($C2209="",$F2209=""),"",IFERROR(INDEX(Productos!$I$5:$I$504,MATCH($C2209,Productos!$A$5:$A$504,0)),0)+SUMIFS($F$5:$F2209,$C$5:$C2209,$C2209,$B$5:$B2209,"Entrada")-SUMIFS($F$5:$F2209,$C$5:$C2209,$C2209,$B$5:$B2209,"Salida"))</f>
        <v/>
      </c>
      <c r="J2209" s="20"/>
      <c r="K2209" s="20"/>
      <c r="L2209" s="20"/>
      <c r="M2209" s="14" t="str">
        <f>IF(AND($C2209&lt;&gt;"",$C2209=Kardex!$C$4),COUNTIF($C$5:$C2209,Kardex!$C$4),"")</f>
        <v/>
      </c>
    </row>
    <row r="2210" spans="1:13" x14ac:dyDescent="0.25">
      <c r="A2210" s="24"/>
      <c r="B2210" s="20"/>
      <c r="C2210" s="20"/>
      <c r="D2210" s="14" t="str">
        <f>IF($C2210="","",IFERROR(INDEX(Productos!$B$5:$B$504,MATCH($C2210,Productos!$A$5:$A$504,0)),"Clave no existe"))</f>
        <v/>
      </c>
      <c r="E2210" s="14" t="str">
        <f>IF($C2210="","",IFERROR(INDEX(Productos!$D$5:$D$504,MATCH($C2210,Productos!$A$5:$A$504,0)),""))</f>
        <v/>
      </c>
      <c r="F2210" s="20"/>
      <c r="G2210" s="22" t="str">
        <f>IF($C2210="","",IFERROR(INDEX(Productos!$F$5:$F$504,MATCH($C2210,Productos!$A$5:$A$504,0)),0))</f>
        <v/>
      </c>
      <c r="H2210" s="22" t="str">
        <f t="shared" si="34"/>
        <v/>
      </c>
      <c r="I2210" s="14" t="str">
        <f>IF(OR($C2210="",$F2210=""),"",IFERROR(INDEX(Productos!$I$5:$I$504,MATCH($C2210,Productos!$A$5:$A$504,0)),0)+SUMIFS($F$5:$F2210,$C$5:$C2210,$C2210,$B$5:$B2210,"Entrada")-SUMIFS($F$5:$F2210,$C$5:$C2210,$C2210,$B$5:$B2210,"Salida"))</f>
        <v/>
      </c>
      <c r="J2210" s="20"/>
      <c r="K2210" s="20"/>
      <c r="L2210" s="20"/>
      <c r="M2210" s="14" t="str">
        <f>IF(AND($C2210&lt;&gt;"",$C2210=Kardex!$C$4),COUNTIF($C$5:$C2210,Kardex!$C$4),"")</f>
        <v/>
      </c>
    </row>
    <row r="2211" spans="1:13" x14ac:dyDescent="0.25">
      <c r="A2211" s="24"/>
      <c r="B2211" s="20"/>
      <c r="C2211" s="20"/>
      <c r="D2211" s="14" t="str">
        <f>IF($C2211="","",IFERROR(INDEX(Productos!$B$5:$B$504,MATCH($C2211,Productos!$A$5:$A$504,0)),"Clave no existe"))</f>
        <v/>
      </c>
      <c r="E2211" s="14" t="str">
        <f>IF($C2211="","",IFERROR(INDEX(Productos!$D$5:$D$504,MATCH($C2211,Productos!$A$5:$A$504,0)),""))</f>
        <v/>
      </c>
      <c r="F2211" s="20"/>
      <c r="G2211" s="22" t="str">
        <f>IF($C2211="","",IFERROR(INDEX(Productos!$F$5:$F$504,MATCH($C2211,Productos!$A$5:$A$504,0)),0))</f>
        <v/>
      </c>
      <c r="H2211" s="22" t="str">
        <f t="shared" si="34"/>
        <v/>
      </c>
      <c r="I2211" s="14" t="str">
        <f>IF(OR($C2211="",$F2211=""),"",IFERROR(INDEX(Productos!$I$5:$I$504,MATCH($C2211,Productos!$A$5:$A$504,0)),0)+SUMIFS($F$5:$F2211,$C$5:$C2211,$C2211,$B$5:$B2211,"Entrada")-SUMIFS($F$5:$F2211,$C$5:$C2211,$C2211,$B$5:$B2211,"Salida"))</f>
        <v/>
      </c>
      <c r="J2211" s="20"/>
      <c r="K2211" s="20"/>
      <c r="L2211" s="20"/>
      <c r="M2211" s="14" t="str">
        <f>IF(AND($C2211&lt;&gt;"",$C2211=Kardex!$C$4),COUNTIF($C$5:$C2211,Kardex!$C$4),"")</f>
        <v/>
      </c>
    </row>
    <row r="2212" spans="1:13" x14ac:dyDescent="0.25">
      <c r="A2212" s="24"/>
      <c r="B2212" s="20"/>
      <c r="C2212" s="20"/>
      <c r="D2212" s="14" t="str">
        <f>IF($C2212="","",IFERROR(INDEX(Productos!$B$5:$B$504,MATCH($C2212,Productos!$A$5:$A$504,0)),"Clave no existe"))</f>
        <v/>
      </c>
      <c r="E2212" s="14" t="str">
        <f>IF($C2212="","",IFERROR(INDEX(Productos!$D$5:$D$504,MATCH($C2212,Productos!$A$5:$A$504,0)),""))</f>
        <v/>
      </c>
      <c r="F2212" s="20"/>
      <c r="G2212" s="22" t="str">
        <f>IF($C2212="","",IFERROR(INDEX(Productos!$F$5:$F$504,MATCH($C2212,Productos!$A$5:$A$504,0)),0))</f>
        <v/>
      </c>
      <c r="H2212" s="22" t="str">
        <f t="shared" si="34"/>
        <v/>
      </c>
      <c r="I2212" s="14" t="str">
        <f>IF(OR($C2212="",$F2212=""),"",IFERROR(INDEX(Productos!$I$5:$I$504,MATCH($C2212,Productos!$A$5:$A$504,0)),0)+SUMIFS($F$5:$F2212,$C$5:$C2212,$C2212,$B$5:$B2212,"Entrada")-SUMIFS($F$5:$F2212,$C$5:$C2212,$C2212,$B$5:$B2212,"Salida"))</f>
        <v/>
      </c>
      <c r="J2212" s="20"/>
      <c r="K2212" s="20"/>
      <c r="L2212" s="20"/>
      <c r="M2212" s="14" t="str">
        <f>IF(AND($C2212&lt;&gt;"",$C2212=Kardex!$C$4),COUNTIF($C$5:$C2212,Kardex!$C$4),"")</f>
        <v/>
      </c>
    </row>
    <row r="2213" spans="1:13" x14ac:dyDescent="0.25">
      <c r="A2213" s="24"/>
      <c r="B2213" s="20"/>
      <c r="C2213" s="20"/>
      <c r="D2213" s="14" t="str">
        <f>IF($C2213="","",IFERROR(INDEX(Productos!$B$5:$B$504,MATCH($C2213,Productos!$A$5:$A$504,0)),"Clave no existe"))</f>
        <v/>
      </c>
      <c r="E2213" s="14" t="str">
        <f>IF($C2213="","",IFERROR(INDEX(Productos!$D$5:$D$504,MATCH($C2213,Productos!$A$5:$A$504,0)),""))</f>
        <v/>
      </c>
      <c r="F2213" s="20"/>
      <c r="G2213" s="22" t="str">
        <f>IF($C2213="","",IFERROR(INDEX(Productos!$F$5:$F$504,MATCH($C2213,Productos!$A$5:$A$504,0)),0))</f>
        <v/>
      </c>
      <c r="H2213" s="22" t="str">
        <f t="shared" si="34"/>
        <v/>
      </c>
      <c r="I2213" s="14" t="str">
        <f>IF(OR($C2213="",$F2213=""),"",IFERROR(INDEX(Productos!$I$5:$I$504,MATCH($C2213,Productos!$A$5:$A$504,0)),0)+SUMIFS($F$5:$F2213,$C$5:$C2213,$C2213,$B$5:$B2213,"Entrada")-SUMIFS($F$5:$F2213,$C$5:$C2213,$C2213,$B$5:$B2213,"Salida"))</f>
        <v/>
      </c>
      <c r="J2213" s="20"/>
      <c r="K2213" s="20"/>
      <c r="L2213" s="20"/>
      <c r="M2213" s="14" t="str">
        <f>IF(AND($C2213&lt;&gt;"",$C2213=Kardex!$C$4),COUNTIF($C$5:$C2213,Kardex!$C$4),"")</f>
        <v/>
      </c>
    </row>
    <row r="2214" spans="1:13" x14ac:dyDescent="0.25">
      <c r="A2214" s="24"/>
      <c r="B2214" s="20"/>
      <c r="C2214" s="20"/>
      <c r="D2214" s="14" t="str">
        <f>IF($C2214="","",IFERROR(INDEX(Productos!$B$5:$B$504,MATCH($C2214,Productos!$A$5:$A$504,0)),"Clave no existe"))</f>
        <v/>
      </c>
      <c r="E2214" s="14" t="str">
        <f>IF($C2214="","",IFERROR(INDEX(Productos!$D$5:$D$504,MATCH($C2214,Productos!$A$5:$A$504,0)),""))</f>
        <v/>
      </c>
      <c r="F2214" s="20"/>
      <c r="G2214" s="22" t="str">
        <f>IF($C2214="","",IFERROR(INDEX(Productos!$F$5:$F$504,MATCH($C2214,Productos!$A$5:$A$504,0)),0))</f>
        <v/>
      </c>
      <c r="H2214" s="22" t="str">
        <f t="shared" si="34"/>
        <v/>
      </c>
      <c r="I2214" s="14" t="str">
        <f>IF(OR($C2214="",$F2214=""),"",IFERROR(INDEX(Productos!$I$5:$I$504,MATCH($C2214,Productos!$A$5:$A$504,0)),0)+SUMIFS($F$5:$F2214,$C$5:$C2214,$C2214,$B$5:$B2214,"Entrada")-SUMIFS($F$5:$F2214,$C$5:$C2214,$C2214,$B$5:$B2214,"Salida"))</f>
        <v/>
      </c>
      <c r="J2214" s="20"/>
      <c r="K2214" s="20"/>
      <c r="L2214" s="20"/>
      <c r="M2214" s="14" t="str">
        <f>IF(AND($C2214&lt;&gt;"",$C2214=Kardex!$C$4),COUNTIF($C$5:$C2214,Kardex!$C$4),"")</f>
        <v/>
      </c>
    </row>
    <row r="2215" spans="1:13" x14ac:dyDescent="0.25">
      <c r="A2215" s="24"/>
      <c r="B2215" s="20"/>
      <c r="C2215" s="20"/>
      <c r="D2215" s="14" t="str">
        <f>IF($C2215="","",IFERROR(INDEX(Productos!$B$5:$B$504,MATCH($C2215,Productos!$A$5:$A$504,0)),"Clave no existe"))</f>
        <v/>
      </c>
      <c r="E2215" s="14" t="str">
        <f>IF($C2215="","",IFERROR(INDEX(Productos!$D$5:$D$504,MATCH($C2215,Productos!$A$5:$A$504,0)),""))</f>
        <v/>
      </c>
      <c r="F2215" s="20"/>
      <c r="G2215" s="22" t="str">
        <f>IF($C2215="","",IFERROR(INDEX(Productos!$F$5:$F$504,MATCH($C2215,Productos!$A$5:$A$504,0)),0))</f>
        <v/>
      </c>
      <c r="H2215" s="22" t="str">
        <f t="shared" si="34"/>
        <v/>
      </c>
      <c r="I2215" s="14" t="str">
        <f>IF(OR($C2215="",$F2215=""),"",IFERROR(INDEX(Productos!$I$5:$I$504,MATCH($C2215,Productos!$A$5:$A$504,0)),0)+SUMIFS($F$5:$F2215,$C$5:$C2215,$C2215,$B$5:$B2215,"Entrada")-SUMIFS($F$5:$F2215,$C$5:$C2215,$C2215,$B$5:$B2215,"Salida"))</f>
        <v/>
      </c>
      <c r="J2215" s="20"/>
      <c r="K2215" s="20"/>
      <c r="L2215" s="20"/>
      <c r="M2215" s="14" t="str">
        <f>IF(AND($C2215&lt;&gt;"",$C2215=Kardex!$C$4),COUNTIF($C$5:$C2215,Kardex!$C$4),"")</f>
        <v/>
      </c>
    </row>
    <row r="2216" spans="1:13" x14ac:dyDescent="0.25">
      <c r="A2216" s="24"/>
      <c r="B2216" s="20"/>
      <c r="C2216" s="20"/>
      <c r="D2216" s="14" t="str">
        <f>IF($C2216="","",IFERROR(INDEX(Productos!$B$5:$B$504,MATCH($C2216,Productos!$A$5:$A$504,0)),"Clave no existe"))</f>
        <v/>
      </c>
      <c r="E2216" s="14" t="str">
        <f>IF($C2216="","",IFERROR(INDEX(Productos!$D$5:$D$504,MATCH($C2216,Productos!$A$5:$A$504,0)),""))</f>
        <v/>
      </c>
      <c r="F2216" s="20"/>
      <c r="G2216" s="22" t="str">
        <f>IF($C2216="","",IFERROR(INDEX(Productos!$F$5:$F$504,MATCH($C2216,Productos!$A$5:$A$504,0)),0))</f>
        <v/>
      </c>
      <c r="H2216" s="22" t="str">
        <f t="shared" si="34"/>
        <v/>
      </c>
      <c r="I2216" s="14" t="str">
        <f>IF(OR($C2216="",$F2216=""),"",IFERROR(INDEX(Productos!$I$5:$I$504,MATCH($C2216,Productos!$A$5:$A$504,0)),0)+SUMIFS($F$5:$F2216,$C$5:$C2216,$C2216,$B$5:$B2216,"Entrada")-SUMIFS($F$5:$F2216,$C$5:$C2216,$C2216,$B$5:$B2216,"Salida"))</f>
        <v/>
      </c>
      <c r="J2216" s="20"/>
      <c r="K2216" s="20"/>
      <c r="L2216" s="20"/>
      <c r="M2216" s="14" t="str">
        <f>IF(AND($C2216&lt;&gt;"",$C2216=Kardex!$C$4),COUNTIF($C$5:$C2216,Kardex!$C$4),"")</f>
        <v/>
      </c>
    </row>
    <row r="2217" spans="1:13" x14ac:dyDescent="0.25">
      <c r="A2217" s="24"/>
      <c r="B2217" s="20"/>
      <c r="C2217" s="20"/>
      <c r="D2217" s="14" t="str">
        <f>IF($C2217="","",IFERROR(INDEX(Productos!$B$5:$B$504,MATCH($C2217,Productos!$A$5:$A$504,0)),"Clave no existe"))</f>
        <v/>
      </c>
      <c r="E2217" s="14" t="str">
        <f>IF($C2217="","",IFERROR(INDEX(Productos!$D$5:$D$504,MATCH($C2217,Productos!$A$5:$A$504,0)),""))</f>
        <v/>
      </c>
      <c r="F2217" s="20"/>
      <c r="G2217" s="22" t="str">
        <f>IF($C2217="","",IFERROR(INDEX(Productos!$F$5:$F$504,MATCH($C2217,Productos!$A$5:$A$504,0)),0))</f>
        <v/>
      </c>
      <c r="H2217" s="22" t="str">
        <f t="shared" si="34"/>
        <v/>
      </c>
      <c r="I2217" s="14" t="str">
        <f>IF(OR($C2217="",$F2217=""),"",IFERROR(INDEX(Productos!$I$5:$I$504,MATCH($C2217,Productos!$A$5:$A$504,0)),0)+SUMIFS($F$5:$F2217,$C$5:$C2217,$C2217,$B$5:$B2217,"Entrada")-SUMIFS($F$5:$F2217,$C$5:$C2217,$C2217,$B$5:$B2217,"Salida"))</f>
        <v/>
      </c>
      <c r="J2217" s="20"/>
      <c r="K2217" s="20"/>
      <c r="L2217" s="20"/>
      <c r="M2217" s="14" t="str">
        <f>IF(AND($C2217&lt;&gt;"",$C2217=Kardex!$C$4),COUNTIF($C$5:$C2217,Kardex!$C$4),"")</f>
        <v/>
      </c>
    </row>
    <row r="2218" spans="1:13" x14ac:dyDescent="0.25">
      <c r="A2218" s="24"/>
      <c r="B2218" s="20"/>
      <c r="C2218" s="20"/>
      <c r="D2218" s="14" t="str">
        <f>IF($C2218="","",IFERROR(INDEX(Productos!$B$5:$B$504,MATCH($C2218,Productos!$A$5:$A$504,0)),"Clave no existe"))</f>
        <v/>
      </c>
      <c r="E2218" s="14" t="str">
        <f>IF($C2218="","",IFERROR(INDEX(Productos!$D$5:$D$504,MATCH($C2218,Productos!$A$5:$A$504,0)),""))</f>
        <v/>
      </c>
      <c r="F2218" s="20"/>
      <c r="G2218" s="22" t="str">
        <f>IF($C2218="","",IFERROR(INDEX(Productos!$F$5:$F$504,MATCH($C2218,Productos!$A$5:$A$504,0)),0))</f>
        <v/>
      </c>
      <c r="H2218" s="22" t="str">
        <f t="shared" si="34"/>
        <v/>
      </c>
      <c r="I2218" s="14" t="str">
        <f>IF(OR($C2218="",$F2218=""),"",IFERROR(INDEX(Productos!$I$5:$I$504,MATCH($C2218,Productos!$A$5:$A$504,0)),0)+SUMIFS($F$5:$F2218,$C$5:$C2218,$C2218,$B$5:$B2218,"Entrada")-SUMIFS($F$5:$F2218,$C$5:$C2218,$C2218,$B$5:$B2218,"Salida"))</f>
        <v/>
      </c>
      <c r="J2218" s="20"/>
      <c r="K2218" s="20"/>
      <c r="L2218" s="20"/>
      <c r="M2218" s="14" t="str">
        <f>IF(AND($C2218&lt;&gt;"",$C2218=Kardex!$C$4),COUNTIF($C$5:$C2218,Kardex!$C$4),"")</f>
        <v/>
      </c>
    </row>
    <row r="2219" spans="1:13" x14ac:dyDescent="0.25">
      <c r="A2219" s="24"/>
      <c r="B2219" s="20"/>
      <c r="C2219" s="20"/>
      <c r="D2219" s="14" t="str">
        <f>IF($C2219="","",IFERROR(INDEX(Productos!$B$5:$B$504,MATCH($C2219,Productos!$A$5:$A$504,0)),"Clave no existe"))</f>
        <v/>
      </c>
      <c r="E2219" s="14" t="str">
        <f>IF($C2219="","",IFERROR(INDEX(Productos!$D$5:$D$504,MATCH($C2219,Productos!$A$5:$A$504,0)),""))</f>
        <v/>
      </c>
      <c r="F2219" s="20"/>
      <c r="G2219" s="22" t="str">
        <f>IF($C2219="","",IFERROR(INDEX(Productos!$F$5:$F$504,MATCH($C2219,Productos!$A$5:$A$504,0)),0))</f>
        <v/>
      </c>
      <c r="H2219" s="22" t="str">
        <f t="shared" si="34"/>
        <v/>
      </c>
      <c r="I2219" s="14" t="str">
        <f>IF(OR($C2219="",$F2219=""),"",IFERROR(INDEX(Productos!$I$5:$I$504,MATCH($C2219,Productos!$A$5:$A$504,0)),0)+SUMIFS($F$5:$F2219,$C$5:$C2219,$C2219,$B$5:$B2219,"Entrada")-SUMIFS($F$5:$F2219,$C$5:$C2219,$C2219,$B$5:$B2219,"Salida"))</f>
        <v/>
      </c>
      <c r="J2219" s="20"/>
      <c r="K2219" s="20"/>
      <c r="L2219" s="20"/>
      <c r="M2219" s="14" t="str">
        <f>IF(AND($C2219&lt;&gt;"",$C2219=Kardex!$C$4),COUNTIF($C$5:$C2219,Kardex!$C$4),"")</f>
        <v/>
      </c>
    </row>
    <row r="2220" spans="1:13" x14ac:dyDescent="0.25">
      <c r="A2220" s="24"/>
      <c r="B2220" s="20"/>
      <c r="C2220" s="20"/>
      <c r="D2220" s="14" t="str">
        <f>IF($C2220="","",IFERROR(INDEX(Productos!$B$5:$B$504,MATCH($C2220,Productos!$A$5:$A$504,0)),"Clave no existe"))</f>
        <v/>
      </c>
      <c r="E2220" s="14" t="str">
        <f>IF($C2220="","",IFERROR(INDEX(Productos!$D$5:$D$504,MATCH($C2220,Productos!$A$5:$A$504,0)),""))</f>
        <v/>
      </c>
      <c r="F2220" s="20"/>
      <c r="G2220" s="22" t="str">
        <f>IF($C2220="","",IFERROR(INDEX(Productos!$F$5:$F$504,MATCH($C2220,Productos!$A$5:$A$504,0)),0))</f>
        <v/>
      </c>
      <c r="H2220" s="22" t="str">
        <f t="shared" si="34"/>
        <v/>
      </c>
      <c r="I2220" s="14" t="str">
        <f>IF(OR($C2220="",$F2220=""),"",IFERROR(INDEX(Productos!$I$5:$I$504,MATCH($C2220,Productos!$A$5:$A$504,0)),0)+SUMIFS($F$5:$F2220,$C$5:$C2220,$C2220,$B$5:$B2220,"Entrada")-SUMIFS($F$5:$F2220,$C$5:$C2220,$C2220,$B$5:$B2220,"Salida"))</f>
        <v/>
      </c>
      <c r="J2220" s="20"/>
      <c r="K2220" s="20"/>
      <c r="L2220" s="20"/>
      <c r="M2220" s="14" t="str">
        <f>IF(AND($C2220&lt;&gt;"",$C2220=Kardex!$C$4),COUNTIF($C$5:$C2220,Kardex!$C$4),"")</f>
        <v/>
      </c>
    </row>
    <row r="2221" spans="1:13" x14ac:dyDescent="0.25">
      <c r="A2221" s="24"/>
      <c r="B2221" s="20"/>
      <c r="C2221" s="20"/>
      <c r="D2221" s="14" t="str">
        <f>IF($C2221="","",IFERROR(INDEX(Productos!$B$5:$B$504,MATCH($C2221,Productos!$A$5:$A$504,0)),"Clave no existe"))</f>
        <v/>
      </c>
      <c r="E2221" s="14" t="str">
        <f>IF($C2221="","",IFERROR(INDEX(Productos!$D$5:$D$504,MATCH($C2221,Productos!$A$5:$A$504,0)),""))</f>
        <v/>
      </c>
      <c r="F2221" s="20"/>
      <c r="G2221" s="22" t="str">
        <f>IF($C2221="","",IFERROR(INDEX(Productos!$F$5:$F$504,MATCH($C2221,Productos!$A$5:$A$504,0)),0))</f>
        <v/>
      </c>
      <c r="H2221" s="22" t="str">
        <f t="shared" si="34"/>
        <v/>
      </c>
      <c r="I2221" s="14" t="str">
        <f>IF(OR($C2221="",$F2221=""),"",IFERROR(INDEX(Productos!$I$5:$I$504,MATCH($C2221,Productos!$A$5:$A$504,0)),0)+SUMIFS($F$5:$F2221,$C$5:$C2221,$C2221,$B$5:$B2221,"Entrada")-SUMIFS($F$5:$F2221,$C$5:$C2221,$C2221,$B$5:$B2221,"Salida"))</f>
        <v/>
      </c>
      <c r="J2221" s="20"/>
      <c r="K2221" s="20"/>
      <c r="L2221" s="20"/>
      <c r="M2221" s="14" t="str">
        <f>IF(AND($C2221&lt;&gt;"",$C2221=Kardex!$C$4),COUNTIF($C$5:$C2221,Kardex!$C$4),"")</f>
        <v/>
      </c>
    </row>
    <row r="2222" spans="1:13" x14ac:dyDescent="0.25">
      <c r="A2222" s="24"/>
      <c r="B2222" s="20"/>
      <c r="C2222" s="20"/>
      <c r="D2222" s="14" t="str">
        <f>IF($C2222="","",IFERROR(INDEX(Productos!$B$5:$B$504,MATCH($C2222,Productos!$A$5:$A$504,0)),"Clave no existe"))</f>
        <v/>
      </c>
      <c r="E2222" s="14" t="str">
        <f>IF($C2222="","",IFERROR(INDEX(Productos!$D$5:$D$504,MATCH($C2222,Productos!$A$5:$A$504,0)),""))</f>
        <v/>
      </c>
      <c r="F2222" s="20"/>
      <c r="G2222" s="22" t="str">
        <f>IF($C2222="","",IFERROR(INDEX(Productos!$F$5:$F$504,MATCH($C2222,Productos!$A$5:$A$504,0)),0))</f>
        <v/>
      </c>
      <c r="H2222" s="22" t="str">
        <f t="shared" si="34"/>
        <v/>
      </c>
      <c r="I2222" s="14" t="str">
        <f>IF(OR($C2222="",$F2222=""),"",IFERROR(INDEX(Productos!$I$5:$I$504,MATCH($C2222,Productos!$A$5:$A$504,0)),0)+SUMIFS($F$5:$F2222,$C$5:$C2222,$C2222,$B$5:$B2222,"Entrada")-SUMIFS($F$5:$F2222,$C$5:$C2222,$C2222,$B$5:$B2222,"Salida"))</f>
        <v/>
      </c>
      <c r="J2222" s="20"/>
      <c r="K2222" s="20"/>
      <c r="L2222" s="20"/>
      <c r="M2222" s="14" t="str">
        <f>IF(AND($C2222&lt;&gt;"",$C2222=Kardex!$C$4),COUNTIF($C$5:$C2222,Kardex!$C$4),"")</f>
        <v/>
      </c>
    </row>
    <row r="2223" spans="1:13" x14ac:dyDescent="0.25">
      <c r="A2223" s="24"/>
      <c r="B2223" s="20"/>
      <c r="C2223" s="20"/>
      <c r="D2223" s="14" t="str">
        <f>IF($C2223="","",IFERROR(INDEX(Productos!$B$5:$B$504,MATCH($C2223,Productos!$A$5:$A$504,0)),"Clave no existe"))</f>
        <v/>
      </c>
      <c r="E2223" s="14" t="str">
        <f>IF($C2223="","",IFERROR(INDEX(Productos!$D$5:$D$504,MATCH($C2223,Productos!$A$5:$A$504,0)),""))</f>
        <v/>
      </c>
      <c r="F2223" s="20"/>
      <c r="G2223" s="22" t="str">
        <f>IF($C2223="","",IFERROR(INDEX(Productos!$F$5:$F$504,MATCH($C2223,Productos!$A$5:$A$504,0)),0))</f>
        <v/>
      </c>
      <c r="H2223" s="22" t="str">
        <f t="shared" si="34"/>
        <v/>
      </c>
      <c r="I2223" s="14" t="str">
        <f>IF(OR($C2223="",$F2223=""),"",IFERROR(INDEX(Productos!$I$5:$I$504,MATCH($C2223,Productos!$A$5:$A$504,0)),0)+SUMIFS($F$5:$F2223,$C$5:$C2223,$C2223,$B$5:$B2223,"Entrada")-SUMIFS($F$5:$F2223,$C$5:$C2223,$C2223,$B$5:$B2223,"Salida"))</f>
        <v/>
      </c>
      <c r="J2223" s="20"/>
      <c r="K2223" s="20"/>
      <c r="L2223" s="20"/>
      <c r="M2223" s="14" t="str">
        <f>IF(AND($C2223&lt;&gt;"",$C2223=Kardex!$C$4),COUNTIF($C$5:$C2223,Kardex!$C$4),"")</f>
        <v/>
      </c>
    </row>
    <row r="2224" spans="1:13" x14ac:dyDescent="0.25">
      <c r="A2224" s="24"/>
      <c r="B2224" s="20"/>
      <c r="C2224" s="20"/>
      <c r="D2224" s="14" t="str">
        <f>IF($C2224="","",IFERROR(INDEX(Productos!$B$5:$B$504,MATCH($C2224,Productos!$A$5:$A$504,0)),"Clave no existe"))</f>
        <v/>
      </c>
      <c r="E2224" s="14" t="str">
        <f>IF($C2224="","",IFERROR(INDEX(Productos!$D$5:$D$504,MATCH($C2224,Productos!$A$5:$A$504,0)),""))</f>
        <v/>
      </c>
      <c r="F2224" s="20"/>
      <c r="G2224" s="22" t="str">
        <f>IF($C2224="","",IFERROR(INDEX(Productos!$F$5:$F$504,MATCH($C2224,Productos!$A$5:$A$504,0)),0))</f>
        <v/>
      </c>
      <c r="H2224" s="22" t="str">
        <f t="shared" si="34"/>
        <v/>
      </c>
      <c r="I2224" s="14" t="str">
        <f>IF(OR($C2224="",$F2224=""),"",IFERROR(INDEX(Productos!$I$5:$I$504,MATCH($C2224,Productos!$A$5:$A$504,0)),0)+SUMIFS($F$5:$F2224,$C$5:$C2224,$C2224,$B$5:$B2224,"Entrada")-SUMIFS($F$5:$F2224,$C$5:$C2224,$C2224,$B$5:$B2224,"Salida"))</f>
        <v/>
      </c>
      <c r="J2224" s="20"/>
      <c r="K2224" s="20"/>
      <c r="L2224" s="20"/>
      <c r="M2224" s="14" t="str">
        <f>IF(AND($C2224&lt;&gt;"",$C2224=Kardex!$C$4),COUNTIF($C$5:$C2224,Kardex!$C$4),"")</f>
        <v/>
      </c>
    </row>
    <row r="2225" spans="1:13" x14ac:dyDescent="0.25">
      <c r="A2225" s="24"/>
      <c r="B2225" s="20"/>
      <c r="C2225" s="20"/>
      <c r="D2225" s="14" t="str">
        <f>IF($C2225="","",IFERROR(INDEX(Productos!$B$5:$B$504,MATCH($C2225,Productos!$A$5:$A$504,0)),"Clave no existe"))</f>
        <v/>
      </c>
      <c r="E2225" s="14" t="str">
        <f>IF($C2225="","",IFERROR(INDEX(Productos!$D$5:$D$504,MATCH($C2225,Productos!$A$5:$A$504,0)),""))</f>
        <v/>
      </c>
      <c r="F2225" s="20"/>
      <c r="G2225" s="22" t="str">
        <f>IF($C2225="","",IFERROR(INDEX(Productos!$F$5:$F$504,MATCH($C2225,Productos!$A$5:$A$504,0)),0))</f>
        <v/>
      </c>
      <c r="H2225" s="22" t="str">
        <f t="shared" si="34"/>
        <v/>
      </c>
      <c r="I2225" s="14" t="str">
        <f>IF(OR($C2225="",$F2225=""),"",IFERROR(INDEX(Productos!$I$5:$I$504,MATCH($C2225,Productos!$A$5:$A$504,0)),0)+SUMIFS($F$5:$F2225,$C$5:$C2225,$C2225,$B$5:$B2225,"Entrada")-SUMIFS($F$5:$F2225,$C$5:$C2225,$C2225,$B$5:$B2225,"Salida"))</f>
        <v/>
      </c>
      <c r="J2225" s="20"/>
      <c r="K2225" s="20"/>
      <c r="L2225" s="20"/>
      <c r="M2225" s="14" t="str">
        <f>IF(AND($C2225&lt;&gt;"",$C2225=Kardex!$C$4),COUNTIF($C$5:$C2225,Kardex!$C$4),"")</f>
        <v/>
      </c>
    </row>
    <row r="2226" spans="1:13" x14ac:dyDescent="0.25">
      <c r="A2226" s="24"/>
      <c r="B2226" s="20"/>
      <c r="C2226" s="20"/>
      <c r="D2226" s="14" t="str">
        <f>IF($C2226="","",IFERROR(INDEX(Productos!$B$5:$B$504,MATCH($C2226,Productos!$A$5:$A$504,0)),"Clave no existe"))</f>
        <v/>
      </c>
      <c r="E2226" s="14" t="str">
        <f>IF($C2226="","",IFERROR(INDEX(Productos!$D$5:$D$504,MATCH($C2226,Productos!$A$5:$A$504,0)),""))</f>
        <v/>
      </c>
      <c r="F2226" s="20"/>
      <c r="G2226" s="22" t="str">
        <f>IF($C2226="","",IFERROR(INDEX(Productos!$F$5:$F$504,MATCH($C2226,Productos!$A$5:$A$504,0)),0))</f>
        <v/>
      </c>
      <c r="H2226" s="22" t="str">
        <f t="shared" si="34"/>
        <v/>
      </c>
      <c r="I2226" s="14" t="str">
        <f>IF(OR($C2226="",$F2226=""),"",IFERROR(INDEX(Productos!$I$5:$I$504,MATCH($C2226,Productos!$A$5:$A$504,0)),0)+SUMIFS($F$5:$F2226,$C$5:$C2226,$C2226,$B$5:$B2226,"Entrada")-SUMIFS($F$5:$F2226,$C$5:$C2226,$C2226,$B$5:$B2226,"Salida"))</f>
        <v/>
      </c>
      <c r="J2226" s="20"/>
      <c r="K2226" s="20"/>
      <c r="L2226" s="20"/>
      <c r="M2226" s="14" t="str">
        <f>IF(AND($C2226&lt;&gt;"",$C2226=Kardex!$C$4),COUNTIF($C$5:$C2226,Kardex!$C$4),"")</f>
        <v/>
      </c>
    </row>
    <row r="2227" spans="1:13" x14ac:dyDescent="0.25">
      <c r="A2227" s="24"/>
      <c r="B2227" s="20"/>
      <c r="C2227" s="20"/>
      <c r="D2227" s="14" t="str">
        <f>IF($C2227="","",IFERROR(INDEX(Productos!$B$5:$B$504,MATCH($C2227,Productos!$A$5:$A$504,0)),"Clave no existe"))</f>
        <v/>
      </c>
      <c r="E2227" s="14" t="str">
        <f>IF($C2227="","",IFERROR(INDEX(Productos!$D$5:$D$504,MATCH($C2227,Productos!$A$5:$A$504,0)),""))</f>
        <v/>
      </c>
      <c r="F2227" s="20"/>
      <c r="G2227" s="22" t="str">
        <f>IF($C2227="","",IFERROR(INDEX(Productos!$F$5:$F$504,MATCH($C2227,Productos!$A$5:$A$504,0)),0))</f>
        <v/>
      </c>
      <c r="H2227" s="22" t="str">
        <f t="shared" si="34"/>
        <v/>
      </c>
      <c r="I2227" s="14" t="str">
        <f>IF(OR($C2227="",$F2227=""),"",IFERROR(INDEX(Productos!$I$5:$I$504,MATCH($C2227,Productos!$A$5:$A$504,0)),0)+SUMIFS($F$5:$F2227,$C$5:$C2227,$C2227,$B$5:$B2227,"Entrada")-SUMIFS($F$5:$F2227,$C$5:$C2227,$C2227,$B$5:$B2227,"Salida"))</f>
        <v/>
      </c>
      <c r="J2227" s="20"/>
      <c r="K2227" s="20"/>
      <c r="L2227" s="20"/>
      <c r="M2227" s="14" t="str">
        <f>IF(AND($C2227&lt;&gt;"",$C2227=Kardex!$C$4),COUNTIF($C$5:$C2227,Kardex!$C$4),"")</f>
        <v/>
      </c>
    </row>
    <row r="2228" spans="1:13" x14ac:dyDescent="0.25">
      <c r="A2228" s="24"/>
      <c r="B2228" s="20"/>
      <c r="C2228" s="20"/>
      <c r="D2228" s="14" t="str">
        <f>IF($C2228="","",IFERROR(INDEX(Productos!$B$5:$B$504,MATCH($C2228,Productos!$A$5:$A$504,0)),"Clave no existe"))</f>
        <v/>
      </c>
      <c r="E2228" s="14" t="str">
        <f>IF($C2228="","",IFERROR(INDEX(Productos!$D$5:$D$504,MATCH($C2228,Productos!$A$5:$A$504,0)),""))</f>
        <v/>
      </c>
      <c r="F2228" s="20"/>
      <c r="G2228" s="22" t="str">
        <f>IF($C2228="","",IFERROR(INDEX(Productos!$F$5:$F$504,MATCH($C2228,Productos!$A$5:$A$504,0)),0))</f>
        <v/>
      </c>
      <c r="H2228" s="22" t="str">
        <f t="shared" si="34"/>
        <v/>
      </c>
      <c r="I2228" s="14" t="str">
        <f>IF(OR($C2228="",$F2228=""),"",IFERROR(INDEX(Productos!$I$5:$I$504,MATCH($C2228,Productos!$A$5:$A$504,0)),0)+SUMIFS($F$5:$F2228,$C$5:$C2228,$C2228,$B$5:$B2228,"Entrada")-SUMIFS($F$5:$F2228,$C$5:$C2228,$C2228,$B$5:$B2228,"Salida"))</f>
        <v/>
      </c>
      <c r="J2228" s="20"/>
      <c r="K2228" s="20"/>
      <c r="L2228" s="20"/>
      <c r="M2228" s="14" t="str">
        <f>IF(AND($C2228&lt;&gt;"",$C2228=Kardex!$C$4),COUNTIF($C$5:$C2228,Kardex!$C$4),"")</f>
        <v/>
      </c>
    </row>
    <row r="2229" spans="1:13" x14ac:dyDescent="0.25">
      <c r="A2229" s="24"/>
      <c r="B2229" s="20"/>
      <c r="C2229" s="20"/>
      <c r="D2229" s="14" t="str">
        <f>IF($C2229="","",IFERROR(INDEX(Productos!$B$5:$B$504,MATCH($C2229,Productos!$A$5:$A$504,0)),"Clave no existe"))</f>
        <v/>
      </c>
      <c r="E2229" s="14" t="str">
        <f>IF($C2229="","",IFERROR(INDEX(Productos!$D$5:$D$504,MATCH($C2229,Productos!$A$5:$A$504,0)),""))</f>
        <v/>
      </c>
      <c r="F2229" s="20"/>
      <c r="G2229" s="22" t="str">
        <f>IF($C2229="","",IFERROR(INDEX(Productos!$F$5:$F$504,MATCH($C2229,Productos!$A$5:$A$504,0)),0))</f>
        <v/>
      </c>
      <c r="H2229" s="22" t="str">
        <f t="shared" si="34"/>
        <v/>
      </c>
      <c r="I2229" s="14" t="str">
        <f>IF(OR($C2229="",$F2229=""),"",IFERROR(INDEX(Productos!$I$5:$I$504,MATCH($C2229,Productos!$A$5:$A$504,0)),0)+SUMIFS($F$5:$F2229,$C$5:$C2229,$C2229,$B$5:$B2229,"Entrada")-SUMIFS($F$5:$F2229,$C$5:$C2229,$C2229,$B$5:$B2229,"Salida"))</f>
        <v/>
      </c>
      <c r="J2229" s="20"/>
      <c r="K2229" s="20"/>
      <c r="L2229" s="20"/>
      <c r="M2229" s="14" t="str">
        <f>IF(AND($C2229&lt;&gt;"",$C2229=Kardex!$C$4),COUNTIF($C$5:$C2229,Kardex!$C$4),"")</f>
        <v/>
      </c>
    </row>
    <row r="2230" spans="1:13" x14ac:dyDescent="0.25">
      <c r="A2230" s="24"/>
      <c r="B2230" s="20"/>
      <c r="C2230" s="20"/>
      <c r="D2230" s="14" t="str">
        <f>IF($C2230="","",IFERROR(INDEX(Productos!$B$5:$B$504,MATCH($C2230,Productos!$A$5:$A$504,0)),"Clave no existe"))</f>
        <v/>
      </c>
      <c r="E2230" s="14" t="str">
        <f>IF($C2230="","",IFERROR(INDEX(Productos!$D$5:$D$504,MATCH($C2230,Productos!$A$5:$A$504,0)),""))</f>
        <v/>
      </c>
      <c r="F2230" s="20"/>
      <c r="G2230" s="22" t="str">
        <f>IF($C2230="","",IFERROR(INDEX(Productos!$F$5:$F$504,MATCH($C2230,Productos!$A$5:$A$504,0)),0))</f>
        <v/>
      </c>
      <c r="H2230" s="22" t="str">
        <f t="shared" si="34"/>
        <v/>
      </c>
      <c r="I2230" s="14" t="str">
        <f>IF(OR($C2230="",$F2230=""),"",IFERROR(INDEX(Productos!$I$5:$I$504,MATCH($C2230,Productos!$A$5:$A$504,0)),0)+SUMIFS($F$5:$F2230,$C$5:$C2230,$C2230,$B$5:$B2230,"Entrada")-SUMIFS($F$5:$F2230,$C$5:$C2230,$C2230,$B$5:$B2230,"Salida"))</f>
        <v/>
      </c>
      <c r="J2230" s="20"/>
      <c r="K2230" s="20"/>
      <c r="L2230" s="20"/>
      <c r="M2230" s="14" t="str">
        <f>IF(AND($C2230&lt;&gt;"",$C2230=Kardex!$C$4),COUNTIF($C$5:$C2230,Kardex!$C$4),"")</f>
        <v/>
      </c>
    </row>
    <row r="2231" spans="1:13" x14ac:dyDescent="0.25">
      <c r="A2231" s="24"/>
      <c r="B2231" s="20"/>
      <c r="C2231" s="20"/>
      <c r="D2231" s="14" t="str">
        <f>IF($C2231="","",IFERROR(INDEX(Productos!$B$5:$B$504,MATCH($C2231,Productos!$A$5:$A$504,0)),"Clave no existe"))</f>
        <v/>
      </c>
      <c r="E2231" s="14" t="str">
        <f>IF($C2231="","",IFERROR(INDEX(Productos!$D$5:$D$504,MATCH($C2231,Productos!$A$5:$A$504,0)),""))</f>
        <v/>
      </c>
      <c r="F2231" s="20"/>
      <c r="G2231" s="22" t="str">
        <f>IF($C2231="","",IFERROR(INDEX(Productos!$F$5:$F$504,MATCH($C2231,Productos!$A$5:$A$504,0)),0))</f>
        <v/>
      </c>
      <c r="H2231" s="22" t="str">
        <f t="shared" si="34"/>
        <v/>
      </c>
      <c r="I2231" s="14" t="str">
        <f>IF(OR($C2231="",$F2231=""),"",IFERROR(INDEX(Productos!$I$5:$I$504,MATCH($C2231,Productos!$A$5:$A$504,0)),0)+SUMIFS($F$5:$F2231,$C$5:$C2231,$C2231,$B$5:$B2231,"Entrada")-SUMIFS($F$5:$F2231,$C$5:$C2231,$C2231,$B$5:$B2231,"Salida"))</f>
        <v/>
      </c>
      <c r="J2231" s="20"/>
      <c r="K2231" s="20"/>
      <c r="L2231" s="20"/>
      <c r="M2231" s="14" t="str">
        <f>IF(AND($C2231&lt;&gt;"",$C2231=Kardex!$C$4),COUNTIF($C$5:$C2231,Kardex!$C$4),"")</f>
        <v/>
      </c>
    </row>
    <row r="2232" spans="1:13" x14ac:dyDescent="0.25">
      <c r="A2232" s="24"/>
      <c r="B2232" s="20"/>
      <c r="C2232" s="20"/>
      <c r="D2232" s="14" t="str">
        <f>IF($C2232="","",IFERROR(INDEX(Productos!$B$5:$B$504,MATCH($C2232,Productos!$A$5:$A$504,0)),"Clave no existe"))</f>
        <v/>
      </c>
      <c r="E2232" s="14" t="str">
        <f>IF($C2232="","",IFERROR(INDEX(Productos!$D$5:$D$504,MATCH($C2232,Productos!$A$5:$A$504,0)),""))</f>
        <v/>
      </c>
      <c r="F2232" s="20"/>
      <c r="G2232" s="22" t="str">
        <f>IF($C2232="","",IFERROR(INDEX(Productos!$F$5:$F$504,MATCH($C2232,Productos!$A$5:$A$504,0)),0))</f>
        <v/>
      </c>
      <c r="H2232" s="22" t="str">
        <f t="shared" si="34"/>
        <v/>
      </c>
      <c r="I2232" s="14" t="str">
        <f>IF(OR($C2232="",$F2232=""),"",IFERROR(INDEX(Productos!$I$5:$I$504,MATCH($C2232,Productos!$A$5:$A$504,0)),0)+SUMIFS($F$5:$F2232,$C$5:$C2232,$C2232,$B$5:$B2232,"Entrada")-SUMIFS($F$5:$F2232,$C$5:$C2232,$C2232,$B$5:$B2232,"Salida"))</f>
        <v/>
      </c>
      <c r="J2232" s="20"/>
      <c r="K2232" s="20"/>
      <c r="L2232" s="20"/>
      <c r="M2232" s="14" t="str">
        <f>IF(AND($C2232&lt;&gt;"",$C2232=Kardex!$C$4),COUNTIF($C$5:$C2232,Kardex!$C$4),"")</f>
        <v/>
      </c>
    </row>
    <row r="2233" spans="1:13" x14ac:dyDescent="0.25">
      <c r="A2233" s="24"/>
      <c r="B2233" s="20"/>
      <c r="C2233" s="20"/>
      <c r="D2233" s="14" t="str">
        <f>IF($C2233="","",IFERROR(INDEX(Productos!$B$5:$B$504,MATCH($C2233,Productos!$A$5:$A$504,0)),"Clave no existe"))</f>
        <v/>
      </c>
      <c r="E2233" s="14" t="str">
        <f>IF($C2233="","",IFERROR(INDEX(Productos!$D$5:$D$504,MATCH($C2233,Productos!$A$5:$A$504,0)),""))</f>
        <v/>
      </c>
      <c r="F2233" s="20"/>
      <c r="G2233" s="22" t="str">
        <f>IF($C2233="","",IFERROR(INDEX(Productos!$F$5:$F$504,MATCH($C2233,Productos!$A$5:$A$504,0)),0))</f>
        <v/>
      </c>
      <c r="H2233" s="22" t="str">
        <f t="shared" si="34"/>
        <v/>
      </c>
      <c r="I2233" s="14" t="str">
        <f>IF(OR($C2233="",$F2233=""),"",IFERROR(INDEX(Productos!$I$5:$I$504,MATCH($C2233,Productos!$A$5:$A$504,0)),0)+SUMIFS($F$5:$F2233,$C$5:$C2233,$C2233,$B$5:$B2233,"Entrada")-SUMIFS($F$5:$F2233,$C$5:$C2233,$C2233,$B$5:$B2233,"Salida"))</f>
        <v/>
      </c>
      <c r="J2233" s="20"/>
      <c r="K2233" s="20"/>
      <c r="L2233" s="20"/>
      <c r="M2233" s="14" t="str">
        <f>IF(AND($C2233&lt;&gt;"",$C2233=Kardex!$C$4),COUNTIF($C$5:$C2233,Kardex!$C$4),"")</f>
        <v/>
      </c>
    </row>
    <row r="2234" spans="1:13" x14ac:dyDescent="0.25">
      <c r="A2234" s="24"/>
      <c r="B2234" s="20"/>
      <c r="C2234" s="20"/>
      <c r="D2234" s="14" t="str">
        <f>IF($C2234="","",IFERROR(INDEX(Productos!$B$5:$B$504,MATCH($C2234,Productos!$A$5:$A$504,0)),"Clave no existe"))</f>
        <v/>
      </c>
      <c r="E2234" s="14" t="str">
        <f>IF($C2234="","",IFERROR(INDEX(Productos!$D$5:$D$504,MATCH($C2234,Productos!$A$5:$A$504,0)),""))</f>
        <v/>
      </c>
      <c r="F2234" s="20"/>
      <c r="G2234" s="22" t="str">
        <f>IF($C2234="","",IFERROR(INDEX(Productos!$F$5:$F$504,MATCH($C2234,Productos!$A$5:$A$504,0)),0))</f>
        <v/>
      </c>
      <c r="H2234" s="22" t="str">
        <f t="shared" si="34"/>
        <v/>
      </c>
      <c r="I2234" s="14" t="str">
        <f>IF(OR($C2234="",$F2234=""),"",IFERROR(INDEX(Productos!$I$5:$I$504,MATCH($C2234,Productos!$A$5:$A$504,0)),0)+SUMIFS($F$5:$F2234,$C$5:$C2234,$C2234,$B$5:$B2234,"Entrada")-SUMIFS($F$5:$F2234,$C$5:$C2234,$C2234,$B$5:$B2234,"Salida"))</f>
        <v/>
      </c>
      <c r="J2234" s="20"/>
      <c r="K2234" s="20"/>
      <c r="L2234" s="20"/>
      <c r="M2234" s="14" t="str">
        <f>IF(AND($C2234&lt;&gt;"",$C2234=Kardex!$C$4),COUNTIF($C$5:$C2234,Kardex!$C$4),"")</f>
        <v/>
      </c>
    </row>
    <row r="2235" spans="1:13" x14ac:dyDescent="0.25">
      <c r="A2235" s="24"/>
      <c r="B2235" s="20"/>
      <c r="C2235" s="20"/>
      <c r="D2235" s="14" t="str">
        <f>IF($C2235="","",IFERROR(INDEX(Productos!$B$5:$B$504,MATCH($C2235,Productos!$A$5:$A$504,0)),"Clave no existe"))</f>
        <v/>
      </c>
      <c r="E2235" s="14" t="str">
        <f>IF($C2235="","",IFERROR(INDEX(Productos!$D$5:$D$504,MATCH($C2235,Productos!$A$5:$A$504,0)),""))</f>
        <v/>
      </c>
      <c r="F2235" s="20"/>
      <c r="G2235" s="22" t="str">
        <f>IF($C2235="","",IFERROR(INDEX(Productos!$F$5:$F$504,MATCH($C2235,Productos!$A$5:$A$504,0)),0))</f>
        <v/>
      </c>
      <c r="H2235" s="22" t="str">
        <f t="shared" si="34"/>
        <v/>
      </c>
      <c r="I2235" s="14" t="str">
        <f>IF(OR($C2235="",$F2235=""),"",IFERROR(INDEX(Productos!$I$5:$I$504,MATCH($C2235,Productos!$A$5:$A$504,0)),0)+SUMIFS($F$5:$F2235,$C$5:$C2235,$C2235,$B$5:$B2235,"Entrada")-SUMIFS($F$5:$F2235,$C$5:$C2235,$C2235,$B$5:$B2235,"Salida"))</f>
        <v/>
      </c>
      <c r="J2235" s="20"/>
      <c r="K2235" s="20"/>
      <c r="L2235" s="20"/>
      <c r="M2235" s="14" t="str">
        <f>IF(AND($C2235&lt;&gt;"",$C2235=Kardex!$C$4),COUNTIF($C$5:$C2235,Kardex!$C$4),"")</f>
        <v/>
      </c>
    </row>
    <row r="2236" spans="1:13" x14ac:dyDescent="0.25">
      <c r="A2236" s="24"/>
      <c r="B2236" s="20"/>
      <c r="C2236" s="20"/>
      <c r="D2236" s="14" t="str">
        <f>IF($C2236="","",IFERROR(INDEX(Productos!$B$5:$B$504,MATCH($C2236,Productos!$A$5:$A$504,0)),"Clave no existe"))</f>
        <v/>
      </c>
      <c r="E2236" s="14" t="str">
        <f>IF($C2236="","",IFERROR(INDEX(Productos!$D$5:$D$504,MATCH($C2236,Productos!$A$5:$A$504,0)),""))</f>
        <v/>
      </c>
      <c r="F2236" s="20"/>
      <c r="G2236" s="22" t="str">
        <f>IF($C2236="","",IFERROR(INDEX(Productos!$F$5:$F$504,MATCH($C2236,Productos!$A$5:$A$504,0)),0))</f>
        <v/>
      </c>
      <c r="H2236" s="22" t="str">
        <f t="shared" si="34"/>
        <v/>
      </c>
      <c r="I2236" s="14" t="str">
        <f>IF(OR($C2236="",$F2236=""),"",IFERROR(INDEX(Productos!$I$5:$I$504,MATCH($C2236,Productos!$A$5:$A$504,0)),0)+SUMIFS($F$5:$F2236,$C$5:$C2236,$C2236,$B$5:$B2236,"Entrada")-SUMIFS($F$5:$F2236,$C$5:$C2236,$C2236,$B$5:$B2236,"Salida"))</f>
        <v/>
      </c>
      <c r="J2236" s="20"/>
      <c r="K2236" s="20"/>
      <c r="L2236" s="20"/>
      <c r="M2236" s="14" t="str">
        <f>IF(AND($C2236&lt;&gt;"",$C2236=Kardex!$C$4),COUNTIF($C$5:$C2236,Kardex!$C$4),"")</f>
        <v/>
      </c>
    </row>
    <row r="2237" spans="1:13" x14ac:dyDescent="0.25">
      <c r="A2237" s="24"/>
      <c r="B2237" s="20"/>
      <c r="C2237" s="20"/>
      <c r="D2237" s="14" t="str">
        <f>IF($C2237="","",IFERROR(INDEX(Productos!$B$5:$B$504,MATCH($C2237,Productos!$A$5:$A$504,0)),"Clave no existe"))</f>
        <v/>
      </c>
      <c r="E2237" s="14" t="str">
        <f>IF($C2237="","",IFERROR(INDEX(Productos!$D$5:$D$504,MATCH($C2237,Productos!$A$5:$A$504,0)),""))</f>
        <v/>
      </c>
      <c r="F2237" s="20"/>
      <c r="G2237" s="22" t="str">
        <f>IF($C2237="","",IFERROR(INDEX(Productos!$F$5:$F$504,MATCH($C2237,Productos!$A$5:$A$504,0)),0))</f>
        <v/>
      </c>
      <c r="H2237" s="22" t="str">
        <f t="shared" si="34"/>
        <v/>
      </c>
      <c r="I2237" s="14" t="str">
        <f>IF(OR($C2237="",$F2237=""),"",IFERROR(INDEX(Productos!$I$5:$I$504,MATCH($C2237,Productos!$A$5:$A$504,0)),0)+SUMIFS($F$5:$F2237,$C$5:$C2237,$C2237,$B$5:$B2237,"Entrada")-SUMIFS($F$5:$F2237,$C$5:$C2237,$C2237,$B$5:$B2237,"Salida"))</f>
        <v/>
      </c>
      <c r="J2237" s="20"/>
      <c r="K2237" s="20"/>
      <c r="L2237" s="20"/>
      <c r="M2237" s="14" t="str">
        <f>IF(AND($C2237&lt;&gt;"",$C2237=Kardex!$C$4),COUNTIF($C$5:$C2237,Kardex!$C$4),"")</f>
        <v/>
      </c>
    </row>
    <row r="2238" spans="1:13" x14ac:dyDescent="0.25">
      <c r="A2238" s="24"/>
      <c r="B2238" s="20"/>
      <c r="C2238" s="20"/>
      <c r="D2238" s="14" t="str">
        <f>IF($C2238="","",IFERROR(INDEX(Productos!$B$5:$B$504,MATCH($C2238,Productos!$A$5:$A$504,0)),"Clave no existe"))</f>
        <v/>
      </c>
      <c r="E2238" s="14" t="str">
        <f>IF($C2238="","",IFERROR(INDEX(Productos!$D$5:$D$504,MATCH($C2238,Productos!$A$5:$A$504,0)),""))</f>
        <v/>
      </c>
      <c r="F2238" s="20"/>
      <c r="G2238" s="22" t="str">
        <f>IF($C2238="","",IFERROR(INDEX(Productos!$F$5:$F$504,MATCH($C2238,Productos!$A$5:$A$504,0)),0))</f>
        <v/>
      </c>
      <c r="H2238" s="22" t="str">
        <f t="shared" si="34"/>
        <v/>
      </c>
      <c r="I2238" s="14" t="str">
        <f>IF(OR($C2238="",$F2238=""),"",IFERROR(INDEX(Productos!$I$5:$I$504,MATCH($C2238,Productos!$A$5:$A$504,0)),0)+SUMIFS($F$5:$F2238,$C$5:$C2238,$C2238,$B$5:$B2238,"Entrada")-SUMIFS($F$5:$F2238,$C$5:$C2238,$C2238,$B$5:$B2238,"Salida"))</f>
        <v/>
      </c>
      <c r="J2238" s="20"/>
      <c r="K2238" s="20"/>
      <c r="L2238" s="20"/>
      <c r="M2238" s="14" t="str">
        <f>IF(AND($C2238&lt;&gt;"",$C2238=Kardex!$C$4),COUNTIF($C$5:$C2238,Kardex!$C$4),"")</f>
        <v/>
      </c>
    </row>
    <row r="2239" spans="1:13" x14ac:dyDescent="0.25">
      <c r="A2239" s="24"/>
      <c r="B2239" s="20"/>
      <c r="C2239" s="20"/>
      <c r="D2239" s="14" t="str">
        <f>IF($C2239="","",IFERROR(INDEX(Productos!$B$5:$B$504,MATCH($C2239,Productos!$A$5:$A$504,0)),"Clave no existe"))</f>
        <v/>
      </c>
      <c r="E2239" s="14" t="str">
        <f>IF($C2239="","",IFERROR(INDEX(Productos!$D$5:$D$504,MATCH($C2239,Productos!$A$5:$A$504,0)),""))</f>
        <v/>
      </c>
      <c r="F2239" s="20"/>
      <c r="G2239" s="22" t="str">
        <f>IF($C2239="","",IFERROR(INDEX(Productos!$F$5:$F$504,MATCH($C2239,Productos!$A$5:$A$504,0)),0))</f>
        <v/>
      </c>
      <c r="H2239" s="22" t="str">
        <f t="shared" si="34"/>
        <v/>
      </c>
      <c r="I2239" s="14" t="str">
        <f>IF(OR($C2239="",$F2239=""),"",IFERROR(INDEX(Productos!$I$5:$I$504,MATCH($C2239,Productos!$A$5:$A$504,0)),0)+SUMIFS($F$5:$F2239,$C$5:$C2239,$C2239,$B$5:$B2239,"Entrada")-SUMIFS($F$5:$F2239,$C$5:$C2239,$C2239,$B$5:$B2239,"Salida"))</f>
        <v/>
      </c>
      <c r="J2239" s="20"/>
      <c r="K2239" s="20"/>
      <c r="L2239" s="20"/>
      <c r="M2239" s="14" t="str">
        <f>IF(AND($C2239&lt;&gt;"",$C2239=Kardex!$C$4),COUNTIF($C$5:$C2239,Kardex!$C$4),"")</f>
        <v/>
      </c>
    </row>
    <row r="2240" spans="1:13" x14ac:dyDescent="0.25">
      <c r="A2240" s="24"/>
      <c r="B2240" s="20"/>
      <c r="C2240" s="20"/>
      <c r="D2240" s="14" t="str">
        <f>IF($C2240="","",IFERROR(INDEX(Productos!$B$5:$B$504,MATCH($C2240,Productos!$A$5:$A$504,0)),"Clave no existe"))</f>
        <v/>
      </c>
      <c r="E2240" s="14" t="str">
        <f>IF($C2240="","",IFERROR(INDEX(Productos!$D$5:$D$504,MATCH($C2240,Productos!$A$5:$A$504,0)),""))</f>
        <v/>
      </c>
      <c r="F2240" s="20"/>
      <c r="G2240" s="22" t="str">
        <f>IF($C2240="","",IFERROR(INDEX(Productos!$F$5:$F$504,MATCH($C2240,Productos!$A$5:$A$504,0)),0))</f>
        <v/>
      </c>
      <c r="H2240" s="22" t="str">
        <f t="shared" si="34"/>
        <v/>
      </c>
      <c r="I2240" s="14" t="str">
        <f>IF(OR($C2240="",$F2240=""),"",IFERROR(INDEX(Productos!$I$5:$I$504,MATCH($C2240,Productos!$A$5:$A$504,0)),0)+SUMIFS($F$5:$F2240,$C$5:$C2240,$C2240,$B$5:$B2240,"Entrada")-SUMIFS($F$5:$F2240,$C$5:$C2240,$C2240,$B$5:$B2240,"Salida"))</f>
        <v/>
      </c>
      <c r="J2240" s="20"/>
      <c r="K2240" s="20"/>
      <c r="L2240" s="20"/>
      <c r="M2240" s="14" t="str">
        <f>IF(AND($C2240&lt;&gt;"",$C2240=Kardex!$C$4),COUNTIF($C$5:$C2240,Kardex!$C$4),"")</f>
        <v/>
      </c>
    </row>
    <row r="2241" spans="1:13" x14ac:dyDescent="0.25">
      <c r="A2241" s="24"/>
      <c r="B2241" s="20"/>
      <c r="C2241" s="20"/>
      <c r="D2241" s="14" t="str">
        <f>IF($C2241="","",IFERROR(INDEX(Productos!$B$5:$B$504,MATCH($C2241,Productos!$A$5:$A$504,0)),"Clave no existe"))</f>
        <v/>
      </c>
      <c r="E2241" s="14" t="str">
        <f>IF($C2241="","",IFERROR(INDEX(Productos!$D$5:$D$504,MATCH($C2241,Productos!$A$5:$A$504,0)),""))</f>
        <v/>
      </c>
      <c r="F2241" s="20"/>
      <c r="G2241" s="22" t="str">
        <f>IF($C2241="","",IFERROR(INDEX(Productos!$F$5:$F$504,MATCH($C2241,Productos!$A$5:$A$504,0)),0))</f>
        <v/>
      </c>
      <c r="H2241" s="22" t="str">
        <f t="shared" si="34"/>
        <v/>
      </c>
      <c r="I2241" s="14" t="str">
        <f>IF(OR($C2241="",$F2241=""),"",IFERROR(INDEX(Productos!$I$5:$I$504,MATCH($C2241,Productos!$A$5:$A$504,0)),0)+SUMIFS($F$5:$F2241,$C$5:$C2241,$C2241,$B$5:$B2241,"Entrada")-SUMIFS($F$5:$F2241,$C$5:$C2241,$C2241,$B$5:$B2241,"Salida"))</f>
        <v/>
      </c>
      <c r="J2241" s="20"/>
      <c r="K2241" s="20"/>
      <c r="L2241" s="20"/>
      <c r="M2241" s="14" t="str">
        <f>IF(AND($C2241&lt;&gt;"",$C2241=Kardex!$C$4),COUNTIF($C$5:$C2241,Kardex!$C$4),"")</f>
        <v/>
      </c>
    </row>
    <row r="2242" spans="1:13" x14ac:dyDescent="0.25">
      <c r="A2242" s="24"/>
      <c r="B2242" s="20"/>
      <c r="C2242" s="20"/>
      <c r="D2242" s="14" t="str">
        <f>IF($C2242="","",IFERROR(INDEX(Productos!$B$5:$B$504,MATCH($C2242,Productos!$A$5:$A$504,0)),"Clave no existe"))</f>
        <v/>
      </c>
      <c r="E2242" s="14" t="str">
        <f>IF($C2242="","",IFERROR(INDEX(Productos!$D$5:$D$504,MATCH($C2242,Productos!$A$5:$A$504,0)),""))</f>
        <v/>
      </c>
      <c r="F2242" s="20"/>
      <c r="G2242" s="22" t="str">
        <f>IF($C2242="","",IFERROR(INDEX(Productos!$F$5:$F$504,MATCH($C2242,Productos!$A$5:$A$504,0)),0))</f>
        <v/>
      </c>
      <c r="H2242" s="22" t="str">
        <f t="shared" si="34"/>
        <v/>
      </c>
      <c r="I2242" s="14" t="str">
        <f>IF(OR($C2242="",$F2242=""),"",IFERROR(INDEX(Productos!$I$5:$I$504,MATCH($C2242,Productos!$A$5:$A$504,0)),0)+SUMIFS($F$5:$F2242,$C$5:$C2242,$C2242,$B$5:$B2242,"Entrada")-SUMIFS($F$5:$F2242,$C$5:$C2242,$C2242,$B$5:$B2242,"Salida"))</f>
        <v/>
      </c>
      <c r="J2242" s="20"/>
      <c r="K2242" s="20"/>
      <c r="L2242" s="20"/>
      <c r="M2242" s="14" t="str">
        <f>IF(AND($C2242&lt;&gt;"",$C2242=Kardex!$C$4),COUNTIF($C$5:$C2242,Kardex!$C$4),"")</f>
        <v/>
      </c>
    </row>
    <row r="2243" spans="1:13" x14ac:dyDescent="0.25">
      <c r="A2243" s="24"/>
      <c r="B2243" s="20"/>
      <c r="C2243" s="20"/>
      <c r="D2243" s="14" t="str">
        <f>IF($C2243="","",IFERROR(INDEX(Productos!$B$5:$B$504,MATCH($C2243,Productos!$A$5:$A$504,0)),"Clave no existe"))</f>
        <v/>
      </c>
      <c r="E2243" s="14" t="str">
        <f>IF($C2243="","",IFERROR(INDEX(Productos!$D$5:$D$504,MATCH($C2243,Productos!$A$5:$A$504,0)),""))</f>
        <v/>
      </c>
      <c r="F2243" s="20"/>
      <c r="G2243" s="22" t="str">
        <f>IF($C2243="","",IFERROR(INDEX(Productos!$F$5:$F$504,MATCH($C2243,Productos!$A$5:$A$504,0)),0))</f>
        <v/>
      </c>
      <c r="H2243" s="22" t="str">
        <f t="shared" si="34"/>
        <v/>
      </c>
      <c r="I2243" s="14" t="str">
        <f>IF(OR($C2243="",$F2243=""),"",IFERROR(INDEX(Productos!$I$5:$I$504,MATCH($C2243,Productos!$A$5:$A$504,0)),0)+SUMIFS($F$5:$F2243,$C$5:$C2243,$C2243,$B$5:$B2243,"Entrada")-SUMIFS($F$5:$F2243,$C$5:$C2243,$C2243,$B$5:$B2243,"Salida"))</f>
        <v/>
      </c>
      <c r="J2243" s="20"/>
      <c r="K2243" s="20"/>
      <c r="L2243" s="20"/>
      <c r="M2243" s="14" t="str">
        <f>IF(AND($C2243&lt;&gt;"",$C2243=Kardex!$C$4),COUNTIF($C$5:$C2243,Kardex!$C$4),"")</f>
        <v/>
      </c>
    </row>
    <row r="2244" spans="1:13" x14ac:dyDescent="0.25">
      <c r="A2244" s="24"/>
      <c r="B2244" s="20"/>
      <c r="C2244" s="20"/>
      <c r="D2244" s="14" t="str">
        <f>IF($C2244="","",IFERROR(INDEX(Productos!$B$5:$B$504,MATCH($C2244,Productos!$A$5:$A$504,0)),"Clave no existe"))</f>
        <v/>
      </c>
      <c r="E2244" s="14" t="str">
        <f>IF($C2244="","",IFERROR(INDEX(Productos!$D$5:$D$504,MATCH($C2244,Productos!$A$5:$A$504,0)),""))</f>
        <v/>
      </c>
      <c r="F2244" s="20"/>
      <c r="G2244" s="22" t="str">
        <f>IF($C2244="","",IFERROR(INDEX(Productos!$F$5:$F$504,MATCH($C2244,Productos!$A$5:$A$504,0)),0))</f>
        <v/>
      </c>
      <c r="H2244" s="22" t="str">
        <f t="shared" si="34"/>
        <v/>
      </c>
      <c r="I2244" s="14" t="str">
        <f>IF(OR($C2244="",$F2244=""),"",IFERROR(INDEX(Productos!$I$5:$I$504,MATCH($C2244,Productos!$A$5:$A$504,0)),0)+SUMIFS($F$5:$F2244,$C$5:$C2244,$C2244,$B$5:$B2244,"Entrada")-SUMIFS($F$5:$F2244,$C$5:$C2244,$C2244,$B$5:$B2244,"Salida"))</f>
        <v/>
      </c>
      <c r="J2244" s="20"/>
      <c r="K2244" s="20"/>
      <c r="L2244" s="20"/>
      <c r="M2244" s="14" t="str">
        <f>IF(AND($C2244&lt;&gt;"",$C2244=Kardex!$C$4),COUNTIF($C$5:$C2244,Kardex!$C$4),"")</f>
        <v/>
      </c>
    </row>
    <row r="2245" spans="1:13" x14ac:dyDescent="0.25">
      <c r="A2245" s="24"/>
      <c r="B2245" s="20"/>
      <c r="C2245" s="20"/>
      <c r="D2245" s="14" t="str">
        <f>IF($C2245="","",IFERROR(INDEX(Productos!$B$5:$B$504,MATCH($C2245,Productos!$A$5:$A$504,0)),"Clave no existe"))</f>
        <v/>
      </c>
      <c r="E2245" s="14" t="str">
        <f>IF($C2245="","",IFERROR(INDEX(Productos!$D$5:$D$504,MATCH($C2245,Productos!$A$5:$A$504,0)),""))</f>
        <v/>
      </c>
      <c r="F2245" s="20"/>
      <c r="G2245" s="22" t="str">
        <f>IF($C2245="","",IFERROR(INDEX(Productos!$F$5:$F$504,MATCH($C2245,Productos!$A$5:$A$504,0)),0))</f>
        <v/>
      </c>
      <c r="H2245" s="22" t="str">
        <f t="shared" ref="H2245:H2308" si="35">IF(OR($C2245="",$F2245=""),"",F2245*G2245)</f>
        <v/>
      </c>
      <c r="I2245" s="14" t="str">
        <f>IF(OR($C2245="",$F2245=""),"",IFERROR(INDEX(Productos!$I$5:$I$504,MATCH($C2245,Productos!$A$5:$A$504,0)),0)+SUMIFS($F$5:$F2245,$C$5:$C2245,$C2245,$B$5:$B2245,"Entrada")-SUMIFS($F$5:$F2245,$C$5:$C2245,$C2245,$B$5:$B2245,"Salida"))</f>
        <v/>
      </c>
      <c r="J2245" s="20"/>
      <c r="K2245" s="20"/>
      <c r="L2245" s="20"/>
      <c r="M2245" s="14" t="str">
        <f>IF(AND($C2245&lt;&gt;"",$C2245=Kardex!$C$4),COUNTIF($C$5:$C2245,Kardex!$C$4),"")</f>
        <v/>
      </c>
    </row>
    <row r="2246" spans="1:13" x14ac:dyDescent="0.25">
      <c r="A2246" s="24"/>
      <c r="B2246" s="20"/>
      <c r="C2246" s="20"/>
      <c r="D2246" s="14" t="str">
        <f>IF($C2246="","",IFERROR(INDEX(Productos!$B$5:$B$504,MATCH($C2246,Productos!$A$5:$A$504,0)),"Clave no existe"))</f>
        <v/>
      </c>
      <c r="E2246" s="14" t="str">
        <f>IF($C2246="","",IFERROR(INDEX(Productos!$D$5:$D$504,MATCH($C2246,Productos!$A$5:$A$504,0)),""))</f>
        <v/>
      </c>
      <c r="F2246" s="20"/>
      <c r="G2246" s="22" t="str">
        <f>IF($C2246="","",IFERROR(INDEX(Productos!$F$5:$F$504,MATCH($C2246,Productos!$A$5:$A$504,0)),0))</f>
        <v/>
      </c>
      <c r="H2246" s="22" t="str">
        <f t="shared" si="35"/>
        <v/>
      </c>
      <c r="I2246" s="14" t="str">
        <f>IF(OR($C2246="",$F2246=""),"",IFERROR(INDEX(Productos!$I$5:$I$504,MATCH($C2246,Productos!$A$5:$A$504,0)),0)+SUMIFS($F$5:$F2246,$C$5:$C2246,$C2246,$B$5:$B2246,"Entrada")-SUMIFS($F$5:$F2246,$C$5:$C2246,$C2246,$B$5:$B2246,"Salida"))</f>
        <v/>
      </c>
      <c r="J2246" s="20"/>
      <c r="K2246" s="20"/>
      <c r="L2246" s="20"/>
      <c r="M2246" s="14" t="str">
        <f>IF(AND($C2246&lt;&gt;"",$C2246=Kardex!$C$4),COUNTIF($C$5:$C2246,Kardex!$C$4),"")</f>
        <v/>
      </c>
    </row>
    <row r="2247" spans="1:13" x14ac:dyDescent="0.25">
      <c r="A2247" s="24"/>
      <c r="B2247" s="20"/>
      <c r="C2247" s="20"/>
      <c r="D2247" s="14" t="str">
        <f>IF($C2247="","",IFERROR(INDEX(Productos!$B$5:$B$504,MATCH($C2247,Productos!$A$5:$A$504,0)),"Clave no existe"))</f>
        <v/>
      </c>
      <c r="E2247" s="14" t="str">
        <f>IF($C2247="","",IFERROR(INDEX(Productos!$D$5:$D$504,MATCH($C2247,Productos!$A$5:$A$504,0)),""))</f>
        <v/>
      </c>
      <c r="F2247" s="20"/>
      <c r="G2247" s="22" t="str">
        <f>IF($C2247="","",IFERROR(INDEX(Productos!$F$5:$F$504,MATCH($C2247,Productos!$A$5:$A$504,0)),0))</f>
        <v/>
      </c>
      <c r="H2247" s="22" t="str">
        <f t="shared" si="35"/>
        <v/>
      </c>
      <c r="I2247" s="14" t="str">
        <f>IF(OR($C2247="",$F2247=""),"",IFERROR(INDEX(Productos!$I$5:$I$504,MATCH($C2247,Productos!$A$5:$A$504,0)),0)+SUMIFS($F$5:$F2247,$C$5:$C2247,$C2247,$B$5:$B2247,"Entrada")-SUMIFS($F$5:$F2247,$C$5:$C2247,$C2247,$B$5:$B2247,"Salida"))</f>
        <v/>
      </c>
      <c r="J2247" s="20"/>
      <c r="K2247" s="20"/>
      <c r="L2247" s="20"/>
      <c r="M2247" s="14" t="str">
        <f>IF(AND($C2247&lt;&gt;"",$C2247=Kardex!$C$4),COUNTIF($C$5:$C2247,Kardex!$C$4),"")</f>
        <v/>
      </c>
    </row>
    <row r="2248" spans="1:13" x14ac:dyDescent="0.25">
      <c r="A2248" s="24"/>
      <c r="B2248" s="20"/>
      <c r="C2248" s="20"/>
      <c r="D2248" s="14" t="str">
        <f>IF($C2248="","",IFERROR(INDEX(Productos!$B$5:$B$504,MATCH($C2248,Productos!$A$5:$A$504,0)),"Clave no existe"))</f>
        <v/>
      </c>
      <c r="E2248" s="14" t="str">
        <f>IF($C2248="","",IFERROR(INDEX(Productos!$D$5:$D$504,MATCH($C2248,Productos!$A$5:$A$504,0)),""))</f>
        <v/>
      </c>
      <c r="F2248" s="20"/>
      <c r="G2248" s="22" t="str">
        <f>IF($C2248="","",IFERROR(INDEX(Productos!$F$5:$F$504,MATCH($C2248,Productos!$A$5:$A$504,0)),0))</f>
        <v/>
      </c>
      <c r="H2248" s="22" t="str">
        <f t="shared" si="35"/>
        <v/>
      </c>
      <c r="I2248" s="14" t="str">
        <f>IF(OR($C2248="",$F2248=""),"",IFERROR(INDEX(Productos!$I$5:$I$504,MATCH($C2248,Productos!$A$5:$A$504,0)),0)+SUMIFS($F$5:$F2248,$C$5:$C2248,$C2248,$B$5:$B2248,"Entrada")-SUMIFS($F$5:$F2248,$C$5:$C2248,$C2248,$B$5:$B2248,"Salida"))</f>
        <v/>
      </c>
      <c r="J2248" s="20"/>
      <c r="K2248" s="20"/>
      <c r="L2248" s="20"/>
      <c r="M2248" s="14" t="str">
        <f>IF(AND($C2248&lt;&gt;"",$C2248=Kardex!$C$4),COUNTIF($C$5:$C2248,Kardex!$C$4),"")</f>
        <v/>
      </c>
    </row>
    <row r="2249" spans="1:13" x14ac:dyDescent="0.25">
      <c r="A2249" s="24"/>
      <c r="B2249" s="20"/>
      <c r="C2249" s="20"/>
      <c r="D2249" s="14" t="str">
        <f>IF($C2249="","",IFERROR(INDEX(Productos!$B$5:$B$504,MATCH($C2249,Productos!$A$5:$A$504,0)),"Clave no existe"))</f>
        <v/>
      </c>
      <c r="E2249" s="14" t="str">
        <f>IF($C2249="","",IFERROR(INDEX(Productos!$D$5:$D$504,MATCH($C2249,Productos!$A$5:$A$504,0)),""))</f>
        <v/>
      </c>
      <c r="F2249" s="20"/>
      <c r="G2249" s="22" t="str">
        <f>IF($C2249="","",IFERROR(INDEX(Productos!$F$5:$F$504,MATCH($C2249,Productos!$A$5:$A$504,0)),0))</f>
        <v/>
      </c>
      <c r="H2249" s="22" t="str">
        <f t="shared" si="35"/>
        <v/>
      </c>
      <c r="I2249" s="14" t="str">
        <f>IF(OR($C2249="",$F2249=""),"",IFERROR(INDEX(Productos!$I$5:$I$504,MATCH($C2249,Productos!$A$5:$A$504,0)),0)+SUMIFS($F$5:$F2249,$C$5:$C2249,$C2249,$B$5:$B2249,"Entrada")-SUMIFS($F$5:$F2249,$C$5:$C2249,$C2249,$B$5:$B2249,"Salida"))</f>
        <v/>
      </c>
      <c r="J2249" s="20"/>
      <c r="K2249" s="20"/>
      <c r="L2249" s="20"/>
      <c r="M2249" s="14" t="str">
        <f>IF(AND($C2249&lt;&gt;"",$C2249=Kardex!$C$4),COUNTIF($C$5:$C2249,Kardex!$C$4),"")</f>
        <v/>
      </c>
    </row>
    <row r="2250" spans="1:13" x14ac:dyDescent="0.25">
      <c r="A2250" s="24"/>
      <c r="B2250" s="20"/>
      <c r="C2250" s="20"/>
      <c r="D2250" s="14" t="str">
        <f>IF($C2250="","",IFERROR(INDEX(Productos!$B$5:$B$504,MATCH($C2250,Productos!$A$5:$A$504,0)),"Clave no existe"))</f>
        <v/>
      </c>
      <c r="E2250" s="14" t="str">
        <f>IF($C2250="","",IFERROR(INDEX(Productos!$D$5:$D$504,MATCH($C2250,Productos!$A$5:$A$504,0)),""))</f>
        <v/>
      </c>
      <c r="F2250" s="20"/>
      <c r="G2250" s="22" t="str">
        <f>IF($C2250="","",IFERROR(INDEX(Productos!$F$5:$F$504,MATCH($C2250,Productos!$A$5:$A$504,0)),0))</f>
        <v/>
      </c>
      <c r="H2250" s="22" t="str">
        <f t="shared" si="35"/>
        <v/>
      </c>
      <c r="I2250" s="14" t="str">
        <f>IF(OR($C2250="",$F2250=""),"",IFERROR(INDEX(Productos!$I$5:$I$504,MATCH($C2250,Productos!$A$5:$A$504,0)),0)+SUMIFS($F$5:$F2250,$C$5:$C2250,$C2250,$B$5:$B2250,"Entrada")-SUMIFS($F$5:$F2250,$C$5:$C2250,$C2250,$B$5:$B2250,"Salida"))</f>
        <v/>
      </c>
      <c r="J2250" s="20"/>
      <c r="K2250" s="20"/>
      <c r="L2250" s="20"/>
      <c r="M2250" s="14" t="str">
        <f>IF(AND($C2250&lt;&gt;"",$C2250=Kardex!$C$4),COUNTIF($C$5:$C2250,Kardex!$C$4),"")</f>
        <v/>
      </c>
    </row>
    <row r="2251" spans="1:13" x14ac:dyDescent="0.25">
      <c r="A2251" s="24"/>
      <c r="B2251" s="20"/>
      <c r="C2251" s="20"/>
      <c r="D2251" s="14" t="str">
        <f>IF($C2251="","",IFERROR(INDEX(Productos!$B$5:$B$504,MATCH($C2251,Productos!$A$5:$A$504,0)),"Clave no existe"))</f>
        <v/>
      </c>
      <c r="E2251" s="14" t="str">
        <f>IF($C2251="","",IFERROR(INDEX(Productos!$D$5:$D$504,MATCH($C2251,Productos!$A$5:$A$504,0)),""))</f>
        <v/>
      </c>
      <c r="F2251" s="20"/>
      <c r="G2251" s="22" t="str">
        <f>IF($C2251="","",IFERROR(INDEX(Productos!$F$5:$F$504,MATCH($C2251,Productos!$A$5:$A$504,0)),0))</f>
        <v/>
      </c>
      <c r="H2251" s="22" t="str">
        <f t="shared" si="35"/>
        <v/>
      </c>
      <c r="I2251" s="14" t="str">
        <f>IF(OR($C2251="",$F2251=""),"",IFERROR(INDEX(Productos!$I$5:$I$504,MATCH($C2251,Productos!$A$5:$A$504,0)),0)+SUMIFS($F$5:$F2251,$C$5:$C2251,$C2251,$B$5:$B2251,"Entrada")-SUMIFS($F$5:$F2251,$C$5:$C2251,$C2251,$B$5:$B2251,"Salida"))</f>
        <v/>
      </c>
      <c r="J2251" s="20"/>
      <c r="K2251" s="20"/>
      <c r="L2251" s="20"/>
      <c r="M2251" s="14" t="str">
        <f>IF(AND($C2251&lt;&gt;"",$C2251=Kardex!$C$4),COUNTIF($C$5:$C2251,Kardex!$C$4),"")</f>
        <v/>
      </c>
    </row>
    <row r="2252" spans="1:13" x14ac:dyDescent="0.25">
      <c r="A2252" s="24"/>
      <c r="B2252" s="20"/>
      <c r="C2252" s="20"/>
      <c r="D2252" s="14" t="str">
        <f>IF($C2252="","",IFERROR(INDEX(Productos!$B$5:$B$504,MATCH($C2252,Productos!$A$5:$A$504,0)),"Clave no existe"))</f>
        <v/>
      </c>
      <c r="E2252" s="14" t="str">
        <f>IF($C2252="","",IFERROR(INDEX(Productos!$D$5:$D$504,MATCH($C2252,Productos!$A$5:$A$504,0)),""))</f>
        <v/>
      </c>
      <c r="F2252" s="20"/>
      <c r="G2252" s="22" t="str">
        <f>IF($C2252="","",IFERROR(INDEX(Productos!$F$5:$F$504,MATCH($C2252,Productos!$A$5:$A$504,0)),0))</f>
        <v/>
      </c>
      <c r="H2252" s="22" t="str">
        <f t="shared" si="35"/>
        <v/>
      </c>
      <c r="I2252" s="14" t="str">
        <f>IF(OR($C2252="",$F2252=""),"",IFERROR(INDEX(Productos!$I$5:$I$504,MATCH($C2252,Productos!$A$5:$A$504,0)),0)+SUMIFS($F$5:$F2252,$C$5:$C2252,$C2252,$B$5:$B2252,"Entrada")-SUMIFS($F$5:$F2252,$C$5:$C2252,$C2252,$B$5:$B2252,"Salida"))</f>
        <v/>
      </c>
      <c r="J2252" s="20"/>
      <c r="K2252" s="20"/>
      <c r="L2252" s="20"/>
      <c r="M2252" s="14" t="str">
        <f>IF(AND($C2252&lt;&gt;"",$C2252=Kardex!$C$4),COUNTIF($C$5:$C2252,Kardex!$C$4),"")</f>
        <v/>
      </c>
    </row>
    <row r="2253" spans="1:13" x14ac:dyDescent="0.25">
      <c r="A2253" s="24"/>
      <c r="B2253" s="20"/>
      <c r="C2253" s="20"/>
      <c r="D2253" s="14" t="str">
        <f>IF($C2253="","",IFERROR(INDEX(Productos!$B$5:$B$504,MATCH($C2253,Productos!$A$5:$A$504,0)),"Clave no existe"))</f>
        <v/>
      </c>
      <c r="E2253" s="14" t="str">
        <f>IF($C2253="","",IFERROR(INDEX(Productos!$D$5:$D$504,MATCH($C2253,Productos!$A$5:$A$504,0)),""))</f>
        <v/>
      </c>
      <c r="F2253" s="20"/>
      <c r="G2253" s="22" t="str">
        <f>IF($C2253="","",IFERROR(INDEX(Productos!$F$5:$F$504,MATCH($C2253,Productos!$A$5:$A$504,0)),0))</f>
        <v/>
      </c>
      <c r="H2253" s="22" t="str">
        <f t="shared" si="35"/>
        <v/>
      </c>
      <c r="I2253" s="14" t="str">
        <f>IF(OR($C2253="",$F2253=""),"",IFERROR(INDEX(Productos!$I$5:$I$504,MATCH($C2253,Productos!$A$5:$A$504,0)),0)+SUMIFS($F$5:$F2253,$C$5:$C2253,$C2253,$B$5:$B2253,"Entrada")-SUMIFS($F$5:$F2253,$C$5:$C2253,$C2253,$B$5:$B2253,"Salida"))</f>
        <v/>
      </c>
      <c r="J2253" s="20"/>
      <c r="K2253" s="20"/>
      <c r="L2253" s="20"/>
      <c r="M2253" s="14" t="str">
        <f>IF(AND($C2253&lt;&gt;"",$C2253=Kardex!$C$4),COUNTIF($C$5:$C2253,Kardex!$C$4),"")</f>
        <v/>
      </c>
    </row>
    <row r="2254" spans="1:13" x14ac:dyDescent="0.25">
      <c r="A2254" s="24"/>
      <c r="B2254" s="20"/>
      <c r="C2254" s="20"/>
      <c r="D2254" s="14" t="str">
        <f>IF($C2254="","",IFERROR(INDEX(Productos!$B$5:$B$504,MATCH($C2254,Productos!$A$5:$A$504,0)),"Clave no existe"))</f>
        <v/>
      </c>
      <c r="E2254" s="14" t="str">
        <f>IF($C2254="","",IFERROR(INDEX(Productos!$D$5:$D$504,MATCH($C2254,Productos!$A$5:$A$504,0)),""))</f>
        <v/>
      </c>
      <c r="F2254" s="20"/>
      <c r="G2254" s="22" t="str">
        <f>IF($C2254="","",IFERROR(INDEX(Productos!$F$5:$F$504,MATCH($C2254,Productos!$A$5:$A$504,0)),0))</f>
        <v/>
      </c>
      <c r="H2254" s="22" t="str">
        <f t="shared" si="35"/>
        <v/>
      </c>
      <c r="I2254" s="14" t="str">
        <f>IF(OR($C2254="",$F2254=""),"",IFERROR(INDEX(Productos!$I$5:$I$504,MATCH($C2254,Productos!$A$5:$A$504,0)),0)+SUMIFS($F$5:$F2254,$C$5:$C2254,$C2254,$B$5:$B2254,"Entrada")-SUMIFS($F$5:$F2254,$C$5:$C2254,$C2254,$B$5:$B2254,"Salida"))</f>
        <v/>
      </c>
      <c r="J2254" s="20"/>
      <c r="K2254" s="20"/>
      <c r="L2254" s="20"/>
      <c r="M2254" s="14" t="str">
        <f>IF(AND($C2254&lt;&gt;"",$C2254=Kardex!$C$4),COUNTIF($C$5:$C2254,Kardex!$C$4),"")</f>
        <v/>
      </c>
    </row>
    <row r="2255" spans="1:13" x14ac:dyDescent="0.25">
      <c r="A2255" s="24"/>
      <c r="B2255" s="20"/>
      <c r="C2255" s="20"/>
      <c r="D2255" s="14" t="str">
        <f>IF($C2255="","",IFERROR(INDEX(Productos!$B$5:$B$504,MATCH($C2255,Productos!$A$5:$A$504,0)),"Clave no existe"))</f>
        <v/>
      </c>
      <c r="E2255" s="14" t="str">
        <f>IF($C2255="","",IFERROR(INDEX(Productos!$D$5:$D$504,MATCH($C2255,Productos!$A$5:$A$504,0)),""))</f>
        <v/>
      </c>
      <c r="F2255" s="20"/>
      <c r="G2255" s="22" t="str">
        <f>IF($C2255="","",IFERROR(INDEX(Productos!$F$5:$F$504,MATCH($C2255,Productos!$A$5:$A$504,0)),0))</f>
        <v/>
      </c>
      <c r="H2255" s="22" t="str">
        <f t="shared" si="35"/>
        <v/>
      </c>
      <c r="I2255" s="14" t="str">
        <f>IF(OR($C2255="",$F2255=""),"",IFERROR(INDEX(Productos!$I$5:$I$504,MATCH($C2255,Productos!$A$5:$A$504,0)),0)+SUMIFS($F$5:$F2255,$C$5:$C2255,$C2255,$B$5:$B2255,"Entrada")-SUMIFS($F$5:$F2255,$C$5:$C2255,$C2255,$B$5:$B2255,"Salida"))</f>
        <v/>
      </c>
      <c r="J2255" s="20"/>
      <c r="K2255" s="20"/>
      <c r="L2255" s="20"/>
      <c r="M2255" s="14" t="str">
        <f>IF(AND($C2255&lt;&gt;"",$C2255=Kardex!$C$4),COUNTIF($C$5:$C2255,Kardex!$C$4),"")</f>
        <v/>
      </c>
    </row>
    <row r="2256" spans="1:13" x14ac:dyDescent="0.25">
      <c r="A2256" s="24"/>
      <c r="B2256" s="20"/>
      <c r="C2256" s="20"/>
      <c r="D2256" s="14" t="str">
        <f>IF($C2256="","",IFERROR(INDEX(Productos!$B$5:$B$504,MATCH($C2256,Productos!$A$5:$A$504,0)),"Clave no existe"))</f>
        <v/>
      </c>
      <c r="E2256" s="14" t="str">
        <f>IF($C2256="","",IFERROR(INDEX(Productos!$D$5:$D$504,MATCH($C2256,Productos!$A$5:$A$504,0)),""))</f>
        <v/>
      </c>
      <c r="F2256" s="20"/>
      <c r="G2256" s="22" t="str">
        <f>IF($C2256="","",IFERROR(INDEX(Productos!$F$5:$F$504,MATCH($C2256,Productos!$A$5:$A$504,0)),0))</f>
        <v/>
      </c>
      <c r="H2256" s="22" t="str">
        <f t="shared" si="35"/>
        <v/>
      </c>
      <c r="I2256" s="14" t="str">
        <f>IF(OR($C2256="",$F2256=""),"",IFERROR(INDEX(Productos!$I$5:$I$504,MATCH($C2256,Productos!$A$5:$A$504,0)),0)+SUMIFS($F$5:$F2256,$C$5:$C2256,$C2256,$B$5:$B2256,"Entrada")-SUMIFS($F$5:$F2256,$C$5:$C2256,$C2256,$B$5:$B2256,"Salida"))</f>
        <v/>
      </c>
      <c r="J2256" s="20"/>
      <c r="K2256" s="20"/>
      <c r="L2256" s="20"/>
      <c r="M2256" s="14" t="str">
        <f>IF(AND($C2256&lt;&gt;"",$C2256=Kardex!$C$4),COUNTIF($C$5:$C2256,Kardex!$C$4),"")</f>
        <v/>
      </c>
    </row>
    <row r="2257" spans="1:13" x14ac:dyDescent="0.25">
      <c r="A2257" s="24"/>
      <c r="B2257" s="20"/>
      <c r="C2257" s="20"/>
      <c r="D2257" s="14" t="str">
        <f>IF($C2257="","",IFERROR(INDEX(Productos!$B$5:$B$504,MATCH($C2257,Productos!$A$5:$A$504,0)),"Clave no existe"))</f>
        <v/>
      </c>
      <c r="E2257" s="14" t="str">
        <f>IF($C2257="","",IFERROR(INDEX(Productos!$D$5:$D$504,MATCH($C2257,Productos!$A$5:$A$504,0)),""))</f>
        <v/>
      </c>
      <c r="F2257" s="20"/>
      <c r="G2257" s="22" t="str">
        <f>IF($C2257="","",IFERROR(INDEX(Productos!$F$5:$F$504,MATCH($C2257,Productos!$A$5:$A$504,0)),0))</f>
        <v/>
      </c>
      <c r="H2257" s="22" t="str">
        <f t="shared" si="35"/>
        <v/>
      </c>
      <c r="I2257" s="14" t="str">
        <f>IF(OR($C2257="",$F2257=""),"",IFERROR(INDEX(Productos!$I$5:$I$504,MATCH($C2257,Productos!$A$5:$A$504,0)),0)+SUMIFS($F$5:$F2257,$C$5:$C2257,$C2257,$B$5:$B2257,"Entrada")-SUMIFS($F$5:$F2257,$C$5:$C2257,$C2257,$B$5:$B2257,"Salida"))</f>
        <v/>
      </c>
      <c r="J2257" s="20"/>
      <c r="K2257" s="20"/>
      <c r="L2257" s="20"/>
      <c r="M2257" s="14" t="str">
        <f>IF(AND($C2257&lt;&gt;"",$C2257=Kardex!$C$4),COUNTIF($C$5:$C2257,Kardex!$C$4),"")</f>
        <v/>
      </c>
    </row>
    <row r="2258" spans="1:13" x14ac:dyDescent="0.25">
      <c r="A2258" s="24"/>
      <c r="B2258" s="20"/>
      <c r="C2258" s="20"/>
      <c r="D2258" s="14" t="str">
        <f>IF($C2258="","",IFERROR(INDEX(Productos!$B$5:$B$504,MATCH($C2258,Productos!$A$5:$A$504,0)),"Clave no existe"))</f>
        <v/>
      </c>
      <c r="E2258" s="14" t="str">
        <f>IF($C2258="","",IFERROR(INDEX(Productos!$D$5:$D$504,MATCH($C2258,Productos!$A$5:$A$504,0)),""))</f>
        <v/>
      </c>
      <c r="F2258" s="20"/>
      <c r="G2258" s="22" t="str">
        <f>IF($C2258="","",IFERROR(INDEX(Productos!$F$5:$F$504,MATCH($C2258,Productos!$A$5:$A$504,0)),0))</f>
        <v/>
      </c>
      <c r="H2258" s="22" t="str">
        <f t="shared" si="35"/>
        <v/>
      </c>
      <c r="I2258" s="14" t="str">
        <f>IF(OR($C2258="",$F2258=""),"",IFERROR(INDEX(Productos!$I$5:$I$504,MATCH($C2258,Productos!$A$5:$A$504,0)),0)+SUMIFS($F$5:$F2258,$C$5:$C2258,$C2258,$B$5:$B2258,"Entrada")-SUMIFS($F$5:$F2258,$C$5:$C2258,$C2258,$B$5:$B2258,"Salida"))</f>
        <v/>
      </c>
      <c r="J2258" s="20"/>
      <c r="K2258" s="20"/>
      <c r="L2258" s="20"/>
      <c r="M2258" s="14" t="str">
        <f>IF(AND($C2258&lt;&gt;"",$C2258=Kardex!$C$4),COUNTIF($C$5:$C2258,Kardex!$C$4),"")</f>
        <v/>
      </c>
    </row>
    <row r="2259" spans="1:13" x14ac:dyDescent="0.25">
      <c r="A2259" s="24"/>
      <c r="B2259" s="20"/>
      <c r="C2259" s="20"/>
      <c r="D2259" s="14" t="str">
        <f>IF($C2259="","",IFERROR(INDEX(Productos!$B$5:$B$504,MATCH($C2259,Productos!$A$5:$A$504,0)),"Clave no existe"))</f>
        <v/>
      </c>
      <c r="E2259" s="14" t="str">
        <f>IF($C2259="","",IFERROR(INDEX(Productos!$D$5:$D$504,MATCH($C2259,Productos!$A$5:$A$504,0)),""))</f>
        <v/>
      </c>
      <c r="F2259" s="20"/>
      <c r="G2259" s="22" t="str">
        <f>IF($C2259="","",IFERROR(INDEX(Productos!$F$5:$F$504,MATCH($C2259,Productos!$A$5:$A$504,0)),0))</f>
        <v/>
      </c>
      <c r="H2259" s="22" t="str">
        <f t="shared" si="35"/>
        <v/>
      </c>
      <c r="I2259" s="14" t="str">
        <f>IF(OR($C2259="",$F2259=""),"",IFERROR(INDEX(Productos!$I$5:$I$504,MATCH($C2259,Productos!$A$5:$A$504,0)),0)+SUMIFS($F$5:$F2259,$C$5:$C2259,$C2259,$B$5:$B2259,"Entrada")-SUMIFS($F$5:$F2259,$C$5:$C2259,$C2259,$B$5:$B2259,"Salida"))</f>
        <v/>
      </c>
      <c r="J2259" s="20"/>
      <c r="K2259" s="20"/>
      <c r="L2259" s="20"/>
      <c r="M2259" s="14" t="str">
        <f>IF(AND($C2259&lt;&gt;"",$C2259=Kardex!$C$4),COUNTIF($C$5:$C2259,Kardex!$C$4),"")</f>
        <v/>
      </c>
    </row>
    <row r="2260" spans="1:13" x14ac:dyDescent="0.25">
      <c r="A2260" s="24"/>
      <c r="B2260" s="20"/>
      <c r="C2260" s="20"/>
      <c r="D2260" s="14" t="str">
        <f>IF($C2260="","",IFERROR(INDEX(Productos!$B$5:$B$504,MATCH($C2260,Productos!$A$5:$A$504,0)),"Clave no existe"))</f>
        <v/>
      </c>
      <c r="E2260" s="14" t="str">
        <f>IF($C2260="","",IFERROR(INDEX(Productos!$D$5:$D$504,MATCH($C2260,Productos!$A$5:$A$504,0)),""))</f>
        <v/>
      </c>
      <c r="F2260" s="20"/>
      <c r="G2260" s="22" t="str">
        <f>IF($C2260="","",IFERROR(INDEX(Productos!$F$5:$F$504,MATCH($C2260,Productos!$A$5:$A$504,0)),0))</f>
        <v/>
      </c>
      <c r="H2260" s="22" t="str">
        <f t="shared" si="35"/>
        <v/>
      </c>
      <c r="I2260" s="14" t="str">
        <f>IF(OR($C2260="",$F2260=""),"",IFERROR(INDEX(Productos!$I$5:$I$504,MATCH($C2260,Productos!$A$5:$A$504,0)),0)+SUMIFS($F$5:$F2260,$C$5:$C2260,$C2260,$B$5:$B2260,"Entrada")-SUMIFS($F$5:$F2260,$C$5:$C2260,$C2260,$B$5:$B2260,"Salida"))</f>
        <v/>
      </c>
      <c r="J2260" s="20"/>
      <c r="K2260" s="20"/>
      <c r="L2260" s="20"/>
      <c r="M2260" s="14" t="str">
        <f>IF(AND($C2260&lt;&gt;"",$C2260=Kardex!$C$4),COUNTIF($C$5:$C2260,Kardex!$C$4),"")</f>
        <v/>
      </c>
    </row>
    <row r="2261" spans="1:13" x14ac:dyDescent="0.25">
      <c r="A2261" s="24"/>
      <c r="B2261" s="20"/>
      <c r="C2261" s="20"/>
      <c r="D2261" s="14" t="str">
        <f>IF($C2261="","",IFERROR(INDEX(Productos!$B$5:$B$504,MATCH($C2261,Productos!$A$5:$A$504,0)),"Clave no existe"))</f>
        <v/>
      </c>
      <c r="E2261" s="14" t="str">
        <f>IF($C2261="","",IFERROR(INDEX(Productos!$D$5:$D$504,MATCH($C2261,Productos!$A$5:$A$504,0)),""))</f>
        <v/>
      </c>
      <c r="F2261" s="20"/>
      <c r="G2261" s="22" t="str">
        <f>IF($C2261="","",IFERROR(INDEX(Productos!$F$5:$F$504,MATCH($C2261,Productos!$A$5:$A$504,0)),0))</f>
        <v/>
      </c>
      <c r="H2261" s="22" t="str">
        <f t="shared" si="35"/>
        <v/>
      </c>
      <c r="I2261" s="14" t="str">
        <f>IF(OR($C2261="",$F2261=""),"",IFERROR(INDEX(Productos!$I$5:$I$504,MATCH($C2261,Productos!$A$5:$A$504,0)),0)+SUMIFS($F$5:$F2261,$C$5:$C2261,$C2261,$B$5:$B2261,"Entrada")-SUMIFS($F$5:$F2261,$C$5:$C2261,$C2261,$B$5:$B2261,"Salida"))</f>
        <v/>
      </c>
      <c r="J2261" s="20"/>
      <c r="K2261" s="20"/>
      <c r="L2261" s="20"/>
      <c r="M2261" s="14" t="str">
        <f>IF(AND($C2261&lt;&gt;"",$C2261=Kardex!$C$4),COUNTIF($C$5:$C2261,Kardex!$C$4),"")</f>
        <v/>
      </c>
    </row>
    <row r="2262" spans="1:13" x14ac:dyDescent="0.25">
      <c r="A2262" s="24"/>
      <c r="B2262" s="20"/>
      <c r="C2262" s="20"/>
      <c r="D2262" s="14" t="str">
        <f>IF($C2262="","",IFERROR(INDEX(Productos!$B$5:$B$504,MATCH($C2262,Productos!$A$5:$A$504,0)),"Clave no existe"))</f>
        <v/>
      </c>
      <c r="E2262" s="14" t="str">
        <f>IF($C2262="","",IFERROR(INDEX(Productos!$D$5:$D$504,MATCH($C2262,Productos!$A$5:$A$504,0)),""))</f>
        <v/>
      </c>
      <c r="F2262" s="20"/>
      <c r="G2262" s="22" t="str">
        <f>IF($C2262="","",IFERROR(INDEX(Productos!$F$5:$F$504,MATCH($C2262,Productos!$A$5:$A$504,0)),0))</f>
        <v/>
      </c>
      <c r="H2262" s="22" t="str">
        <f t="shared" si="35"/>
        <v/>
      </c>
      <c r="I2262" s="14" t="str">
        <f>IF(OR($C2262="",$F2262=""),"",IFERROR(INDEX(Productos!$I$5:$I$504,MATCH($C2262,Productos!$A$5:$A$504,0)),0)+SUMIFS($F$5:$F2262,$C$5:$C2262,$C2262,$B$5:$B2262,"Entrada")-SUMIFS($F$5:$F2262,$C$5:$C2262,$C2262,$B$5:$B2262,"Salida"))</f>
        <v/>
      </c>
      <c r="J2262" s="20"/>
      <c r="K2262" s="20"/>
      <c r="L2262" s="20"/>
      <c r="M2262" s="14" t="str">
        <f>IF(AND($C2262&lt;&gt;"",$C2262=Kardex!$C$4),COUNTIF($C$5:$C2262,Kardex!$C$4),"")</f>
        <v/>
      </c>
    </row>
    <row r="2263" spans="1:13" x14ac:dyDescent="0.25">
      <c r="A2263" s="24"/>
      <c r="B2263" s="20"/>
      <c r="C2263" s="20"/>
      <c r="D2263" s="14" t="str">
        <f>IF($C2263="","",IFERROR(INDEX(Productos!$B$5:$B$504,MATCH($C2263,Productos!$A$5:$A$504,0)),"Clave no existe"))</f>
        <v/>
      </c>
      <c r="E2263" s="14" t="str">
        <f>IF($C2263="","",IFERROR(INDEX(Productos!$D$5:$D$504,MATCH($C2263,Productos!$A$5:$A$504,0)),""))</f>
        <v/>
      </c>
      <c r="F2263" s="20"/>
      <c r="G2263" s="22" t="str">
        <f>IF($C2263="","",IFERROR(INDEX(Productos!$F$5:$F$504,MATCH($C2263,Productos!$A$5:$A$504,0)),0))</f>
        <v/>
      </c>
      <c r="H2263" s="22" t="str">
        <f t="shared" si="35"/>
        <v/>
      </c>
      <c r="I2263" s="14" t="str">
        <f>IF(OR($C2263="",$F2263=""),"",IFERROR(INDEX(Productos!$I$5:$I$504,MATCH($C2263,Productos!$A$5:$A$504,0)),0)+SUMIFS($F$5:$F2263,$C$5:$C2263,$C2263,$B$5:$B2263,"Entrada")-SUMIFS($F$5:$F2263,$C$5:$C2263,$C2263,$B$5:$B2263,"Salida"))</f>
        <v/>
      </c>
      <c r="J2263" s="20"/>
      <c r="K2263" s="20"/>
      <c r="L2263" s="20"/>
      <c r="M2263" s="14" t="str">
        <f>IF(AND($C2263&lt;&gt;"",$C2263=Kardex!$C$4),COUNTIF($C$5:$C2263,Kardex!$C$4),"")</f>
        <v/>
      </c>
    </row>
    <row r="2264" spans="1:13" x14ac:dyDescent="0.25">
      <c r="A2264" s="24"/>
      <c r="B2264" s="20"/>
      <c r="C2264" s="20"/>
      <c r="D2264" s="14" t="str">
        <f>IF($C2264="","",IFERROR(INDEX(Productos!$B$5:$B$504,MATCH($C2264,Productos!$A$5:$A$504,0)),"Clave no existe"))</f>
        <v/>
      </c>
      <c r="E2264" s="14" t="str">
        <f>IF($C2264="","",IFERROR(INDEX(Productos!$D$5:$D$504,MATCH($C2264,Productos!$A$5:$A$504,0)),""))</f>
        <v/>
      </c>
      <c r="F2264" s="20"/>
      <c r="G2264" s="22" t="str">
        <f>IF($C2264="","",IFERROR(INDEX(Productos!$F$5:$F$504,MATCH($C2264,Productos!$A$5:$A$504,0)),0))</f>
        <v/>
      </c>
      <c r="H2264" s="22" t="str">
        <f t="shared" si="35"/>
        <v/>
      </c>
      <c r="I2264" s="14" t="str">
        <f>IF(OR($C2264="",$F2264=""),"",IFERROR(INDEX(Productos!$I$5:$I$504,MATCH($C2264,Productos!$A$5:$A$504,0)),0)+SUMIFS($F$5:$F2264,$C$5:$C2264,$C2264,$B$5:$B2264,"Entrada")-SUMIFS($F$5:$F2264,$C$5:$C2264,$C2264,$B$5:$B2264,"Salida"))</f>
        <v/>
      </c>
      <c r="J2264" s="20"/>
      <c r="K2264" s="20"/>
      <c r="L2264" s="20"/>
      <c r="M2264" s="14" t="str">
        <f>IF(AND($C2264&lt;&gt;"",$C2264=Kardex!$C$4),COUNTIF($C$5:$C2264,Kardex!$C$4),"")</f>
        <v/>
      </c>
    </row>
    <row r="2265" spans="1:13" x14ac:dyDescent="0.25">
      <c r="A2265" s="24"/>
      <c r="B2265" s="20"/>
      <c r="C2265" s="20"/>
      <c r="D2265" s="14" t="str">
        <f>IF($C2265="","",IFERROR(INDEX(Productos!$B$5:$B$504,MATCH($C2265,Productos!$A$5:$A$504,0)),"Clave no existe"))</f>
        <v/>
      </c>
      <c r="E2265" s="14" t="str">
        <f>IF($C2265="","",IFERROR(INDEX(Productos!$D$5:$D$504,MATCH($C2265,Productos!$A$5:$A$504,0)),""))</f>
        <v/>
      </c>
      <c r="F2265" s="20"/>
      <c r="G2265" s="22" t="str">
        <f>IF($C2265="","",IFERROR(INDEX(Productos!$F$5:$F$504,MATCH($C2265,Productos!$A$5:$A$504,0)),0))</f>
        <v/>
      </c>
      <c r="H2265" s="22" t="str">
        <f t="shared" si="35"/>
        <v/>
      </c>
      <c r="I2265" s="14" t="str">
        <f>IF(OR($C2265="",$F2265=""),"",IFERROR(INDEX(Productos!$I$5:$I$504,MATCH($C2265,Productos!$A$5:$A$504,0)),0)+SUMIFS($F$5:$F2265,$C$5:$C2265,$C2265,$B$5:$B2265,"Entrada")-SUMIFS($F$5:$F2265,$C$5:$C2265,$C2265,$B$5:$B2265,"Salida"))</f>
        <v/>
      </c>
      <c r="J2265" s="20"/>
      <c r="K2265" s="20"/>
      <c r="L2265" s="20"/>
      <c r="M2265" s="14" t="str">
        <f>IF(AND($C2265&lt;&gt;"",$C2265=Kardex!$C$4),COUNTIF($C$5:$C2265,Kardex!$C$4),"")</f>
        <v/>
      </c>
    </row>
    <row r="2266" spans="1:13" x14ac:dyDescent="0.25">
      <c r="A2266" s="24"/>
      <c r="B2266" s="20"/>
      <c r="C2266" s="20"/>
      <c r="D2266" s="14" t="str">
        <f>IF($C2266="","",IFERROR(INDEX(Productos!$B$5:$B$504,MATCH($C2266,Productos!$A$5:$A$504,0)),"Clave no existe"))</f>
        <v/>
      </c>
      <c r="E2266" s="14" t="str">
        <f>IF($C2266="","",IFERROR(INDEX(Productos!$D$5:$D$504,MATCH($C2266,Productos!$A$5:$A$504,0)),""))</f>
        <v/>
      </c>
      <c r="F2266" s="20"/>
      <c r="G2266" s="22" t="str">
        <f>IF($C2266="","",IFERROR(INDEX(Productos!$F$5:$F$504,MATCH($C2266,Productos!$A$5:$A$504,0)),0))</f>
        <v/>
      </c>
      <c r="H2266" s="22" t="str">
        <f t="shared" si="35"/>
        <v/>
      </c>
      <c r="I2266" s="14" t="str">
        <f>IF(OR($C2266="",$F2266=""),"",IFERROR(INDEX(Productos!$I$5:$I$504,MATCH($C2266,Productos!$A$5:$A$504,0)),0)+SUMIFS($F$5:$F2266,$C$5:$C2266,$C2266,$B$5:$B2266,"Entrada")-SUMIFS($F$5:$F2266,$C$5:$C2266,$C2266,$B$5:$B2266,"Salida"))</f>
        <v/>
      </c>
      <c r="J2266" s="20"/>
      <c r="K2266" s="20"/>
      <c r="L2266" s="20"/>
      <c r="M2266" s="14" t="str">
        <f>IF(AND($C2266&lt;&gt;"",$C2266=Kardex!$C$4),COUNTIF($C$5:$C2266,Kardex!$C$4),"")</f>
        <v/>
      </c>
    </row>
    <row r="2267" spans="1:13" x14ac:dyDescent="0.25">
      <c r="A2267" s="24"/>
      <c r="B2267" s="20"/>
      <c r="C2267" s="20"/>
      <c r="D2267" s="14" t="str">
        <f>IF($C2267="","",IFERROR(INDEX(Productos!$B$5:$B$504,MATCH($C2267,Productos!$A$5:$A$504,0)),"Clave no existe"))</f>
        <v/>
      </c>
      <c r="E2267" s="14" t="str">
        <f>IF($C2267="","",IFERROR(INDEX(Productos!$D$5:$D$504,MATCH($C2267,Productos!$A$5:$A$504,0)),""))</f>
        <v/>
      </c>
      <c r="F2267" s="20"/>
      <c r="G2267" s="22" t="str">
        <f>IF($C2267="","",IFERROR(INDEX(Productos!$F$5:$F$504,MATCH($C2267,Productos!$A$5:$A$504,0)),0))</f>
        <v/>
      </c>
      <c r="H2267" s="22" t="str">
        <f t="shared" si="35"/>
        <v/>
      </c>
      <c r="I2267" s="14" t="str">
        <f>IF(OR($C2267="",$F2267=""),"",IFERROR(INDEX(Productos!$I$5:$I$504,MATCH($C2267,Productos!$A$5:$A$504,0)),0)+SUMIFS($F$5:$F2267,$C$5:$C2267,$C2267,$B$5:$B2267,"Entrada")-SUMIFS($F$5:$F2267,$C$5:$C2267,$C2267,$B$5:$B2267,"Salida"))</f>
        <v/>
      </c>
      <c r="J2267" s="20"/>
      <c r="K2267" s="20"/>
      <c r="L2267" s="20"/>
      <c r="M2267" s="14" t="str">
        <f>IF(AND($C2267&lt;&gt;"",$C2267=Kardex!$C$4),COUNTIF($C$5:$C2267,Kardex!$C$4),"")</f>
        <v/>
      </c>
    </row>
    <row r="2268" spans="1:13" x14ac:dyDescent="0.25">
      <c r="A2268" s="24"/>
      <c r="B2268" s="20"/>
      <c r="C2268" s="20"/>
      <c r="D2268" s="14" t="str">
        <f>IF($C2268="","",IFERROR(INDEX(Productos!$B$5:$B$504,MATCH($C2268,Productos!$A$5:$A$504,0)),"Clave no existe"))</f>
        <v/>
      </c>
      <c r="E2268" s="14" t="str">
        <f>IF($C2268="","",IFERROR(INDEX(Productos!$D$5:$D$504,MATCH($C2268,Productos!$A$5:$A$504,0)),""))</f>
        <v/>
      </c>
      <c r="F2268" s="20"/>
      <c r="G2268" s="22" t="str">
        <f>IF($C2268="","",IFERROR(INDEX(Productos!$F$5:$F$504,MATCH($C2268,Productos!$A$5:$A$504,0)),0))</f>
        <v/>
      </c>
      <c r="H2268" s="22" t="str">
        <f t="shared" si="35"/>
        <v/>
      </c>
      <c r="I2268" s="14" t="str">
        <f>IF(OR($C2268="",$F2268=""),"",IFERROR(INDEX(Productos!$I$5:$I$504,MATCH($C2268,Productos!$A$5:$A$504,0)),0)+SUMIFS($F$5:$F2268,$C$5:$C2268,$C2268,$B$5:$B2268,"Entrada")-SUMIFS($F$5:$F2268,$C$5:$C2268,$C2268,$B$5:$B2268,"Salida"))</f>
        <v/>
      </c>
      <c r="J2268" s="20"/>
      <c r="K2268" s="20"/>
      <c r="L2268" s="20"/>
      <c r="M2268" s="14" t="str">
        <f>IF(AND($C2268&lt;&gt;"",$C2268=Kardex!$C$4),COUNTIF($C$5:$C2268,Kardex!$C$4),"")</f>
        <v/>
      </c>
    </row>
    <row r="2269" spans="1:13" x14ac:dyDescent="0.25">
      <c r="A2269" s="24"/>
      <c r="B2269" s="20"/>
      <c r="C2269" s="20"/>
      <c r="D2269" s="14" t="str">
        <f>IF($C2269="","",IFERROR(INDEX(Productos!$B$5:$B$504,MATCH($C2269,Productos!$A$5:$A$504,0)),"Clave no existe"))</f>
        <v/>
      </c>
      <c r="E2269" s="14" t="str">
        <f>IF($C2269="","",IFERROR(INDEX(Productos!$D$5:$D$504,MATCH($C2269,Productos!$A$5:$A$504,0)),""))</f>
        <v/>
      </c>
      <c r="F2269" s="20"/>
      <c r="G2269" s="22" t="str">
        <f>IF($C2269="","",IFERROR(INDEX(Productos!$F$5:$F$504,MATCH($C2269,Productos!$A$5:$A$504,0)),0))</f>
        <v/>
      </c>
      <c r="H2269" s="22" t="str">
        <f t="shared" si="35"/>
        <v/>
      </c>
      <c r="I2269" s="14" t="str">
        <f>IF(OR($C2269="",$F2269=""),"",IFERROR(INDEX(Productos!$I$5:$I$504,MATCH($C2269,Productos!$A$5:$A$504,0)),0)+SUMIFS($F$5:$F2269,$C$5:$C2269,$C2269,$B$5:$B2269,"Entrada")-SUMIFS($F$5:$F2269,$C$5:$C2269,$C2269,$B$5:$B2269,"Salida"))</f>
        <v/>
      </c>
      <c r="J2269" s="20"/>
      <c r="K2269" s="20"/>
      <c r="L2269" s="20"/>
      <c r="M2269" s="14" t="str">
        <f>IF(AND($C2269&lt;&gt;"",$C2269=Kardex!$C$4),COUNTIF($C$5:$C2269,Kardex!$C$4),"")</f>
        <v/>
      </c>
    </row>
    <row r="2270" spans="1:13" x14ac:dyDescent="0.25">
      <c r="A2270" s="24"/>
      <c r="B2270" s="20"/>
      <c r="C2270" s="20"/>
      <c r="D2270" s="14" t="str">
        <f>IF($C2270="","",IFERROR(INDEX(Productos!$B$5:$B$504,MATCH($C2270,Productos!$A$5:$A$504,0)),"Clave no existe"))</f>
        <v/>
      </c>
      <c r="E2270" s="14" t="str">
        <f>IF($C2270="","",IFERROR(INDEX(Productos!$D$5:$D$504,MATCH($C2270,Productos!$A$5:$A$504,0)),""))</f>
        <v/>
      </c>
      <c r="F2270" s="20"/>
      <c r="G2270" s="22" t="str">
        <f>IF($C2270="","",IFERROR(INDEX(Productos!$F$5:$F$504,MATCH($C2270,Productos!$A$5:$A$504,0)),0))</f>
        <v/>
      </c>
      <c r="H2270" s="22" t="str">
        <f t="shared" si="35"/>
        <v/>
      </c>
      <c r="I2270" s="14" t="str">
        <f>IF(OR($C2270="",$F2270=""),"",IFERROR(INDEX(Productos!$I$5:$I$504,MATCH($C2270,Productos!$A$5:$A$504,0)),0)+SUMIFS($F$5:$F2270,$C$5:$C2270,$C2270,$B$5:$B2270,"Entrada")-SUMIFS($F$5:$F2270,$C$5:$C2270,$C2270,$B$5:$B2270,"Salida"))</f>
        <v/>
      </c>
      <c r="J2270" s="20"/>
      <c r="K2270" s="20"/>
      <c r="L2270" s="20"/>
      <c r="M2270" s="14" t="str">
        <f>IF(AND($C2270&lt;&gt;"",$C2270=Kardex!$C$4),COUNTIF($C$5:$C2270,Kardex!$C$4),"")</f>
        <v/>
      </c>
    </row>
    <row r="2271" spans="1:13" x14ac:dyDescent="0.25">
      <c r="A2271" s="24"/>
      <c r="B2271" s="20"/>
      <c r="C2271" s="20"/>
      <c r="D2271" s="14" t="str">
        <f>IF($C2271="","",IFERROR(INDEX(Productos!$B$5:$B$504,MATCH($C2271,Productos!$A$5:$A$504,0)),"Clave no existe"))</f>
        <v/>
      </c>
      <c r="E2271" s="14" t="str">
        <f>IF($C2271="","",IFERROR(INDEX(Productos!$D$5:$D$504,MATCH($C2271,Productos!$A$5:$A$504,0)),""))</f>
        <v/>
      </c>
      <c r="F2271" s="20"/>
      <c r="G2271" s="22" t="str">
        <f>IF($C2271="","",IFERROR(INDEX(Productos!$F$5:$F$504,MATCH($C2271,Productos!$A$5:$A$504,0)),0))</f>
        <v/>
      </c>
      <c r="H2271" s="22" t="str">
        <f t="shared" si="35"/>
        <v/>
      </c>
      <c r="I2271" s="14" t="str">
        <f>IF(OR($C2271="",$F2271=""),"",IFERROR(INDEX(Productos!$I$5:$I$504,MATCH($C2271,Productos!$A$5:$A$504,0)),0)+SUMIFS($F$5:$F2271,$C$5:$C2271,$C2271,$B$5:$B2271,"Entrada")-SUMIFS($F$5:$F2271,$C$5:$C2271,$C2271,$B$5:$B2271,"Salida"))</f>
        <v/>
      </c>
      <c r="J2271" s="20"/>
      <c r="K2271" s="20"/>
      <c r="L2271" s="20"/>
      <c r="M2271" s="14" t="str">
        <f>IF(AND($C2271&lt;&gt;"",$C2271=Kardex!$C$4),COUNTIF($C$5:$C2271,Kardex!$C$4),"")</f>
        <v/>
      </c>
    </row>
    <row r="2272" spans="1:13" x14ac:dyDescent="0.25">
      <c r="A2272" s="24"/>
      <c r="B2272" s="20"/>
      <c r="C2272" s="20"/>
      <c r="D2272" s="14" t="str">
        <f>IF($C2272="","",IFERROR(INDEX(Productos!$B$5:$B$504,MATCH($C2272,Productos!$A$5:$A$504,0)),"Clave no existe"))</f>
        <v/>
      </c>
      <c r="E2272" s="14" t="str">
        <f>IF($C2272="","",IFERROR(INDEX(Productos!$D$5:$D$504,MATCH($C2272,Productos!$A$5:$A$504,0)),""))</f>
        <v/>
      </c>
      <c r="F2272" s="20"/>
      <c r="G2272" s="22" t="str">
        <f>IF($C2272="","",IFERROR(INDEX(Productos!$F$5:$F$504,MATCH($C2272,Productos!$A$5:$A$504,0)),0))</f>
        <v/>
      </c>
      <c r="H2272" s="22" t="str">
        <f t="shared" si="35"/>
        <v/>
      </c>
      <c r="I2272" s="14" t="str">
        <f>IF(OR($C2272="",$F2272=""),"",IFERROR(INDEX(Productos!$I$5:$I$504,MATCH($C2272,Productos!$A$5:$A$504,0)),0)+SUMIFS($F$5:$F2272,$C$5:$C2272,$C2272,$B$5:$B2272,"Entrada")-SUMIFS($F$5:$F2272,$C$5:$C2272,$C2272,$B$5:$B2272,"Salida"))</f>
        <v/>
      </c>
      <c r="J2272" s="20"/>
      <c r="K2272" s="20"/>
      <c r="L2272" s="20"/>
      <c r="M2272" s="14" t="str">
        <f>IF(AND($C2272&lt;&gt;"",$C2272=Kardex!$C$4),COUNTIF($C$5:$C2272,Kardex!$C$4),"")</f>
        <v/>
      </c>
    </row>
    <row r="2273" spans="1:13" x14ac:dyDescent="0.25">
      <c r="A2273" s="24"/>
      <c r="B2273" s="20"/>
      <c r="C2273" s="20"/>
      <c r="D2273" s="14" t="str">
        <f>IF($C2273="","",IFERROR(INDEX(Productos!$B$5:$B$504,MATCH($C2273,Productos!$A$5:$A$504,0)),"Clave no existe"))</f>
        <v/>
      </c>
      <c r="E2273" s="14" t="str">
        <f>IF($C2273="","",IFERROR(INDEX(Productos!$D$5:$D$504,MATCH($C2273,Productos!$A$5:$A$504,0)),""))</f>
        <v/>
      </c>
      <c r="F2273" s="20"/>
      <c r="G2273" s="22" t="str">
        <f>IF($C2273="","",IFERROR(INDEX(Productos!$F$5:$F$504,MATCH($C2273,Productos!$A$5:$A$504,0)),0))</f>
        <v/>
      </c>
      <c r="H2273" s="22" t="str">
        <f t="shared" si="35"/>
        <v/>
      </c>
      <c r="I2273" s="14" t="str">
        <f>IF(OR($C2273="",$F2273=""),"",IFERROR(INDEX(Productos!$I$5:$I$504,MATCH($C2273,Productos!$A$5:$A$504,0)),0)+SUMIFS($F$5:$F2273,$C$5:$C2273,$C2273,$B$5:$B2273,"Entrada")-SUMIFS($F$5:$F2273,$C$5:$C2273,$C2273,$B$5:$B2273,"Salida"))</f>
        <v/>
      </c>
      <c r="J2273" s="20"/>
      <c r="K2273" s="20"/>
      <c r="L2273" s="20"/>
      <c r="M2273" s="14" t="str">
        <f>IF(AND($C2273&lt;&gt;"",$C2273=Kardex!$C$4),COUNTIF($C$5:$C2273,Kardex!$C$4),"")</f>
        <v/>
      </c>
    </row>
    <row r="2274" spans="1:13" x14ac:dyDescent="0.25">
      <c r="A2274" s="24"/>
      <c r="B2274" s="20"/>
      <c r="C2274" s="20"/>
      <c r="D2274" s="14" t="str">
        <f>IF($C2274="","",IFERROR(INDEX(Productos!$B$5:$B$504,MATCH($C2274,Productos!$A$5:$A$504,0)),"Clave no existe"))</f>
        <v/>
      </c>
      <c r="E2274" s="14" t="str">
        <f>IF($C2274="","",IFERROR(INDEX(Productos!$D$5:$D$504,MATCH($C2274,Productos!$A$5:$A$504,0)),""))</f>
        <v/>
      </c>
      <c r="F2274" s="20"/>
      <c r="G2274" s="22" t="str">
        <f>IF($C2274="","",IFERROR(INDEX(Productos!$F$5:$F$504,MATCH($C2274,Productos!$A$5:$A$504,0)),0))</f>
        <v/>
      </c>
      <c r="H2274" s="22" t="str">
        <f t="shared" si="35"/>
        <v/>
      </c>
      <c r="I2274" s="14" t="str">
        <f>IF(OR($C2274="",$F2274=""),"",IFERROR(INDEX(Productos!$I$5:$I$504,MATCH($C2274,Productos!$A$5:$A$504,0)),0)+SUMIFS($F$5:$F2274,$C$5:$C2274,$C2274,$B$5:$B2274,"Entrada")-SUMIFS($F$5:$F2274,$C$5:$C2274,$C2274,$B$5:$B2274,"Salida"))</f>
        <v/>
      </c>
      <c r="J2274" s="20"/>
      <c r="K2274" s="20"/>
      <c r="L2274" s="20"/>
      <c r="M2274" s="14" t="str">
        <f>IF(AND($C2274&lt;&gt;"",$C2274=Kardex!$C$4),COUNTIF($C$5:$C2274,Kardex!$C$4),"")</f>
        <v/>
      </c>
    </row>
    <row r="2275" spans="1:13" x14ac:dyDescent="0.25">
      <c r="A2275" s="24"/>
      <c r="B2275" s="20"/>
      <c r="C2275" s="20"/>
      <c r="D2275" s="14" t="str">
        <f>IF($C2275="","",IFERROR(INDEX(Productos!$B$5:$B$504,MATCH($C2275,Productos!$A$5:$A$504,0)),"Clave no existe"))</f>
        <v/>
      </c>
      <c r="E2275" s="14" t="str">
        <f>IF($C2275="","",IFERROR(INDEX(Productos!$D$5:$D$504,MATCH($C2275,Productos!$A$5:$A$504,0)),""))</f>
        <v/>
      </c>
      <c r="F2275" s="20"/>
      <c r="G2275" s="22" t="str">
        <f>IF($C2275="","",IFERROR(INDEX(Productos!$F$5:$F$504,MATCH($C2275,Productos!$A$5:$A$504,0)),0))</f>
        <v/>
      </c>
      <c r="H2275" s="22" t="str">
        <f t="shared" si="35"/>
        <v/>
      </c>
      <c r="I2275" s="14" t="str">
        <f>IF(OR($C2275="",$F2275=""),"",IFERROR(INDEX(Productos!$I$5:$I$504,MATCH($C2275,Productos!$A$5:$A$504,0)),0)+SUMIFS($F$5:$F2275,$C$5:$C2275,$C2275,$B$5:$B2275,"Entrada")-SUMIFS($F$5:$F2275,$C$5:$C2275,$C2275,$B$5:$B2275,"Salida"))</f>
        <v/>
      </c>
      <c r="J2275" s="20"/>
      <c r="K2275" s="20"/>
      <c r="L2275" s="20"/>
      <c r="M2275" s="14" t="str">
        <f>IF(AND($C2275&lt;&gt;"",$C2275=Kardex!$C$4),COUNTIF($C$5:$C2275,Kardex!$C$4),"")</f>
        <v/>
      </c>
    </row>
    <row r="2276" spans="1:13" x14ac:dyDescent="0.25">
      <c r="A2276" s="24"/>
      <c r="B2276" s="20"/>
      <c r="C2276" s="20"/>
      <c r="D2276" s="14" t="str">
        <f>IF($C2276="","",IFERROR(INDEX(Productos!$B$5:$B$504,MATCH($C2276,Productos!$A$5:$A$504,0)),"Clave no existe"))</f>
        <v/>
      </c>
      <c r="E2276" s="14" t="str">
        <f>IF($C2276="","",IFERROR(INDEX(Productos!$D$5:$D$504,MATCH($C2276,Productos!$A$5:$A$504,0)),""))</f>
        <v/>
      </c>
      <c r="F2276" s="20"/>
      <c r="G2276" s="22" t="str">
        <f>IF($C2276="","",IFERROR(INDEX(Productos!$F$5:$F$504,MATCH($C2276,Productos!$A$5:$A$504,0)),0))</f>
        <v/>
      </c>
      <c r="H2276" s="22" t="str">
        <f t="shared" si="35"/>
        <v/>
      </c>
      <c r="I2276" s="14" t="str">
        <f>IF(OR($C2276="",$F2276=""),"",IFERROR(INDEX(Productos!$I$5:$I$504,MATCH($C2276,Productos!$A$5:$A$504,0)),0)+SUMIFS($F$5:$F2276,$C$5:$C2276,$C2276,$B$5:$B2276,"Entrada")-SUMIFS($F$5:$F2276,$C$5:$C2276,$C2276,$B$5:$B2276,"Salida"))</f>
        <v/>
      </c>
      <c r="J2276" s="20"/>
      <c r="K2276" s="20"/>
      <c r="L2276" s="20"/>
      <c r="M2276" s="14" t="str">
        <f>IF(AND($C2276&lt;&gt;"",$C2276=Kardex!$C$4),COUNTIF($C$5:$C2276,Kardex!$C$4),"")</f>
        <v/>
      </c>
    </row>
    <row r="2277" spans="1:13" x14ac:dyDescent="0.25">
      <c r="A2277" s="24"/>
      <c r="B2277" s="20"/>
      <c r="C2277" s="20"/>
      <c r="D2277" s="14" t="str">
        <f>IF($C2277="","",IFERROR(INDEX(Productos!$B$5:$B$504,MATCH($C2277,Productos!$A$5:$A$504,0)),"Clave no existe"))</f>
        <v/>
      </c>
      <c r="E2277" s="14" t="str">
        <f>IF($C2277="","",IFERROR(INDEX(Productos!$D$5:$D$504,MATCH($C2277,Productos!$A$5:$A$504,0)),""))</f>
        <v/>
      </c>
      <c r="F2277" s="20"/>
      <c r="G2277" s="22" t="str">
        <f>IF($C2277="","",IFERROR(INDEX(Productos!$F$5:$F$504,MATCH($C2277,Productos!$A$5:$A$504,0)),0))</f>
        <v/>
      </c>
      <c r="H2277" s="22" t="str">
        <f t="shared" si="35"/>
        <v/>
      </c>
      <c r="I2277" s="14" t="str">
        <f>IF(OR($C2277="",$F2277=""),"",IFERROR(INDEX(Productos!$I$5:$I$504,MATCH($C2277,Productos!$A$5:$A$504,0)),0)+SUMIFS($F$5:$F2277,$C$5:$C2277,$C2277,$B$5:$B2277,"Entrada")-SUMIFS($F$5:$F2277,$C$5:$C2277,$C2277,$B$5:$B2277,"Salida"))</f>
        <v/>
      </c>
      <c r="J2277" s="20"/>
      <c r="K2277" s="20"/>
      <c r="L2277" s="20"/>
      <c r="M2277" s="14" t="str">
        <f>IF(AND($C2277&lt;&gt;"",$C2277=Kardex!$C$4),COUNTIF($C$5:$C2277,Kardex!$C$4),"")</f>
        <v/>
      </c>
    </row>
    <row r="2278" spans="1:13" x14ac:dyDescent="0.25">
      <c r="A2278" s="24"/>
      <c r="B2278" s="20"/>
      <c r="C2278" s="20"/>
      <c r="D2278" s="14" t="str">
        <f>IF($C2278="","",IFERROR(INDEX(Productos!$B$5:$B$504,MATCH($C2278,Productos!$A$5:$A$504,0)),"Clave no existe"))</f>
        <v/>
      </c>
      <c r="E2278" s="14" t="str">
        <f>IF($C2278="","",IFERROR(INDEX(Productos!$D$5:$D$504,MATCH($C2278,Productos!$A$5:$A$504,0)),""))</f>
        <v/>
      </c>
      <c r="F2278" s="20"/>
      <c r="G2278" s="22" t="str">
        <f>IF($C2278="","",IFERROR(INDEX(Productos!$F$5:$F$504,MATCH($C2278,Productos!$A$5:$A$504,0)),0))</f>
        <v/>
      </c>
      <c r="H2278" s="22" t="str">
        <f t="shared" si="35"/>
        <v/>
      </c>
      <c r="I2278" s="14" t="str">
        <f>IF(OR($C2278="",$F2278=""),"",IFERROR(INDEX(Productos!$I$5:$I$504,MATCH($C2278,Productos!$A$5:$A$504,0)),0)+SUMIFS($F$5:$F2278,$C$5:$C2278,$C2278,$B$5:$B2278,"Entrada")-SUMIFS($F$5:$F2278,$C$5:$C2278,$C2278,$B$5:$B2278,"Salida"))</f>
        <v/>
      </c>
      <c r="J2278" s="20"/>
      <c r="K2278" s="20"/>
      <c r="L2278" s="20"/>
      <c r="M2278" s="14" t="str">
        <f>IF(AND($C2278&lt;&gt;"",$C2278=Kardex!$C$4),COUNTIF($C$5:$C2278,Kardex!$C$4),"")</f>
        <v/>
      </c>
    </row>
    <row r="2279" spans="1:13" x14ac:dyDescent="0.25">
      <c r="A2279" s="24"/>
      <c r="B2279" s="20"/>
      <c r="C2279" s="20"/>
      <c r="D2279" s="14" t="str">
        <f>IF($C2279="","",IFERROR(INDEX(Productos!$B$5:$B$504,MATCH($C2279,Productos!$A$5:$A$504,0)),"Clave no existe"))</f>
        <v/>
      </c>
      <c r="E2279" s="14" t="str">
        <f>IF($C2279="","",IFERROR(INDEX(Productos!$D$5:$D$504,MATCH($C2279,Productos!$A$5:$A$504,0)),""))</f>
        <v/>
      </c>
      <c r="F2279" s="20"/>
      <c r="G2279" s="22" t="str">
        <f>IF($C2279="","",IFERROR(INDEX(Productos!$F$5:$F$504,MATCH($C2279,Productos!$A$5:$A$504,0)),0))</f>
        <v/>
      </c>
      <c r="H2279" s="22" t="str">
        <f t="shared" si="35"/>
        <v/>
      </c>
      <c r="I2279" s="14" t="str">
        <f>IF(OR($C2279="",$F2279=""),"",IFERROR(INDEX(Productos!$I$5:$I$504,MATCH($C2279,Productos!$A$5:$A$504,0)),0)+SUMIFS($F$5:$F2279,$C$5:$C2279,$C2279,$B$5:$B2279,"Entrada")-SUMIFS($F$5:$F2279,$C$5:$C2279,$C2279,$B$5:$B2279,"Salida"))</f>
        <v/>
      </c>
      <c r="J2279" s="20"/>
      <c r="K2279" s="20"/>
      <c r="L2279" s="20"/>
      <c r="M2279" s="14" t="str">
        <f>IF(AND($C2279&lt;&gt;"",$C2279=Kardex!$C$4),COUNTIF($C$5:$C2279,Kardex!$C$4),"")</f>
        <v/>
      </c>
    </row>
    <row r="2280" spans="1:13" x14ac:dyDescent="0.25">
      <c r="A2280" s="24"/>
      <c r="B2280" s="20"/>
      <c r="C2280" s="20"/>
      <c r="D2280" s="14" t="str">
        <f>IF($C2280="","",IFERROR(INDEX(Productos!$B$5:$B$504,MATCH($C2280,Productos!$A$5:$A$504,0)),"Clave no existe"))</f>
        <v/>
      </c>
      <c r="E2280" s="14" t="str">
        <f>IF($C2280="","",IFERROR(INDEX(Productos!$D$5:$D$504,MATCH($C2280,Productos!$A$5:$A$504,0)),""))</f>
        <v/>
      </c>
      <c r="F2280" s="20"/>
      <c r="G2280" s="22" t="str">
        <f>IF($C2280="","",IFERROR(INDEX(Productos!$F$5:$F$504,MATCH($C2280,Productos!$A$5:$A$504,0)),0))</f>
        <v/>
      </c>
      <c r="H2280" s="22" t="str">
        <f t="shared" si="35"/>
        <v/>
      </c>
      <c r="I2280" s="14" t="str">
        <f>IF(OR($C2280="",$F2280=""),"",IFERROR(INDEX(Productos!$I$5:$I$504,MATCH($C2280,Productos!$A$5:$A$504,0)),0)+SUMIFS($F$5:$F2280,$C$5:$C2280,$C2280,$B$5:$B2280,"Entrada")-SUMIFS($F$5:$F2280,$C$5:$C2280,$C2280,$B$5:$B2280,"Salida"))</f>
        <v/>
      </c>
      <c r="J2280" s="20"/>
      <c r="K2280" s="20"/>
      <c r="L2280" s="20"/>
      <c r="M2280" s="14" t="str">
        <f>IF(AND($C2280&lt;&gt;"",$C2280=Kardex!$C$4),COUNTIF($C$5:$C2280,Kardex!$C$4),"")</f>
        <v/>
      </c>
    </row>
    <row r="2281" spans="1:13" x14ac:dyDescent="0.25">
      <c r="A2281" s="24"/>
      <c r="B2281" s="20"/>
      <c r="C2281" s="20"/>
      <c r="D2281" s="14" t="str">
        <f>IF($C2281="","",IFERROR(INDEX(Productos!$B$5:$B$504,MATCH($C2281,Productos!$A$5:$A$504,0)),"Clave no existe"))</f>
        <v/>
      </c>
      <c r="E2281" s="14" t="str">
        <f>IF($C2281="","",IFERROR(INDEX(Productos!$D$5:$D$504,MATCH($C2281,Productos!$A$5:$A$504,0)),""))</f>
        <v/>
      </c>
      <c r="F2281" s="20"/>
      <c r="G2281" s="22" t="str">
        <f>IF($C2281="","",IFERROR(INDEX(Productos!$F$5:$F$504,MATCH($C2281,Productos!$A$5:$A$504,0)),0))</f>
        <v/>
      </c>
      <c r="H2281" s="22" t="str">
        <f t="shared" si="35"/>
        <v/>
      </c>
      <c r="I2281" s="14" t="str">
        <f>IF(OR($C2281="",$F2281=""),"",IFERROR(INDEX(Productos!$I$5:$I$504,MATCH($C2281,Productos!$A$5:$A$504,0)),0)+SUMIFS($F$5:$F2281,$C$5:$C2281,$C2281,$B$5:$B2281,"Entrada")-SUMIFS($F$5:$F2281,$C$5:$C2281,$C2281,$B$5:$B2281,"Salida"))</f>
        <v/>
      </c>
      <c r="J2281" s="20"/>
      <c r="K2281" s="20"/>
      <c r="L2281" s="20"/>
      <c r="M2281" s="14" t="str">
        <f>IF(AND($C2281&lt;&gt;"",$C2281=Kardex!$C$4),COUNTIF($C$5:$C2281,Kardex!$C$4),"")</f>
        <v/>
      </c>
    </row>
    <row r="2282" spans="1:13" x14ac:dyDescent="0.25">
      <c r="A2282" s="24"/>
      <c r="B2282" s="20"/>
      <c r="C2282" s="20"/>
      <c r="D2282" s="14" t="str">
        <f>IF($C2282="","",IFERROR(INDEX(Productos!$B$5:$B$504,MATCH($C2282,Productos!$A$5:$A$504,0)),"Clave no existe"))</f>
        <v/>
      </c>
      <c r="E2282" s="14" t="str">
        <f>IF($C2282="","",IFERROR(INDEX(Productos!$D$5:$D$504,MATCH($C2282,Productos!$A$5:$A$504,0)),""))</f>
        <v/>
      </c>
      <c r="F2282" s="20"/>
      <c r="G2282" s="22" t="str">
        <f>IF($C2282="","",IFERROR(INDEX(Productos!$F$5:$F$504,MATCH($C2282,Productos!$A$5:$A$504,0)),0))</f>
        <v/>
      </c>
      <c r="H2282" s="22" t="str">
        <f t="shared" si="35"/>
        <v/>
      </c>
      <c r="I2282" s="14" t="str">
        <f>IF(OR($C2282="",$F2282=""),"",IFERROR(INDEX(Productos!$I$5:$I$504,MATCH($C2282,Productos!$A$5:$A$504,0)),0)+SUMIFS($F$5:$F2282,$C$5:$C2282,$C2282,$B$5:$B2282,"Entrada")-SUMIFS($F$5:$F2282,$C$5:$C2282,$C2282,$B$5:$B2282,"Salida"))</f>
        <v/>
      </c>
      <c r="J2282" s="20"/>
      <c r="K2282" s="20"/>
      <c r="L2282" s="20"/>
      <c r="M2282" s="14" t="str">
        <f>IF(AND($C2282&lt;&gt;"",$C2282=Kardex!$C$4),COUNTIF($C$5:$C2282,Kardex!$C$4),"")</f>
        <v/>
      </c>
    </row>
    <row r="2283" spans="1:13" x14ac:dyDescent="0.25">
      <c r="A2283" s="24"/>
      <c r="B2283" s="20"/>
      <c r="C2283" s="20"/>
      <c r="D2283" s="14" t="str">
        <f>IF($C2283="","",IFERROR(INDEX(Productos!$B$5:$B$504,MATCH($C2283,Productos!$A$5:$A$504,0)),"Clave no existe"))</f>
        <v/>
      </c>
      <c r="E2283" s="14" t="str">
        <f>IF($C2283="","",IFERROR(INDEX(Productos!$D$5:$D$504,MATCH($C2283,Productos!$A$5:$A$504,0)),""))</f>
        <v/>
      </c>
      <c r="F2283" s="20"/>
      <c r="G2283" s="22" t="str">
        <f>IF($C2283="","",IFERROR(INDEX(Productos!$F$5:$F$504,MATCH($C2283,Productos!$A$5:$A$504,0)),0))</f>
        <v/>
      </c>
      <c r="H2283" s="22" t="str">
        <f t="shared" si="35"/>
        <v/>
      </c>
      <c r="I2283" s="14" t="str">
        <f>IF(OR($C2283="",$F2283=""),"",IFERROR(INDEX(Productos!$I$5:$I$504,MATCH($C2283,Productos!$A$5:$A$504,0)),0)+SUMIFS($F$5:$F2283,$C$5:$C2283,$C2283,$B$5:$B2283,"Entrada")-SUMIFS($F$5:$F2283,$C$5:$C2283,$C2283,$B$5:$B2283,"Salida"))</f>
        <v/>
      </c>
      <c r="J2283" s="20"/>
      <c r="K2283" s="20"/>
      <c r="L2283" s="20"/>
      <c r="M2283" s="14" t="str">
        <f>IF(AND($C2283&lt;&gt;"",$C2283=Kardex!$C$4),COUNTIF($C$5:$C2283,Kardex!$C$4),"")</f>
        <v/>
      </c>
    </row>
    <row r="2284" spans="1:13" x14ac:dyDescent="0.25">
      <c r="A2284" s="24"/>
      <c r="B2284" s="20"/>
      <c r="C2284" s="20"/>
      <c r="D2284" s="14" t="str">
        <f>IF($C2284="","",IFERROR(INDEX(Productos!$B$5:$B$504,MATCH($C2284,Productos!$A$5:$A$504,0)),"Clave no existe"))</f>
        <v/>
      </c>
      <c r="E2284" s="14" t="str">
        <f>IF($C2284="","",IFERROR(INDEX(Productos!$D$5:$D$504,MATCH($C2284,Productos!$A$5:$A$504,0)),""))</f>
        <v/>
      </c>
      <c r="F2284" s="20"/>
      <c r="G2284" s="22" t="str">
        <f>IF($C2284="","",IFERROR(INDEX(Productos!$F$5:$F$504,MATCH($C2284,Productos!$A$5:$A$504,0)),0))</f>
        <v/>
      </c>
      <c r="H2284" s="22" t="str">
        <f t="shared" si="35"/>
        <v/>
      </c>
      <c r="I2284" s="14" t="str">
        <f>IF(OR($C2284="",$F2284=""),"",IFERROR(INDEX(Productos!$I$5:$I$504,MATCH($C2284,Productos!$A$5:$A$504,0)),0)+SUMIFS($F$5:$F2284,$C$5:$C2284,$C2284,$B$5:$B2284,"Entrada")-SUMIFS($F$5:$F2284,$C$5:$C2284,$C2284,$B$5:$B2284,"Salida"))</f>
        <v/>
      </c>
      <c r="J2284" s="20"/>
      <c r="K2284" s="20"/>
      <c r="L2284" s="20"/>
      <c r="M2284" s="14" t="str">
        <f>IF(AND($C2284&lt;&gt;"",$C2284=Kardex!$C$4),COUNTIF($C$5:$C2284,Kardex!$C$4),"")</f>
        <v/>
      </c>
    </row>
    <row r="2285" spans="1:13" x14ac:dyDescent="0.25">
      <c r="A2285" s="24"/>
      <c r="B2285" s="20"/>
      <c r="C2285" s="20"/>
      <c r="D2285" s="14" t="str">
        <f>IF($C2285="","",IFERROR(INDEX(Productos!$B$5:$B$504,MATCH($C2285,Productos!$A$5:$A$504,0)),"Clave no existe"))</f>
        <v/>
      </c>
      <c r="E2285" s="14" t="str">
        <f>IF($C2285="","",IFERROR(INDEX(Productos!$D$5:$D$504,MATCH($C2285,Productos!$A$5:$A$504,0)),""))</f>
        <v/>
      </c>
      <c r="F2285" s="20"/>
      <c r="G2285" s="22" t="str">
        <f>IF($C2285="","",IFERROR(INDEX(Productos!$F$5:$F$504,MATCH($C2285,Productos!$A$5:$A$504,0)),0))</f>
        <v/>
      </c>
      <c r="H2285" s="22" t="str">
        <f t="shared" si="35"/>
        <v/>
      </c>
      <c r="I2285" s="14" t="str">
        <f>IF(OR($C2285="",$F2285=""),"",IFERROR(INDEX(Productos!$I$5:$I$504,MATCH($C2285,Productos!$A$5:$A$504,0)),0)+SUMIFS($F$5:$F2285,$C$5:$C2285,$C2285,$B$5:$B2285,"Entrada")-SUMIFS($F$5:$F2285,$C$5:$C2285,$C2285,$B$5:$B2285,"Salida"))</f>
        <v/>
      </c>
      <c r="J2285" s="20"/>
      <c r="K2285" s="20"/>
      <c r="L2285" s="20"/>
      <c r="M2285" s="14" t="str">
        <f>IF(AND($C2285&lt;&gt;"",$C2285=Kardex!$C$4),COUNTIF($C$5:$C2285,Kardex!$C$4),"")</f>
        <v/>
      </c>
    </row>
    <row r="2286" spans="1:13" x14ac:dyDescent="0.25">
      <c r="A2286" s="24"/>
      <c r="B2286" s="20"/>
      <c r="C2286" s="20"/>
      <c r="D2286" s="14" t="str">
        <f>IF($C2286="","",IFERROR(INDEX(Productos!$B$5:$B$504,MATCH($C2286,Productos!$A$5:$A$504,0)),"Clave no existe"))</f>
        <v/>
      </c>
      <c r="E2286" s="14" t="str">
        <f>IF($C2286="","",IFERROR(INDEX(Productos!$D$5:$D$504,MATCH($C2286,Productos!$A$5:$A$504,0)),""))</f>
        <v/>
      </c>
      <c r="F2286" s="20"/>
      <c r="G2286" s="22" t="str">
        <f>IF($C2286="","",IFERROR(INDEX(Productos!$F$5:$F$504,MATCH($C2286,Productos!$A$5:$A$504,0)),0))</f>
        <v/>
      </c>
      <c r="H2286" s="22" t="str">
        <f t="shared" si="35"/>
        <v/>
      </c>
      <c r="I2286" s="14" t="str">
        <f>IF(OR($C2286="",$F2286=""),"",IFERROR(INDEX(Productos!$I$5:$I$504,MATCH($C2286,Productos!$A$5:$A$504,0)),0)+SUMIFS($F$5:$F2286,$C$5:$C2286,$C2286,$B$5:$B2286,"Entrada")-SUMIFS($F$5:$F2286,$C$5:$C2286,$C2286,$B$5:$B2286,"Salida"))</f>
        <v/>
      </c>
      <c r="J2286" s="20"/>
      <c r="K2286" s="20"/>
      <c r="L2286" s="20"/>
      <c r="M2286" s="14" t="str">
        <f>IF(AND($C2286&lt;&gt;"",$C2286=Kardex!$C$4),COUNTIF($C$5:$C2286,Kardex!$C$4),"")</f>
        <v/>
      </c>
    </row>
    <row r="2287" spans="1:13" x14ac:dyDescent="0.25">
      <c r="A2287" s="24"/>
      <c r="B2287" s="20"/>
      <c r="C2287" s="20"/>
      <c r="D2287" s="14" t="str">
        <f>IF($C2287="","",IFERROR(INDEX(Productos!$B$5:$B$504,MATCH($C2287,Productos!$A$5:$A$504,0)),"Clave no existe"))</f>
        <v/>
      </c>
      <c r="E2287" s="14" t="str">
        <f>IF($C2287="","",IFERROR(INDEX(Productos!$D$5:$D$504,MATCH($C2287,Productos!$A$5:$A$504,0)),""))</f>
        <v/>
      </c>
      <c r="F2287" s="20"/>
      <c r="G2287" s="22" t="str">
        <f>IF($C2287="","",IFERROR(INDEX(Productos!$F$5:$F$504,MATCH($C2287,Productos!$A$5:$A$504,0)),0))</f>
        <v/>
      </c>
      <c r="H2287" s="22" t="str">
        <f t="shared" si="35"/>
        <v/>
      </c>
      <c r="I2287" s="14" t="str">
        <f>IF(OR($C2287="",$F2287=""),"",IFERROR(INDEX(Productos!$I$5:$I$504,MATCH($C2287,Productos!$A$5:$A$504,0)),0)+SUMIFS($F$5:$F2287,$C$5:$C2287,$C2287,$B$5:$B2287,"Entrada")-SUMIFS($F$5:$F2287,$C$5:$C2287,$C2287,$B$5:$B2287,"Salida"))</f>
        <v/>
      </c>
      <c r="J2287" s="20"/>
      <c r="K2287" s="20"/>
      <c r="L2287" s="20"/>
      <c r="M2287" s="14" t="str">
        <f>IF(AND($C2287&lt;&gt;"",$C2287=Kardex!$C$4),COUNTIF($C$5:$C2287,Kardex!$C$4),"")</f>
        <v/>
      </c>
    </row>
    <row r="2288" spans="1:13" x14ac:dyDescent="0.25">
      <c r="A2288" s="24"/>
      <c r="B2288" s="20"/>
      <c r="C2288" s="20"/>
      <c r="D2288" s="14" t="str">
        <f>IF($C2288="","",IFERROR(INDEX(Productos!$B$5:$B$504,MATCH($C2288,Productos!$A$5:$A$504,0)),"Clave no existe"))</f>
        <v/>
      </c>
      <c r="E2288" s="14" t="str">
        <f>IF($C2288="","",IFERROR(INDEX(Productos!$D$5:$D$504,MATCH($C2288,Productos!$A$5:$A$504,0)),""))</f>
        <v/>
      </c>
      <c r="F2288" s="20"/>
      <c r="G2288" s="22" t="str">
        <f>IF($C2288="","",IFERROR(INDEX(Productos!$F$5:$F$504,MATCH($C2288,Productos!$A$5:$A$504,0)),0))</f>
        <v/>
      </c>
      <c r="H2288" s="22" t="str">
        <f t="shared" si="35"/>
        <v/>
      </c>
      <c r="I2288" s="14" t="str">
        <f>IF(OR($C2288="",$F2288=""),"",IFERROR(INDEX(Productos!$I$5:$I$504,MATCH($C2288,Productos!$A$5:$A$504,0)),0)+SUMIFS($F$5:$F2288,$C$5:$C2288,$C2288,$B$5:$B2288,"Entrada")-SUMIFS($F$5:$F2288,$C$5:$C2288,$C2288,$B$5:$B2288,"Salida"))</f>
        <v/>
      </c>
      <c r="J2288" s="20"/>
      <c r="K2288" s="20"/>
      <c r="L2288" s="20"/>
      <c r="M2288" s="14" t="str">
        <f>IF(AND($C2288&lt;&gt;"",$C2288=Kardex!$C$4),COUNTIF($C$5:$C2288,Kardex!$C$4),"")</f>
        <v/>
      </c>
    </row>
    <row r="2289" spans="1:13" x14ac:dyDescent="0.25">
      <c r="A2289" s="24"/>
      <c r="B2289" s="20"/>
      <c r="C2289" s="20"/>
      <c r="D2289" s="14" t="str">
        <f>IF($C2289="","",IFERROR(INDEX(Productos!$B$5:$B$504,MATCH($C2289,Productos!$A$5:$A$504,0)),"Clave no existe"))</f>
        <v/>
      </c>
      <c r="E2289" s="14" t="str">
        <f>IF($C2289="","",IFERROR(INDEX(Productos!$D$5:$D$504,MATCH($C2289,Productos!$A$5:$A$504,0)),""))</f>
        <v/>
      </c>
      <c r="F2289" s="20"/>
      <c r="G2289" s="22" t="str">
        <f>IF($C2289="","",IFERROR(INDEX(Productos!$F$5:$F$504,MATCH($C2289,Productos!$A$5:$A$504,0)),0))</f>
        <v/>
      </c>
      <c r="H2289" s="22" t="str">
        <f t="shared" si="35"/>
        <v/>
      </c>
      <c r="I2289" s="14" t="str">
        <f>IF(OR($C2289="",$F2289=""),"",IFERROR(INDEX(Productos!$I$5:$I$504,MATCH($C2289,Productos!$A$5:$A$504,0)),0)+SUMIFS($F$5:$F2289,$C$5:$C2289,$C2289,$B$5:$B2289,"Entrada")-SUMIFS($F$5:$F2289,$C$5:$C2289,$C2289,$B$5:$B2289,"Salida"))</f>
        <v/>
      </c>
      <c r="J2289" s="20"/>
      <c r="K2289" s="20"/>
      <c r="L2289" s="20"/>
      <c r="M2289" s="14" t="str">
        <f>IF(AND($C2289&lt;&gt;"",$C2289=Kardex!$C$4),COUNTIF($C$5:$C2289,Kardex!$C$4),"")</f>
        <v/>
      </c>
    </row>
    <row r="2290" spans="1:13" x14ac:dyDescent="0.25">
      <c r="A2290" s="24"/>
      <c r="B2290" s="20"/>
      <c r="C2290" s="20"/>
      <c r="D2290" s="14" t="str">
        <f>IF($C2290="","",IFERROR(INDEX(Productos!$B$5:$B$504,MATCH($C2290,Productos!$A$5:$A$504,0)),"Clave no existe"))</f>
        <v/>
      </c>
      <c r="E2290" s="14" t="str">
        <f>IF($C2290="","",IFERROR(INDEX(Productos!$D$5:$D$504,MATCH($C2290,Productos!$A$5:$A$504,0)),""))</f>
        <v/>
      </c>
      <c r="F2290" s="20"/>
      <c r="G2290" s="22" t="str">
        <f>IF($C2290="","",IFERROR(INDEX(Productos!$F$5:$F$504,MATCH($C2290,Productos!$A$5:$A$504,0)),0))</f>
        <v/>
      </c>
      <c r="H2290" s="22" t="str">
        <f t="shared" si="35"/>
        <v/>
      </c>
      <c r="I2290" s="14" t="str">
        <f>IF(OR($C2290="",$F2290=""),"",IFERROR(INDEX(Productos!$I$5:$I$504,MATCH($C2290,Productos!$A$5:$A$504,0)),0)+SUMIFS($F$5:$F2290,$C$5:$C2290,$C2290,$B$5:$B2290,"Entrada")-SUMIFS($F$5:$F2290,$C$5:$C2290,$C2290,$B$5:$B2290,"Salida"))</f>
        <v/>
      </c>
      <c r="J2290" s="20"/>
      <c r="K2290" s="20"/>
      <c r="L2290" s="20"/>
      <c r="M2290" s="14" t="str">
        <f>IF(AND($C2290&lt;&gt;"",$C2290=Kardex!$C$4),COUNTIF($C$5:$C2290,Kardex!$C$4),"")</f>
        <v/>
      </c>
    </row>
    <row r="2291" spans="1:13" x14ac:dyDescent="0.25">
      <c r="A2291" s="24"/>
      <c r="B2291" s="20"/>
      <c r="C2291" s="20"/>
      <c r="D2291" s="14" t="str">
        <f>IF($C2291="","",IFERROR(INDEX(Productos!$B$5:$B$504,MATCH($C2291,Productos!$A$5:$A$504,0)),"Clave no existe"))</f>
        <v/>
      </c>
      <c r="E2291" s="14" t="str">
        <f>IF($C2291="","",IFERROR(INDEX(Productos!$D$5:$D$504,MATCH($C2291,Productos!$A$5:$A$504,0)),""))</f>
        <v/>
      </c>
      <c r="F2291" s="20"/>
      <c r="G2291" s="22" t="str">
        <f>IF($C2291="","",IFERROR(INDEX(Productos!$F$5:$F$504,MATCH($C2291,Productos!$A$5:$A$504,0)),0))</f>
        <v/>
      </c>
      <c r="H2291" s="22" t="str">
        <f t="shared" si="35"/>
        <v/>
      </c>
      <c r="I2291" s="14" t="str">
        <f>IF(OR($C2291="",$F2291=""),"",IFERROR(INDEX(Productos!$I$5:$I$504,MATCH($C2291,Productos!$A$5:$A$504,0)),0)+SUMIFS($F$5:$F2291,$C$5:$C2291,$C2291,$B$5:$B2291,"Entrada")-SUMIFS($F$5:$F2291,$C$5:$C2291,$C2291,$B$5:$B2291,"Salida"))</f>
        <v/>
      </c>
      <c r="J2291" s="20"/>
      <c r="K2291" s="20"/>
      <c r="L2291" s="20"/>
      <c r="M2291" s="14" t="str">
        <f>IF(AND($C2291&lt;&gt;"",$C2291=Kardex!$C$4),COUNTIF($C$5:$C2291,Kardex!$C$4),"")</f>
        <v/>
      </c>
    </row>
    <row r="2292" spans="1:13" x14ac:dyDescent="0.25">
      <c r="A2292" s="24"/>
      <c r="B2292" s="20"/>
      <c r="C2292" s="20"/>
      <c r="D2292" s="14" t="str">
        <f>IF($C2292="","",IFERROR(INDEX(Productos!$B$5:$B$504,MATCH($C2292,Productos!$A$5:$A$504,0)),"Clave no existe"))</f>
        <v/>
      </c>
      <c r="E2292" s="14" t="str">
        <f>IF($C2292="","",IFERROR(INDEX(Productos!$D$5:$D$504,MATCH($C2292,Productos!$A$5:$A$504,0)),""))</f>
        <v/>
      </c>
      <c r="F2292" s="20"/>
      <c r="G2292" s="22" t="str">
        <f>IF($C2292="","",IFERROR(INDEX(Productos!$F$5:$F$504,MATCH($C2292,Productos!$A$5:$A$504,0)),0))</f>
        <v/>
      </c>
      <c r="H2292" s="22" t="str">
        <f t="shared" si="35"/>
        <v/>
      </c>
      <c r="I2292" s="14" t="str">
        <f>IF(OR($C2292="",$F2292=""),"",IFERROR(INDEX(Productos!$I$5:$I$504,MATCH($C2292,Productos!$A$5:$A$504,0)),0)+SUMIFS($F$5:$F2292,$C$5:$C2292,$C2292,$B$5:$B2292,"Entrada")-SUMIFS($F$5:$F2292,$C$5:$C2292,$C2292,$B$5:$B2292,"Salida"))</f>
        <v/>
      </c>
      <c r="J2292" s="20"/>
      <c r="K2292" s="20"/>
      <c r="L2292" s="20"/>
      <c r="M2292" s="14" t="str">
        <f>IF(AND($C2292&lt;&gt;"",$C2292=Kardex!$C$4),COUNTIF($C$5:$C2292,Kardex!$C$4),"")</f>
        <v/>
      </c>
    </row>
    <row r="2293" spans="1:13" x14ac:dyDescent="0.25">
      <c r="A2293" s="24"/>
      <c r="B2293" s="20"/>
      <c r="C2293" s="20"/>
      <c r="D2293" s="14" t="str">
        <f>IF($C2293="","",IFERROR(INDEX(Productos!$B$5:$B$504,MATCH($C2293,Productos!$A$5:$A$504,0)),"Clave no existe"))</f>
        <v/>
      </c>
      <c r="E2293" s="14" t="str">
        <f>IF($C2293="","",IFERROR(INDEX(Productos!$D$5:$D$504,MATCH($C2293,Productos!$A$5:$A$504,0)),""))</f>
        <v/>
      </c>
      <c r="F2293" s="20"/>
      <c r="G2293" s="22" t="str">
        <f>IF($C2293="","",IFERROR(INDEX(Productos!$F$5:$F$504,MATCH($C2293,Productos!$A$5:$A$504,0)),0))</f>
        <v/>
      </c>
      <c r="H2293" s="22" t="str">
        <f t="shared" si="35"/>
        <v/>
      </c>
      <c r="I2293" s="14" t="str">
        <f>IF(OR($C2293="",$F2293=""),"",IFERROR(INDEX(Productos!$I$5:$I$504,MATCH($C2293,Productos!$A$5:$A$504,0)),0)+SUMIFS($F$5:$F2293,$C$5:$C2293,$C2293,$B$5:$B2293,"Entrada")-SUMIFS($F$5:$F2293,$C$5:$C2293,$C2293,$B$5:$B2293,"Salida"))</f>
        <v/>
      </c>
      <c r="J2293" s="20"/>
      <c r="K2293" s="20"/>
      <c r="L2293" s="20"/>
      <c r="M2293" s="14" t="str">
        <f>IF(AND($C2293&lt;&gt;"",$C2293=Kardex!$C$4),COUNTIF($C$5:$C2293,Kardex!$C$4),"")</f>
        <v/>
      </c>
    </row>
    <row r="2294" spans="1:13" x14ac:dyDescent="0.25">
      <c r="A2294" s="24"/>
      <c r="B2294" s="20"/>
      <c r="C2294" s="20"/>
      <c r="D2294" s="14" t="str">
        <f>IF($C2294="","",IFERROR(INDEX(Productos!$B$5:$B$504,MATCH($C2294,Productos!$A$5:$A$504,0)),"Clave no existe"))</f>
        <v/>
      </c>
      <c r="E2294" s="14" t="str">
        <f>IF($C2294="","",IFERROR(INDEX(Productos!$D$5:$D$504,MATCH($C2294,Productos!$A$5:$A$504,0)),""))</f>
        <v/>
      </c>
      <c r="F2294" s="20"/>
      <c r="G2294" s="22" t="str">
        <f>IF($C2294="","",IFERROR(INDEX(Productos!$F$5:$F$504,MATCH($C2294,Productos!$A$5:$A$504,0)),0))</f>
        <v/>
      </c>
      <c r="H2294" s="22" t="str">
        <f t="shared" si="35"/>
        <v/>
      </c>
      <c r="I2294" s="14" t="str">
        <f>IF(OR($C2294="",$F2294=""),"",IFERROR(INDEX(Productos!$I$5:$I$504,MATCH($C2294,Productos!$A$5:$A$504,0)),0)+SUMIFS($F$5:$F2294,$C$5:$C2294,$C2294,$B$5:$B2294,"Entrada")-SUMIFS($F$5:$F2294,$C$5:$C2294,$C2294,$B$5:$B2294,"Salida"))</f>
        <v/>
      </c>
      <c r="J2294" s="20"/>
      <c r="K2294" s="20"/>
      <c r="L2294" s="20"/>
      <c r="M2294" s="14" t="str">
        <f>IF(AND($C2294&lt;&gt;"",$C2294=Kardex!$C$4),COUNTIF($C$5:$C2294,Kardex!$C$4),"")</f>
        <v/>
      </c>
    </row>
    <row r="2295" spans="1:13" x14ac:dyDescent="0.25">
      <c r="A2295" s="24"/>
      <c r="B2295" s="20"/>
      <c r="C2295" s="20"/>
      <c r="D2295" s="14" t="str">
        <f>IF($C2295="","",IFERROR(INDEX(Productos!$B$5:$B$504,MATCH($C2295,Productos!$A$5:$A$504,0)),"Clave no existe"))</f>
        <v/>
      </c>
      <c r="E2295" s="14" t="str">
        <f>IF($C2295="","",IFERROR(INDEX(Productos!$D$5:$D$504,MATCH($C2295,Productos!$A$5:$A$504,0)),""))</f>
        <v/>
      </c>
      <c r="F2295" s="20"/>
      <c r="G2295" s="22" t="str">
        <f>IF($C2295="","",IFERROR(INDEX(Productos!$F$5:$F$504,MATCH($C2295,Productos!$A$5:$A$504,0)),0))</f>
        <v/>
      </c>
      <c r="H2295" s="22" t="str">
        <f t="shared" si="35"/>
        <v/>
      </c>
      <c r="I2295" s="14" t="str">
        <f>IF(OR($C2295="",$F2295=""),"",IFERROR(INDEX(Productos!$I$5:$I$504,MATCH($C2295,Productos!$A$5:$A$504,0)),0)+SUMIFS($F$5:$F2295,$C$5:$C2295,$C2295,$B$5:$B2295,"Entrada")-SUMIFS($F$5:$F2295,$C$5:$C2295,$C2295,$B$5:$B2295,"Salida"))</f>
        <v/>
      </c>
      <c r="J2295" s="20"/>
      <c r="K2295" s="20"/>
      <c r="L2295" s="20"/>
      <c r="M2295" s="14" t="str">
        <f>IF(AND($C2295&lt;&gt;"",$C2295=Kardex!$C$4),COUNTIF($C$5:$C2295,Kardex!$C$4),"")</f>
        <v/>
      </c>
    </row>
    <row r="2296" spans="1:13" x14ac:dyDescent="0.25">
      <c r="A2296" s="24"/>
      <c r="B2296" s="20"/>
      <c r="C2296" s="20"/>
      <c r="D2296" s="14" t="str">
        <f>IF($C2296="","",IFERROR(INDEX(Productos!$B$5:$B$504,MATCH($C2296,Productos!$A$5:$A$504,0)),"Clave no existe"))</f>
        <v/>
      </c>
      <c r="E2296" s="14" t="str">
        <f>IF($C2296="","",IFERROR(INDEX(Productos!$D$5:$D$504,MATCH($C2296,Productos!$A$5:$A$504,0)),""))</f>
        <v/>
      </c>
      <c r="F2296" s="20"/>
      <c r="G2296" s="22" t="str">
        <f>IF($C2296="","",IFERROR(INDEX(Productos!$F$5:$F$504,MATCH($C2296,Productos!$A$5:$A$504,0)),0))</f>
        <v/>
      </c>
      <c r="H2296" s="22" t="str">
        <f t="shared" si="35"/>
        <v/>
      </c>
      <c r="I2296" s="14" t="str">
        <f>IF(OR($C2296="",$F2296=""),"",IFERROR(INDEX(Productos!$I$5:$I$504,MATCH($C2296,Productos!$A$5:$A$504,0)),0)+SUMIFS($F$5:$F2296,$C$5:$C2296,$C2296,$B$5:$B2296,"Entrada")-SUMIFS($F$5:$F2296,$C$5:$C2296,$C2296,$B$5:$B2296,"Salida"))</f>
        <v/>
      </c>
      <c r="J2296" s="20"/>
      <c r="K2296" s="20"/>
      <c r="L2296" s="20"/>
      <c r="M2296" s="14" t="str">
        <f>IF(AND($C2296&lt;&gt;"",$C2296=Kardex!$C$4),COUNTIF($C$5:$C2296,Kardex!$C$4),"")</f>
        <v/>
      </c>
    </row>
    <row r="2297" spans="1:13" x14ac:dyDescent="0.25">
      <c r="A2297" s="24"/>
      <c r="B2297" s="20"/>
      <c r="C2297" s="20"/>
      <c r="D2297" s="14" t="str">
        <f>IF($C2297="","",IFERROR(INDEX(Productos!$B$5:$B$504,MATCH($C2297,Productos!$A$5:$A$504,0)),"Clave no existe"))</f>
        <v/>
      </c>
      <c r="E2297" s="14" t="str">
        <f>IF($C2297="","",IFERROR(INDEX(Productos!$D$5:$D$504,MATCH($C2297,Productos!$A$5:$A$504,0)),""))</f>
        <v/>
      </c>
      <c r="F2297" s="20"/>
      <c r="G2297" s="22" t="str">
        <f>IF($C2297="","",IFERROR(INDEX(Productos!$F$5:$F$504,MATCH($C2297,Productos!$A$5:$A$504,0)),0))</f>
        <v/>
      </c>
      <c r="H2297" s="22" t="str">
        <f t="shared" si="35"/>
        <v/>
      </c>
      <c r="I2297" s="14" t="str">
        <f>IF(OR($C2297="",$F2297=""),"",IFERROR(INDEX(Productos!$I$5:$I$504,MATCH($C2297,Productos!$A$5:$A$504,0)),0)+SUMIFS($F$5:$F2297,$C$5:$C2297,$C2297,$B$5:$B2297,"Entrada")-SUMIFS($F$5:$F2297,$C$5:$C2297,$C2297,$B$5:$B2297,"Salida"))</f>
        <v/>
      </c>
      <c r="J2297" s="20"/>
      <c r="K2297" s="20"/>
      <c r="L2297" s="20"/>
      <c r="M2297" s="14" t="str">
        <f>IF(AND($C2297&lt;&gt;"",$C2297=Kardex!$C$4),COUNTIF($C$5:$C2297,Kardex!$C$4),"")</f>
        <v/>
      </c>
    </row>
    <row r="2298" spans="1:13" x14ac:dyDescent="0.25">
      <c r="A2298" s="24"/>
      <c r="B2298" s="20"/>
      <c r="C2298" s="20"/>
      <c r="D2298" s="14" t="str">
        <f>IF($C2298="","",IFERROR(INDEX(Productos!$B$5:$B$504,MATCH($C2298,Productos!$A$5:$A$504,0)),"Clave no existe"))</f>
        <v/>
      </c>
      <c r="E2298" s="14" t="str">
        <f>IF($C2298="","",IFERROR(INDEX(Productos!$D$5:$D$504,MATCH($C2298,Productos!$A$5:$A$504,0)),""))</f>
        <v/>
      </c>
      <c r="F2298" s="20"/>
      <c r="G2298" s="22" t="str">
        <f>IF($C2298="","",IFERROR(INDEX(Productos!$F$5:$F$504,MATCH($C2298,Productos!$A$5:$A$504,0)),0))</f>
        <v/>
      </c>
      <c r="H2298" s="22" t="str">
        <f t="shared" si="35"/>
        <v/>
      </c>
      <c r="I2298" s="14" t="str">
        <f>IF(OR($C2298="",$F2298=""),"",IFERROR(INDEX(Productos!$I$5:$I$504,MATCH($C2298,Productos!$A$5:$A$504,0)),0)+SUMIFS($F$5:$F2298,$C$5:$C2298,$C2298,$B$5:$B2298,"Entrada")-SUMIFS($F$5:$F2298,$C$5:$C2298,$C2298,$B$5:$B2298,"Salida"))</f>
        <v/>
      </c>
      <c r="J2298" s="20"/>
      <c r="K2298" s="20"/>
      <c r="L2298" s="20"/>
      <c r="M2298" s="14" t="str">
        <f>IF(AND($C2298&lt;&gt;"",$C2298=Kardex!$C$4),COUNTIF($C$5:$C2298,Kardex!$C$4),"")</f>
        <v/>
      </c>
    </row>
    <row r="2299" spans="1:13" x14ac:dyDescent="0.25">
      <c r="A2299" s="24"/>
      <c r="B2299" s="20"/>
      <c r="C2299" s="20"/>
      <c r="D2299" s="14" t="str">
        <f>IF($C2299="","",IFERROR(INDEX(Productos!$B$5:$B$504,MATCH($C2299,Productos!$A$5:$A$504,0)),"Clave no existe"))</f>
        <v/>
      </c>
      <c r="E2299" s="14" t="str">
        <f>IF($C2299="","",IFERROR(INDEX(Productos!$D$5:$D$504,MATCH($C2299,Productos!$A$5:$A$504,0)),""))</f>
        <v/>
      </c>
      <c r="F2299" s="20"/>
      <c r="G2299" s="22" t="str">
        <f>IF($C2299="","",IFERROR(INDEX(Productos!$F$5:$F$504,MATCH($C2299,Productos!$A$5:$A$504,0)),0))</f>
        <v/>
      </c>
      <c r="H2299" s="22" t="str">
        <f t="shared" si="35"/>
        <v/>
      </c>
      <c r="I2299" s="14" t="str">
        <f>IF(OR($C2299="",$F2299=""),"",IFERROR(INDEX(Productos!$I$5:$I$504,MATCH($C2299,Productos!$A$5:$A$504,0)),0)+SUMIFS($F$5:$F2299,$C$5:$C2299,$C2299,$B$5:$B2299,"Entrada")-SUMIFS($F$5:$F2299,$C$5:$C2299,$C2299,$B$5:$B2299,"Salida"))</f>
        <v/>
      </c>
      <c r="J2299" s="20"/>
      <c r="K2299" s="20"/>
      <c r="L2299" s="20"/>
      <c r="M2299" s="14" t="str">
        <f>IF(AND($C2299&lt;&gt;"",$C2299=Kardex!$C$4),COUNTIF($C$5:$C2299,Kardex!$C$4),"")</f>
        <v/>
      </c>
    </row>
    <row r="2300" spans="1:13" x14ac:dyDescent="0.25">
      <c r="A2300" s="24"/>
      <c r="B2300" s="20"/>
      <c r="C2300" s="20"/>
      <c r="D2300" s="14" t="str">
        <f>IF($C2300="","",IFERROR(INDEX(Productos!$B$5:$B$504,MATCH($C2300,Productos!$A$5:$A$504,0)),"Clave no existe"))</f>
        <v/>
      </c>
      <c r="E2300" s="14" t="str">
        <f>IF($C2300="","",IFERROR(INDEX(Productos!$D$5:$D$504,MATCH($C2300,Productos!$A$5:$A$504,0)),""))</f>
        <v/>
      </c>
      <c r="F2300" s="20"/>
      <c r="G2300" s="22" t="str">
        <f>IF($C2300="","",IFERROR(INDEX(Productos!$F$5:$F$504,MATCH($C2300,Productos!$A$5:$A$504,0)),0))</f>
        <v/>
      </c>
      <c r="H2300" s="22" t="str">
        <f t="shared" si="35"/>
        <v/>
      </c>
      <c r="I2300" s="14" t="str">
        <f>IF(OR($C2300="",$F2300=""),"",IFERROR(INDEX(Productos!$I$5:$I$504,MATCH($C2300,Productos!$A$5:$A$504,0)),0)+SUMIFS($F$5:$F2300,$C$5:$C2300,$C2300,$B$5:$B2300,"Entrada")-SUMIFS($F$5:$F2300,$C$5:$C2300,$C2300,$B$5:$B2300,"Salida"))</f>
        <v/>
      </c>
      <c r="J2300" s="20"/>
      <c r="K2300" s="20"/>
      <c r="L2300" s="20"/>
      <c r="M2300" s="14" t="str">
        <f>IF(AND($C2300&lt;&gt;"",$C2300=Kardex!$C$4),COUNTIF($C$5:$C2300,Kardex!$C$4),"")</f>
        <v/>
      </c>
    </row>
    <row r="2301" spans="1:13" x14ac:dyDescent="0.25">
      <c r="A2301" s="24"/>
      <c r="B2301" s="20"/>
      <c r="C2301" s="20"/>
      <c r="D2301" s="14" t="str">
        <f>IF($C2301="","",IFERROR(INDEX(Productos!$B$5:$B$504,MATCH($C2301,Productos!$A$5:$A$504,0)),"Clave no existe"))</f>
        <v/>
      </c>
      <c r="E2301" s="14" t="str">
        <f>IF($C2301="","",IFERROR(INDEX(Productos!$D$5:$D$504,MATCH($C2301,Productos!$A$5:$A$504,0)),""))</f>
        <v/>
      </c>
      <c r="F2301" s="20"/>
      <c r="G2301" s="22" t="str">
        <f>IF($C2301="","",IFERROR(INDEX(Productos!$F$5:$F$504,MATCH($C2301,Productos!$A$5:$A$504,0)),0))</f>
        <v/>
      </c>
      <c r="H2301" s="22" t="str">
        <f t="shared" si="35"/>
        <v/>
      </c>
      <c r="I2301" s="14" t="str">
        <f>IF(OR($C2301="",$F2301=""),"",IFERROR(INDEX(Productos!$I$5:$I$504,MATCH($C2301,Productos!$A$5:$A$504,0)),0)+SUMIFS($F$5:$F2301,$C$5:$C2301,$C2301,$B$5:$B2301,"Entrada")-SUMIFS($F$5:$F2301,$C$5:$C2301,$C2301,$B$5:$B2301,"Salida"))</f>
        <v/>
      </c>
      <c r="J2301" s="20"/>
      <c r="K2301" s="20"/>
      <c r="L2301" s="20"/>
      <c r="M2301" s="14" t="str">
        <f>IF(AND($C2301&lt;&gt;"",$C2301=Kardex!$C$4),COUNTIF($C$5:$C2301,Kardex!$C$4),"")</f>
        <v/>
      </c>
    </row>
    <row r="2302" spans="1:13" x14ac:dyDescent="0.25">
      <c r="A2302" s="24"/>
      <c r="B2302" s="20"/>
      <c r="C2302" s="20"/>
      <c r="D2302" s="14" t="str">
        <f>IF($C2302="","",IFERROR(INDEX(Productos!$B$5:$B$504,MATCH($C2302,Productos!$A$5:$A$504,0)),"Clave no existe"))</f>
        <v/>
      </c>
      <c r="E2302" s="14" t="str">
        <f>IF($C2302="","",IFERROR(INDEX(Productos!$D$5:$D$504,MATCH($C2302,Productos!$A$5:$A$504,0)),""))</f>
        <v/>
      </c>
      <c r="F2302" s="20"/>
      <c r="G2302" s="22" t="str">
        <f>IF($C2302="","",IFERROR(INDEX(Productos!$F$5:$F$504,MATCH($C2302,Productos!$A$5:$A$504,0)),0))</f>
        <v/>
      </c>
      <c r="H2302" s="22" t="str">
        <f t="shared" si="35"/>
        <v/>
      </c>
      <c r="I2302" s="14" t="str">
        <f>IF(OR($C2302="",$F2302=""),"",IFERROR(INDEX(Productos!$I$5:$I$504,MATCH($C2302,Productos!$A$5:$A$504,0)),0)+SUMIFS($F$5:$F2302,$C$5:$C2302,$C2302,$B$5:$B2302,"Entrada")-SUMIFS($F$5:$F2302,$C$5:$C2302,$C2302,$B$5:$B2302,"Salida"))</f>
        <v/>
      </c>
      <c r="J2302" s="20"/>
      <c r="K2302" s="20"/>
      <c r="L2302" s="20"/>
      <c r="M2302" s="14" t="str">
        <f>IF(AND($C2302&lt;&gt;"",$C2302=Kardex!$C$4),COUNTIF($C$5:$C2302,Kardex!$C$4),"")</f>
        <v/>
      </c>
    </row>
    <row r="2303" spans="1:13" x14ac:dyDescent="0.25">
      <c r="A2303" s="24"/>
      <c r="B2303" s="20"/>
      <c r="C2303" s="20"/>
      <c r="D2303" s="14" t="str">
        <f>IF($C2303="","",IFERROR(INDEX(Productos!$B$5:$B$504,MATCH($C2303,Productos!$A$5:$A$504,0)),"Clave no existe"))</f>
        <v/>
      </c>
      <c r="E2303" s="14" t="str">
        <f>IF($C2303="","",IFERROR(INDEX(Productos!$D$5:$D$504,MATCH($C2303,Productos!$A$5:$A$504,0)),""))</f>
        <v/>
      </c>
      <c r="F2303" s="20"/>
      <c r="G2303" s="22" t="str">
        <f>IF($C2303="","",IFERROR(INDEX(Productos!$F$5:$F$504,MATCH($C2303,Productos!$A$5:$A$504,0)),0))</f>
        <v/>
      </c>
      <c r="H2303" s="22" t="str">
        <f t="shared" si="35"/>
        <v/>
      </c>
      <c r="I2303" s="14" t="str">
        <f>IF(OR($C2303="",$F2303=""),"",IFERROR(INDEX(Productos!$I$5:$I$504,MATCH($C2303,Productos!$A$5:$A$504,0)),0)+SUMIFS($F$5:$F2303,$C$5:$C2303,$C2303,$B$5:$B2303,"Entrada")-SUMIFS($F$5:$F2303,$C$5:$C2303,$C2303,$B$5:$B2303,"Salida"))</f>
        <v/>
      </c>
      <c r="J2303" s="20"/>
      <c r="K2303" s="20"/>
      <c r="L2303" s="20"/>
      <c r="M2303" s="14" t="str">
        <f>IF(AND($C2303&lt;&gt;"",$C2303=Kardex!$C$4),COUNTIF($C$5:$C2303,Kardex!$C$4),"")</f>
        <v/>
      </c>
    </row>
    <row r="2304" spans="1:13" x14ac:dyDescent="0.25">
      <c r="A2304" s="24"/>
      <c r="B2304" s="20"/>
      <c r="C2304" s="20"/>
      <c r="D2304" s="14" t="str">
        <f>IF($C2304="","",IFERROR(INDEX(Productos!$B$5:$B$504,MATCH($C2304,Productos!$A$5:$A$504,0)),"Clave no existe"))</f>
        <v/>
      </c>
      <c r="E2304" s="14" t="str">
        <f>IF($C2304="","",IFERROR(INDEX(Productos!$D$5:$D$504,MATCH($C2304,Productos!$A$5:$A$504,0)),""))</f>
        <v/>
      </c>
      <c r="F2304" s="20"/>
      <c r="G2304" s="22" t="str">
        <f>IF($C2304="","",IFERROR(INDEX(Productos!$F$5:$F$504,MATCH($C2304,Productos!$A$5:$A$504,0)),0))</f>
        <v/>
      </c>
      <c r="H2304" s="22" t="str">
        <f t="shared" si="35"/>
        <v/>
      </c>
      <c r="I2304" s="14" t="str">
        <f>IF(OR($C2304="",$F2304=""),"",IFERROR(INDEX(Productos!$I$5:$I$504,MATCH($C2304,Productos!$A$5:$A$504,0)),0)+SUMIFS($F$5:$F2304,$C$5:$C2304,$C2304,$B$5:$B2304,"Entrada")-SUMIFS($F$5:$F2304,$C$5:$C2304,$C2304,$B$5:$B2304,"Salida"))</f>
        <v/>
      </c>
      <c r="J2304" s="20"/>
      <c r="K2304" s="20"/>
      <c r="L2304" s="20"/>
      <c r="M2304" s="14" t="str">
        <f>IF(AND($C2304&lt;&gt;"",$C2304=Kardex!$C$4),COUNTIF($C$5:$C2304,Kardex!$C$4),"")</f>
        <v/>
      </c>
    </row>
    <row r="2305" spans="1:13" x14ac:dyDescent="0.25">
      <c r="A2305" s="24"/>
      <c r="B2305" s="20"/>
      <c r="C2305" s="20"/>
      <c r="D2305" s="14" t="str">
        <f>IF($C2305="","",IFERROR(INDEX(Productos!$B$5:$B$504,MATCH($C2305,Productos!$A$5:$A$504,0)),"Clave no existe"))</f>
        <v/>
      </c>
      <c r="E2305" s="14" t="str">
        <f>IF($C2305="","",IFERROR(INDEX(Productos!$D$5:$D$504,MATCH($C2305,Productos!$A$5:$A$504,0)),""))</f>
        <v/>
      </c>
      <c r="F2305" s="20"/>
      <c r="G2305" s="22" t="str">
        <f>IF($C2305="","",IFERROR(INDEX(Productos!$F$5:$F$504,MATCH($C2305,Productos!$A$5:$A$504,0)),0))</f>
        <v/>
      </c>
      <c r="H2305" s="22" t="str">
        <f t="shared" si="35"/>
        <v/>
      </c>
      <c r="I2305" s="14" t="str">
        <f>IF(OR($C2305="",$F2305=""),"",IFERROR(INDEX(Productos!$I$5:$I$504,MATCH($C2305,Productos!$A$5:$A$504,0)),0)+SUMIFS($F$5:$F2305,$C$5:$C2305,$C2305,$B$5:$B2305,"Entrada")-SUMIFS($F$5:$F2305,$C$5:$C2305,$C2305,$B$5:$B2305,"Salida"))</f>
        <v/>
      </c>
      <c r="J2305" s="20"/>
      <c r="K2305" s="20"/>
      <c r="L2305" s="20"/>
      <c r="M2305" s="14" t="str">
        <f>IF(AND($C2305&lt;&gt;"",$C2305=Kardex!$C$4),COUNTIF($C$5:$C2305,Kardex!$C$4),"")</f>
        <v/>
      </c>
    </row>
    <row r="2306" spans="1:13" x14ac:dyDescent="0.25">
      <c r="A2306" s="24"/>
      <c r="B2306" s="20"/>
      <c r="C2306" s="20"/>
      <c r="D2306" s="14" t="str">
        <f>IF($C2306="","",IFERROR(INDEX(Productos!$B$5:$B$504,MATCH($C2306,Productos!$A$5:$A$504,0)),"Clave no existe"))</f>
        <v/>
      </c>
      <c r="E2306" s="14" t="str">
        <f>IF($C2306="","",IFERROR(INDEX(Productos!$D$5:$D$504,MATCH($C2306,Productos!$A$5:$A$504,0)),""))</f>
        <v/>
      </c>
      <c r="F2306" s="20"/>
      <c r="G2306" s="22" t="str">
        <f>IF($C2306="","",IFERROR(INDEX(Productos!$F$5:$F$504,MATCH($C2306,Productos!$A$5:$A$504,0)),0))</f>
        <v/>
      </c>
      <c r="H2306" s="22" t="str">
        <f t="shared" si="35"/>
        <v/>
      </c>
      <c r="I2306" s="14" t="str">
        <f>IF(OR($C2306="",$F2306=""),"",IFERROR(INDEX(Productos!$I$5:$I$504,MATCH($C2306,Productos!$A$5:$A$504,0)),0)+SUMIFS($F$5:$F2306,$C$5:$C2306,$C2306,$B$5:$B2306,"Entrada")-SUMIFS($F$5:$F2306,$C$5:$C2306,$C2306,$B$5:$B2306,"Salida"))</f>
        <v/>
      </c>
      <c r="J2306" s="20"/>
      <c r="K2306" s="20"/>
      <c r="L2306" s="20"/>
      <c r="M2306" s="14" t="str">
        <f>IF(AND($C2306&lt;&gt;"",$C2306=Kardex!$C$4),COUNTIF($C$5:$C2306,Kardex!$C$4),"")</f>
        <v/>
      </c>
    </row>
    <row r="2307" spans="1:13" x14ac:dyDescent="0.25">
      <c r="A2307" s="24"/>
      <c r="B2307" s="20"/>
      <c r="C2307" s="20"/>
      <c r="D2307" s="14" t="str">
        <f>IF($C2307="","",IFERROR(INDEX(Productos!$B$5:$B$504,MATCH($C2307,Productos!$A$5:$A$504,0)),"Clave no existe"))</f>
        <v/>
      </c>
      <c r="E2307" s="14" t="str">
        <f>IF($C2307="","",IFERROR(INDEX(Productos!$D$5:$D$504,MATCH($C2307,Productos!$A$5:$A$504,0)),""))</f>
        <v/>
      </c>
      <c r="F2307" s="20"/>
      <c r="G2307" s="22" t="str">
        <f>IF($C2307="","",IFERROR(INDEX(Productos!$F$5:$F$504,MATCH($C2307,Productos!$A$5:$A$504,0)),0))</f>
        <v/>
      </c>
      <c r="H2307" s="22" t="str">
        <f t="shared" si="35"/>
        <v/>
      </c>
      <c r="I2307" s="14" t="str">
        <f>IF(OR($C2307="",$F2307=""),"",IFERROR(INDEX(Productos!$I$5:$I$504,MATCH($C2307,Productos!$A$5:$A$504,0)),0)+SUMIFS($F$5:$F2307,$C$5:$C2307,$C2307,$B$5:$B2307,"Entrada")-SUMIFS($F$5:$F2307,$C$5:$C2307,$C2307,$B$5:$B2307,"Salida"))</f>
        <v/>
      </c>
      <c r="J2307" s="20"/>
      <c r="K2307" s="20"/>
      <c r="L2307" s="20"/>
      <c r="M2307" s="14" t="str">
        <f>IF(AND($C2307&lt;&gt;"",$C2307=Kardex!$C$4),COUNTIF($C$5:$C2307,Kardex!$C$4),"")</f>
        <v/>
      </c>
    </row>
    <row r="2308" spans="1:13" x14ac:dyDescent="0.25">
      <c r="A2308" s="24"/>
      <c r="B2308" s="20"/>
      <c r="C2308" s="20"/>
      <c r="D2308" s="14" t="str">
        <f>IF($C2308="","",IFERROR(INDEX(Productos!$B$5:$B$504,MATCH($C2308,Productos!$A$5:$A$504,0)),"Clave no existe"))</f>
        <v/>
      </c>
      <c r="E2308" s="14" t="str">
        <f>IF($C2308="","",IFERROR(INDEX(Productos!$D$5:$D$504,MATCH($C2308,Productos!$A$5:$A$504,0)),""))</f>
        <v/>
      </c>
      <c r="F2308" s="20"/>
      <c r="G2308" s="22" t="str">
        <f>IF($C2308="","",IFERROR(INDEX(Productos!$F$5:$F$504,MATCH($C2308,Productos!$A$5:$A$504,0)),0))</f>
        <v/>
      </c>
      <c r="H2308" s="22" t="str">
        <f t="shared" si="35"/>
        <v/>
      </c>
      <c r="I2308" s="14" t="str">
        <f>IF(OR($C2308="",$F2308=""),"",IFERROR(INDEX(Productos!$I$5:$I$504,MATCH($C2308,Productos!$A$5:$A$504,0)),0)+SUMIFS($F$5:$F2308,$C$5:$C2308,$C2308,$B$5:$B2308,"Entrada")-SUMIFS($F$5:$F2308,$C$5:$C2308,$C2308,$B$5:$B2308,"Salida"))</f>
        <v/>
      </c>
      <c r="J2308" s="20"/>
      <c r="K2308" s="20"/>
      <c r="L2308" s="20"/>
      <c r="M2308" s="14" t="str">
        <f>IF(AND($C2308&lt;&gt;"",$C2308=Kardex!$C$4),COUNTIF($C$5:$C2308,Kardex!$C$4),"")</f>
        <v/>
      </c>
    </row>
    <row r="2309" spans="1:13" x14ac:dyDescent="0.25">
      <c r="A2309" s="24"/>
      <c r="B2309" s="20"/>
      <c r="C2309" s="20"/>
      <c r="D2309" s="14" t="str">
        <f>IF($C2309="","",IFERROR(INDEX(Productos!$B$5:$B$504,MATCH($C2309,Productos!$A$5:$A$504,0)),"Clave no existe"))</f>
        <v/>
      </c>
      <c r="E2309" s="14" t="str">
        <f>IF($C2309="","",IFERROR(INDEX(Productos!$D$5:$D$504,MATCH($C2309,Productos!$A$5:$A$504,0)),""))</f>
        <v/>
      </c>
      <c r="F2309" s="20"/>
      <c r="G2309" s="22" t="str">
        <f>IF($C2309="","",IFERROR(INDEX(Productos!$F$5:$F$504,MATCH($C2309,Productos!$A$5:$A$504,0)),0))</f>
        <v/>
      </c>
      <c r="H2309" s="22" t="str">
        <f t="shared" ref="H2309:H2372" si="36">IF(OR($C2309="",$F2309=""),"",F2309*G2309)</f>
        <v/>
      </c>
      <c r="I2309" s="14" t="str">
        <f>IF(OR($C2309="",$F2309=""),"",IFERROR(INDEX(Productos!$I$5:$I$504,MATCH($C2309,Productos!$A$5:$A$504,0)),0)+SUMIFS($F$5:$F2309,$C$5:$C2309,$C2309,$B$5:$B2309,"Entrada")-SUMIFS($F$5:$F2309,$C$5:$C2309,$C2309,$B$5:$B2309,"Salida"))</f>
        <v/>
      </c>
      <c r="J2309" s="20"/>
      <c r="K2309" s="20"/>
      <c r="L2309" s="20"/>
      <c r="M2309" s="14" t="str">
        <f>IF(AND($C2309&lt;&gt;"",$C2309=Kardex!$C$4),COUNTIF($C$5:$C2309,Kardex!$C$4),"")</f>
        <v/>
      </c>
    </row>
    <row r="2310" spans="1:13" x14ac:dyDescent="0.25">
      <c r="A2310" s="24"/>
      <c r="B2310" s="20"/>
      <c r="C2310" s="20"/>
      <c r="D2310" s="14" t="str">
        <f>IF($C2310="","",IFERROR(INDEX(Productos!$B$5:$B$504,MATCH($C2310,Productos!$A$5:$A$504,0)),"Clave no existe"))</f>
        <v/>
      </c>
      <c r="E2310" s="14" t="str">
        <f>IF($C2310="","",IFERROR(INDEX(Productos!$D$5:$D$504,MATCH($C2310,Productos!$A$5:$A$504,0)),""))</f>
        <v/>
      </c>
      <c r="F2310" s="20"/>
      <c r="G2310" s="22" t="str">
        <f>IF($C2310="","",IFERROR(INDEX(Productos!$F$5:$F$504,MATCH($C2310,Productos!$A$5:$A$504,0)),0))</f>
        <v/>
      </c>
      <c r="H2310" s="22" t="str">
        <f t="shared" si="36"/>
        <v/>
      </c>
      <c r="I2310" s="14" t="str">
        <f>IF(OR($C2310="",$F2310=""),"",IFERROR(INDEX(Productos!$I$5:$I$504,MATCH($C2310,Productos!$A$5:$A$504,0)),0)+SUMIFS($F$5:$F2310,$C$5:$C2310,$C2310,$B$5:$B2310,"Entrada")-SUMIFS($F$5:$F2310,$C$5:$C2310,$C2310,$B$5:$B2310,"Salida"))</f>
        <v/>
      </c>
      <c r="J2310" s="20"/>
      <c r="K2310" s="20"/>
      <c r="L2310" s="20"/>
      <c r="M2310" s="14" t="str">
        <f>IF(AND($C2310&lt;&gt;"",$C2310=Kardex!$C$4),COUNTIF($C$5:$C2310,Kardex!$C$4),"")</f>
        <v/>
      </c>
    </row>
    <row r="2311" spans="1:13" x14ac:dyDescent="0.25">
      <c r="A2311" s="24"/>
      <c r="B2311" s="20"/>
      <c r="C2311" s="20"/>
      <c r="D2311" s="14" t="str">
        <f>IF($C2311="","",IFERROR(INDEX(Productos!$B$5:$B$504,MATCH($C2311,Productos!$A$5:$A$504,0)),"Clave no existe"))</f>
        <v/>
      </c>
      <c r="E2311" s="14" t="str">
        <f>IF($C2311="","",IFERROR(INDEX(Productos!$D$5:$D$504,MATCH($C2311,Productos!$A$5:$A$504,0)),""))</f>
        <v/>
      </c>
      <c r="F2311" s="20"/>
      <c r="G2311" s="22" t="str">
        <f>IF($C2311="","",IFERROR(INDEX(Productos!$F$5:$F$504,MATCH($C2311,Productos!$A$5:$A$504,0)),0))</f>
        <v/>
      </c>
      <c r="H2311" s="22" t="str">
        <f t="shared" si="36"/>
        <v/>
      </c>
      <c r="I2311" s="14" t="str">
        <f>IF(OR($C2311="",$F2311=""),"",IFERROR(INDEX(Productos!$I$5:$I$504,MATCH($C2311,Productos!$A$5:$A$504,0)),0)+SUMIFS($F$5:$F2311,$C$5:$C2311,$C2311,$B$5:$B2311,"Entrada")-SUMIFS($F$5:$F2311,$C$5:$C2311,$C2311,$B$5:$B2311,"Salida"))</f>
        <v/>
      </c>
      <c r="J2311" s="20"/>
      <c r="K2311" s="20"/>
      <c r="L2311" s="20"/>
      <c r="M2311" s="14" t="str">
        <f>IF(AND($C2311&lt;&gt;"",$C2311=Kardex!$C$4),COUNTIF($C$5:$C2311,Kardex!$C$4),"")</f>
        <v/>
      </c>
    </row>
    <row r="2312" spans="1:13" x14ac:dyDescent="0.25">
      <c r="A2312" s="24"/>
      <c r="B2312" s="20"/>
      <c r="C2312" s="20"/>
      <c r="D2312" s="14" t="str">
        <f>IF($C2312="","",IFERROR(INDEX(Productos!$B$5:$B$504,MATCH($C2312,Productos!$A$5:$A$504,0)),"Clave no existe"))</f>
        <v/>
      </c>
      <c r="E2312" s="14" t="str">
        <f>IF($C2312="","",IFERROR(INDEX(Productos!$D$5:$D$504,MATCH($C2312,Productos!$A$5:$A$504,0)),""))</f>
        <v/>
      </c>
      <c r="F2312" s="20"/>
      <c r="G2312" s="22" t="str">
        <f>IF($C2312="","",IFERROR(INDEX(Productos!$F$5:$F$504,MATCH($C2312,Productos!$A$5:$A$504,0)),0))</f>
        <v/>
      </c>
      <c r="H2312" s="22" t="str">
        <f t="shared" si="36"/>
        <v/>
      </c>
      <c r="I2312" s="14" t="str">
        <f>IF(OR($C2312="",$F2312=""),"",IFERROR(INDEX(Productos!$I$5:$I$504,MATCH($C2312,Productos!$A$5:$A$504,0)),0)+SUMIFS($F$5:$F2312,$C$5:$C2312,$C2312,$B$5:$B2312,"Entrada")-SUMIFS($F$5:$F2312,$C$5:$C2312,$C2312,$B$5:$B2312,"Salida"))</f>
        <v/>
      </c>
      <c r="J2312" s="20"/>
      <c r="K2312" s="20"/>
      <c r="L2312" s="20"/>
      <c r="M2312" s="14" t="str">
        <f>IF(AND($C2312&lt;&gt;"",$C2312=Kardex!$C$4),COUNTIF($C$5:$C2312,Kardex!$C$4),"")</f>
        <v/>
      </c>
    </row>
    <row r="2313" spans="1:13" x14ac:dyDescent="0.25">
      <c r="A2313" s="24"/>
      <c r="B2313" s="20"/>
      <c r="C2313" s="20"/>
      <c r="D2313" s="14" t="str">
        <f>IF($C2313="","",IFERROR(INDEX(Productos!$B$5:$B$504,MATCH($C2313,Productos!$A$5:$A$504,0)),"Clave no existe"))</f>
        <v/>
      </c>
      <c r="E2313" s="14" t="str">
        <f>IF($C2313="","",IFERROR(INDEX(Productos!$D$5:$D$504,MATCH($C2313,Productos!$A$5:$A$504,0)),""))</f>
        <v/>
      </c>
      <c r="F2313" s="20"/>
      <c r="G2313" s="22" t="str">
        <f>IF($C2313="","",IFERROR(INDEX(Productos!$F$5:$F$504,MATCH($C2313,Productos!$A$5:$A$504,0)),0))</f>
        <v/>
      </c>
      <c r="H2313" s="22" t="str">
        <f t="shared" si="36"/>
        <v/>
      </c>
      <c r="I2313" s="14" t="str">
        <f>IF(OR($C2313="",$F2313=""),"",IFERROR(INDEX(Productos!$I$5:$I$504,MATCH($C2313,Productos!$A$5:$A$504,0)),0)+SUMIFS($F$5:$F2313,$C$5:$C2313,$C2313,$B$5:$B2313,"Entrada")-SUMIFS($F$5:$F2313,$C$5:$C2313,$C2313,$B$5:$B2313,"Salida"))</f>
        <v/>
      </c>
      <c r="J2313" s="20"/>
      <c r="K2313" s="20"/>
      <c r="L2313" s="20"/>
      <c r="M2313" s="14" t="str">
        <f>IF(AND($C2313&lt;&gt;"",$C2313=Kardex!$C$4),COUNTIF($C$5:$C2313,Kardex!$C$4),"")</f>
        <v/>
      </c>
    </row>
    <row r="2314" spans="1:13" x14ac:dyDescent="0.25">
      <c r="A2314" s="24"/>
      <c r="B2314" s="20"/>
      <c r="C2314" s="20"/>
      <c r="D2314" s="14" t="str">
        <f>IF($C2314="","",IFERROR(INDEX(Productos!$B$5:$B$504,MATCH($C2314,Productos!$A$5:$A$504,0)),"Clave no existe"))</f>
        <v/>
      </c>
      <c r="E2314" s="14" t="str">
        <f>IF($C2314="","",IFERROR(INDEX(Productos!$D$5:$D$504,MATCH($C2314,Productos!$A$5:$A$504,0)),""))</f>
        <v/>
      </c>
      <c r="F2314" s="20"/>
      <c r="G2314" s="22" t="str">
        <f>IF($C2314="","",IFERROR(INDEX(Productos!$F$5:$F$504,MATCH($C2314,Productos!$A$5:$A$504,0)),0))</f>
        <v/>
      </c>
      <c r="H2314" s="22" t="str">
        <f t="shared" si="36"/>
        <v/>
      </c>
      <c r="I2314" s="14" t="str">
        <f>IF(OR($C2314="",$F2314=""),"",IFERROR(INDEX(Productos!$I$5:$I$504,MATCH($C2314,Productos!$A$5:$A$504,0)),0)+SUMIFS($F$5:$F2314,$C$5:$C2314,$C2314,$B$5:$B2314,"Entrada")-SUMIFS($F$5:$F2314,$C$5:$C2314,$C2314,$B$5:$B2314,"Salida"))</f>
        <v/>
      </c>
      <c r="J2314" s="20"/>
      <c r="K2314" s="20"/>
      <c r="L2314" s="20"/>
      <c r="M2314" s="14" t="str">
        <f>IF(AND($C2314&lt;&gt;"",$C2314=Kardex!$C$4),COUNTIF($C$5:$C2314,Kardex!$C$4),"")</f>
        <v/>
      </c>
    </row>
    <row r="2315" spans="1:13" x14ac:dyDescent="0.25">
      <c r="A2315" s="24"/>
      <c r="B2315" s="20"/>
      <c r="C2315" s="20"/>
      <c r="D2315" s="14" t="str">
        <f>IF($C2315="","",IFERROR(INDEX(Productos!$B$5:$B$504,MATCH($C2315,Productos!$A$5:$A$504,0)),"Clave no existe"))</f>
        <v/>
      </c>
      <c r="E2315" s="14" t="str">
        <f>IF($C2315="","",IFERROR(INDEX(Productos!$D$5:$D$504,MATCH($C2315,Productos!$A$5:$A$504,0)),""))</f>
        <v/>
      </c>
      <c r="F2315" s="20"/>
      <c r="G2315" s="22" t="str">
        <f>IF($C2315="","",IFERROR(INDEX(Productos!$F$5:$F$504,MATCH($C2315,Productos!$A$5:$A$504,0)),0))</f>
        <v/>
      </c>
      <c r="H2315" s="22" t="str">
        <f t="shared" si="36"/>
        <v/>
      </c>
      <c r="I2315" s="14" t="str">
        <f>IF(OR($C2315="",$F2315=""),"",IFERROR(INDEX(Productos!$I$5:$I$504,MATCH($C2315,Productos!$A$5:$A$504,0)),0)+SUMIFS($F$5:$F2315,$C$5:$C2315,$C2315,$B$5:$B2315,"Entrada")-SUMIFS($F$5:$F2315,$C$5:$C2315,$C2315,$B$5:$B2315,"Salida"))</f>
        <v/>
      </c>
      <c r="J2315" s="20"/>
      <c r="K2315" s="20"/>
      <c r="L2315" s="20"/>
      <c r="M2315" s="14" t="str">
        <f>IF(AND($C2315&lt;&gt;"",$C2315=Kardex!$C$4),COUNTIF($C$5:$C2315,Kardex!$C$4),"")</f>
        <v/>
      </c>
    </row>
    <row r="2316" spans="1:13" x14ac:dyDescent="0.25">
      <c r="A2316" s="24"/>
      <c r="B2316" s="20"/>
      <c r="C2316" s="20"/>
      <c r="D2316" s="14" t="str">
        <f>IF($C2316="","",IFERROR(INDEX(Productos!$B$5:$B$504,MATCH($C2316,Productos!$A$5:$A$504,0)),"Clave no existe"))</f>
        <v/>
      </c>
      <c r="E2316" s="14" t="str">
        <f>IF($C2316="","",IFERROR(INDEX(Productos!$D$5:$D$504,MATCH($C2316,Productos!$A$5:$A$504,0)),""))</f>
        <v/>
      </c>
      <c r="F2316" s="20"/>
      <c r="G2316" s="22" t="str">
        <f>IF($C2316="","",IFERROR(INDEX(Productos!$F$5:$F$504,MATCH($C2316,Productos!$A$5:$A$504,0)),0))</f>
        <v/>
      </c>
      <c r="H2316" s="22" t="str">
        <f t="shared" si="36"/>
        <v/>
      </c>
      <c r="I2316" s="14" t="str">
        <f>IF(OR($C2316="",$F2316=""),"",IFERROR(INDEX(Productos!$I$5:$I$504,MATCH($C2316,Productos!$A$5:$A$504,0)),0)+SUMIFS($F$5:$F2316,$C$5:$C2316,$C2316,$B$5:$B2316,"Entrada")-SUMIFS($F$5:$F2316,$C$5:$C2316,$C2316,$B$5:$B2316,"Salida"))</f>
        <v/>
      </c>
      <c r="J2316" s="20"/>
      <c r="K2316" s="20"/>
      <c r="L2316" s="20"/>
      <c r="M2316" s="14" t="str">
        <f>IF(AND($C2316&lt;&gt;"",$C2316=Kardex!$C$4),COUNTIF($C$5:$C2316,Kardex!$C$4),"")</f>
        <v/>
      </c>
    </row>
    <row r="2317" spans="1:13" x14ac:dyDescent="0.25">
      <c r="A2317" s="24"/>
      <c r="B2317" s="20"/>
      <c r="C2317" s="20"/>
      <c r="D2317" s="14" t="str">
        <f>IF($C2317="","",IFERROR(INDEX(Productos!$B$5:$B$504,MATCH($C2317,Productos!$A$5:$A$504,0)),"Clave no existe"))</f>
        <v/>
      </c>
      <c r="E2317" s="14" t="str">
        <f>IF($C2317="","",IFERROR(INDEX(Productos!$D$5:$D$504,MATCH($C2317,Productos!$A$5:$A$504,0)),""))</f>
        <v/>
      </c>
      <c r="F2317" s="20"/>
      <c r="G2317" s="22" t="str">
        <f>IF($C2317="","",IFERROR(INDEX(Productos!$F$5:$F$504,MATCH($C2317,Productos!$A$5:$A$504,0)),0))</f>
        <v/>
      </c>
      <c r="H2317" s="22" t="str">
        <f t="shared" si="36"/>
        <v/>
      </c>
      <c r="I2317" s="14" t="str">
        <f>IF(OR($C2317="",$F2317=""),"",IFERROR(INDEX(Productos!$I$5:$I$504,MATCH($C2317,Productos!$A$5:$A$504,0)),0)+SUMIFS($F$5:$F2317,$C$5:$C2317,$C2317,$B$5:$B2317,"Entrada")-SUMIFS($F$5:$F2317,$C$5:$C2317,$C2317,$B$5:$B2317,"Salida"))</f>
        <v/>
      </c>
      <c r="J2317" s="20"/>
      <c r="K2317" s="20"/>
      <c r="L2317" s="20"/>
      <c r="M2317" s="14" t="str">
        <f>IF(AND($C2317&lt;&gt;"",$C2317=Kardex!$C$4),COUNTIF($C$5:$C2317,Kardex!$C$4),"")</f>
        <v/>
      </c>
    </row>
    <row r="2318" spans="1:13" x14ac:dyDescent="0.25">
      <c r="A2318" s="24"/>
      <c r="B2318" s="20"/>
      <c r="C2318" s="20"/>
      <c r="D2318" s="14" t="str">
        <f>IF($C2318="","",IFERROR(INDEX(Productos!$B$5:$B$504,MATCH($C2318,Productos!$A$5:$A$504,0)),"Clave no existe"))</f>
        <v/>
      </c>
      <c r="E2318" s="14" t="str">
        <f>IF($C2318="","",IFERROR(INDEX(Productos!$D$5:$D$504,MATCH($C2318,Productos!$A$5:$A$504,0)),""))</f>
        <v/>
      </c>
      <c r="F2318" s="20"/>
      <c r="G2318" s="22" t="str">
        <f>IF($C2318="","",IFERROR(INDEX(Productos!$F$5:$F$504,MATCH($C2318,Productos!$A$5:$A$504,0)),0))</f>
        <v/>
      </c>
      <c r="H2318" s="22" t="str">
        <f t="shared" si="36"/>
        <v/>
      </c>
      <c r="I2318" s="14" t="str">
        <f>IF(OR($C2318="",$F2318=""),"",IFERROR(INDEX(Productos!$I$5:$I$504,MATCH($C2318,Productos!$A$5:$A$504,0)),0)+SUMIFS($F$5:$F2318,$C$5:$C2318,$C2318,$B$5:$B2318,"Entrada")-SUMIFS($F$5:$F2318,$C$5:$C2318,$C2318,$B$5:$B2318,"Salida"))</f>
        <v/>
      </c>
      <c r="J2318" s="20"/>
      <c r="K2318" s="20"/>
      <c r="L2318" s="20"/>
      <c r="M2318" s="14" t="str">
        <f>IF(AND($C2318&lt;&gt;"",$C2318=Kardex!$C$4),COUNTIF($C$5:$C2318,Kardex!$C$4),"")</f>
        <v/>
      </c>
    </row>
    <row r="2319" spans="1:13" x14ac:dyDescent="0.25">
      <c r="A2319" s="24"/>
      <c r="B2319" s="20"/>
      <c r="C2319" s="20"/>
      <c r="D2319" s="14" t="str">
        <f>IF($C2319="","",IFERROR(INDEX(Productos!$B$5:$B$504,MATCH($C2319,Productos!$A$5:$A$504,0)),"Clave no existe"))</f>
        <v/>
      </c>
      <c r="E2319" s="14" t="str">
        <f>IF($C2319="","",IFERROR(INDEX(Productos!$D$5:$D$504,MATCH($C2319,Productos!$A$5:$A$504,0)),""))</f>
        <v/>
      </c>
      <c r="F2319" s="20"/>
      <c r="G2319" s="22" t="str">
        <f>IF($C2319="","",IFERROR(INDEX(Productos!$F$5:$F$504,MATCH($C2319,Productos!$A$5:$A$504,0)),0))</f>
        <v/>
      </c>
      <c r="H2319" s="22" t="str">
        <f t="shared" si="36"/>
        <v/>
      </c>
      <c r="I2319" s="14" t="str">
        <f>IF(OR($C2319="",$F2319=""),"",IFERROR(INDEX(Productos!$I$5:$I$504,MATCH($C2319,Productos!$A$5:$A$504,0)),0)+SUMIFS($F$5:$F2319,$C$5:$C2319,$C2319,$B$5:$B2319,"Entrada")-SUMIFS($F$5:$F2319,$C$5:$C2319,$C2319,$B$5:$B2319,"Salida"))</f>
        <v/>
      </c>
      <c r="J2319" s="20"/>
      <c r="K2319" s="20"/>
      <c r="L2319" s="20"/>
      <c r="M2319" s="14" t="str">
        <f>IF(AND($C2319&lt;&gt;"",$C2319=Kardex!$C$4),COUNTIF($C$5:$C2319,Kardex!$C$4),"")</f>
        <v/>
      </c>
    </row>
    <row r="2320" spans="1:13" x14ac:dyDescent="0.25">
      <c r="A2320" s="24"/>
      <c r="B2320" s="20"/>
      <c r="C2320" s="20"/>
      <c r="D2320" s="14" t="str">
        <f>IF($C2320="","",IFERROR(INDEX(Productos!$B$5:$B$504,MATCH($C2320,Productos!$A$5:$A$504,0)),"Clave no existe"))</f>
        <v/>
      </c>
      <c r="E2320" s="14" t="str">
        <f>IF($C2320="","",IFERROR(INDEX(Productos!$D$5:$D$504,MATCH($C2320,Productos!$A$5:$A$504,0)),""))</f>
        <v/>
      </c>
      <c r="F2320" s="20"/>
      <c r="G2320" s="22" t="str">
        <f>IF($C2320="","",IFERROR(INDEX(Productos!$F$5:$F$504,MATCH($C2320,Productos!$A$5:$A$504,0)),0))</f>
        <v/>
      </c>
      <c r="H2320" s="22" t="str">
        <f t="shared" si="36"/>
        <v/>
      </c>
      <c r="I2320" s="14" t="str">
        <f>IF(OR($C2320="",$F2320=""),"",IFERROR(INDEX(Productos!$I$5:$I$504,MATCH($C2320,Productos!$A$5:$A$504,0)),0)+SUMIFS($F$5:$F2320,$C$5:$C2320,$C2320,$B$5:$B2320,"Entrada")-SUMIFS($F$5:$F2320,$C$5:$C2320,$C2320,$B$5:$B2320,"Salida"))</f>
        <v/>
      </c>
      <c r="J2320" s="20"/>
      <c r="K2320" s="20"/>
      <c r="L2320" s="20"/>
      <c r="M2320" s="14" t="str">
        <f>IF(AND($C2320&lt;&gt;"",$C2320=Kardex!$C$4),COUNTIF($C$5:$C2320,Kardex!$C$4),"")</f>
        <v/>
      </c>
    </row>
    <row r="2321" spans="1:13" x14ac:dyDescent="0.25">
      <c r="A2321" s="24"/>
      <c r="B2321" s="20"/>
      <c r="C2321" s="20"/>
      <c r="D2321" s="14" t="str">
        <f>IF($C2321="","",IFERROR(INDEX(Productos!$B$5:$B$504,MATCH($C2321,Productos!$A$5:$A$504,0)),"Clave no existe"))</f>
        <v/>
      </c>
      <c r="E2321" s="14" t="str">
        <f>IF($C2321="","",IFERROR(INDEX(Productos!$D$5:$D$504,MATCH($C2321,Productos!$A$5:$A$504,0)),""))</f>
        <v/>
      </c>
      <c r="F2321" s="20"/>
      <c r="G2321" s="22" t="str">
        <f>IF($C2321="","",IFERROR(INDEX(Productos!$F$5:$F$504,MATCH($C2321,Productos!$A$5:$A$504,0)),0))</f>
        <v/>
      </c>
      <c r="H2321" s="22" t="str">
        <f t="shared" si="36"/>
        <v/>
      </c>
      <c r="I2321" s="14" t="str">
        <f>IF(OR($C2321="",$F2321=""),"",IFERROR(INDEX(Productos!$I$5:$I$504,MATCH($C2321,Productos!$A$5:$A$504,0)),0)+SUMIFS($F$5:$F2321,$C$5:$C2321,$C2321,$B$5:$B2321,"Entrada")-SUMIFS($F$5:$F2321,$C$5:$C2321,$C2321,$B$5:$B2321,"Salida"))</f>
        <v/>
      </c>
      <c r="J2321" s="20"/>
      <c r="K2321" s="20"/>
      <c r="L2321" s="20"/>
      <c r="M2321" s="14" t="str">
        <f>IF(AND($C2321&lt;&gt;"",$C2321=Kardex!$C$4),COUNTIF($C$5:$C2321,Kardex!$C$4),"")</f>
        <v/>
      </c>
    </row>
    <row r="2322" spans="1:13" x14ac:dyDescent="0.25">
      <c r="A2322" s="24"/>
      <c r="B2322" s="20"/>
      <c r="C2322" s="20"/>
      <c r="D2322" s="14" t="str">
        <f>IF($C2322="","",IFERROR(INDEX(Productos!$B$5:$B$504,MATCH($C2322,Productos!$A$5:$A$504,0)),"Clave no existe"))</f>
        <v/>
      </c>
      <c r="E2322" s="14" t="str">
        <f>IF($C2322="","",IFERROR(INDEX(Productos!$D$5:$D$504,MATCH($C2322,Productos!$A$5:$A$504,0)),""))</f>
        <v/>
      </c>
      <c r="F2322" s="20"/>
      <c r="G2322" s="22" t="str">
        <f>IF($C2322="","",IFERROR(INDEX(Productos!$F$5:$F$504,MATCH($C2322,Productos!$A$5:$A$504,0)),0))</f>
        <v/>
      </c>
      <c r="H2322" s="22" t="str">
        <f t="shared" si="36"/>
        <v/>
      </c>
      <c r="I2322" s="14" t="str">
        <f>IF(OR($C2322="",$F2322=""),"",IFERROR(INDEX(Productos!$I$5:$I$504,MATCH($C2322,Productos!$A$5:$A$504,0)),0)+SUMIFS($F$5:$F2322,$C$5:$C2322,$C2322,$B$5:$B2322,"Entrada")-SUMIFS($F$5:$F2322,$C$5:$C2322,$C2322,$B$5:$B2322,"Salida"))</f>
        <v/>
      </c>
      <c r="J2322" s="20"/>
      <c r="K2322" s="20"/>
      <c r="L2322" s="20"/>
      <c r="M2322" s="14" t="str">
        <f>IF(AND($C2322&lt;&gt;"",$C2322=Kardex!$C$4),COUNTIF($C$5:$C2322,Kardex!$C$4),"")</f>
        <v/>
      </c>
    </row>
    <row r="2323" spans="1:13" x14ac:dyDescent="0.25">
      <c r="A2323" s="24"/>
      <c r="B2323" s="20"/>
      <c r="C2323" s="20"/>
      <c r="D2323" s="14" t="str">
        <f>IF($C2323="","",IFERROR(INDEX(Productos!$B$5:$B$504,MATCH($C2323,Productos!$A$5:$A$504,0)),"Clave no existe"))</f>
        <v/>
      </c>
      <c r="E2323" s="14" t="str">
        <f>IF($C2323="","",IFERROR(INDEX(Productos!$D$5:$D$504,MATCH($C2323,Productos!$A$5:$A$504,0)),""))</f>
        <v/>
      </c>
      <c r="F2323" s="20"/>
      <c r="G2323" s="22" t="str">
        <f>IF($C2323="","",IFERROR(INDEX(Productos!$F$5:$F$504,MATCH($C2323,Productos!$A$5:$A$504,0)),0))</f>
        <v/>
      </c>
      <c r="H2323" s="22" t="str">
        <f t="shared" si="36"/>
        <v/>
      </c>
      <c r="I2323" s="14" t="str">
        <f>IF(OR($C2323="",$F2323=""),"",IFERROR(INDEX(Productos!$I$5:$I$504,MATCH($C2323,Productos!$A$5:$A$504,0)),0)+SUMIFS($F$5:$F2323,$C$5:$C2323,$C2323,$B$5:$B2323,"Entrada")-SUMIFS($F$5:$F2323,$C$5:$C2323,$C2323,$B$5:$B2323,"Salida"))</f>
        <v/>
      </c>
      <c r="J2323" s="20"/>
      <c r="K2323" s="20"/>
      <c r="L2323" s="20"/>
      <c r="M2323" s="14" t="str">
        <f>IF(AND($C2323&lt;&gt;"",$C2323=Kardex!$C$4),COUNTIF($C$5:$C2323,Kardex!$C$4),"")</f>
        <v/>
      </c>
    </row>
    <row r="2324" spans="1:13" x14ac:dyDescent="0.25">
      <c r="A2324" s="24"/>
      <c r="B2324" s="20"/>
      <c r="C2324" s="20"/>
      <c r="D2324" s="14" t="str">
        <f>IF($C2324="","",IFERROR(INDEX(Productos!$B$5:$B$504,MATCH($C2324,Productos!$A$5:$A$504,0)),"Clave no existe"))</f>
        <v/>
      </c>
      <c r="E2324" s="14" t="str">
        <f>IF($C2324="","",IFERROR(INDEX(Productos!$D$5:$D$504,MATCH($C2324,Productos!$A$5:$A$504,0)),""))</f>
        <v/>
      </c>
      <c r="F2324" s="20"/>
      <c r="G2324" s="22" t="str">
        <f>IF($C2324="","",IFERROR(INDEX(Productos!$F$5:$F$504,MATCH($C2324,Productos!$A$5:$A$504,0)),0))</f>
        <v/>
      </c>
      <c r="H2324" s="22" t="str">
        <f t="shared" si="36"/>
        <v/>
      </c>
      <c r="I2324" s="14" t="str">
        <f>IF(OR($C2324="",$F2324=""),"",IFERROR(INDEX(Productos!$I$5:$I$504,MATCH($C2324,Productos!$A$5:$A$504,0)),0)+SUMIFS($F$5:$F2324,$C$5:$C2324,$C2324,$B$5:$B2324,"Entrada")-SUMIFS($F$5:$F2324,$C$5:$C2324,$C2324,$B$5:$B2324,"Salida"))</f>
        <v/>
      </c>
      <c r="J2324" s="20"/>
      <c r="K2324" s="20"/>
      <c r="L2324" s="20"/>
      <c r="M2324" s="14" t="str">
        <f>IF(AND($C2324&lt;&gt;"",$C2324=Kardex!$C$4),COUNTIF($C$5:$C2324,Kardex!$C$4),"")</f>
        <v/>
      </c>
    </row>
    <row r="2325" spans="1:13" x14ac:dyDescent="0.25">
      <c r="A2325" s="24"/>
      <c r="B2325" s="20"/>
      <c r="C2325" s="20"/>
      <c r="D2325" s="14" t="str">
        <f>IF($C2325="","",IFERROR(INDEX(Productos!$B$5:$B$504,MATCH($C2325,Productos!$A$5:$A$504,0)),"Clave no existe"))</f>
        <v/>
      </c>
      <c r="E2325" s="14" t="str">
        <f>IF($C2325="","",IFERROR(INDEX(Productos!$D$5:$D$504,MATCH($C2325,Productos!$A$5:$A$504,0)),""))</f>
        <v/>
      </c>
      <c r="F2325" s="20"/>
      <c r="G2325" s="22" t="str">
        <f>IF($C2325="","",IFERROR(INDEX(Productos!$F$5:$F$504,MATCH($C2325,Productos!$A$5:$A$504,0)),0))</f>
        <v/>
      </c>
      <c r="H2325" s="22" t="str">
        <f t="shared" si="36"/>
        <v/>
      </c>
      <c r="I2325" s="14" t="str">
        <f>IF(OR($C2325="",$F2325=""),"",IFERROR(INDEX(Productos!$I$5:$I$504,MATCH($C2325,Productos!$A$5:$A$504,0)),0)+SUMIFS($F$5:$F2325,$C$5:$C2325,$C2325,$B$5:$B2325,"Entrada")-SUMIFS($F$5:$F2325,$C$5:$C2325,$C2325,$B$5:$B2325,"Salida"))</f>
        <v/>
      </c>
      <c r="J2325" s="20"/>
      <c r="K2325" s="20"/>
      <c r="L2325" s="20"/>
      <c r="M2325" s="14" t="str">
        <f>IF(AND($C2325&lt;&gt;"",$C2325=Kardex!$C$4),COUNTIF($C$5:$C2325,Kardex!$C$4),"")</f>
        <v/>
      </c>
    </row>
    <row r="2326" spans="1:13" x14ac:dyDescent="0.25">
      <c r="A2326" s="24"/>
      <c r="B2326" s="20"/>
      <c r="C2326" s="20"/>
      <c r="D2326" s="14" t="str">
        <f>IF($C2326="","",IFERROR(INDEX(Productos!$B$5:$B$504,MATCH($C2326,Productos!$A$5:$A$504,0)),"Clave no existe"))</f>
        <v/>
      </c>
      <c r="E2326" s="14" t="str">
        <f>IF($C2326="","",IFERROR(INDEX(Productos!$D$5:$D$504,MATCH($C2326,Productos!$A$5:$A$504,0)),""))</f>
        <v/>
      </c>
      <c r="F2326" s="20"/>
      <c r="G2326" s="22" t="str">
        <f>IF($C2326="","",IFERROR(INDEX(Productos!$F$5:$F$504,MATCH($C2326,Productos!$A$5:$A$504,0)),0))</f>
        <v/>
      </c>
      <c r="H2326" s="22" t="str">
        <f t="shared" si="36"/>
        <v/>
      </c>
      <c r="I2326" s="14" t="str">
        <f>IF(OR($C2326="",$F2326=""),"",IFERROR(INDEX(Productos!$I$5:$I$504,MATCH($C2326,Productos!$A$5:$A$504,0)),0)+SUMIFS($F$5:$F2326,$C$5:$C2326,$C2326,$B$5:$B2326,"Entrada")-SUMIFS($F$5:$F2326,$C$5:$C2326,$C2326,$B$5:$B2326,"Salida"))</f>
        <v/>
      </c>
      <c r="J2326" s="20"/>
      <c r="K2326" s="20"/>
      <c r="L2326" s="20"/>
      <c r="M2326" s="14" t="str">
        <f>IF(AND($C2326&lt;&gt;"",$C2326=Kardex!$C$4),COUNTIF($C$5:$C2326,Kardex!$C$4),"")</f>
        <v/>
      </c>
    </row>
    <row r="2327" spans="1:13" x14ac:dyDescent="0.25">
      <c r="A2327" s="24"/>
      <c r="B2327" s="20"/>
      <c r="C2327" s="20"/>
      <c r="D2327" s="14" t="str">
        <f>IF($C2327="","",IFERROR(INDEX(Productos!$B$5:$B$504,MATCH($C2327,Productos!$A$5:$A$504,0)),"Clave no existe"))</f>
        <v/>
      </c>
      <c r="E2327" s="14" t="str">
        <f>IF($C2327="","",IFERROR(INDEX(Productos!$D$5:$D$504,MATCH($C2327,Productos!$A$5:$A$504,0)),""))</f>
        <v/>
      </c>
      <c r="F2327" s="20"/>
      <c r="G2327" s="22" t="str">
        <f>IF($C2327="","",IFERROR(INDEX(Productos!$F$5:$F$504,MATCH($C2327,Productos!$A$5:$A$504,0)),0))</f>
        <v/>
      </c>
      <c r="H2327" s="22" t="str">
        <f t="shared" si="36"/>
        <v/>
      </c>
      <c r="I2327" s="14" t="str">
        <f>IF(OR($C2327="",$F2327=""),"",IFERROR(INDEX(Productos!$I$5:$I$504,MATCH($C2327,Productos!$A$5:$A$504,0)),0)+SUMIFS($F$5:$F2327,$C$5:$C2327,$C2327,$B$5:$B2327,"Entrada")-SUMIFS($F$5:$F2327,$C$5:$C2327,$C2327,$B$5:$B2327,"Salida"))</f>
        <v/>
      </c>
      <c r="J2327" s="20"/>
      <c r="K2327" s="20"/>
      <c r="L2327" s="20"/>
      <c r="M2327" s="14" t="str">
        <f>IF(AND($C2327&lt;&gt;"",$C2327=Kardex!$C$4),COUNTIF($C$5:$C2327,Kardex!$C$4),"")</f>
        <v/>
      </c>
    </row>
    <row r="2328" spans="1:13" x14ac:dyDescent="0.25">
      <c r="A2328" s="24"/>
      <c r="B2328" s="20"/>
      <c r="C2328" s="20"/>
      <c r="D2328" s="14" t="str">
        <f>IF($C2328="","",IFERROR(INDEX(Productos!$B$5:$B$504,MATCH($C2328,Productos!$A$5:$A$504,0)),"Clave no existe"))</f>
        <v/>
      </c>
      <c r="E2328" s="14" t="str">
        <f>IF($C2328="","",IFERROR(INDEX(Productos!$D$5:$D$504,MATCH($C2328,Productos!$A$5:$A$504,0)),""))</f>
        <v/>
      </c>
      <c r="F2328" s="20"/>
      <c r="G2328" s="22" t="str">
        <f>IF($C2328="","",IFERROR(INDEX(Productos!$F$5:$F$504,MATCH($C2328,Productos!$A$5:$A$504,0)),0))</f>
        <v/>
      </c>
      <c r="H2328" s="22" t="str">
        <f t="shared" si="36"/>
        <v/>
      </c>
      <c r="I2328" s="14" t="str">
        <f>IF(OR($C2328="",$F2328=""),"",IFERROR(INDEX(Productos!$I$5:$I$504,MATCH($C2328,Productos!$A$5:$A$504,0)),0)+SUMIFS($F$5:$F2328,$C$5:$C2328,$C2328,$B$5:$B2328,"Entrada")-SUMIFS($F$5:$F2328,$C$5:$C2328,$C2328,$B$5:$B2328,"Salida"))</f>
        <v/>
      </c>
      <c r="J2328" s="20"/>
      <c r="K2328" s="20"/>
      <c r="L2328" s="20"/>
      <c r="M2328" s="14" t="str">
        <f>IF(AND($C2328&lt;&gt;"",$C2328=Kardex!$C$4),COUNTIF($C$5:$C2328,Kardex!$C$4),"")</f>
        <v/>
      </c>
    </row>
    <row r="2329" spans="1:13" x14ac:dyDescent="0.25">
      <c r="A2329" s="24"/>
      <c r="B2329" s="20"/>
      <c r="C2329" s="20"/>
      <c r="D2329" s="14" t="str">
        <f>IF($C2329="","",IFERROR(INDEX(Productos!$B$5:$B$504,MATCH($C2329,Productos!$A$5:$A$504,0)),"Clave no existe"))</f>
        <v/>
      </c>
      <c r="E2329" s="14" t="str">
        <f>IF($C2329="","",IFERROR(INDEX(Productos!$D$5:$D$504,MATCH($C2329,Productos!$A$5:$A$504,0)),""))</f>
        <v/>
      </c>
      <c r="F2329" s="20"/>
      <c r="G2329" s="22" t="str">
        <f>IF($C2329="","",IFERROR(INDEX(Productos!$F$5:$F$504,MATCH($C2329,Productos!$A$5:$A$504,0)),0))</f>
        <v/>
      </c>
      <c r="H2329" s="22" t="str">
        <f t="shared" si="36"/>
        <v/>
      </c>
      <c r="I2329" s="14" t="str">
        <f>IF(OR($C2329="",$F2329=""),"",IFERROR(INDEX(Productos!$I$5:$I$504,MATCH($C2329,Productos!$A$5:$A$504,0)),0)+SUMIFS($F$5:$F2329,$C$5:$C2329,$C2329,$B$5:$B2329,"Entrada")-SUMIFS($F$5:$F2329,$C$5:$C2329,$C2329,$B$5:$B2329,"Salida"))</f>
        <v/>
      </c>
      <c r="J2329" s="20"/>
      <c r="K2329" s="20"/>
      <c r="L2329" s="20"/>
      <c r="M2329" s="14" t="str">
        <f>IF(AND($C2329&lt;&gt;"",$C2329=Kardex!$C$4),COUNTIF($C$5:$C2329,Kardex!$C$4),"")</f>
        <v/>
      </c>
    </row>
    <row r="2330" spans="1:13" x14ac:dyDescent="0.25">
      <c r="A2330" s="24"/>
      <c r="B2330" s="20"/>
      <c r="C2330" s="20"/>
      <c r="D2330" s="14" t="str">
        <f>IF($C2330="","",IFERROR(INDEX(Productos!$B$5:$B$504,MATCH($C2330,Productos!$A$5:$A$504,0)),"Clave no existe"))</f>
        <v/>
      </c>
      <c r="E2330" s="14" t="str">
        <f>IF($C2330="","",IFERROR(INDEX(Productos!$D$5:$D$504,MATCH($C2330,Productos!$A$5:$A$504,0)),""))</f>
        <v/>
      </c>
      <c r="F2330" s="20"/>
      <c r="G2330" s="22" t="str">
        <f>IF($C2330="","",IFERROR(INDEX(Productos!$F$5:$F$504,MATCH($C2330,Productos!$A$5:$A$504,0)),0))</f>
        <v/>
      </c>
      <c r="H2330" s="22" t="str">
        <f t="shared" si="36"/>
        <v/>
      </c>
      <c r="I2330" s="14" t="str">
        <f>IF(OR($C2330="",$F2330=""),"",IFERROR(INDEX(Productos!$I$5:$I$504,MATCH($C2330,Productos!$A$5:$A$504,0)),0)+SUMIFS($F$5:$F2330,$C$5:$C2330,$C2330,$B$5:$B2330,"Entrada")-SUMIFS($F$5:$F2330,$C$5:$C2330,$C2330,$B$5:$B2330,"Salida"))</f>
        <v/>
      </c>
      <c r="J2330" s="20"/>
      <c r="K2330" s="20"/>
      <c r="L2330" s="20"/>
      <c r="M2330" s="14" t="str">
        <f>IF(AND($C2330&lt;&gt;"",$C2330=Kardex!$C$4),COUNTIF($C$5:$C2330,Kardex!$C$4),"")</f>
        <v/>
      </c>
    </row>
    <row r="2331" spans="1:13" x14ac:dyDescent="0.25">
      <c r="A2331" s="24"/>
      <c r="B2331" s="20"/>
      <c r="C2331" s="20"/>
      <c r="D2331" s="14" t="str">
        <f>IF($C2331="","",IFERROR(INDEX(Productos!$B$5:$B$504,MATCH($C2331,Productos!$A$5:$A$504,0)),"Clave no existe"))</f>
        <v/>
      </c>
      <c r="E2331" s="14" t="str">
        <f>IF($C2331="","",IFERROR(INDEX(Productos!$D$5:$D$504,MATCH($C2331,Productos!$A$5:$A$504,0)),""))</f>
        <v/>
      </c>
      <c r="F2331" s="20"/>
      <c r="G2331" s="22" t="str">
        <f>IF($C2331="","",IFERROR(INDEX(Productos!$F$5:$F$504,MATCH($C2331,Productos!$A$5:$A$504,0)),0))</f>
        <v/>
      </c>
      <c r="H2331" s="22" t="str">
        <f t="shared" si="36"/>
        <v/>
      </c>
      <c r="I2331" s="14" t="str">
        <f>IF(OR($C2331="",$F2331=""),"",IFERROR(INDEX(Productos!$I$5:$I$504,MATCH($C2331,Productos!$A$5:$A$504,0)),0)+SUMIFS($F$5:$F2331,$C$5:$C2331,$C2331,$B$5:$B2331,"Entrada")-SUMIFS($F$5:$F2331,$C$5:$C2331,$C2331,$B$5:$B2331,"Salida"))</f>
        <v/>
      </c>
      <c r="J2331" s="20"/>
      <c r="K2331" s="20"/>
      <c r="L2331" s="20"/>
      <c r="M2331" s="14" t="str">
        <f>IF(AND($C2331&lt;&gt;"",$C2331=Kardex!$C$4),COUNTIF($C$5:$C2331,Kardex!$C$4),"")</f>
        <v/>
      </c>
    </row>
    <row r="2332" spans="1:13" x14ac:dyDescent="0.25">
      <c r="A2332" s="24"/>
      <c r="B2332" s="20"/>
      <c r="C2332" s="20"/>
      <c r="D2332" s="14" t="str">
        <f>IF($C2332="","",IFERROR(INDEX(Productos!$B$5:$B$504,MATCH($C2332,Productos!$A$5:$A$504,0)),"Clave no existe"))</f>
        <v/>
      </c>
      <c r="E2332" s="14" t="str">
        <f>IF($C2332="","",IFERROR(INDEX(Productos!$D$5:$D$504,MATCH($C2332,Productos!$A$5:$A$504,0)),""))</f>
        <v/>
      </c>
      <c r="F2332" s="20"/>
      <c r="G2332" s="22" t="str">
        <f>IF($C2332="","",IFERROR(INDEX(Productos!$F$5:$F$504,MATCH($C2332,Productos!$A$5:$A$504,0)),0))</f>
        <v/>
      </c>
      <c r="H2332" s="22" t="str">
        <f t="shared" si="36"/>
        <v/>
      </c>
      <c r="I2332" s="14" t="str">
        <f>IF(OR($C2332="",$F2332=""),"",IFERROR(INDEX(Productos!$I$5:$I$504,MATCH($C2332,Productos!$A$5:$A$504,0)),0)+SUMIFS($F$5:$F2332,$C$5:$C2332,$C2332,$B$5:$B2332,"Entrada")-SUMIFS($F$5:$F2332,$C$5:$C2332,$C2332,$B$5:$B2332,"Salida"))</f>
        <v/>
      </c>
      <c r="J2332" s="20"/>
      <c r="K2332" s="20"/>
      <c r="L2332" s="20"/>
      <c r="M2332" s="14" t="str">
        <f>IF(AND($C2332&lt;&gt;"",$C2332=Kardex!$C$4),COUNTIF($C$5:$C2332,Kardex!$C$4),"")</f>
        <v/>
      </c>
    </row>
    <row r="2333" spans="1:13" x14ac:dyDescent="0.25">
      <c r="A2333" s="24"/>
      <c r="B2333" s="20"/>
      <c r="C2333" s="20"/>
      <c r="D2333" s="14" t="str">
        <f>IF($C2333="","",IFERROR(INDEX(Productos!$B$5:$B$504,MATCH($C2333,Productos!$A$5:$A$504,0)),"Clave no existe"))</f>
        <v/>
      </c>
      <c r="E2333" s="14" t="str">
        <f>IF($C2333="","",IFERROR(INDEX(Productos!$D$5:$D$504,MATCH($C2333,Productos!$A$5:$A$504,0)),""))</f>
        <v/>
      </c>
      <c r="F2333" s="20"/>
      <c r="G2333" s="22" t="str">
        <f>IF($C2333="","",IFERROR(INDEX(Productos!$F$5:$F$504,MATCH($C2333,Productos!$A$5:$A$504,0)),0))</f>
        <v/>
      </c>
      <c r="H2333" s="22" t="str">
        <f t="shared" si="36"/>
        <v/>
      </c>
      <c r="I2333" s="14" t="str">
        <f>IF(OR($C2333="",$F2333=""),"",IFERROR(INDEX(Productos!$I$5:$I$504,MATCH($C2333,Productos!$A$5:$A$504,0)),0)+SUMIFS($F$5:$F2333,$C$5:$C2333,$C2333,$B$5:$B2333,"Entrada")-SUMIFS($F$5:$F2333,$C$5:$C2333,$C2333,$B$5:$B2333,"Salida"))</f>
        <v/>
      </c>
      <c r="J2333" s="20"/>
      <c r="K2333" s="20"/>
      <c r="L2333" s="20"/>
      <c r="M2333" s="14" t="str">
        <f>IF(AND($C2333&lt;&gt;"",$C2333=Kardex!$C$4),COUNTIF($C$5:$C2333,Kardex!$C$4),"")</f>
        <v/>
      </c>
    </row>
    <row r="2334" spans="1:13" x14ac:dyDescent="0.25">
      <c r="A2334" s="24"/>
      <c r="B2334" s="20"/>
      <c r="C2334" s="20"/>
      <c r="D2334" s="14" t="str">
        <f>IF($C2334="","",IFERROR(INDEX(Productos!$B$5:$B$504,MATCH($C2334,Productos!$A$5:$A$504,0)),"Clave no existe"))</f>
        <v/>
      </c>
      <c r="E2334" s="14" t="str">
        <f>IF($C2334="","",IFERROR(INDEX(Productos!$D$5:$D$504,MATCH($C2334,Productos!$A$5:$A$504,0)),""))</f>
        <v/>
      </c>
      <c r="F2334" s="20"/>
      <c r="G2334" s="22" t="str">
        <f>IF($C2334="","",IFERROR(INDEX(Productos!$F$5:$F$504,MATCH($C2334,Productos!$A$5:$A$504,0)),0))</f>
        <v/>
      </c>
      <c r="H2334" s="22" t="str">
        <f t="shared" si="36"/>
        <v/>
      </c>
      <c r="I2334" s="14" t="str">
        <f>IF(OR($C2334="",$F2334=""),"",IFERROR(INDEX(Productos!$I$5:$I$504,MATCH($C2334,Productos!$A$5:$A$504,0)),0)+SUMIFS($F$5:$F2334,$C$5:$C2334,$C2334,$B$5:$B2334,"Entrada")-SUMIFS($F$5:$F2334,$C$5:$C2334,$C2334,$B$5:$B2334,"Salida"))</f>
        <v/>
      </c>
      <c r="J2334" s="20"/>
      <c r="K2334" s="20"/>
      <c r="L2334" s="20"/>
      <c r="M2334" s="14" t="str">
        <f>IF(AND($C2334&lt;&gt;"",$C2334=Kardex!$C$4),COUNTIF($C$5:$C2334,Kardex!$C$4),"")</f>
        <v/>
      </c>
    </row>
    <row r="2335" spans="1:13" x14ac:dyDescent="0.25">
      <c r="A2335" s="24"/>
      <c r="B2335" s="20"/>
      <c r="C2335" s="20"/>
      <c r="D2335" s="14" t="str">
        <f>IF($C2335="","",IFERROR(INDEX(Productos!$B$5:$B$504,MATCH($C2335,Productos!$A$5:$A$504,0)),"Clave no existe"))</f>
        <v/>
      </c>
      <c r="E2335" s="14" t="str">
        <f>IF($C2335="","",IFERROR(INDEX(Productos!$D$5:$D$504,MATCH($C2335,Productos!$A$5:$A$504,0)),""))</f>
        <v/>
      </c>
      <c r="F2335" s="20"/>
      <c r="G2335" s="22" t="str">
        <f>IF($C2335="","",IFERROR(INDEX(Productos!$F$5:$F$504,MATCH($C2335,Productos!$A$5:$A$504,0)),0))</f>
        <v/>
      </c>
      <c r="H2335" s="22" t="str">
        <f t="shared" si="36"/>
        <v/>
      </c>
      <c r="I2335" s="14" t="str">
        <f>IF(OR($C2335="",$F2335=""),"",IFERROR(INDEX(Productos!$I$5:$I$504,MATCH($C2335,Productos!$A$5:$A$504,0)),0)+SUMIFS($F$5:$F2335,$C$5:$C2335,$C2335,$B$5:$B2335,"Entrada")-SUMIFS($F$5:$F2335,$C$5:$C2335,$C2335,$B$5:$B2335,"Salida"))</f>
        <v/>
      </c>
      <c r="J2335" s="20"/>
      <c r="K2335" s="20"/>
      <c r="L2335" s="20"/>
      <c r="M2335" s="14" t="str">
        <f>IF(AND($C2335&lt;&gt;"",$C2335=Kardex!$C$4),COUNTIF($C$5:$C2335,Kardex!$C$4),"")</f>
        <v/>
      </c>
    </row>
    <row r="2336" spans="1:13" x14ac:dyDescent="0.25">
      <c r="A2336" s="24"/>
      <c r="B2336" s="20"/>
      <c r="C2336" s="20"/>
      <c r="D2336" s="14" t="str">
        <f>IF($C2336="","",IFERROR(INDEX(Productos!$B$5:$B$504,MATCH($C2336,Productos!$A$5:$A$504,0)),"Clave no existe"))</f>
        <v/>
      </c>
      <c r="E2336" s="14" t="str">
        <f>IF($C2336="","",IFERROR(INDEX(Productos!$D$5:$D$504,MATCH($C2336,Productos!$A$5:$A$504,0)),""))</f>
        <v/>
      </c>
      <c r="F2336" s="20"/>
      <c r="G2336" s="22" t="str">
        <f>IF($C2336="","",IFERROR(INDEX(Productos!$F$5:$F$504,MATCH($C2336,Productos!$A$5:$A$504,0)),0))</f>
        <v/>
      </c>
      <c r="H2336" s="22" t="str">
        <f t="shared" si="36"/>
        <v/>
      </c>
      <c r="I2336" s="14" t="str">
        <f>IF(OR($C2336="",$F2336=""),"",IFERROR(INDEX(Productos!$I$5:$I$504,MATCH($C2336,Productos!$A$5:$A$504,0)),0)+SUMIFS($F$5:$F2336,$C$5:$C2336,$C2336,$B$5:$B2336,"Entrada")-SUMIFS($F$5:$F2336,$C$5:$C2336,$C2336,$B$5:$B2336,"Salida"))</f>
        <v/>
      </c>
      <c r="J2336" s="20"/>
      <c r="K2336" s="20"/>
      <c r="L2336" s="20"/>
      <c r="M2336" s="14" t="str">
        <f>IF(AND($C2336&lt;&gt;"",$C2336=Kardex!$C$4),COUNTIF($C$5:$C2336,Kardex!$C$4),"")</f>
        <v/>
      </c>
    </row>
    <row r="2337" spans="1:13" x14ac:dyDescent="0.25">
      <c r="A2337" s="24"/>
      <c r="B2337" s="20"/>
      <c r="C2337" s="20"/>
      <c r="D2337" s="14" t="str">
        <f>IF($C2337="","",IFERROR(INDEX(Productos!$B$5:$B$504,MATCH($C2337,Productos!$A$5:$A$504,0)),"Clave no existe"))</f>
        <v/>
      </c>
      <c r="E2337" s="14" t="str">
        <f>IF($C2337="","",IFERROR(INDEX(Productos!$D$5:$D$504,MATCH($C2337,Productos!$A$5:$A$504,0)),""))</f>
        <v/>
      </c>
      <c r="F2337" s="20"/>
      <c r="G2337" s="22" t="str">
        <f>IF($C2337="","",IFERROR(INDEX(Productos!$F$5:$F$504,MATCH($C2337,Productos!$A$5:$A$504,0)),0))</f>
        <v/>
      </c>
      <c r="H2337" s="22" t="str">
        <f t="shared" si="36"/>
        <v/>
      </c>
      <c r="I2337" s="14" t="str">
        <f>IF(OR($C2337="",$F2337=""),"",IFERROR(INDEX(Productos!$I$5:$I$504,MATCH($C2337,Productos!$A$5:$A$504,0)),0)+SUMIFS($F$5:$F2337,$C$5:$C2337,$C2337,$B$5:$B2337,"Entrada")-SUMIFS($F$5:$F2337,$C$5:$C2337,$C2337,$B$5:$B2337,"Salida"))</f>
        <v/>
      </c>
      <c r="J2337" s="20"/>
      <c r="K2337" s="20"/>
      <c r="L2337" s="20"/>
      <c r="M2337" s="14" t="str">
        <f>IF(AND($C2337&lt;&gt;"",$C2337=Kardex!$C$4),COUNTIF($C$5:$C2337,Kardex!$C$4),"")</f>
        <v/>
      </c>
    </row>
    <row r="2338" spans="1:13" x14ac:dyDescent="0.25">
      <c r="A2338" s="24"/>
      <c r="B2338" s="20"/>
      <c r="C2338" s="20"/>
      <c r="D2338" s="14" t="str">
        <f>IF($C2338="","",IFERROR(INDEX(Productos!$B$5:$B$504,MATCH($C2338,Productos!$A$5:$A$504,0)),"Clave no existe"))</f>
        <v/>
      </c>
      <c r="E2338" s="14" t="str">
        <f>IF($C2338="","",IFERROR(INDEX(Productos!$D$5:$D$504,MATCH($C2338,Productos!$A$5:$A$504,0)),""))</f>
        <v/>
      </c>
      <c r="F2338" s="20"/>
      <c r="G2338" s="22" t="str">
        <f>IF($C2338="","",IFERROR(INDEX(Productos!$F$5:$F$504,MATCH($C2338,Productos!$A$5:$A$504,0)),0))</f>
        <v/>
      </c>
      <c r="H2338" s="22" t="str">
        <f t="shared" si="36"/>
        <v/>
      </c>
      <c r="I2338" s="14" t="str">
        <f>IF(OR($C2338="",$F2338=""),"",IFERROR(INDEX(Productos!$I$5:$I$504,MATCH($C2338,Productos!$A$5:$A$504,0)),0)+SUMIFS($F$5:$F2338,$C$5:$C2338,$C2338,$B$5:$B2338,"Entrada")-SUMIFS($F$5:$F2338,$C$5:$C2338,$C2338,$B$5:$B2338,"Salida"))</f>
        <v/>
      </c>
      <c r="J2338" s="20"/>
      <c r="K2338" s="20"/>
      <c r="L2338" s="20"/>
      <c r="M2338" s="14" t="str">
        <f>IF(AND($C2338&lt;&gt;"",$C2338=Kardex!$C$4),COUNTIF($C$5:$C2338,Kardex!$C$4),"")</f>
        <v/>
      </c>
    </row>
    <row r="2339" spans="1:13" x14ac:dyDescent="0.25">
      <c r="A2339" s="24"/>
      <c r="B2339" s="20"/>
      <c r="C2339" s="20"/>
      <c r="D2339" s="14" t="str">
        <f>IF($C2339="","",IFERROR(INDEX(Productos!$B$5:$B$504,MATCH($C2339,Productos!$A$5:$A$504,0)),"Clave no existe"))</f>
        <v/>
      </c>
      <c r="E2339" s="14" t="str">
        <f>IF($C2339="","",IFERROR(INDEX(Productos!$D$5:$D$504,MATCH($C2339,Productos!$A$5:$A$504,0)),""))</f>
        <v/>
      </c>
      <c r="F2339" s="20"/>
      <c r="G2339" s="22" t="str">
        <f>IF($C2339="","",IFERROR(INDEX(Productos!$F$5:$F$504,MATCH($C2339,Productos!$A$5:$A$504,0)),0))</f>
        <v/>
      </c>
      <c r="H2339" s="22" t="str">
        <f t="shared" si="36"/>
        <v/>
      </c>
      <c r="I2339" s="14" t="str">
        <f>IF(OR($C2339="",$F2339=""),"",IFERROR(INDEX(Productos!$I$5:$I$504,MATCH($C2339,Productos!$A$5:$A$504,0)),0)+SUMIFS($F$5:$F2339,$C$5:$C2339,$C2339,$B$5:$B2339,"Entrada")-SUMIFS($F$5:$F2339,$C$5:$C2339,$C2339,$B$5:$B2339,"Salida"))</f>
        <v/>
      </c>
      <c r="J2339" s="20"/>
      <c r="K2339" s="20"/>
      <c r="L2339" s="20"/>
      <c r="M2339" s="14" t="str">
        <f>IF(AND($C2339&lt;&gt;"",$C2339=Kardex!$C$4),COUNTIF($C$5:$C2339,Kardex!$C$4),"")</f>
        <v/>
      </c>
    </row>
    <row r="2340" spans="1:13" x14ac:dyDescent="0.25">
      <c r="A2340" s="24"/>
      <c r="B2340" s="20"/>
      <c r="C2340" s="20"/>
      <c r="D2340" s="14" t="str">
        <f>IF($C2340="","",IFERROR(INDEX(Productos!$B$5:$B$504,MATCH($C2340,Productos!$A$5:$A$504,0)),"Clave no existe"))</f>
        <v/>
      </c>
      <c r="E2340" s="14" t="str">
        <f>IF($C2340="","",IFERROR(INDEX(Productos!$D$5:$D$504,MATCH($C2340,Productos!$A$5:$A$504,0)),""))</f>
        <v/>
      </c>
      <c r="F2340" s="20"/>
      <c r="G2340" s="22" t="str">
        <f>IF($C2340="","",IFERROR(INDEX(Productos!$F$5:$F$504,MATCH($C2340,Productos!$A$5:$A$504,0)),0))</f>
        <v/>
      </c>
      <c r="H2340" s="22" t="str">
        <f t="shared" si="36"/>
        <v/>
      </c>
      <c r="I2340" s="14" t="str">
        <f>IF(OR($C2340="",$F2340=""),"",IFERROR(INDEX(Productos!$I$5:$I$504,MATCH($C2340,Productos!$A$5:$A$504,0)),0)+SUMIFS($F$5:$F2340,$C$5:$C2340,$C2340,$B$5:$B2340,"Entrada")-SUMIFS($F$5:$F2340,$C$5:$C2340,$C2340,$B$5:$B2340,"Salida"))</f>
        <v/>
      </c>
      <c r="J2340" s="20"/>
      <c r="K2340" s="20"/>
      <c r="L2340" s="20"/>
      <c r="M2340" s="14" t="str">
        <f>IF(AND($C2340&lt;&gt;"",$C2340=Kardex!$C$4),COUNTIF($C$5:$C2340,Kardex!$C$4),"")</f>
        <v/>
      </c>
    </row>
    <row r="2341" spans="1:13" x14ac:dyDescent="0.25">
      <c r="A2341" s="24"/>
      <c r="B2341" s="20"/>
      <c r="C2341" s="20"/>
      <c r="D2341" s="14" t="str">
        <f>IF($C2341="","",IFERROR(INDEX(Productos!$B$5:$B$504,MATCH($C2341,Productos!$A$5:$A$504,0)),"Clave no existe"))</f>
        <v/>
      </c>
      <c r="E2341" s="14" t="str">
        <f>IF($C2341="","",IFERROR(INDEX(Productos!$D$5:$D$504,MATCH($C2341,Productos!$A$5:$A$504,0)),""))</f>
        <v/>
      </c>
      <c r="F2341" s="20"/>
      <c r="G2341" s="22" t="str">
        <f>IF($C2341="","",IFERROR(INDEX(Productos!$F$5:$F$504,MATCH($C2341,Productos!$A$5:$A$504,0)),0))</f>
        <v/>
      </c>
      <c r="H2341" s="22" t="str">
        <f t="shared" si="36"/>
        <v/>
      </c>
      <c r="I2341" s="14" t="str">
        <f>IF(OR($C2341="",$F2341=""),"",IFERROR(INDEX(Productos!$I$5:$I$504,MATCH($C2341,Productos!$A$5:$A$504,0)),0)+SUMIFS($F$5:$F2341,$C$5:$C2341,$C2341,$B$5:$B2341,"Entrada")-SUMIFS($F$5:$F2341,$C$5:$C2341,$C2341,$B$5:$B2341,"Salida"))</f>
        <v/>
      </c>
      <c r="J2341" s="20"/>
      <c r="K2341" s="20"/>
      <c r="L2341" s="20"/>
      <c r="M2341" s="14" t="str">
        <f>IF(AND($C2341&lt;&gt;"",$C2341=Kardex!$C$4),COUNTIF($C$5:$C2341,Kardex!$C$4),"")</f>
        <v/>
      </c>
    </row>
    <row r="2342" spans="1:13" x14ac:dyDescent="0.25">
      <c r="A2342" s="24"/>
      <c r="B2342" s="20"/>
      <c r="C2342" s="20"/>
      <c r="D2342" s="14" t="str">
        <f>IF($C2342="","",IFERROR(INDEX(Productos!$B$5:$B$504,MATCH($C2342,Productos!$A$5:$A$504,0)),"Clave no existe"))</f>
        <v/>
      </c>
      <c r="E2342" s="14" t="str">
        <f>IF($C2342="","",IFERROR(INDEX(Productos!$D$5:$D$504,MATCH($C2342,Productos!$A$5:$A$504,0)),""))</f>
        <v/>
      </c>
      <c r="F2342" s="20"/>
      <c r="G2342" s="22" t="str">
        <f>IF($C2342="","",IFERROR(INDEX(Productos!$F$5:$F$504,MATCH($C2342,Productos!$A$5:$A$504,0)),0))</f>
        <v/>
      </c>
      <c r="H2342" s="22" t="str">
        <f t="shared" si="36"/>
        <v/>
      </c>
      <c r="I2342" s="14" t="str">
        <f>IF(OR($C2342="",$F2342=""),"",IFERROR(INDEX(Productos!$I$5:$I$504,MATCH($C2342,Productos!$A$5:$A$504,0)),0)+SUMIFS($F$5:$F2342,$C$5:$C2342,$C2342,$B$5:$B2342,"Entrada")-SUMIFS($F$5:$F2342,$C$5:$C2342,$C2342,$B$5:$B2342,"Salida"))</f>
        <v/>
      </c>
      <c r="J2342" s="20"/>
      <c r="K2342" s="20"/>
      <c r="L2342" s="20"/>
      <c r="M2342" s="14" t="str">
        <f>IF(AND($C2342&lt;&gt;"",$C2342=Kardex!$C$4),COUNTIF($C$5:$C2342,Kardex!$C$4),"")</f>
        <v/>
      </c>
    </row>
    <row r="2343" spans="1:13" x14ac:dyDescent="0.25">
      <c r="A2343" s="24"/>
      <c r="B2343" s="20"/>
      <c r="C2343" s="20"/>
      <c r="D2343" s="14" t="str">
        <f>IF($C2343="","",IFERROR(INDEX(Productos!$B$5:$B$504,MATCH($C2343,Productos!$A$5:$A$504,0)),"Clave no existe"))</f>
        <v/>
      </c>
      <c r="E2343" s="14" t="str">
        <f>IF($C2343="","",IFERROR(INDEX(Productos!$D$5:$D$504,MATCH($C2343,Productos!$A$5:$A$504,0)),""))</f>
        <v/>
      </c>
      <c r="F2343" s="20"/>
      <c r="G2343" s="22" t="str">
        <f>IF($C2343="","",IFERROR(INDEX(Productos!$F$5:$F$504,MATCH($C2343,Productos!$A$5:$A$504,0)),0))</f>
        <v/>
      </c>
      <c r="H2343" s="22" t="str">
        <f t="shared" si="36"/>
        <v/>
      </c>
      <c r="I2343" s="14" t="str">
        <f>IF(OR($C2343="",$F2343=""),"",IFERROR(INDEX(Productos!$I$5:$I$504,MATCH($C2343,Productos!$A$5:$A$504,0)),0)+SUMIFS($F$5:$F2343,$C$5:$C2343,$C2343,$B$5:$B2343,"Entrada")-SUMIFS($F$5:$F2343,$C$5:$C2343,$C2343,$B$5:$B2343,"Salida"))</f>
        <v/>
      </c>
      <c r="J2343" s="20"/>
      <c r="K2343" s="20"/>
      <c r="L2343" s="20"/>
      <c r="M2343" s="14" t="str">
        <f>IF(AND($C2343&lt;&gt;"",$C2343=Kardex!$C$4),COUNTIF($C$5:$C2343,Kardex!$C$4),"")</f>
        <v/>
      </c>
    </row>
    <row r="2344" spans="1:13" x14ac:dyDescent="0.25">
      <c r="A2344" s="24"/>
      <c r="B2344" s="20"/>
      <c r="C2344" s="20"/>
      <c r="D2344" s="14" t="str">
        <f>IF($C2344="","",IFERROR(INDEX(Productos!$B$5:$B$504,MATCH($C2344,Productos!$A$5:$A$504,0)),"Clave no existe"))</f>
        <v/>
      </c>
      <c r="E2344" s="14" t="str">
        <f>IF($C2344="","",IFERROR(INDEX(Productos!$D$5:$D$504,MATCH($C2344,Productos!$A$5:$A$504,0)),""))</f>
        <v/>
      </c>
      <c r="F2344" s="20"/>
      <c r="G2344" s="22" t="str">
        <f>IF($C2344="","",IFERROR(INDEX(Productos!$F$5:$F$504,MATCH($C2344,Productos!$A$5:$A$504,0)),0))</f>
        <v/>
      </c>
      <c r="H2344" s="22" t="str">
        <f t="shared" si="36"/>
        <v/>
      </c>
      <c r="I2344" s="14" t="str">
        <f>IF(OR($C2344="",$F2344=""),"",IFERROR(INDEX(Productos!$I$5:$I$504,MATCH($C2344,Productos!$A$5:$A$504,0)),0)+SUMIFS($F$5:$F2344,$C$5:$C2344,$C2344,$B$5:$B2344,"Entrada")-SUMIFS($F$5:$F2344,$C$5:$C2344,$C2344,$B$5:$B2344,"Salida"))</f>
        <v/>
      </c>
      <c r="J2344" s="20"/>
      <c r="K2344" s="20"/>
      <c r="L2344" s="20"/>
      <c r="M2344" s="14" t="str">
        <f>IF(AND($C2344&lt;&gt;"",$C2344=Kardex!$C$4),COUNTIF($C$5:$C2344,Kardex!$C$4),"")</f>
        <v/>
      </c>
    </row>
    <row r="2345" spans="1:13" x14ac:dyDescent="0.25">
      <c r="A2345" s="24"/>
      <c r="B2345" s="20"/>
      <c r="C2345" s="20"/>
      <c r="D2345" s="14" t="str">
        <f>IF($C2345="","",IFERROR(INDEX(Productos!$B$5:$B$504,MATCH($C2345,Productos!$A$5:$A$504,0)),"Clave no existe"))</f>
        <v/>
      </c>
      <c r="E2345" s="14" t="str">
        <f>IF($C2345="","",IFERROR(INDEX(Productos!$D$5:$D$504,MATCH($C2345,Productos!$A$5:$A$504,0)),""))</f>
        <v/>
      </c>
      <c r="F2345" s="20"/>
      <c r="G2345" s="22" t="str">
        <f>IF($C2345="","",IFERROR(INDEX(Productos!$F$5:$F$504,MATCH($C2345,Productos!$A$5:$A$504,0)),0))</f>
        <v/>
      </c>
      <c r="H2345" s="22" t="str">
        <f t="shared" si="36"/>
        <v/>
      </c>
      <c r="I2345" s="14" t="str">
        <f>IF(OR($C2345="",$F2345=""),"",IFERROR(INDEX(Productos!$I$5:$I$504,MATCH($C2345,Productos!$A$5:$A$504,0)),0)+SUMIFS($F$5:$F2345,$C$5:$C2345,$C2345,$B$5:$B2345,"Entrada")-SUMIFS($F$5:$F2345,$C$5:$C2345,$C2345,$B$5:$B2345,"Salida"))</f>
        <v/>
      </c>
      <c r="J2345" s="20"/>
      <c r="K2345" s="20"/>
      <c r="L2345" s="20"/>
      <c r="M2345" s="14" t="str">
        <f>IF(AND($C2345&lt;&gt;"",$C2345=Kardex!$C$4),COUNTIF($C$5:$C2345,Kardex!$C$4),"")</f>
        <v/>
      </c>
    </row>
    <row r="2346" spans="1:13" x14ac:dyDescent="0.25">
      <c r="A2346" s="24"/>
      <c r="B2346" s="20"/>
      <c r="C2346" s="20"/>
      <c r="D2346" s="14" t="str">
        <f>IF($C2346="","",IFERROR(INDEX(Productos!$B$5:$B$504,MATCH($C2346,Productos!$A$5:$A$504,0)),"Clave no existe"))</f>
        <v/>
      </c>
      <c r="E2346" s="14" t="str">
        <f>IF($C2346="","",IFERROR(INDEX(Productos!$D$5:$D$504,MATCH($C2346,Productos!$A$5:$A$504,0)),""))</f>
        <v/>
      </c>
      <c r="F2346" s="20"/>
      <c r="G2346" s="22" t="str">
        <f>IF($C2346="","",IFERROR(INDEX(Productos!$F$5:$F$504,MATCH($C2346,Productos!$A$5:$A$504,0)),0))</f>
        <v/>
      </c>
      <c r="H2346" s="22" t="str">
        <f t="shared" si="36"/>
        <v/>
      </c>
      <c r="I2346" s="14" t="str">
        <f>IF(OR($C2346="",$F2346=""),"",IFERROR(INDEX(Productos!$I$5:$I$504,MATCH($C2346,Productos!$A$5:$A$504,0)),0)+SUMIFS($F$5:$F2346,$C$5:$C2346,$C2346,$B$5:$B2346,"Entrada")-SUMIFS($F$5:$F2346,$C$5:$C2346,$C2346,$B$5:$B2346,"Salida"))</f>
        <v/>
      </c>
      <c r="J2346" s="20"/>
      <c r="K2346" s="20"/>
      <c r="L2346" s="20"/>
      <c r="M2346" s="14" t="str">
        <f>IF(AND($C2346&lt;&gt;"",$C2346=Kardex!$C$4),COUNTIF($C$5:$C2346,Kardex!$C$4),"")</f>
        <v/>
      </c>
    </row>
    <row r="2347" spans="1:13" x14ac:dyDescent="0.25">
      <c r="A2347" s="24"/>
      <c r="B2347" s="20"/>
      <c r="C2347" s="20"/>
      <c r="D2347" s="14" t="str">
        <f>IF($C2347="","",IFERROR(INDEX(Productos!$B$5:$B$504,MATCH($C2347,Productos!$A$5:$A$504,0)),"Clave no existe"))</f>
        <v/>
      </c>
      <c r="E2347" s="14" t="str">
        <f>IF($C2347="","",IFERROR(INDEX(Productos!$D$5:$D$504,MATCH($C2347,Productos!$A$5:$A$504,0)),""))</f>
        <v/>
      </c>
      <c r="F2347" s="20"/>
      <c r="G2347" s="22" t="str">
        <f>IF($C2347="","",IFERROR(INDEX(Productos!$F$5:$F$504,MATCH($C2347,Productos!$A$5:$A$504,0)),0))</f>
        <v/>
      </c>
      <c r="H2347" s="22" t="str">
        <f t="shared" si="36"/>
        <v/>
      </c>
      <c r="I2347" s="14" t="str">
        <f>IF(OR($C2347="",$F2347=""),"",IFERROR(INDEX(Productos!$I$5:$I$504,MATCH($C2347,Productos!$A$5:$A$504,0)),0)+SUMIFS($F$5:$F2347,$C$5:$C2347,$C2347,$B$5:$B2347,"Entrada")-SUMIFS($F$5:$F2347,$C$5:$C2347,$C2347,$B$5:$B2347,"Salida"))</f>
        <v/>
      </c>
      <c r="J2347" s="20"/>
      <c r="K2347" s="20"/>
      <c r="L2347" s="20"/>
      <c r="M2347" s="14" t="str">
        <f>IF(AND($C2347&lt;&gt;"",$C2347=Kardex!$C$4),COUNTIF($C$5:$C2347,Kardex!$C$4),"")</f>
        <v/>
      </c>
    </row>
    <row r="2348" spans="1:13" x14ac:dyDescent="0.25">
      <c r="A2348" s="24"/>
      <c r="B2348" s="20"/>
      <c r="C2348" s="20"/>
      <c r="D2348" s="14" t="str">
        <f>IF($C2348="","",IFERROR(INDEX(Productos!$B$5:$B$504,MATCH($C2348,Productos!$A$5:$A$504,0)),"Clave no existe"))</f>
        <v/>
      </c>
      <c r="E2348" s="14" t="str">
        <f>IF($C2348="","",IFERROR(INDEX(Productos!$D$5:$D$504,MATCH($C2348,Productos!$A$5:$A$504,0)),""))</f>
        <v/>
      </c>
      <c r="F2348" s="20"/>
      <c r="G2348" s="22" t="str">
        <f>IF($C2348="","",IFERROR(INDEX(Productos!$F$5:$F$504,MATCH($C2348,Productos!$A$5:$A$504,0)),0))</f>
        <v/>
      </c>
      <c r="H2348" s="22" t="str">
        <f t="shared" si="36"/>
        <v/>
      </c>
      <c r="I2348" s="14" t="str">
        <f>IF(OR($C2348="",$F2348=""),"",IFERROR(INDEX(Productos!$I$5:$I$504,MATCH($C2348,Productos!$A$5:$A$504,0)),0)+SUMIFS($F$5:$F2348,$C$5:$C2348,$C2348,$B$5:$B2348,"Entrada")-SUMIFS($F$5:$F2348,$C$5:$C2348,$C2348,$B$5:$B2348,"Salida"))</f>
        <v/>
      </c>
      <c r="J2348" s="20"/>
      <c r="K2348" s="20"/>
      <c r="L2348" s="20"/>
      <c r="M2348" s="14" t="str">
        <f>IF(AND($C2348&lt;&gt;"",$C2348=Kardex!$C$4),COUNTIF($C$5:$C2348,Kardex!$C$4),"")</f>
        <v/>
      </c>
    </row>
    <row r="2349" spans="1:13" x14ac:dyDescent="0.25">
      <c r="A2349" s="24"/>
      <c r="B2349" s="20"/>
      <c r="C2349" s="20"/>
      <c r="D2349" s="14" t="str">
        <f>IF($C2349="","",IFERROR(INDEX(Productos!$B$5:$B$504,MATCH($C2349,Productos!$A$5:$A$504,0)),"Clave no existe"))</f>
        <v/>
      </c>
      <c r="E2349" s="14" t="str">
        <f>IF($C2349="","",IFERROR(INDEX(Productos!$D$5:$D$504,MATCH($C2349,Productos!$A$5:$A$504,0)),""))</f>
        <v/>
      </c>
      <c r="F2349" s="20"/>
      <c r="G2349" s="22" t="str">
        <f>IF($C2349="","",IFERROR(INDEX(Productos!$F$5:$F$504,MATCH($C2349,Productos!$A$5:$A$504,0)),0))</f>
        <v/>
      </c>
      <c r="H2349" s="22" t="str">
        <f t="shared" si="36"/>
        <v/>
      </c>
      <c r="I2349" s="14" t="str">
        <f>IF(OR($C2349="",$F2349=""),"",IFERROR(INDEX(Productos!$I$5:$I$504,MATCH($C2349,Productos!$A$5:$A$504,0)),0)+SUMIFS($F$5:$F2349,$C$5:$C2349,$C2349,$B$5:$B2349,"Entrada")-SUMIFS($F$5:$F2349,$C$5:$C2349,$C2349,$B$5:$B2349,"Salida"))</f>
        <v/>
      </c>
      <c r="J2349" s="20"/>
      <c r="K2349" s="20"/>
      <c r="L2349" s="20"/>
      <c r="M2349" s="14" t="str">
        <f>IF(AND($C2349&lt;&gt;"",$C2349=Kardex!$C$4),COUNTIF($C$5:$C2349,Kardex!$C$4),"")</f>
        <v/>
      </c>
    </row>
    <row r="2350" spans="1:13" x14ac:dyDescent="0.25">
      <c r="A2350" s="24"/>
      <c r="B2350" s="20"/>
      <c r="C2350" s="20"/>
      <c r="D2350" s="14" t="str">
        <f>IF($C2350="","",IFERROR(INDEX(Productos!$B$5:$B$504,MATCH($C2350,Productos!$A$5:$A$504,0)),"Clave no existe"))</f>
        <v/>
      </c>
      <c r="E2350" s="14" t="str">
        <f>IF($C2350="","",IFERROR(INDEX(Productos!$D$5:$D$504,MATCH($C2350,Productos!$A$5:$A$504,0)),""))</f>
        <v/>
      </c>
      <c r="F2350" s="20"/>
      <c r="G2350" s="22" t="str">
        <f>IF($C2350="","",IFERROR(INDEX(Productos!$F$5:$F$504,MATCH($C2350,Productos!$A$5:$A$504,0)),0))</f>
        <v/>
      </c>
      <c r="H2350" s="22" t="str">
        <f t="shared" si="36"/>
        <v/>
      </c>
      <c r="I2350" s="14" t="str">
        <f>IF(OR($C2350="",$F2350=""),"",IFERROR(INDEX(Productos!$I$5:$I$504,MATCH($C2350,Productos!$A$5:$A$504,0)),0)+SUMIFS($F$5:$F2350,$C$5:$C2350,$C2350,$B$5:$B2350,"Entrada")-SUMIFS($F$5:$F2350,$C$5:$C2350,$C2350,$B$5:$B2350,"Salida"))</f>
        <v/>
      </c>
      <c r="J2350" s="20"/>
      <c r="K2350" s="20"/>
      <c r="L2350" s="20"/>
      <c r="M2350" s="14" t="str">
        <f>IF(AND($C2350&lt;&gt;"",$C2350=Kardex!$C$4),COUNTIF($C$5:$C2350,Kardex!$C$4),"")</f>
        <v/>
      </c>
    </row>
    <row r="2351" spans="1:13" x14ac:dyDescent="0.25">
      <c r="A2351" s="24"/>
      <c r="B2351" s="20"/>
      <c r="C2351" s="20"/>
      <c r="D2351" s="14" t="str">
        <f>IF($C2351="","",IFERROR(INDEX(Productos!$B$5:$B$504,MATCH($C2351,Productos!$A$5:$A$504,0)),"Clave no existe"))</f>
        <v/>
      </c>
      <c r="E2351" s="14" t="str">
        <f>IF($C2351="","",IFERROR(INDEX(Productos!$D$5:$D$504,MATCH($C2351,Productos!$A$5:$A$504,0)),""))</f>
        <v/>
      </c>
      <c r="F2351" s="20"/>
      <c r="G2351" s="22" t="str">
        <f>IF($C2351="","",IFERROR(INDEX(Productos!$F$5:$F$504,MATCH($C2351,Productos!$A$5:$A$504,0)),0))</f>
        <v/>
      </c>
      <c r="H2351" s="22" t="str">
        <f t="shared" si="36"/>
        <v/>
      </c>
      <c r="I2351" s="14" t="str">
        <f>IF(OR($C2351="",$F2351=""),"",IFERROR(INDEX(Productos!$I$5:$I$504,MATCH($C2351,Productos!$A$5:$A$504,0)),0)+SUMIFS($F$5:$F2351,$C$5:$C2351,$C2351,$B$5:$B2351,"Entrada")-SUMIFS($F$5:$F2351,$C$5:$C2351,$C2351,$B$5:$B2351,"Salida"))</f>
        <v/>
      </c>
      <c r="J2351" s="20"/>
      <c r="K2351" s="20"/>
      <c r="L2351" s="20"/>
      <c r="M2351" s="14" t="str">
        <f>IF(AND($C2351&lt;&gt;"",$C2351=Kardex!$C$4),COUNTIF($C$5:$C2351,Kardex!$C$4),"")</f>
        <v/>
      </c>
    </row>
    <row r="2352" spans="1:13" x14ac:dyDescent="0.25">
      <c r="A2352" s="24"/>
      <c r="B2352" s="20"/>
      <c r="C2352" s="20"/>
      <c r="D2352" s="14" t="str">
        <f>IF($C2352="","",IFERROR(INDEX(Productos!$B$5:$B$504,MATCH($C2352,Productos!$A$5:$A$504,0)),"Clave no existe"))</f>
        <v/>
      </c>
      <c r="E2352" s="14" t="str">
        <f>IF($C2352="","",IFERROR(INDEX(Productos!$D$5:$D$504,MATCH($C2352,Productos!$A$5:$A$504,0)),""))</f>
        <v/>
      </c>
      <c r="F2352" s="20"/>
      <c r="G2352" s="22" t="str">
        <f>IF($C2352="","",IFERROR(INDEX(Productos!$F$5:$F$504,MATCH($C2352,Productos!$A$5:$A$504,0)),0))</f>
        <v/>
      </c>
      <c r="H2352" s="22" t="str">
        <f t="shared" si="36"/>
        <v/>
      </c>
      <c r="I2352" s="14" t="str">
        <f>IF(OR($C2352="",$F2352=""),"",IFERROR(INDEX(Productos!$I$5:$I$504,MATCH($C2352,Productos!$A$5:$A$504,0)),0)+SUMIFS($F$5:$F2352,$C$5:$C2352,$C2352,$B$5:$B2352,"Entrada")-SUMIFS($F$5:$F2352,$C$5:$C2352,$C2352,$B$5:$B2352,"Salida"))</f>
        <v/>
      </c>
      <c r="J2352" s="20"/>
      <c r="K2352" s="20"/>
      <c r="L2352" s="20"/>
      <c r="M2352" s="14" t="str">
        <f>IF(AND($C2352&lt;&gt;"",$C2352=Kardex!$C$4),COUNTIF($C$5:$C2352,Kardex!$C$4),"")</f>
        <v/>
      </c>
    </row>
    <row r="2353" spans="1:13" x14ac:dyDescent="0.25">
      <c r="A2353" s="24"/>
      <c r="B2353" s="20"/>
      <c r="C2353" s="20"/>
      <c r="D2353" s="14" t="str">
        <f>IF($C2353="","",IFERROR(INDEX(Productos!$B$5:$B$504,MATCH($C2353,Productos!$A$5:$A$504,0)),"Clave no existe"))</f>
        <v/>
      </c>
      <c r="E2353" s="14" t="str">
        <f>IF($C2353="","",IFERROR(INDEX(Productos!$D$5:$D$504,MATCH($C2353,Productos!$A$5:$A$504,0)),""))</f>
        <v/>
      </c>
      <c r="F2353" s="20"/>
      <c r="G2353" s="22" t="str">
        <f>IF($C2353="","",IFERROR(INDEX(Productos!$F$5:$F$504,MATCH($C2353,Productos!$A$5:$A$504,0)),0))</f>
        <v/>
      </c>
      <c r="H2353" s="22" t="str">
        <f t="shared" si="36"/>
        <v/>
      </c>
      <c r="I2353" s="14" t="str">
        <f>IF(OR($C2353="",$F2353=""),"",IFERROR(INDEX(Productos!$I$5:$I$504,MATCH($C2353,Productos!$A$5:$A$504,0)),0)+SUMIFS($F$5:$F2353,$C$5:$C2353,$C2353,$B$5:$B2353,"Entrada")-SUMIFS($F$5:$F2353,$C$5:$C2353,$C2353,$B$5:$B2353,"Salida"))</f>
        <v/>
      </c>
      <c r="J2353" s="20"/>
      <c r="K2353" s="20"/>
      <c r="L2353" s="20"/>
      <c r="M2353" s="14" t="str">
        <f>IF(AND($C2353&lt;&gt;"",$C2353=Kardex!$C$4),COUNTIF($C$5:$C2353,Kardex!$C$4),"")</f>
        <v/>
      </c>
    </row>
    <row r="2354" spans="1:13" x14ac:dyDescent="0.25">
      <c r="A2354" s="24"/>
      <c r="B2354" s="20"/>
      <c r="C2354" s="20"/>
      <c r="D2354" s="14" t="str">
        <f>IF($C2354="","",IFERROR(INDEX(Productos!$B$5:$B$504,MATCH($C2354,Productos!$A$5:$A$504,0)),"Clave no existe"))</f>
        <v/>
      </c>
      <c r="E2354" s="14" t="str">
        <f>IF($C2354="","",IFERROR(INDEX(Productos!$D$5:$D$504,MATCH($C2354,Productos!$A$5:$A$504,0)),""))</f>
        <v/>
      </c>
      <c r="F2354" s="20"/>
      <c r="G2354" s="22" t="str">
        <f>IF($C2354="","",IFERROR(INDEX(Productos!$F$5:$F$504,MATCH($C2354,Productos!$A$5:$A$504,0)),0))</f>
        <v/>
      </c>
      <c r="H2354" s="22" t="str">
        <f t="shared" si="36"/>
        <v/>
      </c>
      <c r="I2354" s="14" t="str">
        <f>IF(OR($C2354="",$F2354=""),"",IFERROR(INDEX(Productos!$I$5:$I$504,MATCH($C2354,Productos!$A$5:$A$504,0)),0)+SUMIFS($F$5:$F2354,$C$5:$C2354,$C2354,$B$5:$B2354,"Entrada")-SUMIFS($F$5:$F2354,$C$5:$C2354,$C2354,$B$5:$B2354,"Salida"))</f>
        <v/>
      </c>
      <c r="J2354" s="20"/>
      <c r="K2354" s="20"/>
      <c r="L2354" s="20"/>
      <c r="M2354" s="14" t="str">
        <f>IF(AND($C2354&lt;&gt;"",$C2354=Kardex!$C$4),COUNTIF($C$5:$C2354,Kardex!$C$4),"")</f>
        <v/>
      </c>
    </row>
    <row r="2355" spans="1:13" x14ac:dyDescent="0.25">
      <c r="A2355" s="24"/>
      <c r="B2355" s="20"/>
      <c r="C2355" s="20"/>
      <c r="D2355" s="14" t="str">
        <f>IF($C2355="","",IFERROR(INDEX(Productos!$B$5:$B$504,MATCH($C2355,Productos!$A$5:$A$504,0)),"Clave no existe"))</f>
        <v/>
      </c>
      <c r="E2355" s="14" t="str">
        <f>IF($C2355="","",IFERROR(INDEX(Productos!$D$5:$D$504,MATCH($C2355,Productos!$A$5:$A$504,0)),""))</f>
        <v/>
      </c>
      <c r="F2355" s="20"/>
      <c r="G2355" s="22" t="str">
        <f>IF($C2355="","",IFERROR(INDEX(Productos!$F$5:$F$504,MATCH($C2355,Productos!$A$5:$A$504,0)),0))</f>
        <v/>
      </c>
      <c r="H2355" s="22" t="str">
        <f t="shared" si="36"/>
        <v/>
      </c>
      <c r="I2355" s="14" t="str">
        <f>IF(OR($C2355="",$F2355=""),"",IFERROR(INDEX(Productos!$I$5:$I$504,MATCH($C2355,Productos!$A$5:$A$504,0)),0)+SUMIFS($F$5:$F2355,$C$5:$C2355,$C2355,$B$5:$B2355,"Entrada")-SUMIFS($F$5:$F2355,$C$5:$C2355,$C2355,$B$5:$B2355,"Salida"))</f>
        <v/>
      </c>
      <c r="J2355" s="20"/>
      <c r="K2355" s="20"/>
      <c r="L2355" s="20"/>
      <c r="M2355" s="14" t="str">
        <f>IF(AND($C2355&lt;&gt;"",$C2355=Kardex!$C$4),COUNTIF($C$5:$C2355,Kardex!$C$4),"")</f>
        <v/>
      </c>
    </row>
    <row r="2356" spans="1:13" x14ac:dyDescent="0.25">
      <c r="A2356" s="24"/>
      <c r="B2356" s="20"/>
      <c r="C2356" s="20"/>
      <c r="D2356" s="14" t="str">
        <f>IF($C2356="","",IFERROR(INDEX(Productos!$B$5:$B$504,MATCH($C2356,Productos!$A$5:$A$504,0)),"Clave no existe"))</f>
        <v/>
      </c>
      <c r="E2356" s="14" t="str">
        <f>IF($C2356="","",IFERROR(INDEX(Productos!$D$5:$D$504,MATCH($C2356,Productos!$A$5:$A$504,0)),""))</f>
        <v/>
      </c>
      <c r="F2356" s="20"/>
      <c r="G2356" s="22" t="str">
        <f>IF($C2356="","",IFERROR(INDEX(Productos!$F$5:$F$504,MATCH($C2356,Productos!$A$5:$A$504,0)),0))</f>
        <v/>
      </c>
      <c r="H2356" s="22" t="str">
        <f t="shared" si="36"/>
        <v/>
      </c>
      <c r="I2356" s="14" t="str">
        <f>IF(OR($C2356="",$F2356=""),"",IFERROR(INDEX(Productos!$I$5:$I$504,MATCH($C2356,Productos!$A$5:$A$504,0)),0)+SUMIFS($F$5:$F2356,$C$5:$C2356,$C2356,$B$5:$B2356,"Entrada")-SUMIFS($F$5:$F2356,$C$5:$C2356,$C2356,$B$5:$B2356,"Salida"))</f>
        <v/>
      </c>
      <c r="J2356" s="20"/>
      <c r="K2356" s="20"/>
      <c r="L2356" s="20"/>
      <c r="M2356" s="14" t="str">
        <f>IF(AND($C2356&lt;&gt;"",$C2356=Kardex!$C$4),COUNTIF($C$5:$C2356,Kardex!$C$4),"")</f>
        <v/>
      </c>
    </row>
    <row r="2357" spans="1:13" x14ac:dyDescent="0.25">
      <c r="A2357" s="24"/>
      <c r="B2357" s="20"/>
      <c r="C2357" s="20"/>
      <c r="D2357" s="14" t="str">
        <f>IF($C2357="","",IFERROR(INDEX(Productos!$B$5:$B$504,MATCH($C2357,Productos!$A$5:$A$504,0)),"Clave no existe"))</f>
        <v/>
      </c>
      <c r="E2357" s="14" t="str">
        <f>IF($C2357="","",IFERROR(INDEX(Productos!$D$5:$D$504,MATCH($C2357,Productos!$A$5:$A$504,0)),""))</f>
        <v/>
      </c>
      <c r="F2357" s="20"/>
      <c r="G2357" s="22" t="str">
        <f>IF($C2357="","",IFERROR(INDEX(Productos!$F$5:$F$504,MATCH($C2357,Productos!$A$5:$A$504,0)),0))</f>
        <v/>
      </c>
      <c r="H2357" s="22" t="str">
        <f t="shared" si="36"/>
        <v/>
      </c>
      <c r="I2357" s="14" t="str">
        <f>IF(OR($C2357="",$F2357=""),"",IFERROR(INDEX(Productos!$I$5:$I$504,MATCH($C2357,Productos!$A$5:$A$504,0)),0)+SUMIFS($F$5:$F2357,$C$5:$C2357,$C2357,$B$5:$B2357,"Entrada")-SUMIFS($F$5:$F2357,$C$5:$C2357,$C2357,$B$5:$B2357,"Salida"))</f>
        <v/>
      </c>
      <c r="J2357" s="20"/>
      <c r="K2357" s="20"/>
      <c r="L2357" s="20"/>
      <c r="M2357" s="14" t="str">
        <f>IF(AND($C2357&lt;&gt;"",$C2357=Kardex!$C$4),COUNTIF($C$5:$C2357,Kardex!$C$4),"")</f>
        <v/>
      </c>
    </row>
    <row r="2358" spans="1:13" x14ac:dyDescent="0.25">
      <c r="A2358" s="24"/>
      <c r="B2358" s="20"/>
      <c r="C2358" s="20"/>
      <c r="D2358" s="14" t="str">
        <f>IF($C2358="","",IFERROR(INDEX(Productos!$B$5:$B$504,MATCH($C2358,Productos!$A$5:$A$504,0)),"Clave no existe"))</f>
        <v/>
      </c>
      <c r="E2358" s="14" t="str">
        <f>IF($C2358="","",IFERROR(INDEX(Productos!$D$5:$D$504,MATCH($C2358,Productos!$A$5:$A$504,0)),""))</f>
        <v/>
      </c>
      <c r="F2358" s="20"/>
      <c r="G2358" s="22" t="str">
        <f>IF($C2358="","",IFERROR(INDEX(Productos!$F$5:$F$504,MATCH($C2358,Productos!$A$5:$A$504,0)),0))</f>
        <v/>
      </c>
      <c r="H2358" s="22" t="str">
        <f t="shared" si="36"/>
        <v/>
      </c>
      <c r="I2358" s="14" t="str">
        <f>IF(OR($C2358="",$F2358=""),"",IFERROR(INDEX(Productos!$I$5:$I$504,MATCH($C2358,Productos!$A$5:$A$504,0)),0)+SUMIFS($F$5:$F2358,$C$5:$C2358,$C2358,$B$5:$B2358,"Entrada")-SUMIFS($F$5:$F2358,$C$5:$C2358,$C2358,$B$5:$B2358,"Salida"))</f>
        <v/>
      </c>
      <c r="J2358" s="20"/>
      <c r="K2358" s="20"/>
      <c r="L2358" s="20"/>
      <c r="M2358" s="14" t="str">
        <f>IF(AND($C2358&lt;&gt;"",$C2358=Kardex!$C$4),COUNTIF($C$5:$C2358,Kardex!$C$4),"")</f>
        <v/>
      </c>
    </row>
    <row r="2359" spans="1:13" x14ac:dyDescent="0.25">
      <c r="A2359" s="24"/>
      <c r="B2359" s="20"/>
      <c r="C2359" s="20"/>
      <c r="D2359" s="14" t="str">
        <f>IF($C2359="","",IFERROR(INDEX(Productos!$B$5:$B$504,MATCH($C2359,Productos!$A$5:$A$504,0)),"Clave no existe"))</f>
        <v/>
      </c>
      <c r="E2359" s="14" t="str">
        <f>IF($C2359="","",IFERROR(INDEX(Productos!$D$5:$D$504,MATCH($C2359,Productos!$A$5:$A$504,0)),""))</f>
        <v/>
      </c>
      <c r="F2359" s="20"/>
      <c r="G2359" s="22" t="str">
        <f>IF($C2359="","",IFERROR(INDEX(Productos!$F$5:$F$504,MATCH($C2359,Productos!$A$5:$A$504,0)),0))</f>
        <v/>
      </c>
      <c r="H2359" s="22" t="str">
        <f t="shared" si="36"/>
        <v/>
      </c>
      <c r="I2359" s="14" t="str">
        <f>IF(OR($C2359="",$F2359=""),"",IFERROR(INDEX(Productos!$I$5:$I$504,MATCH($C2359,Productos!$A$5:$A$504,0)),0)+SUMIFS($F$5:$F2359,$C$5:$C2359,$C2359,$B$5:$B2359,"Entrada")-SUMIFS($F$5:$F2359,$C$5:$C2359,$C2359,$B$5:$B2359,"Salida"))</f>
        <v/>
      </c>
      <c r="J2359" s="20"/>
      <c r="K2359" s="20"/>
      <c r="L2359" s="20"/>
      <c r="M2359" s="14" t="str">
        <f>IF(AND($C2359&lt;&gt;"",$C2359=Kardex!$C$4),COUNTIF($C$5:$C2359,Kardex!$C$4),"")</f>
        <v/>
      </c>
    </row>
    <row r="2360" spans="1:13" x14ac:dyDescent="0.25">
      <c r="A2360" s="24"/>
      <c r="B2360" s="20"/>
      <c r="C2360" s="20"/>
      <c r="D2360" s="14" t="str">
        <f>IF($C2360="","",IFERROR(INDEX(Productos!$B$5:$B$504,MATCH($C2360,Productos!$A$5:$A$504,0)),"Clave no existe"))</f>
        <v/>
      </c>
      <c r="E2360" s="14" t="str">
        <f>IF($C2360="","",IFERROR(INDEX(Productos!$D$5:$D$504,MATCH($C2360,Productos!$A$5:$A$504,0)),""))</f>
        <v/>
      </c>
      <c r="F2360" s="20"/>
      <c r="G2360" s="22" t="str">
        <f>IF($C2360="","",IFERROR(INDEX(Productos!$F$5:$F$504,MATCH($C2360,Productos!$A$5:$A$504,0)),0))</f>
        <v/>
      </c>
      <c r="H2360" s="22" t="str">
        <f t="shared" si="36"/>
        <v/>
      </c>
      <c r="I2360" s="14" t="str">
        <f>IF(OR($C2360="",$F2360=""),"",IFERROR(INDEX(Productos!$I$5:$I$504,MATCH($C2360,Productos!$A$5:$A$504,0)),0)+SUMIFS($F$5:$F2360,$C$5:$C2360,$C2360,$B$5:$B2360,"Entrada")-SUMIFS($F$5:$F2360,$C$5:$C2360,$C2360,$B$5:$B2360,"Salida"))</f>
        <v/>
      </c>
      <c r="J2360" s="20"/>
      <c r="K2360" s="20"/>
      <c r="L2360" s="20"/>
      <c r="M2360" s="14" t="str">
        <f>IF(AND($C2360&lt;&gt;"",$C2360=Kardex!$C$4),COUNTIF($C$5:$C2360,Kardex!$C$4),"")</f>
        <v/>
      </c>
    </row>
    <row r="2361" spans="1:13" x14ac:dyDescent="0.25">
      <c r="A2361" s="24"/>
      <c r="B2361" s="20"/>
      <c r="C2361" s="20"/>
      <c r="D2361" s="14" t="str">
        <f>IF($C2361="","",IFERROR(INDEX(Productos!$B$5:$B$504,MATCH($C2361,Productos!$A$5:$A$504,0)),"Clave no existe"))</f>
        <v/>
      </c>
      <c r="E2361" s="14" t="str">
        <f>IF($C2361="","",IFERROR(INDEX(Productos!$D$5:$D$504,MATCH($C2361,Productos!$A$5:$A$504,0)),""))</f>
        <v/>
      </c>
      <c r="F2361" s="20"/>
      <c r="G2361" s="22" t="str">
        <f>IF($C2361="","",IFERROR(INDEX(Productos!$F$5:$F$504,MATCH($C2361,Productos!$A$5:$A$504,0)),0))</f>
        <v/>
      </c>
      <c r="H2361" s="22" t="str">
        <f t="shared" si="36"/>
        <v/>
      </c>
      <c r="I2361" s="14" t="str">
        <f>IF(OR($C2361="",$F2361=""),"",IFERROR(INDEX(Productos!$I$5:$I$504,MATCH($C2361,Productos!$A$5:$A$504,0)),0)+SUMIFS($F$5:$F2361,$C$5:$C2361,$C2361,$B$5:$B2361,"Entrada")-SUMIFS($F$5:$F2361,$C$5:$C2361,$C2361,$B$5:$B2361,"Salida"))</f>
        <v/>
      </c>
      <c r="J2361" s="20"/>
      <c r="K2361" s="20"/>
      <c r="L2361" s="20"/>
      <c r="M2361" s="14" t="str">
        <f>IF(AND($C2361&lt;&gt;"",$C2361=Kardex!$C$4),COUNTIF($C$5:$C2361,Kardex!$C$4),"")</f>
        <v/>
      </c>
    </row>
    <row r="2362" spans="1:13" x14ac:dyDescent="0.25">
      <c r="A2362" s="24"/>
      <c r="B2362" s="20"/>
      <c r="C2362" s="20"/>
      <c r="D2362" s="14" t="str">
        <f>IF($C2362="","",IFERROR(INDEX(Productos!$B$5:$B$504,MATCH($C2362,Productos!$A$5:$A$504,0)),"Clave no existe"))</f>
        <v/>
      </c>
      <c r="E2362" s="14" t="str">
        <f>IF($C2362="","",IFERROR(INDEX(Productos!$D$5:$D$504,MATCH($C2362,Productos!$A$5:$A$504,0)),""))</f>
        <v/>
      </c>
      <c r="F2362" s="20"/>
      <c r="G2362" s="22" t="str">
        <f>IF($C2362="","",IFERROR(INDEX(Productos!$F$5:$F$504,MATCH($C2362,Productos!$A$5:$A$504,0)),0))</f>
        <v/>
      </c>
      <c r="H2362" s="22" t="str">
        <f t="shared" si="36"/>
        <v/>
      </c>
      <c r="I2362" s="14" t="str">
        <f>IF(OR($C2362="",$F2362=""),"",IFERROR(INDEX(Productos!$I$5:$I$504,MATCH($C2362,Productos!$A$5:$A$504,0)),0)+SUMIFS($F$5:$F2362,$C$5:$C2362,$C2362,$B$5:$B2362,"Entrada")-SUMIFS($F$5:$F2362,$C$5:$C2362,$C2362,$B$5:$B2362,"Salida"))</f>
        <v/>
      </c>
      <c r="J2362" s="20"/>
      <c r="K2362" s="20"/>
      <c r="L2362" s="20"/>
      <c r="M2362" s="14" t="str">
        <f>IF(AND($C2362&lt;&gt;"",$C2362=Kardex!$C$4),COUNTIF($C$5:$C2362,Kardex!$C$4),"")</f>
        <v/>
      </c>
    </row>
    <row r="2363" spans="1:13" x14ac:dyDescent="0.25">
      <c r="A2363" s="24"/>
      <c r="B2363" s="20"/>
      <c r="C2363" s="20"/>
      <c r="D2363" s="14" t="str">
        <f>IF($C2363="","",IFERROR(INDEX(Productos!$B$5:$B$504,MATCH($C2363,Productos!$A$5:$A$504,0)),"Clave no existe"))</f>
        <v/>
      </c>
      <c r="E2363" s="14" t="str">
        <f>IF($C2363="","",IFERROR(INDEX(Productos!$D$5:$D$504,MATCH($C2363,Productos!$A$5:$A$504,0)),""))</f>
        <v/>
      </c>
      <c r="F2363" s="20"/>
      <c r="G2363" s="22" t="str">
        <f>IF($C2363="","",IFERROR(INDEX(Productos!$F$5:$F$504,MATCH($C2363,Productos!$A$5:$A$504,0)),0))</f>
        <v/>
      </c>
      <c r="H2363" s="22" t="str">
        <f t="shared" si="36"/>
        <v/>
      </c>
      <c r="I2363" s="14" t="str">
        <f>IF(OR($C2363="",$F2363=""),"",IFERROR(INDEX(Productos!$I$5:$I$504,MATCH($C2363,Productos!$A$5:$A$504,0)),0)+SUMIFS($F$5:$F2363,$C$5:$C2363,$C2363,$B$5:$B2363,"Entrada")-SUMIFS($F$5:$F2363,$C$5:$C2363,$C2363,$B$5:$B2363,"Salida"))</f>
        <v/>
      </c>
      <c r="J2363" s="20"/>
      <c r="K2363" s="20"/>
      <c r="L2363" s="20"/>
      <c r="M2363" s="14" t="str">
        <f>IF(AND($C2363&lt;&gt;"",$C2363=Kardex!$C$4),COUNTIF($C$5:$C2363,Kardex!$C$4),"")</f>
        <v/>
      </c>
    </row>
    <row r="2364" spans="1:13" x14ac:dyDescent="0.25">
      <c r="A2364" s="24"/>
      <c r="B2364" s="20"/>
      <c r="C2364" s="20"/>
      <c r="D2364" s="14" t="str">
        <f>IF($C2364="","",IFERROR(INDEX(Productos!$B$5:$B$504,MATCH($C2364,Productos!$A$5:$A$504,0)),"Clave no existe"))</f>
        <v/>
      </c>
      <c r="E2364" s="14" t="str">
        <f>IF($C2364="","",IFERROR(INDEX(Productos!$D$5:$D$504,MATCH($C2364,Productos!$A$5:$A$504,0)),""))</f>
        <v/>
      </c>
      <c r="F2364" s="20"/>
      <c r="G2364" s="22" t="str">
        <f>IF($C2364="","",IFERROR(INDEX(Productos!$F$5:$F$504,MATCH($C2364,Productos!$A$5:$A$504,0)),0))</f>
        <v/>
      </c>
      <c r="H2364" s="22" t="str">
        <f t="shared" si="36"/>
        <v/>
      </c>
      <c r="I2364" s="14" t="str">
        <f>IF(OR($C2364="",$F2364=""),"",IFERROR(INDEX(Productos!$I$5:$I$504,MATCH($C2364,Productos!$A$5:$A$504,0)),0)+SUMIFS($F$5:$F2364,$C$5:$C2364,$C2364,$B$5:$B2364,"Entrada")-SUMIFS($F$5:$F2364,$C$5:$C2364,$C2364,$B$5:$B2364,"Salida"))</f>
        <v/>
      </c>
      <c r="J2364" s="20"/>
      <c r="K2364" s="20"/>
      <c r="L2364" s="20"/>
      <c r="M2364" s="14" t="str">
        <f>IF(AND($C2364&lt;&gt;"",$C2364=Kardex!$C$4),COUNTIF($C$5:$C2364,Kardex!$C$4),"")</f>
        <v/>
      </c>
    </row>
    <row r="2365" spans="1:13" x14ac:dyDescent="0.25">
      <c r="A2365" s="24"/>
      <c r="B2365" s="20"/>
      <c r="C2365" s="20"/>
      <c r="D2365" s="14" t="str">
        <f>IF($C2365="","",IFERROR(INDEX(Productos!$B$5:$B$504,MATCH($C2365,Productos!$A$5:$A$504,0)),"Clave no existe"))</f>
        <v/>
      </c>
      <c r="E2365" s="14" t="str">
        <f>IF($C2365="","",IFERROR(INDEX(Productos!$D$5:$D$504,MATCH($C2365,Productos!$A$5:$A$504,0)),""))</f>
        <v/>
      </c>
      <c r="F2365" s="20"/>
      <c r="G2365" s="22" t="str">
        <f>IF($C2365="","",IFERROR(INDEX(Productos!$F$5:$F$504,MATCH($C2365,Productos!$A$5:$A$504,0)),0))</f>
        <v/>
      </c>
      <c r="H2365" s="22" t="str">
        <f t="shared" si="36"/>
        <v/>
      </c>
      <c r="I2365" s="14" t="str">
        <f>IF(OR($C2365="",$F2365=""),"",IFERROR(INDEX(Productos!$I$5:$I$504,MATCH($C2365,Productos!$A$5:$A$504,0)),0)+SUMIFS($F$5:$F2365,$C$5:$C2365,$C2365,$B$5:$B2365,"Entrada")-SUMIFS($F$5:$F2365,$C$5:$C2365,$C2365,$B$5:$B2365,"Salida"))</f>
        <v/>
      </c>
      <c r="J2365" s="20"/>
      <c r="K2365" s="20"/>
      <c r="L2365" s="20"/>
      <c r="M2365" s="14" t="str">
        <f>IF(AND($C2365&lt;&gt;"",$C2365=Kardex!$C$4),COUNTIF($C$5:$C2365,Kardex!$C$4),"")</f>
        <v/>
      </c>
    </row>
    <row r="2366" spans="1:13" x14ac:dyDescent="0.25">
      <c r="A2366" s="24"/>
      <c r="B2366" s="20"/>
      <c r="C2366" s="20"/>
      <c r="D2366" s="14" t="str">
        <f>IF($C2366="","",IFERROR(INDEX(Productos!$B$5:$B$504,MATCH($C2366,Productos!$A$5:$A$504,0)),"Clave no existe"))</f>
        <v/>
      </c>
      <c r="E2366" s="14" t="str">
        <f>IF($C2366="","",IFERROR(INDEX(Productos!$D$5:$D$504,MATCH($C2366,Productos!$A$5:$A$504,0)),""))</f>
        <v/>
      </c>
      <c r="F2366" s="20"/>
      <c r="G2366" s="22" t="str">
        <f>IF($C2366="","",IFERROR(INDEX(Productos!$F$5:$F$504,MATCH($C2366,Productos!$A$5:$A$504,0)),0))</f>
        <v/>
      </c>
      <c r="H2366" s="22" t="str">
        <f t="shared" si="36"/>
        <v/>
      </c>
      <c r="I2366" s="14" t="str">
        <f>IF(OR($C2366="",$F2366=""),"",IFERROR(INDEX(Productos!$I$5:$I$504,MATCH($C2366,Productos!$A$5:$A$504,0)),0)+SUMIFS($F$5:$F2366,$C$5:$C2366,$C2366,$B$5:$B2366,"Entrada")-SUMIFS($F$5:$F2366,$C$5:$C2366,$C2366,$B$5:$B2366,"Salida"))</f>
        <v/>
      </c>
      <c r="J2366" s="20"/>
      <c r="K2366" s="20"/>
      <c r="L2366" s="20"/>
      <c r="M2366" s="14" t="str">
        <f>IF(AND($C2366&lt;&gt;"",$C2366=Kardex!$C$4),COUNTIF($C$5:$C2366,Kardex!$C$4),"")</f>
        <v/>
      </c>
    </row>
    <row r="2367" spans="1:13" x14ac:dyDescent="0.25">
      <c r="A2367" s="24"/>
      <c r="B2367" s="20"/>
      <c r="C2367" s="20"/>
      <c r="D2367" s="14" t="str">
        <f>IF($C2367="","",IFERROR(INDEX(Productos!$B$5:$B$504,MATCH($C2367,Productos!$A$5:$A$504,0)),"Clave no existe"))</f>
        <v/>
      </c>
      <c r="E2367" s="14" t="str">
        <f>IF($C2367="","",IFERROR(INDEX(Productos!$D$5:$D$504,MATCH($C2367,Productos!$A$5:$A$504,0)),""))</f>
        <v/>
      </c>
      <c r="F2367" s="20"/>
      <c r="G2367" s="22" t="str">
        <f>IF($C2367="","",IFERROR(INDEX(Productos!$F$5:$F$504,MATCH($C2367,Productos!$A$5:$A$504,0)),0))</f>
        <v/>
      </c>
      <c r="H2367" s="22" t="str">
        <f t="shared" si="36"/>
        <v/>
      </c>
      <c r="I2367" s="14" t="str">
        <f>IF(OR($C2367="",$F2367=""),"",IFERROR(INDEX(Productos!$I$5:$I$504,MATCH($C2367,Productos!$A$5:$A$504,0)),0)+SUMIFS($F$5:$F2367,$C$5:$C2367,$C2367,$B$5:$B2367,"Entrada")-SUMIFS($F$5:$F2367,$C$5:$C2367,$C2367,$B$5:$B2367,"Salida"))</f>
        <v/>
      </c>
      <c r="J2367" s="20"/>
      <c r="K2367" s="20"/>
      <c r="L2367" s="20"/>
      <c r="M2367" s="14" t="str">
        <f>IF(AND($C2367&lt;&gt;"",$C2367=Kardex!$C$4),COUNTIF($C$5:$C2367,Kardex!$C$4),"")</f>
        <v/>
      </c>
    </row>
    <row r="2368" spans="1:13" x14ac:dyDescent="0.25">
      <c r="A2368" s="24"/>
      <c r="B2368" s="20"/>
      <c r="C2368" s="20"/>
      <c r="D2368" s="14" t="str">
        <f>IF($C2368="","",IFERROR(INDEX(Productos!$B$5:$B$504,MATCH($C2368,Productos!$A$5:$A$504,0)),"Clave no existe"))</f>
        <v/>
      </c>
      <c r="E2368" s="14" t="str">
        <f>IF($C2368="","",IFERROR(INDEX(Productos!$D$5:$D$504,MATCH($C2368,Productos!$A$5:$A$504,0)),""))</f>
        <v/>
      </c>
      <c r="F2368" s="20"/>
      <c r="G2368" s="22" t="str">
        <f>IF($C2368="","",IFERROR(INDEX(Productos!$F$5:$F$504,MATCH($C2368,Productos!$A$5:$A$504,0)),0))</f>
        <v/>
      </c>
      <c r="H2368" s="22" t="str">
        <f t="shared" si="36"/>
        <v/>
      </c>
      <c r="I2368" s="14" t="str">
        <f>IF(OR($C2368="",$F2368=""),"",IFERROR(INDEX(Productos!$I$5:$I$504,MATCH($C2368,Productos!$A$5:$A$504,0)),0)+SUMIFS($F$5:$F2368,$C$5:$C2368,$C2368,$B$5:$B2368,"Entrada")-SUMIFS($F$5:$F2368,$C$5:$C2368,$C2368,$B$5:$B2368,"Salida"))</f>
        <v/>
      </c>
      <c r="J2368" s="20"/>
      <c r="K2368" s="20"/>
      <c r="L2368" s="20"/>
      <c r="M2368" s="14" t="str">
        <f>IF(AND($C2368&lt;&gt;"",$C2368=Kardex!$C$4),COUNTIF($C$5:$C2368,Kardex!$C$4),"")</f>
        <v/>
      </c>
    </row>
    <row r="2369" spans="1:13" x14ac:dyDescent="0.25">
      <c r="A2369" s="24"/>
      <c r="B2369" s="20"/>
      <c r="C2369" s="20"/>
      <c r="D2369" s="14" t="str">
        <f>IF($C2369="","",IFERROR(INDEX(Productos!$B$5:$B$504,MATCH($C2369,Productos!$A$5:$A$504,0)),"Clave no existe"))</f>
        <v/>
      </c>
      <c r="E2369" s="14" t="str">
        <f>IF($C2369="","",IFERROR(INDEX(Productos!$D$5:$D$504,MATCH($C2369,Productos!$A$5:$A$504,0)),""))</f>
        <v/>
      </c>
      <c r="F2369" s="20"/>
      <c r="G2369" s="22" t="str">
        <f>IF($C2369="","",IFERROR(INDEX(Productos!$F$5:$F$504,MATCH($C2369,Productos!$A$5:$A$504,0)),0))</f>
        <v/>
      </c>
      <c r="H2369" s="22" t="str">
        <f t="shared" si="36"/>
        <v/>
      </c>
      <c r="I2369" s="14" t="str">
        <f>IF(OR($C2369="",$F2369=""),"",IFERROR(INDEX(Productos!$I$5:$I$504,MATCH($C2369,Productos!$A$5:$A$504,0)),0)+SUMIFS($F$5:$F2369,$C$5:$C2369,$C2369,$B$5:$B2369,"Entrada")-SUMIFS($F$5:$F2369,$C$5:$C2369,$C2369,$B$5:$B2369,"Salida"))</f>
        <v/>
      </c>
      <c r="J2369" s="20"/>
      <c r="K2369" s="20"/>
      <c r="L2369" s="20"/>
      <c r="M2369" s="14" t="str">
        <f>IF(AND($C2369&lt;&gt;"",$C2369=Kardex!$C$4),COUNTIF($C$5:$C2369,Kardex!$C$4),"")</f>
        <v/>
      </c>
    </row>
    <row r="2370" spans="1:13" x14ac:dyDescent="0.25">
      <c r="A2370" s="24"/>
      <c r="B2370" s="20"/>
      <c r="C2370" s="20"/>
      <c r="D2370" s="14" t="str">
        <f>IF($C2370="","",IFERROR(INDEX(Productos!$B$5:$B$504,MATCH($C2370,Productos!$A$5:$A$504,0)),"Clave no existe"))</f>
        <v/>
      </c>
      <c r="E2370" s="14" t="str">
        <f>IF($C2370="","",IFERROR(INDEX(Productos!$D$5:$D$504,MATCH($C2370,Productos!$A$5:$A$504,0)),""))</f>
        <v/>
      </c>
      <c r="F2370" s="20"/>
      <c r="G2370" s="22" t="str">
        <f>IF($C2370="","",IFERROR(INDEX(Productos!$F$5:$F$504,MATCH($C2370,Productos!$A$5:$A$504,0)),0))</f>
        <v/>
      </c>
      <c r="H2370" s="22" t="str">
        <f t="shared" si="36"/>
        <v/>
      </c>
      <c r="I2370" s="14" t="str">
        <f>IF(OR($C2370="",$F2370=""),"",IFERROR(INDEX(Productos!$I$5:$I$504,MATCH($C2370,Productos!$A$5:$A$504,0)),0)+SUMIFS($F$5:$F2370,$C$5:$C2370,$C2370,$B$5:$B2370,"Entrada")-SUMIFS($F$5:$F2370,$C$5:$C2370,$C2370,$B$5:$B2370,"Salida"))</f>
        <v/>
      </c>
      <c r="J2370" s="20"/>
      <c r="K2370" s="20"/>
      <c r="L2370" s="20"/>
      <c r="M2370" s="14" t="str">
        <f>IF(AND($C2370&lt;&gt;"",$C2370=Kardex!$C$4),COUNTIF($C$5:$C2370,Kardex!$C$4),"")</f>
        <v/>
      </c>
    </row>
    <row r="2371" spans="1:13" x14ac:dyDescent="0.25">
      <c r="A2371" s="24"/>
      <c r="B2371" s="20"/>
      <c r="C2371" s="20"/>
      <c r="D2371" s="14" t="str">
        <f>IF($C2371="","",IFERROR(INDEX(Productos!$B$5:$B$504,MATCH($C2371,Productos!$A$5:$A$504,0)),"Clave no existe"))</f>
        <v/>
      </c>
      <c r="E2371" s="14" t="str">
        <f>IF($C2371="","",IFERROR(INDEX(Productos!$D$5:$D$504,MATCH($C2371,Productos!$A$5:$A$504,0)),""))</f>
        <v/>
      </c>
      <c r="F2371" s="20"/>
      <c r="G2371" s="22" t="str">
        <f>IF($C2371="","",IFERROR(INDEX(Productos!$F$5:$F$504,MATCH($C2371,Productos!$A$5:$A$504,0)),0))</f>
        <v/>
      </c>
      <c r="H2371" s="22" t="str">
        <f t="shared" si="36"/>
        <v/>
      </c>
      <c r="I2371" s="14" t="str">
        <f>IF(OR($C2371="",$F2371=""),"",IFERROR(INDEX(Productos!$I$5:$I$504,MATCH($C2371,Productos!$A$5:$A$504,0)),0)+SUMIFS($F$5:$F2371,$C$5:$C2371,$C2371,$B$5:$B2371,"Entrada")-SUMIFS($F$5:$F2371,$C$5:$C2371,$C2371,$B$5:$B2371,"Salida"))</f>
        <v/>
      </c>
      <c r="J2371" s="20"/>
      <c r="K2371" s="20"/>
      <c r="L2371" s="20"/>
      <c r="M2371" s="14" t="str">
        <f>IF(AND($C2371&lt;&gt;"",$C2371=Kardex!$C$4),COUNTIF($C$5:$C2371,Kardex!$C$4),"")</f>
        <v/>
      </c>
    </row>
    <row r="2372" spans="1:13" x14ac:dyDescent="0.25">
      <c r="A2372" s="24"/>
      <c r="B2372" s="20"/>
      <c r="C2372" s="20"/>
      <c r="D2372" s="14" t="str">
        <f>IF($C2372="","",IFERROR(INDEX(Productos!$B$5:$B$504,MATCH($C2372,Productos!$A$5:$A$504,0)),"Clave no existe"))</f>
        <v/>
      </c>
      <c r="E2372" s="14" t="str">
        <f>IF($C2372="","",IFERROR(INDEX(Productos!$D$5:$D$504,MATCH($C2372,Productos!$A$5:$A$504,0)),""))</f>
        <v/>
      </c>
      <c r="F2372" s="20"/>
      <c r="G2372" s="22" t="str">
        <f>IF($C2372="","",IFERROR(INDEX(Productos!$F$5:$F$504,MATCH($C2372,Productos!$A$5:$A$504,0)),0))</f>
        <v/>
      </c>
      <c r="H2372" s="22" t="str">
        <f t="shared" si="36"/>
        <v/>
      </c>
      <c r="I2372" s="14" t="str">
        <f>IF(OR($C2372="",$F2372=""),"",IFERROR(INDEX(Productos!$I$5:$I$504,MATCH($C2372,Productos!$A$5:$A$504,0)),0)+SUMIFS($F$5:$F2372,$C$5:$C2372,$C2372,$B$5:$B2372,"Entrada")-SUMIFS($F$5:$F2372,$C$5:$C2372,$C2372,$B$5:$B2372,"Salida"))</f>
        <v/>
      </c>
      <c r="J2372" s="20"/>
      <c r="K2372" s="20"/>
      <c r="L2372" s="20"/>
      <c r="M2372" s="14" t="str">
        <f>IF(AND($C2372&lt;&gt;"",$C2372=Kardex!$C$4),COUNTIF($C$5:$C2372,Kardex!$C$4),"")</f>
        <v/>
      </c>
    </row>
    <row r="2373" spans="1:13" x14ac:dyDescent="0.25">
      <c r="A2373" s="24"/>
      <c r="B2373" s="20"/>
      <c r="C2373" s="20"/>
      <c r="D2373" s="14" t="str">
        <f>IF($C2373="","",IFERROR(INDEX(Productos!$B$5:$B$504,MATCH($C2373,Productos!$A$5:$A$504,0)),"Clave no existe"))</f>
        <v/>
      </c>
      <c r="E2373" s="14" t="str">
        <f>IF($C2373="","",IFERROR(INDEX(Productos!$D$5:$D$504,MATCH($C2373,Productos!$A$5:$A$504,0)),""))</f>
        <v/>
      </c>
      <c r="F2373" s="20"/>
      <c r="G2373" s="22" t="str">
        <f>IF($C2373="","",IFERROR(INDEX(Productos!$F$5:$F$504,MATCH($C2373,Productos!$A$5:$A$504,0)),0))</f>
        <v/>
      </c>
      <c r="H2373" s="22" t="str">
        <f t="shared" ref="H2373:H2436" si="37">IF(OR($C2373="",$F2373=""),"",F2373*G2373)</f>
        <v/>
      </c>
      <c r="I2373" s="14" t="str">
        <f>IF(OR($C2373="",$F2373=""),"",IFERROR(INDEX(Productos!$I$5:$I$504,MATCH($C2373,Productos!$A$5:$A$504,0)),0)+SUMIFS($F$5:$F2373,$C$5:$C2373,$C2373,$B$5:$B2373,"Entrada")-SUMIFS($F$5:$F2373,$C$5:$C2373,$C2373,$B$5:$B2373,"Salida"))</f>
        <v/>
      </c>
      <c r="J2373" s="20"/>
      <c r="K2373" s="20"/>
      <c r="L2373" s="20"/>
      <c r="M2373" s="14" t="str">
        <f>IF(AND($C2373&lt;&gt;"",$C2373=Kardex!$C$4),COUNTIF($C$5:$C2373,Kardex!$C$4),"")</f>
        <v/>
      </c>
    </row>
    <row r="2374" spans="1:13" x14ac:dyDescent="0.25">
      <c r="A2374" s="24"/>
      <c r="B2374" s="20"/>
      <c r="C2374" s="20"/>
      <c r="D2374" s="14" t="str">
        <f>IF($C2374="","",IFERROR(INDEX(Productos!$B$5:$B$504,MATCH($C2374,Productos!$A$5:$A$504,0)),"Clave no existe"))</f>
        <v/>
      </c>
      <c r="E2374" s="14" t="str">
        <f>IF($C2374="","",IFERROR(INDEX(Productos!$D$5:$D$504,MATCH($C2374,Productos!$A$5:$A$504,0)),""))</f>
        <v/>
      </c>
      <c r="F2374" s="20"/>
      <c r="G2374" s="22" t="str">
        <f>IF($C2374="","",IFERROR(INDEX(Productos!$F$5:$F$504,MATCH($C2374,Productos!$A$5:$A$504,0)),0))</f>
        <v/>
      </c>
      <c r="H2374" s="22" t="str">
        <f t="shared" si="37"/>
        <v/>
      </c>
      <c r="I2374" s="14" t="str">
        <f>IF(OR($C2374="",$F2374=""),"",IFERROR(INDEX(Productos!$I$5:$I$504,MATCH($C2374,Productos!$A$5:$A$504,0)),0)+SUMIFS($F$5:$F2374,$C$5:$C2374,$C2374,$B$5:$B2374,"Entrada")-SUMIFS($F$5:$F2374,$C$5:$C2374,$C2374,$B$5:$B2374,"Salida"))</f>
        <v/>
      </c>
      <c r="J2374" s="20"/>
      <c r="K2374" s="20"/>
      <c r="L2374" s="20"/>
      <c r="M2374" s="14" t="str">
        <f>IF(AND($C2374&lt;&gt;"",$C2374=Kardex!$C$4),COUNTIF($C$5:$C2374,Kardex!$C$4),"")</f>
        <v/>
      </c>
    </row>
    <row r="2375" spans="1:13" x14ac:dyDescent="0.25">
      <c r="A2375" s="24"/>
      <c r="B2375" s="20"/>
      <c r="C2375" s="20"/>
      <c r="D2375" s="14" t="str">
        <f>IF($C2375="","",IFERROR(INDEX(Productos!$B$5:$B$504,MATCH($C2375,Productos!$A$5:$A$504,0)),"Clave no existe"))</f>
        <v/>
      </c>
      <c r="E2375" s="14" t="str">
        <f>IF($C2375="","",IFERROR(INDEX(Productos!$D$5:$D$504,MATCH($C2375,Productos!$A$5:$A$504,0)),""))</f>
        <v/>
      </c>
      <c r="F2375" s="20"/>
      <c r="G2375" s="22" t="str">
        <f>IF($C2375="","",IFERROR(INDEX(Productos!$F$5:$F$504,MATCH($C2375,Productos!$A$5:$A$504,0)),0))</f>
        <v/>
      </c>
      <c r="H2375" s="22" t="str">
        <f t="shared" si="37"/>
        <v/>
      </c>
      <c r="I2375" s="14" t="str">
        <f>IF(OR($C2375="",$F2375=""),"",IFERROR(INDEX(Productos!$I$5:$I$504,MATCH($C2375,Productos!$A$5:$A$504,0)),0)+SUMIFS($F$5:$F2375,$C$5:$C2375,$C2375,$B$5:$B2375,"Entrada")-SUMIFS($F$5:$F2375,$C$5:$C2375,$C2375,$B$5:$B2375,"Salida"))</f>
        <v/>
      </c>
      <c r="J2375" s="20"/>
      <c r="K2375" s="20"/>
      <c r="L2375" s="20"/>
      <c r="M2375" s="14" t="str">
        <f>IF(AND($C2375&lt;&gt;"",$C2375=Kardex!$C$4),COUNTIF($C$5:$C2375,Kardex!$C$4),"")</f>
        <v/>
      </c>
    </row>
    <row r="2376" spans="1:13" x14ac:dyDescent="0.25">
      <c r="A2376" s="24"/>
      <c r="B2376" s="20"/>
      <c r="C2376" s="20"/>
      <c r="D2376" s="14" t="str">
        <f>IF($C2376="","",IFERROR(INDEX(Productos!$B$5:$B$504,MATCH($C2376,Productos!$A$5:$A$504,0)),"Clave no existe"))</f>
        <v/>
      </c>
      <c r="E2376" s="14" t="str">
        <f>IF($C2376="","",IFERROR(INDEX(Productos!$D$5:$D$504,MATCH($C2376,Productos!$A$5:$A$504,0)),""))</f>
        <v/>
      </c>
      <c r="F2376" s="20"/>
      <c r="G2376" s="22" t="str">
        <f>IF($C2376="","",IFERROR(INDEX(Productos!$F$5:$F$504,MATCH($C2376,Productos!$A$5:$A$504,0)),0))</f>
        <v/>
      </c>
      <c r="H2376" s="22" t="str">
        <f t="shared" si="37"/>
        <v/>
      </c>
      <c r="I2376" s="14" t="str">
        <f>IF(OR($C2376="",$F2376=""),"",IFERROR(INDEX(Productos!$I$5:$I$504,MATCH($C2376,Productos!$A$5:$A$504,0)),0)+SUMIFS($F$5:$F2376,$C$5:$C2376,$C2376,$B$5:$B2376,"Entrada")-SUMIFS($F$5:$F2376,$C$5:$C2376,$C2376,$B$5:$B2376,"Salida"))</f>
        <v/>
      </c>
      <c r="J2376" s="20"/>
      <c r="K2376" s="20"/>
      <c r="L2376" s="20"/>
      <c r="M2376" s="14" t="str">
        <f>IF(AND($C2376&lt;&gt;"",$C2376=Kardex!$C$4),COUNTIF($C$5:$C2376,Kardex!$C$4),"")</f>
        <v/>
      </c>
    </row>
    <row r="2377" spans="1:13" x14ac:dyDescent="0.25">
      <c r="A2377" s="24"/>
      <c r="B2377" s="20"/>
      <c r="C2377" s="20"/>
      <c r="D2377" s="14" t="str">
        <f>IF($C2377="","",IFERROR(INDEX(Productos!$B$5:$B$504,MATCH($C2377,Productos!$A$5:$A$504,0)),"Clave no existe"))</f>
        <v/>
      </c>
      <c r="E2377" s="14" t="str">
        <f>IF($C2377="","",IFERROR(INDEX(Productos!$D$5:$D$504,MATCH($C2377,Productos!$A$5:$A$504,0)),""))</f>
        <v/>
      </c>
      <c r="F2377" s="20"/>
      <c r="G2377" s="22" t="str">
        <f>IF($C2377="","",IFERROR(INDEX(Productos!$F$5:$F$504,MATCH($C2377,Productos!$A$5:$A$504,0)),0))</f>
        <v/>
      </c>
      <c r="H2377" s="22" t="str">
        <f t="shared" si="37"/>
        <v/>
      </c>
      <c r="I2377" s="14" t="str">
        <f>IF(OR($C2377="",$F2377=""),"",IFERROR(INDEX(Productos!$I$5:$I$504,MATCH($C2377,Productos!$A$5:$A$504,0)),0)+SUMIFS($F$5:$F2377,$C$5:$C2377,$C2377,$B$5:$B2377,"Entrada")-SUMIFS($F$5:$F2377,$C$5:$C2377,$C2377,$B$5:$B2377,"Salida"))</f>
        <v/>
      </c>
      <c r="J2377" s="20"/>
      <c r="K2377" s="20"/>
      <c r="L2377" s="20"/>
      <c r="M2377" s="14" t="str">
        <f>IF(AND($C2377&lt;&gt;"",$C2377=Kardex!$C$4),COUNTIF($C$5:$C2377,Kardex!$C$4),"")</f>
        <v/>
      </c>
    </row>
    <row r="2378" spans="1:13" x14ac:dyDescent="0.25">
      <c r="A2378" s="24"/>
      <c r="B2378" s="20"/>
      <c r="C2378" s="20"/>
      <c r="D2378" s="14" t="str">
        <f>IF($C2378="","",IFERROR(INDEX(Productos!$B$5:$B$504,MATCH($C2378,Productos!$A$5:$A$504,0)),"Clave no existe"))</f>
        <v/>
      </c>
      <c r="E2378" s="14" t="str">
        <f>IF($C2378="","",IFERROR(INDEX(Productos!$D$5:$D$504,MATCH($C2378,Productos!$A$5:$A$504,0)),""))</f>
        <v/>
      </c>
      <c r="F2378" s="20"/>
      <c r="G2378" s="22" t="str">
        <f>IF($C2378="","",IFERROR(INDEX(Productos!$F$5:$F$504,MATCH($C2378,Productos!$A$5:$A$504,0)),0))</f>
        <v/>
      </c>
      <c r="H2378" s="22" t="str">
        <f t="shared" si="37"/>
        <v/>
      </c>
      <c r="I2378" s="14" t="str">
        <f>IF(OR($C2378="",$F2378=""),"",IFERROR(INDEX(Productos!$I$5:$I$504,MATCH($C2378,Productos!$A$5:$A$504,0)),0)+SUMIFS($F$5:$F2378,$C$5:$C2378,$C2378,$B$5:$B2378,"Entrada")-SUMIFS($F$5:$F2378,$C$5:$C2378,$C2378,$B$5:$B2378,"Salida"))</f>
        <v/>
      </c>
      <c r="J2378" s="20"/>
      <c r="K2378" s="20"/>
      <c r="L2378" s="20"/>
      <c r="M2378" s="14" t="str">
        <f>IF(AND($C2378&lt;&gt;"",$C2378=Kardex!$C$4),COUNTIF($C$5:$C2378,Kardex!$C$4),"")</f>
        <v/>
      </c>
    </row>
    <row r="2379" spans="1:13" x14ac:dyDescent="0.25">
      <c r="A2379" s="24"/>
      <c r="B2379" s="20"/>
      <c r="C2379" s="20"/>
      <c r="D2379" s="14" t="str">
        <f>IF($C2379="","",IFERROR(INDEX(Productos!$B$5:$B$504,MATCH($C2379,Productos!$A$5:$A$504,0)),"Clave no existe"))</f>
        <v/>
      </c>
      <c r="E2379" s="14" t="str">
        <f>IF($C2379="","",IFERROR(INDEX(Productos!$D$5:$D$504,MATCH($C2379,Productos!$A$5:$A$504,0)),""))</f>
        <v/>
      </c>
      <c r="F2379" s="20"/>
      <c r="G2379" s="22" t="str">
        <f>IF($C2379="","",IFERROR(INDEX(Productos!$F$5:$F$504,MATCH($C2379,Productos!$A$5:$A$504,0)),0))</f>
        <v/>
      </c>
      <c r="H2379" s="22" t="str">
        <f t="shared" si="37"/>
        <v/>
      </c>
      <c r="I2379" s="14" t="str">
        <f>IF(OR($C2379="",$F2379=""),"",IFERROR(INDEX(Productos!$I$5:$I$504,MATCH($C2379,Productos!$A$5:$A$504,0)),0)+SUMIFS($F$5:$F2379,$C$5:$C2379,$C2379,$B$5:$B2379,"Entrada")-SUMIFS($F$5:$F2379,$C$5:$C2379,$C2379,$B$5:$B2379,"Salida"))</f>
        <v/>
      </c>
      <c r="J2379" s="20"/>
      <c r="K2379" s="20"/>
      <c r="L2379" s="20"/>
      <c r="M2379" s="14" t="str">
        <f>IF(AND($C2379&lt;&gt;"",$C2379=Kardex!$C$4),COUNTIF($C$5:$C2379,Kardex!$C$4),"")</f>
        <v/>
      </c>
    </row>
    <row r="2380" spans="1:13" x14ac:dyDescent="0.25">
      <c r="A2380" s="24"/>
      <c r="B2380" s="20"/>
      <c r="C2380" s="20"/>
      <c r="D2380" s="14" t="str">
        <f>IF($C2380="","",IFERROR(INDEX(Productos!$B$5:$B$504,MATCH($C2380,Productos!$A$5:$A$504,0)),"Clave no existe"))</f>
        <v/>
      </c>
      <c r="E2380" s="14" t="str">
        <f>IF($C2380="","",IFERROR(INDEX(Productos!$D$5:$D$504,MATCH($C2380,Productos!$A$5:$A$504,0)),""))</f>
        <v/>
      </c>
      <c r="F2380" s="20"/>
      <c r="G2380" s="22" t="str">
        <f>IF($C2380="","",IFERROR(INDEX(Productos!$F$5:$F$504,MATCH($C2380,Productos!$A$5:$A$504,0)),0))</f>
        <v/>
      </c>
      <c r="H2380" s="22" t="str">
        <f t="shared" si="37"/>
        <v/>
      </c>
      <c r="I2380" s="14" t="str">
        <f>IF(OR($C2380="",$F2380=""),"",IFERROR(INDEX(Productos!$I$5:$I$504,MATCH($C2380,Productos!$A$5:$A$504,0)),0)+SUMIFS($F$5:$F2380,$C$5:$C2380,$C2380,$B$5:$B2380,"Entrada")-SUMIFS($F$5:$F2380,$C$5:$C2380,$C2380,$B$5:$B2380,"Salida"))</f>
        <v/>
      </c>
      <c r="J2380" s="20"/>
      <c r="K2380" s="20"/>
      <c r="L2380" s="20"/>
      <c r="M2380" s="14" t="str">
        <f>IF(AND($C2380&lt;&gt;"",$C2380=Kardex!$C$4),COUNTIF($C$5:$C2380,Kardex!$C$4),"")</f>
        <v/>
      </c>
    </row>
    <row r="2381" spans="1:13" x14ac:dyDescent="0.25">
      <c r="A2381" s="24"/>
      <c r="B2381" s="20"/>
      <c r="C2381" s="20"/>
      <c r="D2381" s="14" t="str">
        <f>IF($C2381="","",IFERROR(INDEX(Productos!$B$5:$B$504,MATCH($C2381,Productos!$A$5:$A$504,0)),"Clave no existe"))</f>
        <v/>
      </c>
      <c r="E2381" s="14" t="str">
        <f>IF($C2381="","",IFERROR(INDEX(Productos!$D$5:$D$504,MATCH($C2381,Productos!$A$5:$A$504,0)),""))</f>
        <v/>
      </c>
      <c r="F2381" s="20"/>
      <c r="G2381" s="22" t="str">
        <f>IF($C2381="","",IFERROR(INDEX(Productos!$F$5:$F$504,MATCH($C2381,Productos!$A$5:$A$504,0)),0))</f>
        <v/>
      </c>
      <c r="H2381" s="22" t="str">
        <f t="shared" si="37"/>
        <v/>
      </c>
      <c r="I2381" s="14" t="str">
        <f>IF(OR($C2381="",$F2381=""),"",IFERROR(INDEX(Productos!$I$5:$I$504,MATCH($C2381,Productos!$A$5:$A$504,0)),0)+SUMIFS($F$5:$F2381,$C$5:$C2381,$C2381,$B$5:$B2381,"Entrada")-SUMIFS($F$5:$F2381,$C$5:$C2381,$C2381,$B$5:$B2381,"Salida"))</f>
        <v/>
      </c>
      <c r="J2381" s="20"/>
      <c r="K2381" s="20"/>
      <c r="L2381" s="20"/>
      <c r="M2381" s="14" t="str">
        <f>IF(AND($C2381&lt;&gt;"",$C2381=Kardex!$C$4),COUNTIF($C$5:$C2381,Kardex!$C$4),"")</f>
        <v/>
      </c>
    </row>
    <row r="2382" spans="1:13" x14ac:dyDescent="0.25">
      <c r="A2382" s="24"/>
      <c r="B2382" s="20"/>
      <c r="C2382" s="20"/>
      <c r="D2382" s="14" t="str">
        <f>IF($C2382="","",IFERROR(INDEX(Productos!$B$5:$B$504,MATCH($C2382,Productos!$A$5:$A$504,0)),"Clave no existe"))</f>
        <v/>
      </c>
      <c r="E2382" s="14" t="str">
        <f>IF($C2382="","",IFERROR(INDEX(Productos!$D$5:$D$504,MATCH($C2382,Productos!$A$5:$A$504,0)),""))</f>
        <v/>
      </c>
      <c r="F2382" s="20"/>
      <c r="G2382" s="22" t="str">
        <f>IF($C2382="","",IFERROR(INDEX(Productos!$F$5:$F$504,MATCH($C2382,Productos!$A$5:$A$504,0)),0))</f>
        <v/>
      </c>
      <c r="H2382" s="22" t="str">
        <f t="shared" si="37"/>
        <v/>
      </c>
      <c r="I2382" s="14" t="str">
        <f>IF(OR($C2382="",$F2382=""),"",IFERROR(INDEX(Productos!$I$5:$I$504,MATCH($C2382,Productos!$A$5:$A$504,0)),0)+SUMIFS($F$5:$F2382,$C$5:$C2382,$C2382,$B$5:$B2382,"Entrada")-SUMIFS($F$5:$F2382,$C$5:$C2382,$C2382,$B$5:$B2382,"Salida"))</f>
        <v/>
      </c>
      <c r="J2382" s="20"/>
      <c r="K2382" s="20"/>
      <c r="L2382" s="20"/>
      <c r="M2382" s="14" t="str">
        <f>IF(AND($C2382&lt;&gt;"",$C2382=Kardex!$C$4),COUNTIF($C$5:$C2382,Kardex!$C$4),"")</f>
        <v/>
      </c>
    </row>
    <row r="2383" spans="1:13" x14ac:dyDescent="0.25">
      <c r="A2383" s="24"/>
      <c r="B2383" s="20"/>
      <c r="C2383" s="20"/>
      <c r="D2383" s="14" t="str">
        <f>IF($C2383="","",IFERROR(INDEX(Productos!$B$5:$B$504,MATCH($C2383,Productos!$A$5:$A$504,0)),"Clave no existe"))</f>
        <v/>
      </c>
      <c r="E2383" s="14" t="str">
        <f>IF($C2383="","",IFERROR(INDEX(Productos!$D$5:$D$504,MATCH($C2383,Productos!$A$5:$A$504,0)),""))</f>
        <v/>
      </c>
      <c r="F2383" s="20"/>
      <c r="G2383" s="22" t="str">
        <f>IF($C2383="","",IFERROR(INDEX(Productos!$F$5:$F$504,MATCH($C2383,Productos!$A$5:$A$504,0)),0))</f>
        <v/>
      </c>
      <c r="H2383" s="22" t="str">
        <f t="shared" si="37"/>
        <v/>
      </c>
      <c r="I2383" s="14" t="str">
        <f>IF(OR($C2383="",$F2383=""),"",IFERROR(INDEX(Productos!$I$5:$I$504,MATCH($C2383,Productos!$A$5:$A$504,0)),0)+SUMIFS($F$5:$F2383,$C$5:$C2383,$C2383,$B$5:$B2383,"Entrada")-SUMIFS($F$5:$F2383,$C$5:$C2383,$C2383,$B$5:$B2383,"Salida"))</f>
        <v/>
      </c>
      <c r="J2383" s="20"/>
      <c r="K2383" s="20"/>
      <c r="L2383" s="20"/>
      <c r="M2383" s="14" t="str">
        <f>IF(AND($C2383&lt;&gt;"",$C2383=Kardex!$C$4),COUNTIF($C$5:$C2383,Kardex!$C$4),"")</f>
        <v/>
      </c>
    </row>
    <row r="2384" spans="1:13" x14ac:dyDescent="0.25">
      <c r="A2384" s="24"/>
      <c r="B2384" s="20"/>
      <c r="C2384" s="20"/>
      <c r="D2384" s="14" t="str">
        <f>IF($C2384="","",IFERROR(INDEX(Productos!$B$5:$B$504,MATCH($C2384,Productos!$A$5:$A$504,0)),"Clave no existe"))</f>
        <v/>
      </c>
      <c r="E2384" s="14" t="str">
        <f>IF($C2384="","",IFERROR(INDEX(Productos!$D$5:$D$504,MATCH($C2384,Productos!$A$5:$A$504,0)),""))</f>
        <v/>
      </c>
      <c r="F2384" s="20"/>
      <c r="G2384" s="22" t="str">
        <f>IF($C2384="","",IFERROR(INDEX(Productos!$F$5:$F$504,MATCH($C2384,Productos!$A$5:$A$504,0)),0))</f>
        <v/>
      </c>
      <c r="H2384" s="22" t="str">
        <f t="shared" si="37"/>
        <v/>
      </c>
      <c r="I2384" s="14" t="str">
        <f>IF(OR($C2384="",$F2384=""),"",IFERROR(INDEX(Productos!$I$5:$I$504,MATCH($C2384,Productos!$A$5:$A$504,0)),0)+SUMIFS($F$5:$F2384,$C$5:$C2384,$C2384,$B$5:$B2384,"Entrada")-SUMIFS($F$5:$F2384,$C$5:$C2384,$C2384,$B$5:$B2384,"Salida"))</f>
        <v/>
      </c>
      <c r="J2384" s="20"/>
      <c r="K2384" s="20"/>
      <c r="L2384" s="20"/>
      <c r="M2384" s="14" t="str">
        <f>IF(AND($C2384&lt;&gt;"",$C2384=Kardex!$C$4),COUNTIF($C$5:$C2384,Kardex!$C$4),"")</f>
        <v/>
      </c>
    </row>
    <row r="2385" spans="1:13" x14ac:dyDescent="0.25">
      <c r="A2385" s="24"/>
      <c r="B2385" s="20"/>
      <c r="C2385" s="20"/>
      <c r="D2385" s="14" t="str">
        <f>IF($C2385="","",IFERROR(INDEX(Productos!$B$5:$B$504,MATCH($C2385,Productos!$A$5:$A$504,0)),"Clave no existe"))</f>
        <v/>
      </c>
      <c r="E2385" s="14" t="str">
        <f>IF($C2385="","",IFERROR(INDEX(Productos!$D$5:$D$504,MATCH($C2385,Productos!$A$5:$A$504,0)),""))</f>
        <v/>
      </c>
      <c r="F2385" s="20"/>
      <c r="G2385" s="22" t="str">
        <f>IF($C2385="","",IFERROR(INDEX(Productos!$F$5:$F$504,MATCH($C2385,Productos!$A$5:$A$504,0)),0))</f>
        <v/>
      </c>
      <c r="H2385" s="22" t="str">
        <f t="shared" si="37"/>
        <v/>
      </c>
      <c r="I2385" s="14" t="str">
        <f>IF(OR($C2385="",$F2385=""),"",IFERROR(INDEX(Productos!$I$5:$I$504,MATCH($C2385,Productos!$A$5:$A$504,0)),0)+SUMIFS($F$5:$F2385,$C$5:$C2385,$C2385,$B$5:$B2385,"Entrada")-SUMIFS($F$5:$F2385,$C$5:$C2385,$C2385,$B$5:$B2385,"Salida"))</f>
        <v/>
      </c>
      <c r="J2385" s="20"/>
      <c r="K2385" s="20"/>
      <c r="L2385" s="20"/>
      <c r="M2385" s="14" t="str">
        <f>IF(AND($C2385&lt;&gt;"",$C2385=Kardex!$C$4),COUNTIF($C$5:$C2385,Kardex!$C$4),"")</f>
        <v/>
      </c>
    </row>
    <row r="2386" spans="1:13" x14ac:dyDescent="0.25">
      <c r="A2386" s="24"/>
      <c r="B2386" s="20"/>
      <c r="C2386" s="20"/>
      <c r="D2386" s="14" t="str">
        <f>IF($C2386="","",IFERROR(INDEX(Productos!$B$5:$B$504,MATCH($C2386,Productos!$A$5:$A$504,0)),"Clave no existe"))</f>
        <v/>
      </c>
      <c r="E2386" s="14" t="str">
        <f>IF($C2386="","",IFERROR(INDEX(Productos!$D$5:$D$504,MATCH($C2386,Productos!$A$5:$A$504,0)),""))</f>
        <v/>
      </c>
      <c r="F2386" s="20"/>
      <c r="G2386" s="22" t="str">
        <f>IF($C2386="","",IFERROR(INDEX(Productos!$F$5:$F$504,MATCH($C2386,Productos!$A$5:$A$504,0)),0))</f>
        <v/>
      </c>
      <c r="H2386" s="22" t="str">
        <f t="shared" si="37"/>
        <v/>
      </c>
      <c r="I2386" s="14" t="str">
        <f>IF(OR($C2386="",$F2386=""),"",IFERROR(INDEX(Productos!$I$5:$I$504,MATCH($C2386,Productos!$A$5:$A$504,0)),0)+SUMIFS($F$5:$F2386,$C$5:$C2386,$C2386,$B$5:$B2386,"Entrada")-SUMIFS($F$5:$F2386,$C$5:$C2386,$C2386,$B$5:$B2386,"Salida"))</f>
        <v/>
      </c>
      <c r="J2386" s="20"/>
      <c r="K2386" s="20"/>
      <c r="L2386" s="20"/>
      <c r="M2386" s="14" t="str">
        <f>IF(AND($C2386&lt;&gt;"",$C2386=Kardex!$C$4),COUNTIF($C$5:$C2386,Kardex!$C$4),"")</f>
        <v/>
      </c>
    </row>
    <row r="2387" spans="1:13" x14ac:dyDescent="0.25">
      <c r="A2387" s="24"/>
      <c r="B2387" s="20"/>
      <c r="C2387" s="20"/>
      <c r="D2387" s="14" t="str">
        <f>IF($C2387="","",IFERROR(INDEX(Productos!$B$5:$B$504,MATCH($C2387,Productos!$A$5:$A$504,0)),"Clave no existe"))</f>
        <v/>
      </c>
      <c r="E2387" s="14" t="str">
        <f>IF($C2387="","",IFERROR(INDEX(Productos!$D$5:$D$504,MATCH($C2387,Productos!$A$5:$A$504,0)),""))</f>
        <v/>
      </c>
      <c r="F2387" s="20"/>
      <c r="G2387" s="22" t="str">
        <f>IF($C2387="","",IFERROR(INDEX(Productos!$F$5:$F$504,MATCH($C2387,Productos!$A$5:$A$504,0)),0))</f>
        <v/>
      </c>
      <c r="H2387" s="22" t="str">
        <f t="shared" si="37"/>
        <v/>
      </c>
      <c r="I2387" s="14" t="str">
        <f>IF(OR($C2387="",$F2387=""),"",IFERROR(INDEX(Productos!$I$5:$I$504,MATCH($C2387,Productos!$A$5:$A$504,0)),0)+SUMIFS($F$5:$F2387,$C$5:$C2387,$C2387,$B$5:$B2387,"Entrada")-SUMIFS($F$5:$F2387,$C$5:$C2387,$C2387,$B$5:$B2387,"Salida"))</f>
        <v/>
      </c>
      <c r="J2387" s="20"/>
      <c r="K2387" s="20"/>
      <c r="L2387" s="20"/>
      <c r="M2387" s="14" t="str">
        <f>IF(AND($C2387&lt;&gt;"",$C2387=Kardex!$C$4),COUNTIF($C$5:$C2387,Kardex!$C$4),"")</f>
        <v/>
      </c>
    </row>
    <row r="2388" spans="1:13" x14ac:dyDescent="0.25">
      <c r="A2388" s="24"/>
      <c r="B2388" s="20"/>
      <c r="C2388" s="20"/>
      <c r="D2388" s="14" t="str">
        <f>IF($C2388="","",IFERROR(INDEX(Productos!$B$5:$B$504,MATCH($C2388,Productos!$A$5:$A$504,0)),"Clave no existe"))</f>
        <v/>
      </c>
      <c r="E2388" s="14" t="str">
        <f>IF($C2388="","",IFERROR(INDEX(Productos!$D$5:$D$504,MATCH($C2388,Productos!$A$5:$A$504,0)),""))</f>
        <v/>
      </c>
      <c r="F2388" s="20"/>
      <c r="G2388" s="22" t="str">
        <f>IF($C2388="","",IFERROR(INDEX(Productos!$F$5:$F$504,MATCH($C2388,Productos!$A$5:$A$504,0)),0))</f>
        <v/>
      </c>
      <c r="H2388" s="22" t="str">
        <f t="shared" si="37"/>
        <v/>
      </c>
      <c r="I2388" s="14" t="str">
        <f>IF(OR($C2388="",$F2388=""),"",IFERROR(INDEX(Productos!$I$5:$I$504,MATCH($C2388,Productos!$A$5:$A$504,0)),0)+SUMIFS($F$5:$F2388,$C$5:$C2388,$C2388,$B$5:$B2388,"Entrada")-SUMIFS($F$5:$F2388,$C$5:$C2388,$C2388,$B$5:$B2388,"Salida"))</f>
        <v/>
      </c>
      <c r="J2388" s="20"/>
      <c r="K2388" s="20"/>
      <c r="L2388" s="20"/>
      <c r="M2388" s="14" t="str">
        <f>IF(AND($C2388&lt;&gt;"",$C2388=Kardex!$C$4),COUNTIF($C$5:$C2388,Kardex!$C$4),"")</f>
        <v/>
      </c>
    </row>
    <row r="2389" spans="1:13" x14ac:dyDescent="0.25">
      <c r="A2389" s="24"/>
      <c r="B2389" s="20"/>
      <c r="C2389" s="20"/>
      <c r="D2389" s="14" t="str">
        <f>IF($C2389="","",IFERROR(INDEX(Productos!$B$5:$B$504,MATCH($C2389,Productos!$A$5:$A$504,0)),"Clave no existe"))</f>
        <v/>
      </c>
      <c r="E2389" s="14" t="str">
        <f>IF($C2389="","",IFERROR(INDEX(Productos!$D$5:$D$504,MATCH($C2389,Productos!$A$5:$A$504,0)),""))</f>
        <v/>
      </c>
      <c r="F2389" s="20"/>
      <c r="G2389" s="22" t="str">
        <f>IF($C2389="","",IFERROR(INDEX(Productos!$F$5:$F$504,MATCH($C2389,Productos!$A$5:$A$504,0)),0))</f>
        <v/>
      </c>
      <c r="H2389" s="22" t="str">
        <f t="shared" si="37"/>
        <v/>
      </c>
      <c r="I2389" s="14" t="str">
        <f>IF(OR($C2389="",$F2389=""),"",IFERROR(INDEX(Productos!$I$5:$I$504,MATCH($C2389,Productos!$A$5:$A$504,0)),0)+SUMIFS($F$5:$F2389,$C$5:$C2389,$C2389,$B$5:$B2389,"Entrada")-SUMIFS($F$5:$F2389,$C$5:$C2389,$C2389,$B$5:$B2389,"Salida"))</f>
        <v/>
      </c>
      <c r="J2389" s="20"/>
      <c r="K2389" s="20"/>
      <c r="L2389" s="20"/>
      <c r="M2389" s="14" t="str">
        <f>IF(AND($C2389&lt;&gt;"",$C2389=Kardex!$C$4),COUNTIF($C$5:$C2389,Kardex!$C$4),"")</f>
        <v/>
      </c>
    </row>
    <row r="2390" spans="1:13" x14ac:dyDescent="0.25">
      <c r="A2390" s="24"/>
      <c r="B2390" s="20"/>
      <c r="C2390" s="20"/>
      <c r="D2390" s="14" t="str">
        <f>IF($C2390="","",IFERROR(INDEX(Productos!$B$5:$B$504,MATCH($C2390,Productos!$A$5:$A$504,0)),"Clave no existe"))</f>
        <v/>
      </c>
      <c r="E2390" s="14" t="str">
        <f>IF($C2390="","",IFERROR(INDEX(Productos!$D$5:$D$504,MATCH($C2390,Productos!$A$5:$A$504,0)),""))</f>
        <v/>
      </c>
      <c r="F2390" s="20"/>
      <c r="G2390" s="22" t="str">
        <f>IF($C2390="","",IFERROR(INDEX(Productos!$F$5:$F$504,MATCH($C2390,Productos!$A$5:$A$504,0)),0))</f>
        <v/>
      </c>
      <c r="H2390" s="22" t="str">
        <f t="shared" si="37"/>
        <v/>
      </c>
      <c r="I2390" s="14" t="str">
        <f>IF(OR($C2390="",$F2390=""),"",IFERROR(INDEX(Productos!$I$5:$I$504,MATCH($C2390,Productos!$A$5:$A$504,0)),0)+SUMIFS($F$5:$F2390,$C$5:$C2390,$C2390,$B$5:$B2390,"Entrada")-SUMIFS($F$5:$F2390,$C$5:$C2390,$C2390,$B$5:$B2390,"Salida"))</f>
        <v/>
      </c>
      <c r="J2390" s="20"/>
      <c r="K2390" s="20"/>
      <c r="L2390" s="20"/>
      <c r="M2390" s="14" t="str">
        <f>IF(AND($C2390&lt;&gt;"",$C2390=Kardex!$C$4),COUNTIF($C$5:$C2390,Kardex!$C$4),"")</f>
        <v/>
      </c>
    </row>
    <row r="2391" spans="1:13" x14ac:dyDescent="0.25">
      <c r="A2391" s="24"/>
      <c r="B2391" s="20"/>
      <c r="C2391" s="20"/>
      <c r="D2391" s="14" t="str">
        <f>IF($C2391="","",IFERROR(INDEX(Productos!$B$5:$B$504,MATCH($C2391,Productos!$A$5:$A$504,0)),"Clave no existe"))</f>
        <v/>
      </c>
      <c r="E2391" s="14" t="str">
        <f>IF($C2391="","",IFERROR(INDEX(Productos!$D$5:$D$504,MATCH($C2391,Productos!$A$5:$A$504,0)),""))</f>
        <v/>
      </c>
      <c r="F2391" s="20"/>
      <c r="G2391" s="22" t="str">
        <f>IF($C2391="","",IFERROR(INDEX(Productos!$F$5:$F$504,MATCH($C2391,Productos!$A$5:$A$504,0)),0))</f>
        <v/>
      </c>
      <c r="H2391" s="22" t="str">
        <f t="shared" si="37"/>
        <v/>
      </c>
      <c r="I2391" s="14" t="str">
        <f>IF(OR($C2391="",$F2391=""),"",IFERROR(INDEX(Productos!$I$5:$I$504,MATCH($C2391,Productos!$A$5:$A$504,0)),0)+SUMIFS($F$5:$F2391,$C$5:$C2391,$C2391,$B$5:$B2391,"Entrada")-SUMIFS($F$5:$F2391,$C$5:$C2391,$C2391,$B$5:$B2391,"Salida"))</f>
        <v/>
      </c>
      <c r="J2391" s="20"/>
      <c r="K2391" s="20"/>
      <c r="L2391" s="20"/>
      <c r="M2391" s="14" t="str">
        <f>IF(AND($C2391&lt;&gt;"",$C2391=Kardex!$C$4),COUNTIF($C$5:$C2391,Kardex!$C$4),"")</f>
        <v/>
      </c>
    </row>
    <row r="2392" spans="1:13" x14ac:dyDescent="0.25">
      <c r="A2392" s="24"/>
      <c r="B2392" s="20"/>
      <c r="C2392" s="20"/>
      <c r="D2392" s="14" t="str">
        <f>IF($C2392="","",IFERROR(INDEX(Productos!$B$5:$B$504,MATCH($C2392,Productos!$A$5:$A$504,0)),"Clave no existe"))</f>
        <v/>
      </c>
      <c r="E2392" s="14" t="str">
        <f>IF($C2392="","",IFERROR(INDEX(Productos!$D$5:$D$504,MATCH($C2392,Productos!$A$5:$A$504,0)),""))</f>
        <v/>
      </c>
      <c r="F2392" s="20"/>
      <c r="G2392" s="22" t="str">
        <f>IF($C2392="","",IFERROR(INDEX(Productos!$F$5:$F$504,MATCH($C2392,Productos!$A$5:$A$504,0)),0))</f>
        <v/>
      </c>
      <c r="H2392" s="22" t="str">
        <f t="shared" si="37"/>
        <v/>
      </c>
      <c r="I2392" s="14" t="str">
        <f>IF(OR($C2392="",$F2392=""),"",IFERROR(INDEX(Productos!$I$5:$I$504,MATCH($C2392,Productos!$A$5:$A$504,0)),0)+SUMIFS($F$5:$F2392,$C$5:$C2392,$C2392,$B$5:$B2392,"Entrada")-SUMIFS($F$5:$F2392,$C$5:$C2392,$C2392,$B$5:$B2392,"Salida"))</f>
        <v/>
      </c>
      <c r="J2392" s="20"/>
      <c r="K2392" s="20"/>
      <c r="L2392" s="20"/>
      <c r="M2392" s="14" t="str">
        <f>IF(AND($C2392&lt;&gt;"",$C2392=Kardex!$C$4),COUNTIF($C$5:$C2392,Kardex!$C$4),"")</f>
        <v/>
      </c>
    </row>
    <row r="2393" spans="1:13" x14ac:dyDescent="0.25">
      <c r="A2393" s="24"/>
      <c r="B2393" s="20"/>
      <c r="C2393" s="20"/>
      <c r="D2393" s="14" t="str">
        <f>IF($C2393="","",IFERROR(INDEX(Productos!$B$5:$B$504,MATCH($C2393,Productos!$A$5:$A$504,0)),"Clave no existe"))</f>
        <v/>
      </c>
      <c r="E2393" s="14" t="str">
        <f>IF($C2393="","",IFERROR(INDEX(Productos!$D$5:$D$504,MATCH($C2393,Productos!$A$5:$A$504,0)),""))</f>
        <v/>
      </c>
      <c r="F2393" s="20"/>
      <c r="G2393" s="22" t="str">
        <f>IF($C2393="","",IFERROR(INDEX(Productos!$F$5:$F$504,MATCH($C2393,Productos!$A$5:$A$504,0)),0))</f>
        <v/>
      </c>
      <c r="H2393" s="22" t="str">
        <f t="shared" si="37"/>
        <v/>
      </c>
      <c r="I2393" s="14" t="str">
        <f>IF(OR($C2393="",$F2393=""),"",IFERROR(INDEX(Productos!$I$5:$I$504,MATCH($C2393,Productos!$A$5:$A$504,0)),0)+SUMIFS($F$5:$F2393,$C$5:$C2393,$C2393,$B$5:$B2393,"Entrada")-SUMIFS($F$5:$F2393,$C$5:$C2393,$C2393,$B$5:$B2393,"Salida"))</f>
        <v/>
      </c>
      <c r="J2393" s="20"/>
      <c r="K2393" s="20"/>
      <c r="L2393" s="20"/>
      <c r="M2393" s="14" t="str">
        <f>IF(AND($C2393&lt;&gt;"",$C2393=Kardex!$C$4),COUNTIF($C$5:$C2393,Kardex!$C$4),"")</f>
        <v/>
      </c>
    </row>
    <row r="2394" spans="1:13" x14ac:dyDescent="0.25">
      <c r="A2394" s="24"/>
      <c r="B2394" s="20"/>
      <c r="C2394" s="20"/>
      <c r="D2394" s="14" t="str">
        <f>IF($C2394="","",IFERROR(INDEX(Productos!$B$5:$B$504,MATCH($C2394,Productos!$A$5:$A$504,0)),"Clave no existe"))</f>
        <v/>
      </c>
      <c r="E2394" s="14" t="str">
        <f>IF($C2394="","",IFERROR(INDEX(Productos!$D$5:$D$504,MATCH($C2394,Productos!$A$5:$A$504,0)),""))</f>
        <v/>
      </c>
      <c r="F2394" s="20"/>
      <c r="G2394" s="22" t="str">
        <f>IF($C2394="","",IFERROR(INDEX(Productos!$F$5:$F$504,MATCH($C2394,Productos!$A$5:$A$504,0)),0))</f>
        <v/>
      </c>
      <c r="H2394" s="22" t="str">
        <f t="shared" si="37"/>
        <v/>
      </c>
      <c r="I2394" s="14" t="str">
        <f>IF(OR($C2394="",$F2394=""),"",IFERROR(INDEX(Productos!$I$5:$I$504,MATCH($C2394,Productos!$A$5:$A$504,0)),0)+SUMIFS($F$5:$F2394,$C$5:$C2394,$C2394,$B$5:$B2394,"Entrada")-SUMIFS($F$5:$F2394,$C$5:$C2394,$C2394,$B$5:$B2394,"Salida"))</f>
        <v/>
      </c>
      <c r="J2394" s="20"/>
      <c r="K2394" s="20"/>
      <c r="L2394" s="20"/>
      <c r="M2394" s="14" t="str">
        <f>IF(AND($C2394&lt;&gt;"",$C2394=Kardex!$C$4),COUNTIF($C$5:$C2394,Kardex!$C$4),"")</f>
        <v/>
      </c>
    </row>
    <row r="2395" spans="1:13" x14ac:dyDescent="0.25">
      <c r="A2395" s="24"/>
      <c r="B2395" s="20"/>
      <c r="C2395" s="20"/>
      <c r="D2395" s="14" t="str">
        <f>IF($C2395="","",IFERROR(INDEX(Productos!$B$5:$B$504,MATCH($C2395,Productos!$A$5:$A$504,0)),"Clave no existe"))</f>
        <v/>
      </c>
      <c r="E2395" s="14" t="str">
        <f>IF($C2395="","",IFERROR(INDEX(Productos!$D$5:$D$504,MATCH($C2395,Productos!$A$5:$A$504,0)),""))</f>
        <v/>
      </c>
      <c r="F2395" s="20"/>
      <c r="G2395" s="22" t="str">
        <f>IF($C2395="","",IFERROR(INDEX(Productos!$F$5:$F$504,MATCH($C2395,Productos!$A$5:$A$504,0)),0))</f>
        <v/>
      </c>
      <c r="H2395" s="22" t="str">
        <f t="shared" si="37"/>
        <v/>
      </c>
      <c r="I2395" s="14" t="str">
        <f>IF(OR($C2395="",$F2395=""),"",IFERROR(INDEX(Productos!$I$5:$I$504,MATCH($C2395,Productos!$A$5:$A$504,0)),0)+SUMIFS($F$5:$F2395,$C$5:$C2395,$C2395,$B$5:$B2395,"Entrada")-SUMIFS($F$5:$F2395,$C$5:$C2395,$C2395,$B$5:$B2395,"Salida"))</f>
        <v/>
      </c>
      <c r="J2395" s="20"/>
      <c r="K2395" s="20"/>
      <c r="L2395" s="20"/>
      <c r="M2395" s="14" t="str">
        <f>IF(AND($C2395&lt;&gt;"",$C2395=Kardex!$C$4),COUNTIF($C$5:$C2395,Kardex!$C$4),"")</f>
        <v/>
      </c>
    </row>
    <row r="2396" spans="1:13" x14ac:dyDescent="0.25">
      <c r="A2396" s="24"/>
      <c r="B2396" s="20"/>
      <c r="C2396" s="20"/>
      <c r="D2396" s="14" t="str">
        <f>IF($C2396="","",IFERROR(INDEX(Productos!$B$5:$B$504,MATCH($C2396,Productos!$A$5:$A$504,0)),"Clave no existe"))</f>
        <v/>
      </c>
      <c r="E2396" s="14" t="str">
        <f>IF($C2396="","",IFERROR(INDEX(Productos!$D$5:$D$504,MATCH($C2396,Productos!$A$5:$A$504,0)),""))</f>
        <v/>
      </c>
      <c r="F2396" s="20"/>
      <c r="G2396" s="22" t="str">
        <f>IF($C2396="","",IFERROR(INDEX(Productos!$F$5:$F$504,MATCH($C2396,Productos!$A$5:$A$504,0)),0))</f>
        <v/>
      </c>
      <c r="H2396" s="22" t="str">
        <f t="shared" si="37"/>
        <v/>
      </c>
      <c r="I2396" s="14" t="str">
        <f>IF(OR($C2396="",$F2396=""),"",IFERROR(INDEX(Productos!$I$5:$I$504,MATCH($C2396,Productos!$A$5:$A$504,0)),0)+SUMIFS($F$5:$F2396,$C$5:$C2396,$C2396,$B$5:$B2396,"Entrada")-SUMIFS($F$5:$F2396,$C$5:$C2396,$C2396,$B$5:$B2396,"Salida"))</f>
        <v/>
      </c>
      <c r="J2396" s="20"/>
      <c r="K2396" s="20"/>
      <c r="L2396" s="20"/>
      <c r="M2396" s="14" t="str">
        <f>IF(AND($C2396&lt;&gt;"",$C2396=Kardex!$C$4),COUNTIF($C$5:$C2396,Kardex!$C$4),"")</f>
        <v/>
      </c>
    </row>
    <row r="2397" spans="1:13" x14ac:dyDescent="0.25">
      <c r="A2397" s="24"/>
      <c r="B2397" s="20"/>
      <c r="C2397" s="20"/>
      <c r="D2397" s="14" t="str">
        <f>IF($C2397="","",IFERROR(INDEX(Productos!$B$5:$B$504,MATCH($C2397,Productos!$A$5:$A$504,0)),"Clave no existe"))</f>
        <v/>
      </c>
      <c r="E2397" s="14" t="str">
        <f>IF($C2397="","",IFERROR(INDEX(Productos!$D$5:$D$504,MATCH($C2397,Productos!$A$5:$A$504,0)),""))</f>
        <v/>
      </c>
      <c r="F2397" s="20"/>
      <c r="G2397" s="22" t="str">
        <f>IF($C2397="","",IFERROR(INDEX(Productos!$F$5:$F$504,MATCH($C2397,Productos!$A$5:$A$504,0)),0))</f>
        <v/>
      </c>
      <c r="H2397" s="22" t="str">
        <f t="shared" si="37"/>
        <v/>
      </c>
      <c r="I2397" s="14" t="str">
        <f>IF(OR($C2397="",$F2397=""),"",IFERROR(INDEX(Productos!$I$5:$I$504,MATCH($C2397,Productos!$A$5:$A$504,0)),0)+SUMIFS($F$5:$F2397,$C$5:$C2397,$C2397,$B$5:$B2397,"Entrada")-SUMIFS($F$5:$F2397,$C$5:$C2397,$C2397,$B$5:$B2397,"Salida"))</f>
        <v/>
      </c>
      <c r="J2397" s="20"/>
      <c r="K2397" s="20"/>
      <c r="L2397" s="20"/>
      <c r="M2397" s="14" t="str">
        <f>IF(AND($C2397&lt;&gt;"",$C2397=Kardex!$C$4),COUNTIF($C$5:$C2397,Kardex!$C$4),"")</f>
        <v/>
      </c>
    </row>
    <row r="2398" spans="1:13" x14ac:dyDescent="0.25">
      <c r="A2398" s="24"/>
      <c r="B2398" s="20"/>
      <c r="C2398" s="20"/>
      <c r="D2398" s="14" t="str">
        <f>IF($C2398="","",IFERROR(INDEX(Productos!$B$5:$B$504,MATCH($C2398,Productos!$A$5:$A$504,0)),"Clave no existe"))</f>
        <v/>
      </c>
      <c r="E2398" s="14" t="str">
        <f>IF($C2398="","",IFERROR(INDEX(Productos!$D$5:$D$504,MATCH($C2398,Productos!$A$5:$A$504,0)),""))</f>
        <v/>
      </c>
      <c r="F2398" s="20"/>
      <c r="G2398" s="22" t="str">
        <f>IF($C2398="","",IFERROR(INDEX(Productos!$F$5:$F$504,MATCH($C2398,Productos!$A$5:$A$504,0)),0))</f>
        <v/>
      </c>
      <c r="H2398" s="22" t="str">
        <f t="shared" si="37"/>
        <v/>
      </c>
      <c r="I2398" s="14" t="str">
        <f>IF(OR($C2398="",$F2398=""),"",IFERROR(INDEX(Productos!$I$5:$I$504,MATCH($C2398,Productos!$A$5:$A$504,0)),0)+SUMIFS($F$5:$F2398,$C$5:$C2398,$C2398,$B$5:$B2398,"Entrada")-SUMIFS($F$5:$F2398,$C$5:$C2398,$C2398,$B$5:$B2398,"Salida"))</f>
        <v/>
      </c>
      <c r="J2398" s="20"/>
      <c r="K2398" s="20"/>
      <c r="L2398" s="20"/>
      <c r="M2398" s="14" t="str">
        <f>IF(AND($C2398&lt;&gt;"",$C2398=Kardex!$C$4),COUNTIF($C$5:$C2398,Kardex!$C$4),"")</f>
        <v/>
      </c>
    </row>
    <row r="2399" spans="1:13" x14ac:dyDescent="0.25">
      <c r="A2399" s="24"/>
      <c r="B2399" s="20"/>
      <c r="C2399" s="20"/>
      <c r="D2399" s="14" t="str">
        <f>IF($C2399="","",IFERROR(INDEX(Productos!$B$5:$B$504,MATCH($C2399,Productos!$A$5:$A$504,0)),"Clave no existe"))</f>
        <v/>
      </c>
      <c r="E2399" s="14" t="str">
        <f>IF($C2399="","",IFERROR(INDEX(Productos!$D$5:$D$504,MATCH($C2399,Productos!$A$5:$A$504,0)),""))</f>
        <v/>
      </c>
      <c r="F2399" s="20"/>
      <c r="G2399" s="22" t="str">
        <f>IF($C2399="","",IFERROR(INDEX(Productos!$F$5:$F$504,MATCH($C2399,Productos!$A$5:$A$504,0)),0))</f>
        <v/>
      </c>
      <c r="H2399" s="22" t="str">
        <f t="shared" si="37"/>
        <v/>
      </c>
      <c r="I2399" s="14" t="str">
        <f>IF(OR($C2399="",$F2399=""),"",IFERROR(INDEX(Productos!$I$5:$I$504,MATCH($C2399,Productos!$A$5:$A$504,0)),0)+SUMIFS($F$5:$F2399,$C$5:$C2399,$C2399,$B$5:$B2399,"Entrada")-SUMIFS($F$5:$F2399,$C$5:$C2399,$C2399,$B$5:$B2399,"Salida"))</f>
        <v/>
      </c>
      <c r="J2399" s="20"/>
      <c r="K2399" s="20"/>
      <c r="L2399" s="20"/>
      <c r="M2399" s="14" t="str">
        <f>IF(AND($C2399&lt;&gt;"",$C2399=Kardex!$C$4),COUNTIF($C$5:$C2399,Kardex!$C$4),"")</f>
        <v/>
      </c>
    </row>
    <row r="2400" spans="1:13" x14ac:dyDescent="0.25">
      <c r="A2400" s="24"/>
      <c r="B2400" s="20"/>
      <c r="C2400" s="20"/>
      <c r="D2400" s="14" t="str">
        <f>IF($C2400="","",IFERROR(INDEX(Productos!$B$5:$B$504,MATCH($C2400,Productos!$A$5:$A$504,0)),"Clave no existe"))</f>
        <v/>
      </c>
      <c r="E2400" s="14" t="str">
        <f>IF($C2400="","",IFERROR(INDEX(Productos!$D$5:$D$504,MATCH($C2400,Productos!$A$5:$A$504,0)),""))</f>
        <v/>
      </c>
      <c r="F2400" s="20"/>
      <c r="G2400" s="22" t="str">
        <f>IF($C2400="","",IFERROR(INDEX(Productos!$F$5:$F$504,MATCH($C2400,Productos!$A$5:$A$504,0)),0))</f>
        <v/>
      </c>
      <c r="H2400" s="22" t="str">
        <f t="shared" si="37"/>
        <v/>
      </c>
      <c r="I2400" s="14" t="str">
        <f>IF(OR($C2400="",$F2400=""),"",IFERROR(INDEX(Productos!$I$5:$I$504,MATCH($C2400,Productos!$A$5:$A$504,0)),0)+SUMIFS($F$5:$F2400,$C$5:$C2400,$C2400,$B$5:$B2400,"Entrada")-SUMIFS($F$5:$F2400,$C$5:$C2400,$C2400,$B$5:$B2400,"Salida"))</f>
        <v/>
      </c>
      <c r="J2400" s="20"/>
      <c r="K2400" s="20"/>
      <c r="L2400" s="20"/>
      <c r="M2400" s="14" t="str">
        <f>IF(AND($C2400&lt;&gt;"",$C2400=Kardex!$C$4),COUNTIF($C$5:$C2400,Kardex!$C$4),"")</f>
        <v/>
      </c>
    </row>
    <row r="2401" spans="1:13" x14ac:dyDescent="0.25">
      <c r="A2401" s="24"/>
      <c r="B2401" s="20"/>
      <c r="C2401" s="20"/>
      <c r="D2401" s="14" t="str">
        <f>IF($C2401="","",IFERROR(INDEX(Productos!$B$5:$B$504,MATCH($C2401,Productos!$A$5:$A$504,0)),"Clave no existe"))</f>
        <v/>
      </c>
      <c r="E2401" s="14" t="str">
        <f>IF($C2401="","",IFERROR(INDEX(Productos!$D$5:$D$504,MATCH($C2401,Productos!$A$5:$A$504,0)),""))</f>
        <v/>
      </c>
      <c r="F2401" s="20"/>
      <c r="G2401" s="22" t="str">
        <f>IF($C2401="","",IFERROR(INDEX(Productos!$F$5:$F$504,MATCH($C2401,Productos!$A$5:$A$504,0)),0))</f>
        <v/>
      </c>
      <c r="H2401" s="22" t="str">
        <f t="shared" si="37"/>
        <v/>
      </c>
      <c r="I2401" s="14" t="str">
        <f>IF(OR($C2401="",$F2401=""),"",IFERROR(INDEX(Productos!$I$5:$I$504,MATCH($C2401,Productos!$A$5:$A$504,0)),0)+SUMIFS($F$5:$F2401,$C$5:$C2401,$C2401,$B$5:$B2401,"Entrada")-SUMIFS($F$5:$F2401,$C$5:$C2401,$C2401,$B$5:$B2401,"Salida"))</f>
        <v/>
      </c>
      <c r="J2401" s="20"/>
      <c r="K2401" s="20"/>
      <c r="L2401" s="20"/>
      <c r="M2401" s="14" t="str">
        <f>IF(AND($C2401&lt;&gt;"",$C2401=Kardex!$C$4),COUNTIF($C$5:$C2401,Kardex!$C$4),"")</f>
        <v/>
      </c>
    </row>
    <row r="2402" spans="1:13" x14ac:dyDescent="0.25">
      <c r="A2402" s="24"/>
      <c r="B2402" s="20"/>
      <c r="C2402" s="20"/>
      <c r="D2402" s="14" t="str">
        <f>IF($C2402="","",IFERROR(INDEX(Productos!$B$5:$B$504,MATCH($C2402,Productos!$A$5:$A$504,0)),"Clave no existe"))</f>
        <v/>
      </c>
      <c r="E2402" s="14" t="str">
        <f>IF($C2402="","",IFERROR(INDEX(Productos!$D$5:$D$504,MATCH($C2402,Productos!$A$5:$A$504,0)),""))</f>
        <v/>
      </c>
      <c r="F2402" s="20"/>
      <c r="G2402" s="22" t="str">
        <f>IF($C2402="","",IFERROR(INDEX(Productos!$F$5:$F$504,MATCH($C2402,Productos!$A$5:$A$504,0)),0))</f>
        <v/>
      </c>
      <c r="H2402" s="22" t="str">
        <f t="shared" si="37"/>
        <v/>
      </c>
      <c r="I2402" s="14" t="str">
        <f>IF(OR($C2402="",$F2402=""),"",IFERROR(INDEX(Productos!$I$5:$I$504,MATCH($C2402,Productos!$A$5:$A$504,0)),0)+SUMIFS($F$5:$F2402,$C$5:$C2402,$C2402,$B$5:$B2402,"Entrada")-SUMIFS($F$5:$F2402,$C$5:$C2402,$C2402,$B$5:$B2402,"Salida"))</f>
        <v/>
      </c>
      <c r="J2402" s="20"/>
      <c r="K2402" s="20"/>
      <c r="L2402" s="20"/>
      <c r="M2402" s="14" t="str">
        <f>IF(AND($C2402&lt;&gt;"",$C2402=Kardex!$C$4),COUNTIF($C$5:$C2402,Kardex!$C$4),"")</f>
        <v/>
      </c>
    </row>
    <row r="2403" spans="1:13" x14ac:dyDescent="0.25">
      <c r="A2403" s="24"/>
      <c r="B2403" s="20"/>
      <c r="C2403" s="20"/>
      <c r="D2403" s="14" t="str">
        <f>IF($C2403="","",IFERROR(INDEX(Productos!$B$5:$B$504,MATCH($C2403,Productos!$A$5:$A$504,0)),"Clave no existe"))</f>
        <v/>
      </c>
      <c r="E2403" s="14" t="str">
        <f>IF($C2403="","",IFERROR(INDEX(Productos!$D$5:$D$504,MATCH($C2403,Productos!$A$5:$A$504,0)),""))</f>
        <v/>
      </c>
      <c r="F2403" s="20"/>
      <c r="G2403" s="22" t="str">
        <f>IF($C2403="","",IFERROR(INDEX(Productos!$F$5:$F$504,MATCH($C2403,Productos!$A$5:$A$504,0)),0))</f>
        <v/>
      </c>
      <c r="H2403" s="22" t="str">
        <f t="shared" si="37"/>
        <v/>
      </c>
      <c r="I2403" s="14" t="str">
        <f>IF(OR($C2403="",$F2403=""),"",IFERROR(INDEX(Productos!$I$5:$I$504,MATCH($C2403,Productos!$A$5:$A$504,0)),0)+SUMIFS($F$5:$F2403,$C$5:$C2403,$C2403,$B$5:$B2403,"Entrada")-SUMIFS($F$5:$F2403,$C$5:$C2403,$C2403,$B$5:$B2403,"Salida"))</f>
        <v/>
      </c>
      <c r="J2403" s="20"/>
      <c r="K2403" s="20"/>
      <c r="L2403" s="20"/>
      <c r="M2403" s="14" t="str">
        <f>IF(AND($C2403&lt;&gt;"",$C2403=Kardex!$C$4),COUNTIF($C$5:$C2403,Kardex!$C$4),"")</f>
        <v/>
      </c>
    </row>
    <row r="2404" spans="1:13" x14ac:dyDescent="0.25">
      <c r="A2404" s="24"/>
      <c r="B2404" s="20"/>
      <c r="C2404" s="20"/>
      <c r="D2404" s="14" t="str">
        <f>IF($C2404="","",IFERROR(INDEX(Productos!$B$5:$B$504,MATCH($C2404,Productos!$A$5:$A$504,0)),"Clave no existe"))</f>
        <v/>
      </c>
      <c r="E2404" s="14" t="str">
        <f>IF($C2404="","",IFERROR(INDEX(Productos!$D$5:$D$504,MATCH($C2404,Productos!$A$5:$A$504,0)),""))</f>
        <v/>
      </c>
      <c r="F2404" s="20"/>
      <c r="G2404" s="22" t="str">
        <f>IF($C2404="","",IFERROR(INDEX(Productos!$F$5:$F$504,MATCH($C2404,Productos!$A$5:$A$504,0)),0))</f>
        <v/>
      </c>
      <c r="H2404" s="22" t="str">
        <f t="shared" si="37"/>
        <v/>
      </c>
      <c r="I2404" s="14" t="str">
        <f>IF(OR($C2404="",$F2404=""),"",IFERROR(INDEX(Productos!$I$5:$I$504,MATCH($C2404,Productos!$A$5:$A$504,0)),0)+SUMIFS($F$5:$F2404,$C$5:$C2404,$C2404,$B$5:$B2404,"Entrada")-SUMIFS($F$5:$F2404,$C$5:$C2404,$C2404,$B$5:$B2404,"Salida"))</f>
        <v/>
      </c>
      <c r="J2404" s="20"/>
      <c r="K2404" s="20"/>
      <c r="L2404" s="20"/>
      <c r="M2404" s="14" t="str">
        <f>IF(AND($C2404&lt;&gt;"",$C2404=Kardex!$C$4),COUNTIF($C$5:$C2404,Kardex!$C$4),"")</f>
        <v/>
      </c>
    </row>
    <row r="2405" spans="1:13" x14ac:dyDescent="0.25">
      <c r="A2405" s="24"/>
      <c r="B2405" s="20"/>
      <c r="C2405" s="20"/>
      <c r="D2405" s="14" t="str">
        <f>IF($C2405="","",IFERROR(INDEX(Productos!$B$5:$B$504,MATCH($C2405,Productos!$A$5:$A$504,0)),"Clave no existe"))</f>
        <v/>
      </c>
      <c r="E2405" s="14" t="str">
        <f>IF($C2405="","",IFERROR(INDEX(Productos!$D$5:$D$504,MATCH($C2405,Productos!$A$5:$A$504,0)),""))</f>
        <v/>
      </c>
      <c r="F2405" s="20"/>
      <c r="G2405" s="22" t="str">
        <f>IF($C2405="","",IFERROR(INDEX(Productos!$F$5:$F$504,MATCH($C2405,Productos!$A$5:$A$504,0)),0))</f>
        <v/>
      </c>
      <c r="H2405" s="22" t="str">
        <f t="shared" si="37"/>
        <v/>
      </c>
      <c r="I2405" s="14" t="str">
        <f>IF(OR($C2405="",$F2405=""),"",IFERROR(INDEX(Productos!$I$5:$I$504,MATCH($C2405,Productos!$A$5:$A$504,0)),0)+SUMIFS($F$5:$F2405,$C$5:$C2405,$C2405,$B$5:$B2405,"Entrada")-SUMIFS($F$5:$F2405,$C$5:$C2405,$C2405,$B$5:$B2405,"Salida"))</f>
        <v/>
      </c>
      <c r="J2405" s="20"/>
      <c r="K2405" s="20"/>
      <c r="L2405" s="20"/>
      <c r="M2405" s="14" t="str">
        <f>IF(AND($C2405&lt;&gt;"",$C2405=Kardex!$C$4),COUNTIF($C$5:$C2405,Kardex!$C$4),"")</f>
        <v/>
      </c>
    </row>
    <row r="2406" spans="1:13" x14ac:dyDescent="0.25">
      <c r="A2406" s="24"/>
      <c r="B2406" s="20"/>
      <c r="C2406" s="20"/>
      <c r="D2406" s="14" t="str">
        <f>IF($C2406="","",IFERROR(INDEX(Productos!$B$5:$B$504,MATCH($C2406,Productos!$A$5:$A$504,0)),"Clave no existe"))</f>
        <v/>
      </c>
      <c r="E2406" s="14" t="str">
        <f>IF($C2406="","",IFERROR(INDEX(Productos!$D$5:$D$504,MATCH($C2406,Productos!$A$5:$A$504,0)),""))</f>
        <v/>
      </c>
      <c r="F2406" s="20"/>
      <c r="G2406" s="22" t="str">
        <f>IF($C2406="","",IFERROR(INDEX(Productos!$F$5:$F$504,MATCH($C2406,Productos!$A$5:$A$504,0)),0))</f>
        <v/>
      </c>
      <c r="H2406" s="22" t="str">
        <f t="shared" si="37"/>
        <v/>
      </c>
      <c r="I2406" s="14" t="str">
        <f>IF(OR($C2406="",$F2406=""),"",IFERROR(INDEX(Productos!$I$5:$I$504,MATCH($C2406,Productos!$A$5:$A$504,0)),0)+SUMIFS($F$5:$F2406,$C$5:$C2406,$C2406,$B$5:$B2406,"Entrada")-SUMIFS($F$5:$F2406,$C$5:$C2406,$C2406,$B$5:$B2406,"Salida"))</f>
        <v/>
      </c>
      <c r="J2406" s="20"/>
      <c r="K2406" s="20"/>
      <c r="L2406" s="20"/>
      <c r="M2406" s="14" t="str">
        <f>IF(AND($C2406&lt;&gt;"",$C2406=Kardex!$C$4),COUNTIF($C$5:$C2406,Kardex!$C$4),"")</f>
        <v/>
      </c>
    </row>
    <row r="2407" spans="1:13" x14ac:dyDescent="0.25">
      <c r="A2407" s="24"/>
      <c r="B2407" s="20"/>
      <c r="C2407" s="20"/>
      <c r="D2407" s="14" t="str">
        <f>IF($C2407="","",IFERROR(INDEX(Productos!$B$5:$B$504,MATCH($C2407,Productos!$A$5:$A$504,0)),"Clave no existe"))</f>
        <v/>
      </c>
      <c r="E2407" s="14" t="str">
        <f>IF($C2407="","",IFERROR(INDEX(Productos!$D$5:$D$504,MATCH($C2407,Productos!$A$5:$A$504,0)),""))</f>
        <v/>
      </c>
      <c r="F2407" s="20"/>
      <c r="G2407" s="22" t="str">
        <f>IF($C2407="","",IFERROR(INDEX(Productos!$F$5:$F$504,MATCH($C2407,Productos!$A$5:$A$504,0)),0))</f>
        <v/>
      </c>
      <c r="H2407" s="22" t="str">
        <f t="shared" si="37"/>
        <v/>
      </c>
      <c r="I2407" s="14" t="str">
        <f>IF(OR($C2407="",$F2407=""),"",IFERROR(INDEX(Productos!$I$5:$I$504,MATCH($C2407,Productos!$A$5:$A$504,0)),0)+SUMIFS($F$5:$F2407,$C$5:$C2407,$C2407,$B$5:$B2407,"Entrada")-SUMIFS($F$5:$F2407,$C$5:$C2407,$C2407,$B$5:$B2407,"Salida"))</f>
        <v/>
      </c>
      <c r="J2407" s="20"/>
      <c r="K2407" s="20"/>
      <c r="L2407" s="20"/>
      <c r="M2407" s="14" t="str">
        <f>IF(AND($C2407&lt;&gt;"",$C2407=Kardex!$C$4),COUNTIF($C$5:$C2407,Kardex!$C$4),"")</f>
        <v/>
      </c>
    </row>
    <row r="2408" spans="1:13" x14ac:dyDescent="0.25">
      <c r="A2408" s="24"/>
      <c r="B2408" s="20"/>
      <c r="C2408" s="20"/>
      <c r="D2408" s="14" t="str">
        <f>IF($C2408="","",IFERROR(INDEX(Productos!$B$5:$B$504,MATCH($C2408,Productos!$A$5:$A$504,0)),"Clave no existe"))</f>
        <v/>
      </c>
      <c r="E2408" s="14" t="str">
        <f>IF($C2408="","",IFERROR(INDEX(Productos!$D$5:$D$504,MATCH($C2408,Productos!$A$5:$A$504,0)),""))</f>
        <v/>
      </c>
      <c r="F2408" s="20"/>
      <c r="G2408" s="22" t="str">
        <f>IF($C2408="","",IFERROR(INDEX(Productos!$F$5:$F$504,MATCH($C2408,Productos!$A$5:$A$504,0)),0))</f>
        <v/>
      </c>
      <c r="H2408" s="22" t="str">
        <f t="shared" si="37"/>
        <v/>
      </c>
      <c r="I2408" s="14" t="str">
        <f>IF(OR($C2408="",$F2408=""),"",IFERROR(INDEX(Productos!$I$5:$I$504,MATCH($C2408,Productos!$A$5:$A$504,0)),0)+SUMIFS($F$5:$F2408,$C$5:$C2408,$C2408,$B$5:$B2408,"Entrada")-SUMIFS($F$5:$F2408,$C$5:$C2408,$C2408,$B$5:$B2408,"Salida"))</f>
        <v/>
      </c>
      <c r="J2408" s="20"/>
      <c r="K2408" s="20"/>
      <c r="L2408" s="20"/>
      <c r="M2408" s="14" t="str">
        <f>IF(AND($C2408&lt;&gt;"",$C2408=Kardex!$C$4),COUNTIF($C$5:$C2408,Kardex!$C$4),"")</f>
        <v/>
      </c>
    </row>
    <row r="2409" spans="1:13" x14ac:dyDescent="0.25">
      <c r="A2409" s="24"/>
      <c r="B2409" s="20"/>
      <c r="C2409" s="20"/>
      <c r="D2409" s="14" t="str">
        <f>IF($C2409="","",IFERROR(INDEX(Productos!$B$5:$B$504,MATCH($C2409,Productos!$A$5:$A$504,0)),"Clave no existe"))</f>
        <v/>
      </c>
      <c r="E2409" s="14" t="str">
        <f>IF($C2409="","",IFERROR(INDEX(Productos!$D$5:$D$504,MATCH($C2409,Productos!$A$5:$A$504,0)),""))</f>
        <v/>
      </c>
      <c r="F2409" s="20"/>
      <c r="G2409" s="22" t="str">
        <f>IF($C2409="","",IFERROR(INDEX(Productos!$F$5:$F$504,MATCH($C2409,Productos!$A$5:$A$504,0)),0))</f>
        <v/>
      </c>
      <c r="H2409" s="22" t="str">
        <f t="shared" si="37"/>
        <v/>
      </c>
      <c r="I2409" s="14" t="str">
        <f>IF(OR($C2409="",$F2409=""),"",IFERROR(INDEX(Productos!$I$5:$I$504,MATCH($C2409,Productos!$A$5:$A$504,0)),0)+SUMIFS($F$5:$F2409,$C$5:$C2409,$C2409,$B$5:$B2409,"Entrada")-SUMIFS($F$5:$F2409,$C$5:$C2409,$C2409,$B$5:$B2409,"Salida"))</f>
        <v/>
      </c>
      <c r="J2409" s="20"/>
      <c r="K2409" s="20"/>
      <c r="L2409" s="20"/>
      <c r="M2409" s="14" t="str">
        <f>IF(AND($C2409&lt;&gt;"",$C2409=Kardex!$C$4),COUNTIF($C$5:$C2409,Kardex!$C$4),"")</f>
        <v/>
      </c>
    </row>
    <row r="2410" spans="1:13" x14ac:dyDescent="0.25">
      <c r="A2410" s="24"/>
      <c r="B2410" s="20"/>
      <c r="C2410" s="20"/>
      <c r="D2410" s="14" t="str">
        <f>IF($C2410="","",IFERROR(INDEX(Productos!$B$5:$B$504,MATCH($C2410,Productos!$A$5:$A$504,0)),"Clave no existe"))</f>
        <v/>
      </c>
      <c r="E2410" s="14" t="str">
        <f>IF($C2410="","",IFERROR(INDEX(Productos!$D$5:$D$504,MATCH($C2410,Productos!$A$5:$A$504,0)),""))</f>
        <v/>
      </c>
      <c r="F2410" s="20"/>
      <c r="G2410" s="22" t="str">
        <f>IF($C2410="","",IFERROR(INDEX(Productos!$F$5:$F$504,MATCH($C2410,Productos!$A$5:$A$504,0)),0))</f>
        <v/>
      </c>
      <c r="H2410" s="22" t="str">
        <f t="shared" si="37"/>
        <v/>
      </c>
      <c r="I2410" s="14" t="str">
        <f>IF(OR($C2410="",$F2410=""),"",IFERROR(INDEX(Productos!$I$5:$I$504,MATCH($C2410,Productos!$A$5:$A$504,0)),0)+SUMIFS($F$5:$F2410,$C$5:$C2410,$C2410,$B$5:$B2410,"Entrada")-SUMIFS($F$5:$F2410,$C$5:$C2410,$C2410,$B$5:$B2410,"Salida"))</f>
        <v/>
      </c>
      <c r="J2410" s="20"/>
      <c r="K2410" s="20"/>
      <c r="L2410" s="20"/>
      <c r="M2410" s="14" t="str">
        <f>IF(AND($C2410&lt;&gt;"",$C2410=Kardex!$C$4),COUNTIF($C$5:$C2410,Kardex!$C$4),"")</f>
        <v/>
      </c>
    </row>
    <row r="2411" spans="1:13" x14ac:dyDescent="0.25">
      <c r="A2411" s="24"/>
      <c r="B2411" s="20"/>
      <c r="C2411" s="20"/>
      <c r="D2411" s="14" t="str">
        <f>IF($C2411="","",IFERROR(INDEX(Productos!$B$5:$B$504,MATCH($C2411,Productos!$A$5:$A$504,0)),"Clave no existe"))</f>
        <v/>
      </c>
      <c r="E2411" s="14" t="str">
        <f>IF($C2411="","",IFERROR(INDEX(Productos!$D$5:$D$504,MATCH($C2411,Productos!$A$5:$A$504,0)),""))</f>
        <v/>
      </c>
      <c r="F2411" s="20"/>
      <c r="G2411" s="22" t="str">
        <f>IF($C2411="","",IFERROR(INDEX(Productos!$F$5:$F$504,MATCH($C2411,Productos!$A$5:$A$504,0)),0))</f>
        <v/>
      </c>
      <c r="H2411" s="22" t="str">
        <f t="shared" si="37"/>
        <v/>
      </c>
      <c r="I2411" s="14" t="str">
        <f>IF(OR($C2411="",$F2411=""),"",IFERROR(INDEX(Productos!$I$5:$I$504,MATCH($C2411,Productos!$A$5:$A$504,0)),0)+SUMIFS($F$5:$F2411,$C$5:$C2411,$C2411,$B$5:$B2411,"Entrada")-SUMIFS($F$5:$F2411,$C$5:$C2411,$C2411,$B$5:$B2411,"Salida"))</f>
        <v/>
      </c>
      <c r="J2411" s="20"/>
      <c r="K2411" s="20"/>
      <c r="L2411" s="20"/>
      <c r="M2411" s="14" t="str">
        <f>IF(AND($C2411&lt;&gt;"",$C2411=Kardex!$C$4),COUNTIF($C$5:$C2411,Kardex!$C$4),"")</f>
        <v/>
      </c>
    </row>
    <row r="2412" spans="1:13" x14ac:dyDescent="0.25">
      <c r="A2412" s="24"/>
      <c r="B2412" s="20"/>
      <c r="C2412" s="20"/>
      <c r="D2412" s="14" t="str">
        <f>IF($C2412="","",IFERROR(INDEX(Productos!$B$5:$B$504,MATCH($C2412,Productos!$A$5:$A$504,0)),"Clave no existe"))</f>
        <v/>
      </c>
      <c r="E2412" s="14" t="str">
        <f>IF($C2412="","",IFERROR(INDEX(Productos!$D$5:$D$504,MATCH($C2412,Productos!$A$5:$A$504,0)),""))</f>
        <v/>
      </c>
      <c r="F2412" s="20"/>
      <c r="G2412" s="22" t="str">
        <f>IF($C2412="","",IFERROR(INDEX(Productos!$F$5:$F$504,MATCH($C2412,Productos!$A$5:$A$504,0)),0))</f>
        <v/>
      </c>
      <c r="H2412" s="22" t="str">
        <f t="shared" si="37"/>
        <v/>
      </c>
      <c r="I2412" s="14" t="str">
        <f>IF(OR($C2412="",$F2412=""),"",IFERROR(INDEX(Productos!$I$5:$I$504,MATCH($C2412,Productos!$A$5:$A$504,0)),0)+SUMIFS($F$5:$F2412,$C$5:$C2412,$C2412,$B$5:$B2412,"Entrada")-SUMIFS($F$5:$F2412,$C$5:$C2412,$C2412,$B$5:$B2412,"Salida"))</f>
        <v/>
      </c>
      <c r="J2412" s="20"/>
      <c r="K2412" s="20"/>
      <c r="L2412" s="20"/>
      <c r="M2412" s="14" t="str">
        <f>IF(AND($C2412&lt;&gt;"",$C2412=Kardex!$C$4),COUNTIF($C$5:$C2412,Kardex!$C$4),"")</f>
        <v/>
      </c>
    </row>
    <row r="2413" spans="1:13" x14ac:dyDescent="0.25">
      <c r="A2413" s="24"/>
      <c r="B2413" s="20"/>
      <c r="C2413" s="20"/>
      <c r="D2413" s="14" t="str">
        <f>IF($C2413="","",IFERROR(INDEX(Productos!$B$5:$B$504,MATCH($C2413,Productos!$A$5:$A$504,0)),"Clave no existe"))</f>
        <v/>
      </c>
      <c r="E2413" s="14" t="str">
        <f>IF($C2413="","",IFERROR(INDEX(Productos!$D$5:$D$504,MATCH($C2413,Productos!$A$5:$A$504,0)),""))</f>
        <v/>
      </c>
      <c r="F2413" s="20"/>
      <c r="G2413" s="22" t="str">
        <f>IF($C2413="","",IFERROR(INDEX(Productos!$F$5:$F$504,MATCH($C2413,Productos!$A$5:$A$504,0)),0))</f>
        <v/>
      </c>
      <c r="H2413" s="22" t="str">
        <f t="shared" si="37"/>
        <v/>
      </c>
      <c r="I2413" s="14" t="str">
        <f>IF(OR($C2413="",$F2413=""),"",IFERROR(INDEX(Productos!$I$5:$I$504,MATCH($C2413,Productos!$A$5:$A$504,0)),0)+SUMIFS($F$5:$F2413,$C$5:$C2413,$C2413,$B$5:$B2413,"Entrada")-SUMIFS($F$5:$F2413,$C$5:$C2413,$C2413,$B$5:$B2413,"Salida"))</f>
        <v/>
      </c>
      <c r="J2413" s="20"/>
      <c r="K2413" s="20"/>
      <c r="L2413" s="20"/>
      <c r="M2413" s="14" t="str">
        <f>IF(AND($C2413&lt;&gt;"",$C2413=Kardex!$C$4),COUNTIF($C$5:$C2413,Kardex!$C$4),"")</f>
        <v/>
      </c>
    </row>
    <row r="2414" spans="1:13" x14ac:dyDescent="0.25">
      <c r="A2414" s="24"/>
      <c r="B2414" s="20"/>
      <c r="C2414" s="20"/>
      <c r="D2414" s="14" t="str">
        <f>IF($C2414="","",IFERROR(INDEX(Productos!$B$5:$B$504,MATCH($C2414,Productos!$A$5:$A$504,0)),"Clave no existe"))</f>
        <v/>
      </c>
      <c r="E2414" s="14" t="str">
        <f>IF($C2414="","",IFERROR(INDEX(Productos!$D$5:$D$504,MATCH($C2414,Productos!$A$5:$A$504,0)),""))</f>
        <v/>
      </c>
      <c r="F2414" s="20"/>
      <c r="G2414" s="22" t="str">
        <f>IF($C2414="","",IFERROR(INDEX(Productos!$F$5:$F$504,MATCH($C2414,Productos!$A$5:$A$504,0)),0))</f>
        <v/>
      </c>
      <c r="H2414" s="22" t="str">
        <f t="shared" si="37"/>
        <v/>
      </c>
      <c r="I2414" s="14" t="str">
        <f>IF(OR($C2414="",$F2414=""),"",IFERROR(INDEX(Productos!$I$5:$I$504,MATCH($C2414,Productos!$A$5:$A$504,0)),0)+SUMIFS($F$5:$F2414,$C$5:$C2414,$C2414,$B$5:$B2414,"Entrada")-SUMIFS($F$5:$F2414,$C$5:$C2414,$C2414,$B$5:$B2414,"Salida"))</f>
        <v/>
      </c>
      <c r="J2414" s="20"/>
      <c r="K2414" s="20"/>
      <c r="L2414" s="20"/>
      <c r="M2414" s="14" t="str">
        <f>IF(AND($C2414&lt;&gt;"",$C2414=Kardex!$C$4),COUNTIF($C$5:$C2414,Kardex!$C$4),"")</f>
        <v/>
      </c>
    </row>
    <row r="2415" spans="1:13" x14ac:dyDescent="0.25">
      <c r="A2415" s="24"/>
      <c r="B2415" s="20"/>
      <c r="C2415" s="20"/>
      <c r="D2415" s="14" t="str">
        <f>IF($C2415="","",IFERROR(INDEX(Productos!$B$5:$B$504,MATCH($C2415,Productos!$A$5:$A$504,0)),"Clave no existe"))</f>
        <v/>
      </c>
      <c r="E2415" s="14" t="str">
        <f>IF($C2415="","",IFERROR(INDEX(Productos!$D$5:$D$504,MATCH($C2415,Productos!$A$5:$A$504,0)),""))</f>
        <v/>
      </c>
      <c r="F2415" s="20"/>
      <c r="G2415" s="22" t="str">
        <f>IF($C2415="","",IFERROR(INDEX(Productos!$F$5:$F$504,MATCH($C2415,Productos!$A$5:$A$504,0)),0))</f>
        <v/>
      </c>
      <c r="H2415" s="22" t="str">
        <f t="shared" si="37"/>
        <v/>
      </c>
      <c r="I2415" s="14" t="str">
        <f>IF(OR($C2415="",$F2415=""),"",IFERROR(INDEX(Productos!$I$5:$I$504,MATCH($C2415,Productos!$A$5:$A$504,0)),0)+SUMIFS($F$5:$F2415,$C$5:$C2415,$C2415,$B$5:$B2415,"Entrada")-SUMIFS($F$5:$F2415,$C$5:$C2415,$C2415,$B$5:$B2415,"Salida"))</f>
        <v/>
      </c>
      <c r="J2415" s="20"/>
      <c r="K2415" s="20"/>
      <c r="L2415" s="20"/>
      <c r="M2415" s="14" t="str">
        <f>IF(AND($C2415&lt;&gt;"",$C2415=Kardex!$C$4),COUNTIF($C$5:$C2415,Kardex!$C$4),"")</f>
        <v/>
      </c>
    </row>
    <row r="2416" spans="1:13" x14ac:dyDescent="0.25">
      <c r="A2416" s="24"/>
      <c r="B2416" s="20"/>
      <c r="C2416" s="20"/>
      <c r="D2416" s="14" t="str">
        <f>IF($C2416="","",IFERROR(INDEX(Productos!$B$5:$B$504,MATCH($C2416,Productos!$A$5:$A$504,0)),"Clave no existe"))</f>
        <v/>
      </c>
      <c r="E2416" s="14" t="str">
        <f>IF($C2416="","",IFERROR(INDEX(Productos!$D$5:$D$504,MATCH($C2416,Productos!$A$5:$A$504,0)),""))</f>
        <v/>
      </c>
      <c r="F2416" s="20"/>
      <c r="G2416" s="22" t="str">
        <f>IF($C2416="","",IFERROR(INDEX(Productos!$F$5:$F$504,MATCH($C2416,Productos!$A$5:$A$504,0)),0))</f>
        <v/>
      </c>
      <c r="H2416" s="22" t="str">
        <f t="shared" si="37"/>
        <v/>
      </c>
      <c r="I2416" s="14" t="str">
        <f>IF(OR($C2416="",$F2416=""),"",IFERROR(INDEX(Productos!$I$5:$I$504,MATCH($C2416,Productos!$A$5:$A$504,0)),0)+SUMIFS($F$5:$F2416,$C$5:$C2416,$C2416,$B$5:$B2416,"Entrada")-SUMIFS($F$5:$F2416,$C$5:$C2416,$C2416,$B$5:$B2416,"Salida"))</f>
        <v/>
      </c>
      <c r="J2416" s="20"/>
      <c r="K2416" s="20"/>
      <c r="L2416" s="20"/>
      <c r="M2416" s="14" t="str">
        <f>IF(AND($C2416&lt;&gt;"",$C2416=Kardex!$C$4),COUNTIF($C$5:$C2416,Kardex!$C$4),"")</f>
        <v/>
      </c>
    </row>
    <row r="2417" spans="1:13" x14ac:dyDescent="0.25">
      <c r="A2417" s="24"/>
      <c r="B2417" s="20"/>
      <c r="C2417" s="20"/>
      <c r="D2417" s="14" t="str">
        <f>IF($C2417="","",IFERROR(INDEX(Productos!$B$5:$B$504,MATCH($C2417,Productos!$A$5:$A$504,0)),"Clave no existe"))</f>
        <v/>
      </c>
      <c r="E2417" s="14" t="str">
        <f>IF($C2417="","",IFERROR(INDEX(Productos!$D$5:$D$504,MATCH($C2417,Productos!$A$5:$A$504,0)),""))</f>
        <v/>
      </c>
      <c r="F2417" s="20"/>
      <c r="G2417" s="22" t="str">
        <f>IF($C2417="","",IFERROR(INDEX(Productos!$F$5:$F$504,MATCH($C2417,Productos!$A$5:$A$504,0)),0))</f>
        <v/>
      </c>
      <c r="H2417" s="22" t="str">
        <f t="shared" si="37"/>
        <v/>
      </c>
      <c r="I2417" s="14" t="str">
        <f>IF(OR($C2417="",$F2417=""),"",IFERROR(INDEX(Productos!$I$5:$I$504,MATCH($C2417,Productos!$A$5:$A$504,0)),0)+SUMIFS($F$5:$F2417,$C$5:$C2417,$C2417,$B$5:$B2417,"Entrada")-SUMIFS($F$5:$F2417,$C$5:$C2417,$C2417,$B$5:$B2417,"Salida"))</f>
        <v/>
      </c>
      <c r="J2417" s="20"/>
      <c r="K2417" s="20"/>
      <c r="L2417" s="20"/>
      <c r="M2417" s="14" t="str">
        <f>IF(AND($C2417&lt;&gt;"",$C2417=Kardex!$C$4),COUNTIF($C$5:$C2417,Kardex!$C$4),"")</f>
        <v/>
      </c>
    </row>
    <row r="2418" spans="1:13" x14ac:dyDescent="0.25">
      <c r="A2418" s="24"/>
      <c r="B2418" s="20"/>
      <c r="C2418" s="20"/>
      <c r="D2418" s="14" t="str">
        <f>IF($C2418="","",IFERROR(INDEX(Productos!$B$5:$B$504,MATCH($C2418,Productos!$A$5:$A$504,0)),"Clave no existe"))</f>
        <v/>
      </c>
      <c r="E2418" s="14" t="str">
        <f>IF($C2418="","",IFERROR(INDEX(Productos!$D$5:$D$504,MATCH($C2418,Productos!$A$5:$A$504,0)),""))</f>
        <v/>
      </c>
      <c r="F2418" s="20"/>
      <c r="G2418" s="22" t="str">
        <f>IF($C2418="","",IFERROR(INDEX(Productos!$F$5:$F$504,MATCH($C2418,Productos!$A$5:$A$504,0)),0))</f>
        <v/>
      </c>
      <c r="H2418" s="22" t="str">
        <f t="shared" si="37"/>
        <v/>
      </c>
      <c r="I2418" s="14" t="str">
        <f>IF(OR($C2418="",$F2418=""),"",IFERROR(INDEX(Productos!$I$5:$I$504,MATCH($C2418,Productos!$A$5:$A$504,0)),0)+SUMIFS($F$5:$F2418,$C$5:$C2418,$C2418,$B$5:$B2418,"Entrada")-SUMIFS($F$5:$F2418,$C$5:$C2418,$C2418,$B$5:$B2418,"Salida"))</f>
        <v/>
      </c>
      <c r="J2418" s="20"/>
      <c r="K2418" s="20"/>
      <c r="L2418" s="20"/>
      <c r="M2418" s="14" t="str">
        <f>IF(AND($C2418&lt;&gt;"",$C2418=Kardex!$C$4),COUNTIF($C$5:$C2418,Kardex!$C$4),"")</f>
        <v/>
      </c>
    </row>
    <row r="2419" spans="1:13" x14ac:dyDescent="0.25">
      <c r="A2419" s="24"/>
      <c r="B2419" s="20"/>
      <c r="C2419" s="20"/>
      <c r="D2419" s="14" t="str">
        <f>IF($C2419="","",IFERROR(INDEX(Productos!$B$5:$B$504,MATCH($C2419,Productos!$A$5:$A$504,0)),"Clave no existe"))</f>
        <v/>
      </c>
      <c r="E2419" s="14" t="str">
        <f>IF($C2419="","",IFERROR(INDEX(Productos!$D$5:$D$504,MATCH($C2419,Productos!$A$5:$A$504,0)),""))</f>
        <v/>
      </c>
      <c r="F2419" s="20"/>
      <c r="G2419" s="22" t="str">
        <f>IF($C2419="","",IFERROR(INDEX(Productos!$F$5:$F$504,MATCH($C2419,Productos!$A$5:$A$504,0)),0))</f>
        <v/>
      </c>
      <c r="H2419" s="22" t="str">
        <f t="shared" si="37"/>
        <v/>
      </c>
      <c r="I2419" s="14" t="str">
        <f>IF(OR($C2419="",$F2419=""),"",IFERROR(INDEX(Productos!$I$5:$I$504,MATCH($C2419,Productos!$A$5:$A$504,0)),0)+SUMIFS($F$5:$F2419,$C$5:$C2419,$C2419,$B$5:$B2419,"Entrada")-SUMIFS($F$5:$F2419,$C$5:$C2419,$C2419,$B$5:$B2419,"Salida"))</f>
        <v/>
      </c>
      <c r="J2419" s="20"/>
      <c r="K2419" s="20"/>
      <c r="L2419" s="20"/>
      <c r="M2419" s="14" t="str">
        <f>IF(AND($C2419&lt;&gt;"",$C2419=Kardex!$C$4),COUNTIF($C$5:$C2419,Kardex!$C$4),"")</f>
        <v/>
      </c>
    </row>
    <row r="2420" spans="1:13" x14ac:dyDescent="0.25">
      <c r="A2420" s="24"/>
      <c r="B2420" s="20"/>
      <c r="C2420" s="20"/>
      <c r="D2420" s="14" t="str">
        <f>IF($C2420="","",IFERROR(INDEX(Productos!$B$5:$B$504,MATCH($C2420,Productos!$A$5:$A$504,0)),"Clave no existe"))</f>
        <v/>
      </c>
      <c r="E2420" s="14" t="str">
        <f>IF($C2420="","",IFERROR(INDEX(Productos!$D$5:$D$504,MATCH($C2420,Productos!$A$5:$A$504,0)),""))</f>
        <v/>
      </c>
      <c r="F2420" s="20"/>
      <c r="G2420" s="22" t="str">
        <f>IF($C2420="","",IFERROR(INDEX(Productos!$F$5:$F$504,MATCH($C2420,Productos!$A$5:$A$504,0)),0))</f>
        <v/>
      </c>
      <c r="H2420" s="22" t="str">
        <f t="shared" si="37"/>
        <v/>
      </c>
      <c r="I2420" s="14" t="str">
        <f>IF(OR($C2420="",$F2420=""),"",IFERROR(INDEX(Productos!$I$5:$I$504,MATCH($C2420,Productos!$A$5:$A$504,0)),0)+SUMIFS($F$5:$F2420,$C$5:$C2420,$C2420,$B$5:$B2420,"Entrada")-SUMIFS($F$5:$F2420,$C$5:$C2420,$C2420,$B$5:$B2420,"Salida"))</f>
        <v/>
      </c>
      <c r="J2420" s="20"/>
      <c r="K2420" s="20"/>
      <c r="L2420" s="20"/>
      <c r="M2420" s="14" t="str">
        <f>IF(AND($C2420&lt;&gt;"",$C2420=Kardex!$C$4),COUNTIF($C$5:$C2420,Kardex!$C$4),"")</f>
        <v/>
      </c>
    </row>
    <row r="2421" spans="1:13" x14ac:dyDescent="0.25">
      <c r="A2421" s="24"/>
      <c r="B2421" s="20"/>
      <c r="C2421" s="20"/>
      <c r="D2421" s="14" t="str">
        <f>IF($C2421="","",IFERROR(INDEX(Productos!$B$5:$B$504,MATCH($C2421,Productos!$A$5:$A$504,0)),"Clave no existe"))</f>
        <v/>
      </c>
      <c r="E2421" s="14" t="str">
        <f>IF($C2421="","",IFERROR(INDEX(Productos!$D$5:$D$504,MATCH($C2421,Productos!$A$5:$A$504,0)),""))</f>
        <v/>
      </c>
      <c r="F2421" s="20"/>
      <c r="G2421" s="22" t="str">
        <f>IF($C2421="","",IFERROR(INDEX(Productos!$F$5:$F$504,MATCH($C2421,Productos!$A$5:$A$504,0)),0))</f>
        <v/>
      </c>
      <c r="H2421" s="22" t="str">
        <f t="shared" si="37"/>
        <v/>
      </c>
      <c r="I2421" s="14" t="str">
        <f>IF(OR($C2421="",$F2421=""),"",IFERROR(INDEX(Productos!$I$5:$I$504,MATCH($C2421,Productos!$A$5:$A$504,0)),0)+SUMIFS($F$5:$F2421,$C$5:$C2421,$C2421,$B$5:$B2421,"Entrada")-SUMIFS($F$5:$F2421,$C$5:$C2421,$C2421,$B$5:$B2421,"Salida"))</f>
        <v/>
      </c>
      <c r="J2421" s="20"/>
      <c r="K2421" s="20"/>
      <c r="L2421" s="20"/>
      <c r="M2421" s="14" t="str">
        <f>IF(AND($C2421&lt;&gt;"",$C2421=Kardex!$C$4),COUNTIF($C$5:$C2421,Kardex!$C$4),"")</f>
        <v/>
      </c>
    </row>
    <row r="2422" spans="1:13" x14ac:dyDescent="0.25">
      <c r="A2422" s="24"/>
      <c r="B2422" s="20"/>
      <c r="C2422" s="20"/>
      <c r="D2422" s="14" t="str">
        <f>IF($C2422="","",IFERROR(INDEX(Productos!$B$5:$B$504,MATCH($C2422,Productos!$A$5:$A$504,0)),"Clave no existe"))</f>
        <v/>
      </c>
      <c r="E2422" s="14" t="str">
        <f>IF($C2422="","",IFERROR(INDEX(Productos!$D$5:$D$504,MATCH($C2422,Productos!$A$5:$A$504,0)),""))</f>
        <v/>
      </c>
      <c r="F2422" s="20"/>
      <c r="G2422" s="22" t="str">
        <f>IF($C2422="","",IFERROR(INDEX(Productos!$F$5:$F$504,MATCH($C2422,Productos!$A$5:$A$504,0)),0))</f>
        <v/>
      </c>
      <c r="H2422" s="22" t="str">
        <f t="shared" si="37"/>
        <v/>
      </c>
      <c r="I2422" s="14" t="str">
        <f>IF(OR($C2422="",$F2422=""),"",IFERROR(INDEX(Productos!$I$5:$I$504,MATCH($C2422,Productos!$A$5:$A$504,0)),0)+SUMIFS($F$5:$F2422,$C$5:$C2422,$C2422,$B$5:$B2422,"Entrada")-SUMIFS($F$5:$F2422,$C$5:$C2422,$C2422,$B$5:$B2422,"Salida"))</f>
        <v/>
      </c>
      <c r="J2422" s="20"/>
      <c r="K2422" s="20"/>
      <c r="L2422" s="20"/>
      <c r="M2422" s="14" t="str">
        <f>IF(AND($C2422&lt;&gt;"",$C2422=Kardex!$C$4),COUNTIF($C$5:$C2422,Kardex!$C$4),"")</f>
        <v/>
      </c>
    </row>
    <row r="2423" spans="1:13" x14ac:dyDescent="0.25">
      <c r="A2423" s="24"/>
      <c r="B2423" s="20"/>
      <c r="C2423" s="20"/>
      <c r="D2423" s="14" t="str">
        <f>IF($C2423="","",IFERROR(INDEX(Productos!$B$5:$B$504,MATCH($C2423,Productos!$A$5:$A$504,0)),"Clave no existe"))</f>
        <v/>
      </c>
      <c r="E2423" s="14" t="str">
        <f>IF($C2423="","",IFERROR(INDEX(Productos!$D$5:$D$504,MATCH($C2423,Productos!$A$5:$A$504,0)),""))</f>
        <v/>
      </c>
      <c r="F2423" s="20"/>
      <c r="G2423" s="22" t="str">
        <f>IF($C2423="","",IFERROR(INDEX(Productos!$F$5:$F$504,MATCH($C2423,Productos!$A$5:$A$504,0)),0))</f>
        <v/>
      </c>
      <c r="H2423" s="22" t="str">
        <f t="shared" si="37"/>
        <v/>
      </c>
      <c r="I2423" s="14" t="str">
        <f>IF(OR($C2423="",$F2423=""),"",IFERROR(INDEX(Productos!$I$5:$I$504,MATCH($C2423,Productos!$A$5:$A$504,0)),0)+SUMIFS($F$5:$F2423,$C$5:$C2423,$C2423,$B$5:$B2423,"Entrada")-SUMIFS($F$5:$F2423,$C$5:$C2423,$C2423,$B$5:$B2423,"Salida"))</f>
        <v/>
      </c>
      <c r="J2423" s="20"/>
      <c r="K2423" s="20"/>
      <c r="L2423" s="20"/>
      <c r="M2423" s="14" t="str">
        <f>IF(AND($C2423&lt;&gt;"",$C2423=Kardex!$C$4),COUNTIF($C$5:$C2423,Kardex!$C$4),"")</f>
        <v/>
      </c>
    </row>
    <row r="2424" spans="1:13" x14ac:dyDescent="0.25">
      <c r="A2424" s="24"/>
      <c r="B2424" s="20"/>
      <c r="C2424" s="20"/>
      <c r="D2424" s="14" t="str">
        <f>IF($C2424="","",IFERROR(INDEX(Productos!$B$5:$B$504,MATCH($C2424,Productos!$A$5:$A$504,0)),"Clave no existe"))</f>
        <v/>
      </c>
      <c r="E2424" s="14" t="str">
        <f>IF($C2424="","",IFERROR(INDEX(Productos!$D$5:$D$504,MATCH($C2424,Productos!$A$5:$A$504,0)),""))</f>
        <v/>
      </c>
      <c r="F2424" s="20"/>
      <c r="G2424" s="22" t="str">
        <f>IF($C2424="","",IFERROR(INDEX(Productos!$F$5:$F$504,MATCH($C2424,Productos!$A$5:$A$504,0)),0))</f>
        <v/>
      </c>
      <c r="H2424" s="22" t="str">
        <f t="shared" si="37"/>
        <v/>
      </c>
      <c r="I2424" s="14" t="str">
        <f>IF(OR($C2424="",$F2424=""),"",IFERROR(INDEX(Productos!$I$5:$I$504,MATCH($C2424,Productos!$A$5:$A$504,0)),0)+SUMIFS($F$5:$F2424,$C$5:$C2424,$C2424,$B$5:$B2424,"Entrada")-SUMIFS($F$5:$F2424,$C$5:$C2424,$C2424,$B$5:$B2424,"Salida"))</f>
        <v/>
      </c>
      <c r="J2424" s="20"/>
      <c r="K2424" s="20"/>
      <c r="L2424" s="20"/>
      <c r="M2424" s="14" t="str">
        <f>IF(AND($C2424&lt;&gt;"",$C2424=Kardex!$C$4),COUNTIF($C$5:$C2424,Kardex!$C$4),"")</f>
        <v/>
      </c>
    </row>
    <row r="2425" spans="1:13" x14ac:dyDescent="0.25">
      <c r="A2425" s="24"/>
      <c r="B2425" s="20"/>
      <c r="C2425" s="20"/>
      <c r="D2425" s="14" t="str">
        <f>IF($C2425="","",IFERROR(INDEX(Productos!$B$5:$B$504,MATCH($C2425,Productos!$A$5:$A$504,0)),"Clave no existe"))</f>
        <v/>
      </c>
      <c r="E2425" s="14" t="str">
        <f>IF($C2425="","",IFERROR(INDEX(Productos!$D$5:$D$504,MATCH($C2425,Productos!$A$5:$A$504,0)),""))</f>
        <v/>
      </c>
      <c r="F2425" s="20"/>
      <c r="G2425" s="22" t="str">
        <f>IF($C2425="","",IFERROR(INDEX(Productos!$F$5:$F$504,MATCH($C2425,Productos!$A$5:$A$504,0)),0))</f>
        <v/>
      </c>
      <c r="H2425" s="22" t="str">
        <f t="shared" si="37"/>
        <v/>
      </c>
      <c r="I2425" s="14" t="str">
        <f>IF(OR($C2425="",$F2425=""),"",IFERROR(INDEX(Productos!$I$5:$I$504,MATCH($C2425,Productos!$A$5:$A$504,0)),0)+SUMIFS($F$5:$F2425,$C$5:$C2425,$C2425,$B$5:$B2425,"Entrada")-SUMIFS($F$5:$F2425,$C$5:$C2425,$C2425,$B$5:$B2425,"Salida"))</f>
        <v/>
      </c>
      <c r="J2425" s="20"/>
      <c r="K2425" s="20"/>
      <c r="L2425" s="20"/>
      <c r="M2425" s="14" t="str">
        <f>IF(AND($C2425&lt;&gt;"",$C2425=Kardex!$C$4),COUNTIF($C$5:$C2425,Kardex!$C$4),"")</f>
        <v/>
      </c>
    </row>
    <row r="2426" spans="1:13" x14ac:dyDescent="0.25">
      <c r="A2426" s="24"/>
      <c r="B2426" s="20"/>
      <c r="C2426" s="20"/>
      <c r="D2426" s="14" t="str">
        <f>IF($C2426="","",IFERROR(INDEX(Productos!$B$5:$B$504,MATCH($C2426,Productos!$A$5:$A$504,0)),"Clave no existe"))</f>
        <v/>
      </c>
      <c r="E2426" s="14" t="str">
        <f>IF($C2426="","",IFERROR(INDEX(Productos!$D$5:$D$504,MATCH($C2426,Productos!$A$5:$A$504,0)),""))</f>
        <v/>
      </c>
      <c r="F2426" s="20"/>
      <c r="G2426" s="22" t="str">
        <f>IF($C2426="","",IFERROR(INDEX(Productos!$F$5:$F$504,MATCH($C2426,Productos!$A$5:$A$504,0)),0))</f>
        <v/>
      </c>
      <c r="H2426" s="22" t="str">
        <f t="shared" si="37"/>
        <v/>
      </c>
      <c r="I2426" s="14" t="str">
        <f>IF(OR($C2426="",$F2426=""),"",IFERROR(INDEX(Productos!$I$5:$I$504,MATCH($C2426,Productos!$A$5:$A$504,0)),0)+SUMIFS($F$5:$F2426,$C$5:$C2426,$C2426,$B$5:$B2426,"Entrada")-SUMIFS($F$5:$F2426,$C$5:$C2426,$C2426,$B$5:$B2426,"Salida"))</f>
        <v/>
      </c>
      <c r="J2426" s="20"/>
      <c r="K2426" s="20"/>
      <c r="L2426" s="20"/>
      <c r="M2426" s="14" t="str">
        <f>IF(AND($C2426&lt;&gt;"",$C2426=Kardex!$C$4),COUNTIF($C$5:$C2426,Kardex!$C$4),"")</f>
        <v/>
      </c>
    </row>
    <row r="2427" spans="1:13" x14ac:dyDescent="0.25">
      <c r="A2427" s="24"/>
      <c r="B2427" s="20"/>
      <c r="C2427" s="20"/>
      <c r="D2427" s="14" t="str">
        <f>IF($C2427="","",IFERROR(INDEX(Productos!$B$5:$B$504,MATCH($C2427,Productos!$A$5:$A$504,0)),"Clave no existe"))</f>
        <v/>
      </c>
      <c r="E2427" s="14" t="str">
        <f>IF($C2427="","",IFERROR(INDEX(Productos!$D$5:$D$504,MATCH($C2427,Productos!$A$5:$A$504,0)),""))</f>
        <v/>
      </c>
      <c r="F2427" s="20"/>
      <c r="G2427" s="22" t="str">
        <f>IF($C2427="","",IFERROR(INDEX(Productos!$F$5:$F$504,MATCH($C2427,Productos!$A$5:$A$504,0)),0))</f>
        <v/>
      </c>
      <c r="H2427" s="22" t="str">
        <f t="shared" si="37"/>
        <v/>
      </c>
      <c r="I2427" s="14" t="str">
        <f>IF(OR($C2427="",$F2427=""),"",IFERROR(INDEX(Productos!$I$5:$I$504,MATCH($C2427,Productos!$A$5:$A$504,0)),0)+SUMIFS($F$5:$F2427,$C$5:$C2427,$C2427,$B$5:$B2427,"Entrada")-SUMIFS($F$5:$F2427,$C$5:$C2427,$C2427,$B$5:$B2427,"Salida"))</f>
        <v/>
      </c>
      <c r="J2427" s="20"/>
      <c r="K2427" s="20"/>
      <c r="L2427" s="20"/>
      <c r="M2427" s="14" t="str">
        <f>IF(AND($C2427&lt;&gt;"",$C2427=Kardex!$C$4),COUNTIF($C$5:$C2427,Kardex!$C$4),"")</f>
        <v/>
      </c>
    </row>
    <row r="2428" spans="1:13" x14ac:dyDescent="0.25">
      <c r="A2428" s="24"/>
      <c r="B2428" s="20"/>
      <c r="C2428" s="20"/>
      <c r="D2428" s="14" t="str">
        <f>IF($C2428="","",IFERROR(INDEX(Productos!$B$5:$B$504,MATCH($C2428,Productos!$A$5:$A$504,0)),"Clave no existe"))</f>
        <v/>
      </c>
      <c r="E2428" s="14" t="str">
        <f>IF($C2428="","",IFERROR(INDEX(Productos!$D$5:$D$504,MATCH($C2428,Productos!$A$5:$A$504,0)),""))</f>
        <v/>
      </c>
      <c r="F2428" s="20"/>
      <c r="G2428" s="22" t="str">
        <f>IF($C2428="","",IFERROR(INDEX(Productos!$F$5:$F$504,MATCH($C2428,Productos!$A$5:$A$504,0)),0))</f>
        <v/>
      </c>
      <c r="H2428" s="22" t="str">
        <f t="shared" si="37"/>
        <v/>
      </c>
      <c r="I2428" s="14" t="str">
        <f>IF(OR($C2428="",$F2428=""),"",IFERROR(INDEX(Productos!$I$5:$I$504,MATCH($C2428,Productos!$A$5:$A$504,0)),0)+SUMIFS($F$5:$F2428,$C$5:$C2428,$C2428,$B$5:$B2428,"Entrada")-SUMIFS($F$5:$F2428,$C$5:$C2428,$C2428,$B$5:$B2428,"Salida"))</f>
        <v/>
      </c>
      <c r="J2428" s="20"/>
      <c r="K2428" s="20"/>
      <c r="L2428" s="20"/>
      <c r="M2428" s="14" t="str">
        <f>IF(AND($C2428&lt;&gt;"",$C2428=Kardex!$C$4),COUNTIF($C$5:$C2428,Kardex!$C$4),"")</f>
        <v/>
      </c>
    </row>
    <row r="2429" spans="1:13" x14ac:dyDescent="0.25">
      <c r="A2429" s="24"/>
      <c r="B2429" s="20"/>
      <c r="C2429" s="20"/>
      <c r="D2429" s="14" t="str">
        <f>IF($C2429="","",IFERROR(INDEX(Productos!$B$5:$B$504,MATCH($C2429,Productos!$A$5:$A$504,0)),"Clave no existe"))</f>
        <v/>
      </c>
      <c r="E2429" s="14" t="str">
        <f>IF($C2429="","",IFERROR(INDEX(Productos!$D$5:$D$504,MATCH($C2429,Productos!$A$5:$A$504,0)),""))</f>
        <v/>
      </c>
      <c r="F2429" s="20"/>
      <c r="G2429" s="22" t="str">
        <f>IF($C2429="","",IFERROR(INDEX(Productos!$F$5:$F$504,MATCH($C2429,Productos!$A$5:$A$504,0)),0))</f>
        <v/>
      </c>
      <c r="H2429" s="22" t="str">
        <f t="shared" si="37"/>
        <v/>
      </c>
      <c r="I2429" s="14" t="str">
        <f>IF(OR($C2429="",$F2429=""),"",IFERROR(INDEX(Productos!$I$5:$I$504,MATCH($C2429,Productos!$A$5:$A$504,0)),0)+SUMIFS($F$5:$F2429,$C$5:$C2429,$C2429,$B$5:$B2429,"Entrada")-SUMIFS($F$5:$F2429,$C$5:$C2429,$C2429,$B$5:$B2429,"Salida"))</f>
        <v/>
      </c>
      <c r="J2429" s="20"/>
      <c r="K2429" s="20"/>
      <c r="L2429" s="20"/>
      <c r="M2429" s="14" t="str">
        <f>IF(AND($C2429&lt;&gt;"",$C2429=Kardex!$C$4),COUNTIF($C$5:$C2429,Kardex!$C$4),"")</f>
        <v/>
      </c>
    </row>
    <row r="2430" spans="1:13" x14ac:dyDescent="0.25">
      <c r="A2430" s="24"/>
      <c r="B2430" s="20"/>
      <c r="C2430" s="20"/>
      <c r="D2430" s="14" t="str">
        <f>IF($C2430="","",IFERROR(INDEX(Productos!$B$5:$B$504,MATCH($C2430,Productos!$A$5:$A$504,0)),"Clave no existe"))</f>
        <v/>
      </c>
      <c r="E2430" s="14" t="str">
        <f>IF($C2430="","",IFERROR(INDEX(Productos!$D$5:$D$504,MATCH($C2430,Productos!$A$5:$A$504,0)),""))</f>
        <v/>
      </c>
      <c r="F2430" s="20"/>
      <c r="G2430" s="22" t="str">
        <f>IF($C2430="","",IFERROR(INDEX(Productos!$F$5:$F$504,MATCH($C2430,Productos!$A$5:$A$504,0)),0))</f>
        <v/>
      </c>
      <c r="H2430" s="22" t="str">
        <f t="shared" si="37"/>
        <v/>
      </c>
      <c r="I2430" s="14" t="str">
        <f>IF(OR($C2430="",$F2430=""),"",IFERROR(INDEX(Productos!$I$5:$I$504,MATCH($C2430,Productos!$A$5:$A$504,0)),0)+SUMIFS($F$5:$F2430,$C$5:$C2430,$C2430,$B$5:$B2430,"Entrada")-SUMIFS($F$5:$F2430,$C$5:$C2430,$C2430,$B$5:$B2430,"Salida"))</f>
        <v/>
      </c>
      <c r="J2430" s="20"/>
      <c r="K2430" s="20"/>
      <c r="L2430" s="20"/>
      <c r="M2430" s="14" t="str">
        <f>IF(AND($C2430&lt;&gt;"",$C2430=Kardex!$C$4),COUNTIF($C$5:$C2430,Kardex!$C$4),"")</f>
        <v/>
      </c>
    </row>
    <row r="2431" spans="1:13" x14ac:dyDescent="0.25">
      <c r="A2431" s="24"/>
      <c r="B2431" s="20"/>
      <c r="C2431" s="20"/>
      <c r="D2431" s="14" t="str">
        <f>IF($C2431="","",IFERROR(INDEX(Productos!$B$5:$B$504,MATCH($C2431,Productos!$A$5:$A$504,0)),"Clave no existe"))</f>
        <v/>
      </c>
      <c r="E2431" s="14" t="str">
        <f>IF($C2431="","",IFERROR(INDEX(Productos!$D$5:$D$504,MATCH($C2431,Productos!$A$5:$A$504,0)),""))</f>
        <v/>
      </c>
      <c r="F2431" s="20"/>
      <c r="G2431" s="22" t="str">
        <f>IF($C2431="","",IFERROR(INDEX(Productos!$F$5:$F$504,MATCH($C2431,Productos!$A$5:$A$504,0)),0))</f>
        <v/>
      </c>
      <c r="H2431" s="22" t="str">
        <f t="shared" si="37"/>
        <v/>
      </c>
      <c r="I2431" s="14" t="str">
        <f>IF(OR($C2431="",$F2431=""),"",IFERROR(INDEX(Productos!$I$5:$I$504,MATCH($C2431,Productos!$A$5:$A$504,0)),0)+SUMIFS($F$5:$F2431,$C$5:$C2431,$C2431,$B$5:$B2431,"Entrada")-SUMIFS($F$5:$F2431,$C$5:$C2431,$C2431,$B$5:$B2431,"Salida"))</f>
        <v/>
      </c>
      <c r="J2431" s="20"/>
      <c r="K2431" s="20"/>
      <c r="L2431" s="20"/>
      <c r="M2431" s="14" t="str">
        <f>IF(AND($C2431&lt;&gt;"",$C2431=Kardex!$C$4),COUNTIF($C$5:$C2431,Kardex!$C$4),"")</f>
        <v/>
      </c>
    </row>
    <row r="2432" spans="1:13" x14ac:dyDescent="0.25">
      <c r="A2432" s="24"/>
      <c r="B2432" s="20"/>
      <c r="C2432" s="20"/>
      <c r="D2432" s="14" t="str">
        <f>IF($C2432="","",IFERROR(INDEX(Productos!$B$5:$B$504,MATCH($C2432,Productos!$A$5:$A$504,0)),"Clave no existe"))</f>
        <v/>
      </c>
      <c r="E2432" s="14" t="str">
        <f>IF($C2432="","",IFERROR(INDEX(Productos!$D$5:$D$504,MATCH($C2432,Productos!$A$5:$A$504,0)),""))</f>
        <v/>
      </c>
      <c r="F2432" s="20"/>
      <c r="G2432" s="22" t="str">
        <f>IF($C2432="","",IFERROR(INDEX(Productos!$F$5:$F$504,MATCH($C2432,Productos!$A$5:$A$504,0)),0))</f>
        <v/>
      </c>
      <c r="H2432" s="22" t="str">
        <f t="shared" si="37"/>
        <v/>
      </c>
      <c r="I2432" s="14" t="str">
        <f>IF(OR($C2432="",$F2432=""),"",IFERROR(INDEX(Productos!$I$5:$I$504,MATCH($C2432,Productos!$A$5:$A$504,0)),0)+SUMIFS($F$5:$F2432,$C$5:$C2432,$C2432,$B$5:$B2432,"Entrada")-SUMIFS($F$5:$F2432,$C$5:$C2432,$C2432,$B$5:$B2432,"Salida"))</f>
        <v/>
      </c>
      <c r="J2432" s="20"/>
      <c r="K2432" s="20"/>
      <c r="L2432" s="20"/>
      <c r="M2432" s="14" t="str">
        <f>IF(AND($C2432&lt;&gt;"",$C2432=Kardex!$C$4),COUNTIF($C$5:$C2432,Kardex!$C$4),"")</f>
        <v/>
      </c>
    </row>
    <row r="2433" spans="1:13" x14ac:dyDescent="0.25">
      <c r="A2433" s="24"/>
      <c r="B2433" s="20"/>
      <c r="C2433" s="20"/>
      <c r="D2433" s="14" t="str">
        <f>IF($C2433="","",IFERROR(INDEX(Productos!$B$5:$B$504,MATCH($C2433,Productos!$A$5:$A$504,0)),"Clave no existe"))</f>
        <v/>
      </c>
      <c r="E2433" s="14" t="str">
        <f>IF($C2433="","",IFERROR(INDEX(Productos!$D$5:$D$504,MATCH($C2433,Productos!$A$5:$A$504,0)),""))</f>
        <v/>
      </c>
      <c r="F2433" s="20"/>
      <c r="G2433" s="22" t="str">
        <f>IF($C2433="","",IFERROR(INDEX(Productos!$F$5:$F$504,MATCH($C2433,Productos!$A$5:$A$504,0)),0))</f>
        <v/>
      </c>
      <c r="H2433" s="22" t="str">
        <f t="shared" si="37"/>
        <v/>
      </c>
      <c r="I2433" s="14" t="str">
        <f>IF(OR($C2433="",$F2433=""),"",IFERROR(INDEX(Productos!$I$5:$I$504,MATCH($C2433,Productos!$A$5:$A$504,0)),0)+SUMIFS($F$5:$F2433,$C$5:$C2433,$C2433,$B$5:$B2433,"Entrada")-SUMIFS($F$5:$F2433,$C$5:$C2433,$C2433,$B$5:$B2433,"Salida"))</f>
        <v/>
      </c>
      <c r="J2433" s="20"/>
      <c r="K2433" s="20"/>
      <c r="L2433" s="20"/>
      <c r="M2433" s="14" t="str">
        <f>IF(AND($C2433&lt;&gt;"",$C2433=Kardex!$C$4),COUNTIF($C$5:$C2433,Kardex!$C$4),"")</f>
        <v/>
      </c>
    </row>
    <row r="2434" spans="1:13" x14ac:dyDescent="0.25">
      <c r="A2434" s="24"/>
      <c r="B2434" s="20"/>
      <c r="C2434" s="20"/>
      <c r="D2434" s="14" t="str">
        <f>IF($C2434="","",IFERROR(INDEX(Productos!$B$5:$B$504,MATCH($C2434,Productos!$A$5:$A$504,0)),"Clave no existe"))</f>
        <v/>
      </c>
      <c r="E2434" s="14" t="str">
        <f>IF($C2434="","",IFERROR(INDEX(Productos!$D$5:$D$504,MATCH($C2434,Productos!$A$5:$A$504,0)),""))</f>
        <v/>
      </c>
      <c r="F2434" s="20"/>
      <c r="G2434" s="22" t="str">
        <f>IF($C2434="","",IFERROR(INDEX(Productos!$F$5:$F$504,MATCH($C2434,Productos!$A$5:$A$504,0)),0))</f>
        <v/>
      </c>
      <c r="H2434" s="22" t="str">
        <f t="shared" si="37"/>
        <v/>
      </c>
      <c r="I2434" s="14" t="str">
        <f>IF(OR($C2434="",$F2434=""),"",IFERROR(INDEX(Productos!$I$5:$I$504,MATCH($C2434,Productos!$A$5:$A$504,0)),0)+SUMIFS($F$5:$F2434,$C$5:$C2434,$C2434,$B$5:$B2434,"Entrada")-SUMIFS($F$5:$F2434,$C$5:$C2434,$C2434,$B$5:$B2434,"Salida"))</f>
        <v/>
      </c>
      <c r="J2434" s="20"/>
      <c r="K2434" s="20"/>
      <c r="L2434" s="20"/>
      <c r="M2434" s="14" t="str">
        <f>IF(AND($C2434&lt;&gt;"",$C2434=Kardex!$C$4),COUNTIF($C$5:$C2434,Kardex!$C$4),"")</f>
        <v/>
      </c>
    </row>
    <row r="2435" spans="1:13" x14ac:dyDescent="0.25">
      <c r="A2435" s="24"/>
      <c r="B2435" s="20"/>
      <c r="C2435" s="20"/>
      <c r="D2435" s="14" t="str">
        <f>IF($C2435="","",IFERROR(INDEX(Productos!$B$5:$B$504,MATCH($C2435,Productos!$A$5:$A$504,0)),"Clave no existe"))</f>
        <v/>
      </c>
      <c r="E2435" s="14" t="str">
        <f>IF($C2435="","",IFERROR(INDEX(Productos!$D$5:$D$504,MATCH($C2435,Productos!$A$5:$A$504,0)),""))</f>
        <v/>
      </c>
      <c r="F2435" s="20"/>
      <c r="G2435" s="22" t="str">
        <f>IF($C2435="","",IFERROR(INDEX(Productos!$F$5:$F$504,MATCH($C2435,Productos!$A$5:$A$504,0)),0))</f>
        <v/>
      </c>
      <c r="H2435" s="22" t="str">
        <f t="shared" si="37"/>
        <v/>
      </c>
      <c r="I2435" s="14" t="str">
        <f>IF(OR($C2435="",$F2435=""),"",IFERROR(INDEX(Productos!$I$5:$I$504,MATCH($C2435,Productos!$A$5:$A$504,0)),0)+SUMIFS($F$5:$F2435,$C$5:$C2435,$C2435,$B$5:$B2435,"Entrada")-SUMIFS($F$5:$F2435,$C$5:$C2435,$C2435,$B$5:$B2435,"Salida"))</f>
        <v/>
      </c>
      <c r="J2435" s="20"/>
      <c r="K2435" s="20"/>
      <c r="L2435" s="20"/>
      <c r="M2435" s="14" t="str">
        <f>IF(AND($C2435&lt;&gt;"",$C2435=Kardex!$C$4),COUNTIF($C$5:$C2435,Kardex!$C$4),"")</f>
        <v/>
      </c>
    </row>
    <row r="2436" spans="1:13" x14ac:dyDescent="0.25">
      <c r="A2436" s="24"/>
      <c r="B2436" s="20"/>
      <c r="C2436" s="20"/>
      <c r="D2436" s="14" t="str">
        <f>IF($C2436="","",IFERROR(INDEX(Productos!$B$5:$B$504,MATCH($C2436,Productos!$A$5:$A$504,0)),"Clave no existe"))</f>
        <v/>
      </c>
      <c r="E2436" s="14" t="str">
        <f>IF($C2436="","",IFERROR(INDEX(Productos!$D$5:$D$504,MATCH($C2436,Productos!$A$5:$A$504,0)),""))</f>
        <v/>
      </c>
      <c r="F2436" s="20"/>
      <c r="G2436" s="22" t="str">
        <f>IF($C2436="","",IFERROR(INDEX(Productos!$F$5:$F$504,MATCH($C2436,Productos!$A$5:$A$504,0)),0))</f>
        <v/>
      </c>
      <c r="H2436" s="22" t="str">
        <f t="shared" si="37"/>
        <v/>
      </c>
      <c r="I2436" s="14" t="str">
        <f>IF(OR($C2436="",$F2436=""),"",IFERROR(INDEX(Productos!$I$5:$I$504,MATCH($C2436,Productos!$A$5:$A$504,0)),0)+SUMIFS($F$5:$F2436,$C$5:$C2436,$C2436,$B$5:$B2436,"Entrada")-SUMIFS($F$5:$F2436,$C$5:$C2436,$C2436,$B$5:$B2436,"Salida"))</f>
        <v/>
      </c>
      <c r="J2436" s="20"/>
      <c r="K2436" s="20"/>
      <c r="L2436" s="20"/>
      <c r="M2436" s="14" t="str">
        <f>IF(AND($C2436&lt;&gt;"",$C2436=Kardex!$C$4),COUNTIF($C$5:$C2436,Kardex!$C$4),"")</f>
        <v/>
      </c>
    </row>
    <row r="2437" spans="1:13" x14ac:dyDescent="0.25">
      <c r="A2437" s="24"/>
      <c r="B2437" s="20"/>
      <c r="C2437" s="20"/>
      <c r="D2437" s="14" t="str">
        <f>IF($C2437="","",IFERROR(INDEX(Productos!$B$5:$B$504,MATCH($C2437,Productos!$A$5:$A$504,0)),"Clave no existe"))</f>
        <v/>
      </c>
      <c r="E2437" s="14" t="str">
        <f>IF($C2437="","",IFERROR(INDEX(Productos!$D$5:$D$504,MATCH($C2437,Productos!$A$5:$A$504,0)),""))</f>
        <v/>
      </c>
      <c r="F2437" s="20"/>
      <c r="G2437" s="22" t="str">
        <f>IF($C2437="","",IFERROR(INDEX(Productos!$F$5:$F$504,MATCH($C2437,Productos!$A$5:$A$504,0)),0))</f>
        <v/>
      </c>
      <c r="H2437" s="22" t="str">
        <f t="shared" ref="H2437:H2500" si="38">IF(OR($C2437="",$F2437=""),"",F2437*G2437)</f>
        <v/>
      </c>
      <c r="I2437" s="14" t="str">
        <f>IF(OR($C2437="",$F2437=""),"",IFERROR(INDEX(Productos!$I$5:$I$504,MATCH($C2437,Productos!$A$5:$A$504,0)),0)+SUMIFS($F$5:$F2437,$C$5:$C2437,$C2437,$B$5:$B2437,"Entrada")-SUMIFS($F$5:$F2437,$C$5:$C2437,$C2437,$B$5:$B2437,"Salida"))</f>
        <v/>
      </c>
      <c r="J2437" s="20"/>
      <c r="K2437" s="20"/>
      <c r="L2437" s="20"/>
      <c r="M2437" s="14" t="str">
        <f>IF(AND($C2437&lt;&gt;"",$C2437=Kardex!$C$4),COUNTIF($C$5:$C2437,Kardex!$C$4),"")</f>
        <v/>
      </c>
    </row>
    <row r="2438" spans="1:13" x14ac:dyDescent="0.25">
      <c r="A2438" s="24"/>
      <c r="B2438" s="20"/>
      <c r="C2438" s="20"/>
      <c r="D2438" s="14" t="str">
        <f>IF($C2438="","",IFERROR(INDEX(Productos!$B$5:$B$504,MATCH($C2438,Productos!$A$5:$A$504,0)),"Clave no existe"))</f>
        <v/>
      </c>
      <c r="E2438" s="14" t="str">
        <f>IF($C2438="","",IFERROR(INDEX(Productos!$D$5:$D$504,MATCH($C2438,Productos!$A$5:$A$504,0)),""))</f>
        <v/>
      </c>
      <c r="F2438" s="20"/>
      <c r="G2438" s="22" t="str">
        <f>IF($C2438="","",IFERROR(INDEX(Productos!$F$5:$F$504,MATCH($C2438,Productos!$A$5:$A$504,0)),0))</f>
        <v/>
      </c>
      <c r="H2438" s="22" t="str">
        <f t="shared" si="38"/>
        <v/>
      </c>
      <c r="I2438" s="14" t="str">
        <f>IF(OR($C2438="",$F2438=""),"",IFERROR(INDEX(Productos!$I$5:$I$504,MATCH($C2438,Productos!$A$5:$A$504,0)),0)+SUMIFS($F$5:$F2438,$C$5:$C2438,$C2438,$B$5:$B2438,"Entrada")-SUMIFS($F$5:$F2438,$C$5:$C2438,$C2438,$B$5:$B2438,"Salida"))</f>
        <v/>
      </c>
      <c r="J2438" s="20"/>
      <c r="K2438" s="20"/>
      <c r="L2438" s="20"/>
      <c r="M2438" s="14" t="str">
        <f>IF(AND($C2438&lt;&gt;"",$C2438=Kardex!$C$4),COUNTIF($C$5:$C2438,Kardex!$C$4),"")</f>
        <v/>
      </c>
    </row>
    <row r="2439" spans="1:13" x14ac:dyDescent="0.25">
      <c r="A2439" s="24"/>
      <c r="B2439" s="20"/>
      <c r="C2439" s="20"/>
      <c r="D2439" s="14" t="str">
        <f>IF($C2439="","",IFERROR(INDEX(Productos!$B$5:$B$504,MATCH($C2439,Productos!$A$5:$A$504,0)),"Clave no existe"))</f>
        <v/>
      </c>
      <c r="E2439" s="14" t="str">
        <f>IF($C2439="","",IFERROR(INDEX(Productos!$D$5:$D$504,MATCH($C2439,Productos!$A$5:$A$504,0)),""))</f>
        <v/>
      </c>
      <c r="F2439" s="20"/>
      <c r="G2439" s="22" t="str">
        <f>IF($C2439="","",IFERROR(INDEX(Productos!$F$5:$F$504,MATCH($C2439,Productos!$A$5:$A$504,0)),0))</f>
        <v/>
      </c>
      <c r="H2439" s="22" t="str">
        <f t="shared" si="38"/>
        <v/>
      </c>
      <c r="I2439" s="14" t="str">
        <f>IF(OR($C2439="",$F2439=""),"",IFERROR(INDEX(Productos!$I$5:$I$504,MATCH($C2439,Productos!$A$5:$A$504,0)),0)+SUMIFS($F$5:$F2439,$C$5:$C2439,$C2439,$B$5:$B2439,"Entrada")-SUMIFS($F$5:$F2439,$C$5:$C2439,$C2439,$B$5:$B2439,"Salida"))</f>
        <v/>
      </c>
      <c r="J2439" s="20"/>
      <c r="K2439" s="20"/>
      <c r="L2439" s="20"/>
      <c r="M2439" s="14" t="str">
        <f>IF(AND($C2439&lt;&gt;"",$C2439=Kardex!$C$4),COUNTIF($C$5:$C2439,Kardex!$C$4),"")</f>
        <v/>
      </c>
    </row>
    <row r="2440" spans="1:13" x14ac:dyDescent="0.25">
      <c r="A2440" s="24"/>
      <c r="B2440" s="20"/>
      <c r="C2440" s="20"/>
      <c r="D2440" s="14" t="str">
        <f>IF($C2440="","",IFERROR(INDEX(Productos!$B$5:$B$504,MATCH($C2440,Productos!$A$5:$A$504,0)),"Clave no existe"))</f>
        <v/>
      </c>
      <c r="E2440" s="14" t="str">
        <f>IF($C2440="","",IFERROR(INDEX(Productos!$D$5:$D$504,MATCH($C2440,Productos!$A$5:$A$504,0)),""))</f>
        <v/>
      </c>
      <c r="F2440" s="20"/>
      <c r="G2440" s="22" t="str">
        <f>IF($C2440="","",IFERROR(INDEX(Productos!$F$5:$F$504,MATCH($C2440,Productos!$A$5:$A$504,0)),0))</f>
        <v/>
      </c>
      <c r="H2440" s="22" t="str">
        <f t="shared" si="38"/>
        <v/>
      </c>
      <c r="I2440" s="14" t="str">
        <f>IF(OR($C2440="",$F2440=""),"",IFERROR(INDEX(Productos!$I$5:$I$504,MATCH($C2440,Productos!$A$5:$A$504,0)),0)+SUMIFS($F$5:$F2440,$C$5:$C2440,$C2440,$B$5:$B2440,"Entrada")-SUMIFS($F$5:$F2440,$C$5:$C2440,$C2440,$B$5:$B2440,"Salida"))</f>
        <v/>
      </c>
      <c r="J2440" s="20"/>
      <c r="K2440" s="20"/>
      <c r="L2440" s="20"/>
      <c r="M2440" s="14" t="str">
        <f>IF(AND($C2440&lt;&gt;"",$C2440=Kardex!$C$4),COUNTIF($C$5:$C2440,Kardex!$C$4),"")</f>
        <v/>
      </c>
    </row>
    <row r="2441" spans="1:13" x14ac:dyDescent="0.25">
      <c r="A2441" s="24"/>
      <c r="B2441" s="20"/>
      <c r="C2441" s="20"/>
      <c r="D2441" s="14" t="str">
        <f>IF($C2441="","",IFERROR(INDEX(Productos!$B$5:$B$504,MATCH($C2441,Productos!$A$5:$A$504,0)),"Clave no existe"))</f>
        <v/>
      </c>
      <c r="E2441" s="14" t="str">
        <f>IF($C2441="","",IFERROR(INDEX(Productos!$D$5:$D$504,MATCH($C2441,Productos!$A$5:$A$504,0)),""))</f>
        <v/>
      </c>
      <c r="F2441" s="20"/>
      <c r="G2441" s="22" t="str">
        <f>IF($C2441="","",IFERROR(INDEX(Productos!$F$5:$F$504,MATCH($C2441,Productos!$A$5:$A$504,0)),0))</f>
        <v/>
      </c>
      <c r="H2441" s="22" t="str">
        <f t="shared" si="38"/>
        <v/>
      </c>
      <c r="I2441" s="14" t="str">
        <f>IF(OR($C2441="",$F2441=""),"",IFERROR(INDEX(Productos!$I$5:$I$504,MATCH($C2441,Productos!$A$5:$A$504,0)),0)+SUMIFS($F$5:$F2441,$C$5:$C2441,$C2441,$B$5:$B2441,"Entrada")-SUMIFS($F$5:$F2441,$C$5:$C2441,$C2441,$B$5:$B2441,"Salida"))</f>
        <v/>
      </c>
      <c r="J2441" s="20"/>
      <c r="K2441" s="20"/>
      <c r="L2441" s="20"/>
      <c r="M2441" s="14" t="str">
        <f>IF(AND($C2441&lt;&gt;"",$C2441=Kardex!$C$4),COUNTIF($C$5:$C2441,Kardex!$C$4),"")</f>
        <v/>
      </c>
    </row>
    <row r="2442" spans="1:13" x14ac:dyDescent="0.25">
      <c r="A2442" s="24"/>
      <c r="B2442" s="20"/>
      <c r="C2442" s="20"/>
      <c r="D2442" s="14" t="str">
        <f>IF($C2442="","",IFERROR(INDEX(Productos!$B$5:$B$504,MATCH($C2442,Productos!$A$5:$A$504,0)),"Clave no existe"))</f>
        <v/>
      </c>
      <c r="E2442" s="14" t="str">
        <f>IF($C2442="","",IFERROR(INDEX(Productos!$D$5:$D$504,MATCH($C2442,Productos!$A$5:$A$504,0)),""))</f>
        <v/>
      </c>
      <c r="F2442" s="20"/>
      <c r="G2442" s="22" t="str">
        <f>IF($C2442="","",IFERROR(INDEX(Productos!$F$5:$F$504,MATCH($C2442,Productos!$A$5:$A$504,0)),0))</f>
        <v/>
      </c>
      <c r="H2442" s="22" t="str">
        <f t="shared" si="38"/>
        <v/>
      </c>
      <c r="I2442" s="14" t="str">
        <f>IF(OR($C2442="",$F2442=""),"",IFERROR(INDEX(Productos!$I$5:$I$504,MATCH($C2442,Productos!$A$5:$A$504,0)),0)+SUMIFS($F$5:$F2442,$C$5:$C2442,$C2442,$B$5:$B2442,"Entrada")-SUMIFS($F$5:$F2442,$C$5:$C2442,$C2442,$B$5:$B2442,"Salida"))</f>
        <v/>
      </c>
      <c r="J2442" s="20"/>
      <c r="K2442" s="20"/>
      <c r="L2442" s="20"/>
      <c r="M2442" s="14" t="str">
        <f>IF(AND($C2442&lt;&gt;"",$C2442=Kardex!$C$4),COUNTIF($C$5:$C2442,Kardex!$C$4),"")</f>
        <v/>
      </c>
    </row>
    <row r="2443" spans="1:13" x14ac:dyDescent="0.25">
      <c r="A2443" s="24"/>
      <c r="B2443" s="20"/>
      <c r="C2443" s="20"/>
      <c r="D2443" s="14" t="str">
        <f>IF($C2443="","",IFERROR(INDEX(Productos!$B$5:$B$504,MATCH($C2443,Productos!$A$5:$A$504,0)),"Clave no existe"))</f>
        <v/>
      </c>
      <c r="E2443" s="14" t="str">
        <f>IF($C2443="","",IFERROR(INDEX(Productos!$D$5:$D$504,MATCH($C2443,Productos!$A$5:$A$504,0)),""))</f>
        <v/>
      </c>
      <c r="F2443" s="20"/>
      <c r="G2443" s="22" t="str">
        <f>IF($C2443="","",IFERROR(INDEX(Productos!$F$5:$F$504,MATCH($C2443,Productos!$A$5:$A$504,0)),0))</f>
        <v/>
      </c>
      <c r="H2443" s="22" t="str">
        <f t="shared" si="38"/>
        <v/>
      </c>
      <c r="I2443" s="14" t="str">
        <f>IF(OR($C2443="",$F2443=""),"",IFERROR(INDEX(Productos!$I$5:$I$504,MATCH($C2443,Productos!$A$5:$A$504,0)),0)+SUMIFS($F$5:$F2443,$C$5:$C2443,$C2443,$B$5:$B2443,"Entrada")-SUMIFS($F$5:$F2443,$C$5:$C2443,$C2443,$B$5:$B2443,"Salida"))</f>
        <v/>
      </c>
      <c r="J2443" s="20"/>
      <c r="K2443" s="20"/>
      <c r="L2443" s="20"/>
      <c r="M2443" s="14" t="str">
        <f>IF(AND($C2443&lt;&gt;"",$C2443=Kardex!$C$4),COUNTIF($C$5:$C2443,Kardex!$C$4),"")</f>
        <v/>
      </c>
    </row>
    <row r="2444" spans="1:13" x14ac:dyDescent="0.25">
      <c r="A2444" s="24"/>
      <c r="B2444" s="20"/>
      <c r="C2444" s="20"/>
      <c r="D2444" s="14" t="str">
        <f>IF($C2444="","",IFERROR(INDEX(Productos!$B$5:$B$504,MATCH($C2444,Productos!$A$5:$A$504,0)),"Clave no existe"))</f>
        <v/>
      </c>
      <c r="E2444" s="14" t="str">
        <f>IF($C2444="","",IFERROR(INDEX(Productos!$D$5:$D$504,MATCH($C2444,Productos!$A$5:$A$504,0)),""))</f>
        <v/>
      </c>
      <c r="F2444" s="20"/>
      <c r="G2444" s="22" t="str">
        <f>IF($C2444="","",IFERROR(INDEX(Productos!$F$5:$F$504,MATCH($C2444,Productos!$A$5:$A$504,0)),0))</f>
        <v/>
      </c>
      <c r="H2444" s="22" t="str">
        <f t="shared" si="38"/>
        <v/>
      </c>
      <c r="I2444" s="14" t="str">
        <f>IF(OR($C2444="",$F2444=""),"",IFERROR(INDEX(Productos!$I$5:$I$504,MATCH($C2444,Productos!$A$5:$A$504,0)),0)+SUMIFS($F$5:$F2444,$C$5:$C2444,$C2444,$B$5:$B2444,"Entrada")-SUMIFS($F$5:$F2444,$C$5:$C2444,$C2444,$B$5:$B2444,"Salida"))</f>
        <v/>
      </c>
      <c r="J2444" s="20"/>
      <c r="K2444" s="20"/>
      <c r="L2444" s="20"/>
      <c r="M2444" s="14" t="str">
        <f>IF(AND($C2444&lt;&gt;"",$C2444=Kardex!$C$4),COUNTIF($C$5:$C2444,Kardex!$C$4),"")</f>
        <v/>
      </c>
    </row>
    <row r="2445" spans="1:13" x14ac:dyDescent="0.25">
      <c r="A2445" s="24"/>
      <c r="B2445" s="20"/>
      <c r="C2445" s="20"/>
      <c r="D2445" s="14" t="str">
        <f>IF($C2445="","",IFERROR(INDEX(Productos!$B$5:$B$504,MATCH($C2445,Productos!$A$5:$A$504,0)),"Clave no existe"))</f>
        <v/>
      </c>
      <c r="E2445" s="14" t="str">
        <f>IF($C2445="","",IFERROR(INDEX(Productos!$D$5:$D$504,MATCH($C2445,Productos!$A$5:$A$504,0)),""))</f>
        <v/>
      </c>
      <c r="F2445" s="20"/>
      <c r="G2445" s="22" t="str">
        <f>IF($C2445="","",IFERROR(INDEX(Productos!$F$5:$F$504,MATCH($C2445,Productos!$A$5:$A$504,0)),0))</f>
        <v/>
      </c>
      <c r="H2445" s="22" t="str">
        <f t="shared" si="38"/>
        <v/>
      </c>
      <c r="I2445" s="14" t="str">
        <f>IF(OR($C2445="",$F2445=""),"",IFERROR(INDEX(Productos!$I$5:$I$504,MATCH($C2445,Productos!$A$5:$A$504,0)),0)+SUMIFS($F$5:$F2445,$C$5:$C2445,$C2445,$B$5:$B2445,"Entrada")-SUMIFS($F$5:$F2445,$C$5:$C2445,$C2445,$B$5:$B2445,"Salida"))</f>
        <v/>
      </c>
      <c r="J2445" s="20"/>
      <c r="K2445" s="20"/>
      <c r="L2445" s="20"/>
      <c r="M2445" s="14" t="str">
        <f>IF(AND($C2445&lt;&gt;"",$C2445=Kardex!$C$4),COUNTIF($C$5:$C2445,Kardex!$C$4),"")</f>
        <v/>
      </c>
    </row>
    <row r="2446" spans="1:13" x14ac:dyDescent="0.25">
      <c r="A2446" s="24"/>
      <c r="B2446" s="20"/>
      <c r="C2446" s="20"/>
      <c r="D2446" s="14" t="str">
        <f>IF($C2446="","",IFERROR(INDEX(Productos!$B$5:$B$504,MATCH($C2446,Productos!$A$5:$A$504,0)),"Clave no existe"))</f>
        <v/>
      </c>
      <c r="E2446" s="14" t="str">
        <f>IF($C2446="","",IFERROR(INDEX(Productos!$D$5:$D$504,MATCH($C2446,Productos!$A$5:$A$504,0)),""))</f>
        <v/>
      </c>
      <c r="F2446" s="20"/>
      <c r="G2446" s="22" t="str">
        <f>IF($C2446="","",IFERROR(INDEX(Productos!$F$5:$F$504,MATCH($C2446,Productos!$A$5:$A$504,0)),0))</f>
        <v/>
      </c>
      <c r="H2446" s="22" t="str">
        <f t="shared" si="38"/>
        <v/>
      </c>
      <c r="I2446" s="14" t="str">
        <f>IF(OR($C2446="",$F2446=""),"",IFERROR(INDEX(Productos!$I$5:$I$504,MATCH($C2446,Productos!$A$5:$A$504,0)),0)+SUMIFS($F$5:$F2446,$C$5:$C2446,$C2446,$B$5:$B2446,"Entrada")-SUMIFS($F$5:$F2446,$C$5:$C2446,$C2446,$B$5:$B2446,"Salida"))</f>
        <v/>
      </c>
      <c r="J2446" s="20"/>
      <c r="K2446" s="20"/>
      <c r="L2446" s="20"/>
      <c r="M2446" s="14" t="str">
        <f>IF(AND($C2446&lt;&gt;"",$C2446=Kardex!$C$4),COUNTIF($C$5:$C2446,Kardex!$C$4),"")</f>
        <v/>
      </c>
    </row>
    <row r="2447" spans="1:13" x14ac:dyDescent="0.25">
      <c r="A2447" s="24"/>
      <c r="B2447" s="20"/>
      <c r="C2447" s="20"/>
      <c r="D2447" s="14" t="str">
        <f>IF($C2447="","",IFERROR(INDEX(Productos!$B$5:$B$504,MATCH($C2447,Productos!$A$5:$A$504,0)),"Clave no existe"))</f>
        <v/>
      </c>
      <c r="E2447" s="14" t="str">
        <f>IF($C2447="","",IFERROR(INDEX(Productos!$D$5:$D$504,MATCH($C2447,Productos!$A$5:$A$504,0)),""))</f>
        <v/>
      </c>
      <c r="F2447" s="20"/>
      <c r="G2447" s="22" t="str">
        <f>IF($C2447="","",IFERROR(INDEX(Productos!$F$5:$F$504,MATCH($C2447,Productos!$A$5:$A$504,0)),0))</f>
        <v/>
      </c>
      <c r="H2447" s="22" t="str">
        <f t="shared" si="38"/>
        <v/>
      </c>
      <c r="I2447" s="14" t="str">
        <f>IF(OR($C2447="",$F2447=""),"",IFERROR(INDEX(Productos!$I$5:$I$504,MATCH($C2447,Productos!$A$5:$A$504,0)),0)+SUMIFS($F$5:$F2447,$C$5:$C2447,$C2447,$B$5:$B2447,"Entrada")-SUMIFS($F$5:$F2447,$C$5:$C2447,$C2447,$B$5:$B2447,"Salida"))</f>
        <v/>
      </c>
      <c r="J2447" s="20"/>
      <c r="K2447" s="20"/>
      <c r="L2447" s="20"/>
      <c r="M2447" s="14" t="str">
        <f>IF(AND($C2447&lt;&gt;"",$C2447=Kardex!$C$4),COUNTIF($C$5:$C2447,Kardex!$C$4),"")</f>
        <v/>
      </c>
    </row>
    <row r="2448" spans="1:13" x14ac:dyDescent="0.25">
      <c r="A2448" s="24"/>
      <c r="B2448" s="20"/>
      <c r="C2448" s="20"/>
      <c r="D2448" s="14" t="str">
        <f>IF($C2448="","",IFERROR(INDEX(Productos!$B$5:$B$504,MATCH($C2448,Productos!$A$5:$A$504,0)),"Clave no existe"))</f>
        <v/>
      </c>
      <c r="E2448" s="14" t="str">
        <f>IF($C2448="","",IFERROR(INDEX(Productos!$D$5:$D$504,MATCH($C2448,Productos!$A$5:$A$504,0)),""))</f>
        <v/>
      </c>
      <c r="F2448" s="20"/>
      <c r="G2448" s="22" t="str">
        <f>IF($C2448="","",IFERROR(INDEX(Productos!$F$5:$F$504,MATCH($C2448,Productos!$A$5:$A$504,0)),0))</f>
        <v/>
      </c>
      <c r="H2448" s="22" t="str">
        <f t="shared" si="38"/>
        <v/>
      </c>
      <c r="I2448" s="14" t="str">
        <f>IF(OR($C2448="",$F2448=""),"",IFERROR(INDEX(Productos!$I$5:$I$504,MATCH($C2448,Productos!$A$5:$A$504,0)),0)+SUMIFS($F$5:$F2448,$C$5:$C2448,$C2448,$B$5:$B2448,"Entrada")-SUMIFS($F$5:$F2448,$C$5:$C2448,$C2448,$B$5:$B2448,"Salida"))</f>
        <v/>
      </c>
      <c r="J2448" s="20"/>
      <c r="K2448" s="20"/>
      <c r="L2448" s="20"/>
      <c r="M2448" s="14" t="str">
        <f>IF(AND($C2448&lt;&gt;"",$C2448=Kardex!$C$4),COUNTIF($C$5:$C2448,Kardex!$C$4),"")</f>
        <v/>
      </c>
    </row>
    <row r="2449" spans="1:13" x14ac:dyDescent="0.25">
      <c r="A2449" s="24"/>
      <c r="B2449" s="20"/>
      <c r="C2449" s="20"/>
      <c r="D2449" s="14" t="str">
        <f>IF($C2449="","",IFERROR(INDEX(Productos!$B$5:$B$504,MATCH($C2449,Productos!$A$5:$A$504,0)),"Clave no existe"))</f>
        <v/>
      </c>
      <c r="E2449" s="14" t="str">
        <f>IF($C2449="","",IFERROR(INDEX(Productos!$D$5:$D$504,MATCH($C2449,Productos!$A$5:$A$504,0)),""))</f>
        <v/>
      </c>
      <c r="F2449" s="20"/>
      <c r="G2449" s="22" t="str">
        <f>IF($C2449="","",IFERROR(INDEX(Productos!$F$5:$F$504,MATCH($C2449,Productos!$A$5:$A$504,0)),0))</f>
        <v/>
      </c>
      <c r="H2449" s="22" t="str">
        <f t="shared" si="38"/>
        <v/>
      </c>
      <c r="I2449" s="14" t="str">
        <f>IF(OR($C2449="",$F2449=""),"",IFERROR(INDEX(Productos!$I$5:$I$504,MATCH($C2449,Productos!$A$5:$A$504,0)),0)+SUMIFS($F$5:$F2449,$C$5:$C2449,$C2449,$B$5:$B2449,"Entrada")-SUMIFS($F$5:$F2449,$C$5:$C2449,$C2449,$B$5:$B2449,"Salida"))</f>
        <v/>
      </c>
      <c r="J2449" s="20"/>
      <c r="K2449" s="20"/>
      <c r="L2449" s="20"/>
      <c r="M2449" s="14" t="str">
        <f>IF(AND($C2449&lt;&gt;"",$C2449=Kardex!$C$4),COUNTIF($C$5:$C2449,Kardex!$C$4),"")</f>
        <v/>
      </c>
    </row>
    <row r="2450" spans="1:13" x14ac:dyDescent="0.25">
      <c r="A2450" s="24"/>
      <c r="B2450" s="20"/>
      <c r="C2450" s="20"/>
      <c r="D2450" s="14" t="str">
        <f>IF($C2450="","",IFERROR(INDEX(Productos!$B$5:$B$504,MATCH($C2450,Productos!$A$5:$A$504,0)),"Clave no existe"))</f>
        <v/>
      </c>
      <c r="E2450" s="14" t="str">
        <f>IF($C2450="","",IFERROR(INDEX(Productos!$D$5:$D$504,MATCH($C2450,Productos!$A$5:$A$504,0)),""))</f>
        <v/>
      </c>
      <c r="F2450" s="20"/>
      <c r="G2450" s="22" t="str">
        <f>IF($C2450="","",IFERROR(INDEX(Productos!$F$5:$F$504,MATCH($C2450,Productos!$A$5:$A$504,0)),0))</f>
        <v/>
      </c>
      <c r="H2450" s="22" t="str">
        <f t="shared" si="38"/>
        <v/>
      </c>
      <c r="I2450" s="14" t="str">
        <f>IF(OR($C2450="",$F2450=""),"",IFERROR(INDEX(Productos!$I$5:$I$504,MATCH($C2450,Productos!$A$5:$A$504,0)),0)+SUMIFS($F$5:$F2450,$C$5:$C2450,$C2450,$B$5:$B2450,"Entrada")-SUMIFS($F$5:$F2450,$C$5:$C2450,$C2450,$B$5:$B2450,"Salida"))</f>
        <v/>
      </c>
      <c r="J2450" s="20"/>
      <c r="K2450" s="20"/>
      <c r="L2450" s="20"/>
      <c r="M2450" s="14" t="str">
        <f>IF(AND($C2450&lt;&gt;"",$C2450=Kardex!$C$4),COUNTIF($C$5:$C2450,Kardex!$C$4),"")</f>
        <v/>
      </c>
    </row>
    <row r="2451" spans="1:13" x14ac:dyDescent="0.25">
      <c r="A2451" s="24"/>
      <c r="B2451" s="20"/>
      <c r="C2451" s="20"/>
      <c r="D2451" s="14" t="str">
        <f>IF($C2451="","",IFERROR(INDEX(Productos!$B$5:$B$504,MATCH($C2451,Productos!$A$5:$A$504,0)),"Clave no existe"))</f>
        <v/>
      </c>
      <c r="E2451" s="14" t="str">
        <f>IF($C2451="","",IFERROR(INDEX(Productos!$D$5:$D$504,MATCH($C2451,Productos!$A$5:$A$504,0)),""))</f>
        <v/>
      </c>
      <c r="F2451" s="20"/>
      <c r="G2451" s="22" t="str">
        <f>IF($C2451="","",IFERROR(INDEX(Productos!$F$5:$F$504,MATCH($C2451,Productos!$A$5:$A$504,0)),0))</f>
        <v/>
      </c>
      <c r="H2451" s="22" t="str">
        <f t="shared" si="38"/>
        <v/>
      </c>
      <c r="I2451" s="14" t="str">
        <f>IF(OR($C2451="",$F2451=""),"",IFERROR(INDEX(Productos!$I$5:$I$504,MATCH($C2451,Productos!$A$5:$A$504,0)),0)+SUMIFS($F$5:$F2451,$C$5:$C2451,$C2451,$B$5:$B2451,"Entrada")-SUMIFS($F$5:$F2451,$C$5:$C2451,$C2451,$B$5:$B2451,"Salida"))</f>
        <v/>
      </c>
      <c r="J2451" s="20"/>
      <c r="K2451" s="20"/>
      <c r="L2451" s="20"/>
      <c r="M2451" s="14" t="str">
        <f>IF(AND($C2451&lt;&gt;"",$C2451=Kardex!$C$4),COUNTIF($C$5:$C2451,Kardex!$C$4),"")</f>
        <v/>
      </c>
    </row>
    <row r="2452" spans="1:13" x14ac:dyDescent="0.25">
      <c r="A2452" s="24"/>
      <c r="B2452" s="20"/>
      <c r="C2452" s="20"/>
      <c r="D2452" s="14" t="str">
        <f>IF($C2452="","",IFERROR(INDEX(Productos!$B$5:$B$504,MATCH($C2452,Productos!$A$5:$A$504,0)),"Clave no existe"))</f>
        <v/>
      </c>
      <c r="E2452" s="14" t="str">
        <f>IF($C2452="","",IFERROR(INDEX(Productos!$D$5:$D$504,MATCH($C2452,Productos!$A$5:$A$504,0)),""))</f>
        <v/>
      </c>
      <c r="F2452" s="20"/>
      <c r="G2452" s="22" t="str">
        <f>IF($C2452="","",IFERROR(INDEX(Productos!$F$5:$F$504,MATCH($C2452,Productos!$A$5:$A$504,0)),0))</f>
        <v/>
      </c>
      <c r="H2452" s="22" t="str">
        <f t="shared" si="38"/>
        <v/>
      </c>
      <c r="I2452" s="14" t="str">
        <f>IF(OR($C2452="",$F2452=""),"",IFERROR(INDEX(Productos!$I$5:$I$504,MATCH($C2452,Productos!$A$5:$A$504,0)),0)+SUMIFS($F$5:$F2452,$C$5:$C2452,$C2452,$B$5:$B2452,"Entrada")-SUMIFS($F$5:$F2452,$C$5:$C2452,$C2452,$B$5:$B2452,"Salida"))</f>
        <v/>
      </c>
      <c r="J2452" s="20"/>
      <c r="K2452" s="20"/>
      <c r="L2452" s="20"/>
      <c r="M2452" s="14" t="str">
        <f>IF(AND($C2452&lt;&gt;"",$C2452=Kardex!$C$4),COUNTIF($C$5:$C2452,Kardex!$C$4),"")</f>
        <v/>
      </c>
    </row>
    <row r="2453" spans="1:13" x14ac:dyDescent="0.25">
      <c r="A2453" s="24"/>
      <c r="B2453" s="20"/>
      <c r="C2453" s="20"/>
      <c r="D2453" s="14" t="str">
        <f>IF($C2453="","",IFERROR(INDEX(Productos!$B$5:$B$504,MATCH($C2453,Productos!$A$5:$A$504,0)),"Clave no existe"))</f>
        <v/>
      </c>
      <c r="E2453" s="14" t="str">
        <f>IF($C2453="","",IFERROR(INDEX(Productos!$D$5:$D$504,MATCH($C2453,Productos!$A$5:$A$504,0)),""))</f>
        <v/>
      </c>
      <c r="F2453" s="20"/>
      <c r="G2453" s="22" t="str">
        <f>IF($C2453="","",IFERROR(INDEX(Productos!$F$5:$F$504,MATCH($C2453,Productos!$A$5:$A$504,0)),0))</f>
        <v/>
      </c>
      <c r="H2453" s="22" t="str">
        <f t="shared" si="38"/>
        <v/>
      </c>
      <c r="I2453" s="14" t="str">
        <f>IF(OR($C2453="",$F2453=""),"",IFERROR(INDEX(Productos!$I$5:$I$504,MATCH($C2453,Productos!$A$5:$A$504,0)),0)+SUMIFS($F$5:$F2453,$C$5:$C2453,$C2453,$B$5:$B2453,"Entrada")-SUMIFS($F$5:$F2453,$C$5:$C2453,$C2453,$B$5:$B2453,"Salida"))</f>
        <v/>
      </c>
      <c r="J2453" s="20"/>
      <c r="K2453" s="20"/>
      <c r="L2453" s="20"/>
      <c r="M2453" s="14" t="str">
        <f>IF(AND($C2453&lt;&gt;"",$C2453=Kardex!$C$4),COUNTIF($C$5:$C2453,Kardex!$C$4),"")</f>
        <v/>
      </c>
    </row>
    <row r="2454" spans="1:13" x14ac:dyDescent="0.25">
      <c r="A2454" s="24"/>
      <c r="B2454" s="20"/>
      <c r="C2454" s="20"/>
      <c r="D2454" s="14" t="str">
        <f>IF($C2454="","",IFERROR(INDEX(Productos!$B$5:$B$504,MATCH($C2454,Productos!$A$5:$A$504,0)),"Clave no existe"))</f>
        <v/>
      </c>
      <c r="E2454" s="14" t="str">
        <f>IF($C2454="","",IFERROR(INDEX(Productos!$D$5:$D$504,MATCH($C2454,Productos!$A$5:$A$504,0)),""))</f>
        <v/>
      </c>
      <c r="F2454" s="20"/>
      <c r="G2454" s="22" t="str">
        <f>IF($C2454="","",IFERROR(INDEX(Productos!$F$5:$F$504,MATCH($C2454,Productos!$A$5:$A$504,0)),0))</f>
        <v/>
      </c>
      <c r="H2454" s="22" t="str">
        <f t="shared" si="38"/>
        <v/>
      </c>
      <c r="I2454" s="14" t="str">
        <f>IF(OR($C2454="",$F2454=""),"",IFERROR(INDEX(Productos!$I$5:$I$504,MATCH($C2454,Productos!$A$5:$A$504,0)),0)+SUMIFS($F$5:$F2454,$C$5:$C2454,$C2454,$B$5:$B2454,"Entrada")-SUMIFS($F$5:$F2454,$C$5:$C2454,$C2454,$B$5:$B2454,"Salida"))</f>
        <v/>
      </c>
      <c r="J2454" s="20"/>
      <c r="K2454" s="20"/>
      <c r="L2454" s="20"/>
      <c r="M2454" s="14" t="str">
        <f>IF(AND($C2454&lt;&gt;"",$C2454=Kardex!$C$4),COUNTIF($C$5:$C2454,Kardex!$C$4),"")</f>
        <v/>
      </c>
    </row>
    <row r="2455" spans="1:13" x14ac:dyDescent="0.25">
      <c r="A2455" s="24"/>
      <c r="B2455" s="20"/>
      <c r="C2455" s="20"/>
      <c r="D2455" s="14" t="str">
        <f>IF($C2455="","",IFERROR(INDEX(Productos!$B$5:$B$504,MATCH($C2455,Productos!$A$5:$A$504,0)),"Clave no existe"))</f>
        <v/>
      </c>
      <c r="E2455" s="14" t="str">
        <f>IF($C2455="","",IFERROR(INDEX(Productos!$D$5:$D$504,MATCH($C2455,Productos!$A$5:$A$504,0)),""))</f>
        <v/>
      </c>
      <c r="F2455" s="20"/>
      <c r="G2455" s="22" t="str">
        <f>IF($C2455="","",IFERROR(INDEX(Productos!$F$5:$F$504,MATCH($C2455,Productos!$A$5:$A$504,0)),0))</f>
        <v/>
      </c>
      <c r="H2455" s="22" t="str">
        <f t="shared" si="38"/>
        <v/>
      </c>
      <c r="I2455" s="14" t="str">
        <f>IF(OR($C2455="",$F2455=""),"",IFERROR(INDEX(Productos!$I$5:$I$504,MATCH($C2455,Productos!$A$5:$A$504,0)),0)+SUMIFS($F$5:$F2455,$C$5:$C2455,$C2455,$B$5:$B2455,"Entrada")-SUMIFS($F$5:$F2455,$C$5:$C2455,$C2455,$B$5:$B2455,"Salida"))</f>
        <v/>
      </c>
      <c r="J2455" s="20"/>
      <c r="K2455" s="20"/>
      <c r="L2455" s="20"/>
      <c r="M2455" s="14" t="str">
        <f>IF(AND($C2455&lt;&gt;"",$C2455=Kardex!$C$4),COUNTIF($C$5:$C2455,Kardex!$C$4),"")</f>
        <v/>
      </c>
    </row>
    <row r="2456" spans="1:13" x14ac:dyDescent="0.25">
      <c r="A2456" s="24"/>
      <c r="B2456" s="20"/>
      <c r="C2456" s="20"/>
      <c r="D2456" s="14" t="str">
        <f>IF($C2456="","",IFERROR(INDEX(Productos!$B$5:$B$504,MATCH($C2456,Productos!$A$5:$A$504,0)),"Clave no existe"))</f>
        <v/>
      </c>
      <c r="E2456" s="14" t="str">
        <f>IF($C2456="","",IFERROR(INDEX(Productos!$D$5:$D$504,MATCH($C2456,Productos!$A$5:$A$504,0)),""))</f>
        <v/>
      </c>
      <c r="F2456" s="20"/>
      <c r="G2456" s="22" t="str">
        <f>IF($C2456="","",IFERROR(INDEX(Productos!$F$5:$F$504,MATCH($C2456,Productos!$A$5:$A$504,0)),0))</f>
        <v/>
      </c>
      <c r="H2456" s="22" t="str">
        <f t="shared" si="38"/>
        <v/>
      </c>
      <c r="I2456" s="14" t="str">
        <f>IF(OR($C2456="",$F2456=""),"",IFERROR(INDEX(Productos!$I$5:$I$504,MATCH($C2456,Productos!$A$5:$A$504,0)),0)+SUMIFS($F$5:$F2456,$C$5:$C2456,$C2456,$B$5:$B2456,"Entrada")-SUMIFS($F$5:$F2456,$C$5:$C2456,$C2456,$B$5:$B2456,"Salida"))</f>
        <v/>
      </c>
      <c r="J2456" s="20"/>
      <c r="K2456" s="20"/>
      <c r="L2456" s="20"/>
      <c r="M2456" s="14" t="str">
        <f>IF(AND($C2456&lt;&gt;"",$C2456=Kardex!$C$4),COUNTIF($C$5:$C2456,Kardex!$C$4),"")</f>
        <v/>
      </c>
    </row>
    <row r="2457" spans="1:13" x14ac:dyDescent="0.25">
      <c r="A2457" s="24"/>
      <c r="B2457" s="20"/>
      <c r="C2457" s="20"/>
      <c r="D2457" s="14" t="str">
        <f>IF($C2457="","",IFERROR(INDEX(Productos!$B$5:$B$504,MATCH($C2457,Productos!$A$5:$A$504,0)),"Clave no existe"))</f>
        <v/>
      </c>
      <c r="E2457" s="14" t="str">
        <f>IF($C2457="","",IFERROR(INDEX(Productos!$D$5:$D$504,MATCH($C2457,Productos!$A$5:$A$504,0)),""))</f>
        <v/>
      </c>
      <c r="F2457" s="20"/>
      <c r="G2457" s="22" t="str">
        <f>IF($C2457="","",IFERROR(INDEX(Productos!$F$5:$F$504,MATCH($C2457,Productos!$A$5:$A$504,0)),0))</f>
        <v/>
      </c>
      <c r="H2457" s="22" t="str">
        <f t="shared" si="38"/>
        <v/>
      </c>
      <c r="I2457" s="14" t="str">
        <f>IF(OR($C2457="",$F2457=""),"",IFERROR(INDEX(Productos!$I$5:$I$504,MATCH($C2457,Productos!$A$5:$A$504,0)),0)+SUMIFS($F$5:$F2457,$C$5:$C2457,$C2457,$B$5:$B2457,"Entrada")-SUMIFS($F$5:$F2457,$C$5:$C2457,$C2457,$B$5:$B2457,"Salida"))</f>
        <v/>
      </c>
      <c r="J2457" s="20"/>
      <c r="K2457" s="20"/>
      <c r="L2457" s="20"/>
      <c r="M2457" s="14" t="str">
        <f>IF(AND($C2457&lt;&gt;"",$C2457=Kardex!$C$4),COUNTIF($C$5:$C2457,Kardex!$C$4),"")</f>
        <v/>
      </c>
    </row>
    <row r="2458" spans="1:13" x14ac:dyDescent="0.25">
      <c r="A2458" s="24"/>
      <c r="B2458" s="20"/>
      <c r="C2458" s="20"/>
      <c r="D2458" s="14" t="str">
        <f>IF($C2458="","",IFERROR(INDEX(Productos!$B$5:$B$504,MATCH($C2458,Productos!$A$5:$A$504,0)),"Clave no existe"))</f>
        <v/>
      </c>
      <c r="E2458" s="14" t="str">
        <f>IF($C2458="","",IFERROR(INDEX(Productos!$D$5:$D$504,MATCH($C2458,Productos!$A$5:$A$504,0)),""))</f>
        <v/>
      </c>
      <c r="F2458" s="20"/>
      <c r="G2458" s="22" t="str">
        <f>IF($C2458="","",IFERROR(INDEX(Productos!$F$5:$F$504,MATCH($C2458,Productos!$A$5:$A$504,0)),0))</f>
        <v/>
      </c>
      <c r="H2458" s="22" t="str">
        <f t="shared" si="38"/>
        <v/>
      </c>
      <c r="I2458" s="14" t="str">
        <f>IF(OR($C2458="",$F2458=""),"",IFERROR(INDEX(Productos!$I$5:$I$504,MATCH($C2458,Productos!$A$5:$A$504,0)),0)+SUMIFS($F$5:$F2458,$C$5:$C2458,$C2458,$B$5:$B2458,"Entrada")-SUMIFS($F$5:$F2458,$C$5:$C2458,$C2458,$B$5:$B2458,"Salida"))</f>
        <v/>
      </c>
      <c r="J2458" s="20"/>
      <c r="K2458" s="20"/>
      <c r="L2458" s="20"/>
      <c r="M2458" s="14" t="str">
        <f>IF(AND($C2458&lt;&gt;"",$C2458=Kardex!$C$4),COUNTIF($C$5:$C2458,Kardex!$C$4),"")</f>
        <v/>
      </c>
    </row>
    <row r="2459" spans="1:13" x14ac:dyDescent="0.25">
      <c r="A2459" s="24"/>
      <c r="B2459" s="20"/>
      <c r="C2459" s="20"/>
      <c r="D2459" s="14" t="str">
        <f>IF($C2459="","",IFERROR(INDEX(Productos!$B$5:$B$504,MATCH($C2459,Productos!$A$5:$A$504,0)),"Clave no existe"))</f>
        <v/>
      </c>
      <c r="E2459" s="14" t="str">
        <f>IF($C2459="","",IFERROR(INDEX(Productos!$D$5:$D$504,MATCH($C2459,Productos!$A$5:$A$504,0)),""))</f>
        <v/>
      </c>
      <c r="F2459" s="20"/>
      <c r="G2459" s="22" t="str">
        <f>IF($C2459="","",IFERROR(INDEX(Productos!$F$5:$F$504,MATCH($C2459,Productos!$A$5:$A$504,0)),0))</f>
        <v/>
      </c>
      <c r="H2459" s="22" t="str">
        <f t="shared" si="38"/>
        <v/>
      </c>
      <c r="I2459" s="14" t="str">
        <f>IF(OR($C2459="",$F2459=""),"",IFERROR(INDEX(Productos!$I$5:$I$504,MATCH($C2459,Productos!$A$5:$A$504,0)),0)+SUMIFS($F$5:$F2459,$C$5:$C2459,$C2459,$B$5:$B2459,"Entrada")-SUMIFS($F$5:$F2459,$C$5:$C2459,$C2459,$B$5:$B2459,"Salida"))</f>
        <v/>
      </c>
      <c r="J2459" s="20"/>
      <c r="K2459" s="20"/>
      <c r="L2459" s="20"/>
      <c r="M2459" s="14" t="str">
        <f>IF(AND($C2459&lt;&gt;"",$C2459=Kardex!$C$4),COUNTIF($C$5:$C2459,Kardex!$C$4),"")</f>
        <v/>
      </c>
    </row>
    <row r="2460" spans="1:13" x14ac:dyDescent="0.25">
      <c r="A2460" s="24"/>
      <c r="B2460" s="20"/>
      <c r="C2460" s="20"/>
      <c r="D2460" s="14" t="str">
        <f>IF($C2460="","",IFERROR(INDEX(Productos!$B$5:$B$504,MATCH($C2460,Productos!$A$5:$A$504,0)),"Clave no existe"))</f>
        <v/>
      </c>
      <c r="E2460" s="14" t="str">
        <f>IF($C2460="","",IFERROR(INDEX(Productos!$D$5:$D$504,MATCH($C2460,Productos!$A$5:$A$504,0)),""))</f>
        <v/>
      </c>
      <c r="F2460" s="20"/>
      <c r="G2460" s="22" t="str">
        <f>IF($C2460="","",IFERROR(INDEX(Productos!$F$5:$F$504,MATCH($C2460,Productos!$A$5:$A$504,0)),0))</f>
        <v/>
      </c>
      <c r="H2460" s="22" t="str">
        <f t="shared" si="38"/>
        <v/>
      </c>
      <c r="I2460" s="14" t="str">
        <f>IF(OR($C2460="",$F2460=""),"",IFERROR(INDEX(Productos!$I$5:$I$504,MATCH($C2460,Productos!$A$5:$A$504,0)),0)+SUMIFS($F$5:$F2460,$C$5:$C2460,$C2460,$B$5:$B2460,"Entrada")-SUMIFS($F$5:$F2460,$C$5:$C2460,$C2460,$B$5:$B2460,"Salida"))</f>
        <v/>
      </c>
      <c r="J2460" s="20"/>
      <c r="K2460" s="20"/>
      <c r="L2460" s="20"/>
      <c r="M2460" s="14" t="str">
        <f>IF(AND($C2460&lt;&gt;"",$C2460=Kardex!$C$4),COUNTIF($C$5:$C2460,Kardex!$C$4),"")</f>
        <v/>
      </c>
    </row>
    <row r="2461" spans="1:13" x14ac:dyDescent="0.25">
      <c r="A2461" s="24"/>
      <c r="B2461" s="20"/>
      <c r="C2461" s="20"/>
      <c r="D2461" s="14" t="str">
        <f>IF($C2461="","",IFERROR(INDEX(Productos!$B$5:$B$504,MATCH($C2461,Productos!$A$5:$A$504,0)),"Clave no existe"))</f>
        <v/>
      </c>
      <c r="E2461" s="14" t="str">
        <f>IF($C2461="","",IFERROR(INDEX(Productos!$D$5:$D$504,MATCH($C2461,Productos!$A$5:$A$504,0)),""))</f>
        <v/>
      </c>
      <c r="F2461" s="20"/>
      <c r="G2461" s="22" t="str">
        <f>IF($C2461="","",IFERROR(INDEX(Productos!$F$5:$F$504,MATCH($C2461,Productos!$A$5:$A$504,0)),0))</f>
        <v/>
      </c>
      <c r="H2461" s="22" t="str">
        <f t="shared" si="38"/>
        <v/>
      </c>
      <c r="I2461" s="14" t="str">
        <f>IF(OR($C2461="",$F2461=""),"",IFERROR(INDEX(Productos!$I$5:$I$504,MATCH($C2461,Productos!$A$5:$A$504,0)),0)+SUMIFS($F$5:$F2461,$C$5:$C2461,$C2461,$B$5:$B2461,"Entrada")-SUMIFS($F$5:$F2461,$C$5:$C2461,$C2461,$B$5:$B2461,"Salida"))</f>
        <v/>
      </c>
      <c r="J2461" s="20"/>
      <c r="K2461" s="20"/>
      <c r="L2461" s="20"/>
      <c r="M2461" s="14" t="str">
        <f>IF(AND($C2461&lt;&gt;"",$C2461=Kardex!$C$4),COUNTIF($C$5:$C2461,Kardex!$C$4),"")</f>
        <v/>
      </c>
    </row>
    <row r="2462" spans="1:13" x14ac:dyDescent="0.25">
      <c r="A2462" s="24"/>
      <c r="B2462" s="20"/>
      <c r="C2462" s="20"/>
      <c r="D2462" s="14" t="str">
        <f>IF($C2462="","",IFERROR(INDEX(Productos!$B$5:$B$504,MATCH($C2462,Productos!$A$5:$A$504,0)),"Clave no existe"))</f>
        <v/>
      </c>
      <c r="E2462" s="14" t="str">
        <f>IF($C2462="","",IFERROR(INDEX(Productos!$D$5:$D$504,MATCH($C2462,Productos!$A$5:$A$504,0)),""))</f>
        <v/>
      </c>
      <c r="F2462" s="20"/>
      <c r="G2462" s="22" t="str">
        <f>IF($C2462="","",IFERROR(INDEX(Productos!$F$5:$F$504,MATCH($C2462,Productos!$A$5:$A$504,0)),0))</f>
        <v/>
      </c>
      <c r="H2462" s="22" t="str">
        <f t="shared" si="38"/>
        <v/>
      </c>
      <c r="I2462" s="14" t="str">
        <f>IF(OR($C2462="",$F2462=""),"",IFERROR(INDEX(Productos!$I$5:$I$504,MATCH($C2462,Productos!$A$5:$A$504,0)),0)+SUMIFS($F$5:$F2462,$C$5:$C2462,$C2462,$B$5:$B2462,"Entrada")-SUMIFS($F$5:$F2462,$C$5:$C2462,$C2462,$B$5:$B2462,"Salida"))</f>
        <v/>
      </c>
      <c r="J2462" s="20"/>
      <c r="K2462" s="20"/>
      <c r="L2462" s="20"/>
      <c r="M2462" s="14" t="str">
        <f>IF(AND($C2462&lt;&gt;"",$C2462=Kardex!$C$4),COUNTIF($C$5:$C2462,Kardex!$C$4),"")</f>
        <v/>
      </c>
    </row>
    <row r="2463" spans="1:13" x14ac:dyDescent="0.25">
      <c r="A2463" s="24"/>
      <c r="B2463" s="20"/>
      <c r="C2463" s="20"/>
      <c r="D2463" s="14" t="str">
        <f>IF($C2463="","",IFERROR(INDEX(Productos!$B$5:$B$504,MATCH($C2463,Productos!$A$5:$A$504,0)),"Clave no existe"))</f>
        <v/>
      </c>
      <c r="E2463" s="14" t="str">
        <f>IF($C2463="","",IFERROR(INDEX(Productos!$D$5:$D$504,MATCH($C2463,Productos!$A$5:$A$504,0)),""))</f>
        <v/>
      </c>
      <c r="F2463" s="20"/>
      <c r="G2463" s="22" t="str">
        <f>IF($C2463="","",IFERROR(INDEX(Productos!$F$5:$F$504,MATCH($C2463,Productos!$A$5:$A$504,0)),0))</f>
        <v/>
      </c>
      <c r="H2463" s="22" t="str">
        <f t="shared" si="38"/>
        <v/>
      </c>
      <c r="I2463" s="14" t="str">
        <f>IF(OR($C2463="",$F2463=""),"",IFERROR(INDEX(Productos!$I$5:$I$504,MATCH($C2463,Productos!$A$5:$A$504,0)),0)+SUMIFS($F$5:$F2463,$C$5:$C2463,$C2463,$B$5:$B2463,"Entrada")-SUMIFS($F$5:$F2463,$C$5:$C2463,$C2463,$B$5:$B2463,"Salida"))</f>
        <v/>
      </c>
      <c r="J2463" s="20"/>
      <c r="K2463" s="20"/>
      <c r="L2463" s="20"/>
      <c r="M2463" s="14" t="str">
        <f>IF(AND($C2463&lt;&gt;"",$C2463=Kardex!$C$4),COUNTIF($C$5:$C2463,Kardex!$C$4),"")</f>
        <v/>
      </c>
    </row>
    <row r="2464" spans="1:13" x14ac:dyDescent="0.25">
      <c r="A2464" s="24"/>
      <c r="B2464" s="20"/>
      <c r="C2464" s="20"/>
      <c r="D2464" s="14" t="str">
        <f>IF($C2464="","",IFERROR(INDEX(Productos!$B$5:$B$504,MATCH($C2464,Productos!$A$5:$A$504,0)),"Clave no existe"))</f>
        <v/>
      </c>
      <c r="E2464" s="14" t="str">
        <f>IF($C2464="","",IFERROR(INDEX(Productos!$D$5:$D$504,MATCH($C2464,Productos!$A$5:$A$504,0)),""))</f>
        <v/>
      </c>
      <c r="F2464" s="20"/>
      <c r="G2464" s="22" t="str">
        <f>IF($C2464="","",IFERROR(INDEX(Productos!$F$5:$F$504,MATCH($C2464,Productos!$A$5:$A$504,0)),0))</f>
        <v/>
      </c>
      <c r="H2464" s="22" t="str">
        <f t="shared" si="38"/>
        <v/>
      </c>
      <c r="I2464" s="14" t="str">
        <f>IF(OR($C2464="",$F2464=""),"",IFERROR(INDEX(Productos!$I$5:$I$504,MATCH($C2464,Productos!$A$5:$A$504,0)),0)+SUMIFS($F$5:$F2464,$C$5:$C2464,$C2464,$B$5:$B2464,"Entrada")-SUMIFS($F$5:$F2464,$C$5:$C2464,$C2464,$B$5:$B2464,"Salida"))</f>
        <v/>
      </c>
      <c r="J2464" s="20"/>
      <c r="K2464" s="20"/>
      <c r="L2464" s="20"/>
      <c r="M2464" s="14" t="str">
        <f>IF(AND($C2464&lt;&gt;"",$C2464=Kardex!$C$4),COUNTIF($C$5:$C2464,Kardex!$C$4),"")</f>
        <v/>
      </c>
    </row>
    <row r="2465" spans="1:13" x14ac:dyDescent="0.25">
      <c r="A2465" s="24"/>
      <c r="B2465" s="20"/>
      <c r="C2465" s="20"/>
      <c r="D2465" s="14" t="str">
        <f>IF($C2465="","",IFERROR(INDEX(Productos!$B$5:$B$504,MATCH($C2465,Productos!$A$5:$A$504,0)),"Clave no existe"))</f>
        <v/>
      </c>
      <c r="E2465" s="14" t="str">
        <f>IF($C2465="","",IFERROR(INDEX(Productos!$D$5:$D$504,MATCH($C2465,Productos!$A$5:$A$504,0)),""))</f>
        <v/>
      </c>
      <c r="F2465" s="20"/>
      <c r="G2465" s="22" t="str">
        <f>IF($C2465="","",IFERROR(INDEX(Productos!$F$5:$F$504,MATCH($C2465,Productos!$A$5:$A$504,0)),0))</f>
        <v/>
      </c>
      <c r="H2465" s="22" t="str">
        <f t="shared" si="38"/>
        <v/>
      </c>
      <c r="I2465" s="14" t="str">
        <f>IF(OR($C2465="",$F2465=""),"",IFERROR(INDEX(Productos!$I$5:$I$504,MATCH($C2465,Productos!$A$5:$A$504,0)),0)+SUMIFS($F$5:$F2465,$C$5:$C2465,$C2465,$B$5:$B2465,"Entrada")-SUMIFS($F$5:$F2465,$C$5:$C2465,$C2465,$B$5:$B2465,"Salida"))</f>
        <v/>
      </c>
      <c r="J2465" s="20"/>
      <c r="K2465" s="20"/>
      <c r="L2465" s="20"/>
      <c r="M2465" s="14" t="str">
        <f>IF(AND($C2465&lt;&gt;"",$C2465=Kardex!$C$4),COUNTIF($C$5:$C2465,Kardex!$C$4),"")</f>
        <v/>
      </c>
    </row>
    <row r="2466" spans="1:13" x14ac:dyDescent="0.25">
      <c r="A2466" s="24"/>
      <c r="B2466" s="20"/>
      <c r="C2466" s="20"/>
      <c r="D2466" s="14" t="str">
        <f>IF($C2466="","",IFERROR(INDEX(Productos!$B$5:$B$504,MATCH($C2466,Productos!$A$5:$A$504,0)),"Clave no existe"))</f>
        <v/>
      </c>
      <c r="E2466" s="14" t="str">
        <f>IF($C2466="","",IFERROR(INDEX(Productos!$D$5:$D$504,MATCH($C2466,Productos!$A$5:$A$504,0)),""))</f>
        <v/>
      </c>
      <c r="F2466" s="20"/>
      <c r="G2466" s="22" t="str">
        <f>IF($C2466="","",IFERROR(INDEX(Productos!$F$5:$F$504,MATCH($C2466,Productos!$A$5:$A$504,0)),0))</f>
        <v/>
      </c>
      <c r="H2466" s="22" t="str">
        <f t="shared" si="38"/>
        <v/>
      </c>
      <c r="I2466" s="14" t="str">
        <f>IF(OR($C2466="",$F2466=""),"",IFERROR(INDEX(Productos!$I$5:$I$504,MATCH($C2466,Productos!$A$5:$A$504,0)),0)+SUMIFS($F$5:$F2466,$C$5:$C2466,$C2466,$B$5:$B2466,"Entrada")-SUMIFS($F$5:$F2466,$C$5:$C2466,$C2466,$B$5:$B2466,"Salida"))</f>
        <v/>
      </c>
      <c r="J2466" s="20"/>
      <c r="K2466" s="20"/>
      <c r="L2466" s="20"/>
      <c r="M2466" s="14" t="str">
        <f>IF(AND($C2466&lt;&gt;"",$C2466=Kardex!$C$4),COUNTIF($C$5:$C2466,Kardex!$C$4),"")</f>
        <v/>
      </c>
    </row>
    <row r="2467" spans="1:13" x14ac:dyDescent="0.25">
      <c r="A2467" s="24"/>
      <c r="B2467" s="20"/>
      <c r="C2467" s="20"/>
      <c r="D2467" s="14" t="str">
        <f>IF($C2467="","",IFERROR(INDEX(Productos!$B$5:$B$504,MATCH($C2467,Productos!$A$5:$A$504,0)),"Clave no existe"))</f>
        <v/>
      </c>
      <c r="E2467" s="14" t="str">
        <f>IF($C2467="","",IFERROR(INDEX(Productos!$D$5:$D$504,MATCH($C2467,Productos!$A$5:$A$504,0)),""))</f>
        <v/>
      </c>
      <c r="F2467" s="20"/>
      <c r="G2467" s="22" t="str">
        <f>IF($C2467="","",IFERROR(INDEX(Productos!$F$5:$F$504,MATCH($C2467,Productos!$A$5:$A$504,0)),0))</f>
        <v/>
      </c>
      <c r="H2467" s="22" t="str">
        <f t="shared" si="38"/>
        <v/>
      </c>
      <c r="I2467" s="14" t="str">
        <f>IF(OR($C2467="",$F2467=""),"",IFERROR(INDEX(Productos!$I$5:$I$504,MATCH($C2467,Productos!$A$5:$A$504,0)),0)+SUMIFS($F$5:$F2467,$C$5:$C2467,$C2467,$B$5:$B2467,"Entrada")-SUMIFS($F$5:$F2467,$C$5:$C2467,$C2467,$B$5:$B2467,"Salida"))</f>
        <v/>
      </c>
      <c r="J2467" s="20"/>
      <c r="K2467" s="20"/>
      <c r="L2467" s="20"/>
      <c r="M2467" s="14" t="str">
        <f>IF(AND($C2467&lt;&gt;"",$C2467=Kardex!$C$4),COUNTIF($C$5:$C2467,Kardex!$C$4),"")</f>
        <v/>
      </c>
    </row>
    <row r="2468" spans="1:13" x14ac:dyDescent="0.25">
      <c r="A2468" s="24"/>
      <c r="B2468" s="20"/>
      <c r="C2468" s="20"/>
      <c r="D2468" s="14" t="str">
        <f>IF($C2468="","",IFERROR(INDEX(Productos!$B$5:$B$504,MATCH($C2468,Productos!$A$5:$A$504,0)),"Clave no existe"))</f>
        <v/>
      </c>
      <c r="E2468" s="14" t="str">
        <f>IF($C2468="","",IFERROR(INDEX(Productos!$D$5:$D$504,MATCH($C2468,Productos!$A$5:$A$504,0)),""))</f>
        <v/>
      </c>
      <c r="F2468" s="20"/>
      <c r="G2468" s="22" t="str">
        <f>IF($C2468="","",IFERROR(INDEX(Productos!$F$5:$F$504,MATCH($C2468,Productos!$A$5:$A$504,0)),0))</f>
        <v/>
      </c>
      <c r="H2468" s="22" t="str">
        <f t="shared" si="38"/>
        <v/>
      </c>
      <c r="I2468" s="14" t="str">
        <f>IF(OR($C2468="",$F2468=""),"",IFERROR(INDEX(Productos!$I$5:$I$504,MATCH($C2468,Productos!$A$5:$A$504,0)),0)+SUMIFS($F$5:$F2468,$C$5:$C2468,$C2468,$B$5:$B2468,"Entrada")-SUMIFS($F$5:$F2468,$C$5:$C2468,$C2468,$B$5:$B2468,"Salida"))</f>
        <v/>
      </c>
      <c r="J2468" s="20"/>
      <c r="K2468" s="20"/>
      <c r="L2468" s="20"/>
      <c r="M2468" s="14" t="str">
        <f>IF(AND($C2468&lt;&gt;"",$C2468=Kardex!$C$4),COUNTIF($C$5:$C2468,Kardex!$C$4),"")</f>
        <v/>
      </c>
    </row>
    <row r="2469" spans="1:13" x14ac:dyDescent="0.25">
      <c r="A2469" s="24"/>
      <c r="B2469" s="20"/>
      <c r="C2469" s="20"/>
      <c r="D2469" s="14" t="str">
        <f>IF($C2469="","",IFERROR(INDEX(Productos!$B$5:$B$504,MATCH($C2469,Productos!$A$5:$A$504,0)),"Clave no existe"))</f>
        <v/>
      </c>
      <c r="E2469" s="14" t="str">
        <f>IF($C2469="","",IFERROR(INDEX(Productos!$D$5:$D$504,MATCH($C2469,Productos!$A$5:$A$504,0)),""))</f>
        <v/>
      </c>
      <c r="F2469" s="20"/>
      <c r="G2469" s="22" t="str">
        <f>IF($C2469="","",IFERROR(INDEX(Productos!$F$5:$F$504,MATCH($C2469,Productos!$A$5:$A$504,0)),0))</f>
        <v/>
      </c>
      <c r="H2469" s="22" t="str">
        <f t="shared" si="38"/>
        <v/>
      </c>
      <c r="I2469" s="14" t="str">
        <f>IF(OR($C2469="",$F2469=""),"",IFERROR(INDEX(Productos!$I$5:$I$504,MATCH($C2469,Productos!$A$5:$A$504,0)),0)+SUMIFS($F$5:$F2469,$C$5:$C2469,$C2469,$B$5:$B2469,"Entrada")-SUMIFS($F$5:$F2469,$C$5:$C2469,$C2469,$B$5:$B2469,"Salida"))</f>
        <v/>
      </c>
      <c r="J2469" s="20"/>
      <c r="K2469" s="20"/>
      <c r="L2469" s="20"/>
      <c r="M2469" s="14" t="str">
        <f>IF(AND($C2469&lt;&gt;"",$C2469=Kardex!$C$4),COUNTIF($C$5:$C2469,Kardex!$C$4),"")</f>
        <v/>
      </c>
    </row>
    <row r="2470" spans="1:13" x14ac:dyDescent="0.25">
      <c r="A2470" s="24"/>
      <c r="B2470" s="20"/>
      <c r="C2470" s="20"/>
      <c r="D2470" s="14" t="str">
        <f>IF($C2470="","",IFERROR(INDEX(Productos!$B$5:$B$504,MATCH($C2470,Productos!$A$5:$A$504,0)),"Clave no existe"))</f>
        <v/>
      </c>
      <c r="E2470" s="14" t="str">
        <f>IF($C2470="","",IFERROR(INDEX(Productos!$D$5:$D$504,MATCH($C2470,Productos!$A$5:$A$504,0)),""))</f>
        <v/>
      </c>
      <c r="F2470" s="20"/>
      <c r="G2470" s="22" t="str">
        <f>IF($C2470="","",IFERROR(INDEX(Productos!$F$5:$F$504,MATCH($C2470,Productos!$A$5:$A$504,0)),0))</f>
        <v/>
      </c>
      <c r="H2470" s="22" t="str">
        <f t="shared" si="38"/>
        <v/>
      </c>
      <c r="I2470" s="14" t="str">
        <f>IF(OR($C2470="",$F2470=""),"",IFERROR(INDEX(Productos!$I$5:$I$504,MATCH($C2470,Productos!$A$5:$A$504,0)),0)+SUMIFS($F$5:$F2470,$C$5:$C2470,$C2470,$B$5:$B2470,"Entrada")-SUMIFS($F$5:$F2470,$C$5:$C2470,$C2470,$B$5:$B2470,"Salida"))</f>
        <v/>
      </c>
      <c r="J2470" s="20"/>
      <c r="K2470" s="20"/>
      <c r="L2470" s="20"/>
      <c r="M2470" s="14" t="str">
        <f>IF(AND($C2470&lt;&gt;"",$C2470=Kardex!$C$4),COUNTIF($C$5:$C2470,Kardex!$C$4),"")</f>
        <v/>
      </c>
    </row>
    <row r="2471" spans="1:13" x14ac:dyDescent="0.25">
      <c r="A2471" s="24"/>
      <c r="B2471" s="20"/>
      <c r="C2471" s="20"/>
      <c r="D2471" s="14" t="str">
        <f>IF($C2471="","",IFERROR(INDEX(Productos!$B$5:$B$504,MATCH($C2471,Productos!$A$5:$A$504,0)),"Clave no existe"))</f>
        <v/>
      </c>
      <c r="E2471" s="14" t="str">
        <f>IF($C2471="","",IFERROR(INDEX(Productos!$D$5:$D$504,MATCH($C2471,Productos!$A$5:$A$504,0)),""))</f>
        <v/>
      </c>
      <c r="F2471" s="20"/>
      <c r="G2471" s="22" t="str">
        <f>IF($C2471="","",IFERROR(INDEX(Productos!$F$5:$F$504,MATCH($C2471,Productos!$A$5:$A$504,0)),0))</f>
        <v/>
      </c>
      <c r="H2471" s="22" t="str">
        <f t="shared" si="38"/>
        <v/>
      </c>
      <c r="I2471" s="14" t="str">
        <f>IF(OR($C2471="",$F2471=""),"",IFERROR(INDEX(Productos!$I$5:$I$504,MATCH($C2471,Productos!$A$5:$A$504,0)),0)+SUMIFS($F$5:$F2471,$C$5:$C2471,$C2471,$B$5:$B2471,"Entrada")-SUMIFS($F$5:$F2471,$C$5:$C2471,$C2471,$B$5:$B2471,"Salida"))</f>
        <v/>
      </c>
      <c r="J2471" s="20"/>
      <c r="K2471" s="20"/>
      <c r="L2471" s="20"/>
      <c r="M2471" s="14" t="str">
        <f>IF(AND($C2471&lt;&gt;"",$C2471=Kardex!$C$4),COUNTIF($C$5:$C2471,Kardex!$C$4),"")</f>
        <v/>
      </c>
    </row>
    <row r="2472" spans="1:13" x14ac:dyDescent="0.25">
      <c r="A2472" s="24"/>
      <c r="B2472" s="20"/>
      <c r="C2472" s="20"/>
      <c r="D2472" s="14" t="str">
        <f>IF($C2472="","",IFERROR(INDEX(Productos!$B$5:$B$504,MATCH($C2472,Productos!$A$5:$A$504,0)),"Clave no existe"))</f>
        <v/>
      </c>
      <c r="E2472" s="14" t="str">
        <f>IF($C2472="","",IFERROR(INDEX(Productos!$D$5:$D$504,MATCH($C2472,Productos!$A$5:$A$504,0)),""))</f>
        <v/>
      </c>
      <c r="F2472" s="20"/>
      <c r="G2472" s="22" t="str">
        <f>IF($C2472="","",IFERROR(INDEX(Productos!$F$5:$F$504,MATCH($C2472,Productos!$A$5:$A$504,0)),0))</f>
        <v/>
      </c>
      <c r="H2472" s="22" t="str">
        <f t="shared" si="38"/>
        <v/>
      </c>
      <c r="I2472" s="14" t="str">
        <f>IF(OR($C2472="",$F2472=""),"",IFERROR(INDEX(Productos!$I$5:$I$504,MATCH($C2472,Productos!$A$5:$A$504,0)),0)+SUMIFS($F$5:$F2472,$C$5:$C2472,$C2472,$B$5:$B2472,"Entrada")-SUMIFS($F$5:$F2472,$C$5:$C2472,$C2472,$B$5:$B2472,"Salida"))</f>
        <v/>
      </c>
      <c r="J2472" s="20"/>
      <c r="K2472" s="20"/>
      <c r="L2472" s="20"/>
      <c r="M2472" s="14" t="str">
        <f>IF(AND($C2472&lt;&gt;"",$C2472=Kardex!$C$4),COUNTIF($C$5:$C2472,Kardex!$C$4),"")</f>
        <v/>
      </c>
    </row>
    <row r="2473" spans="1:13" x14ac:dyDescent="0.25">
      <c r="A2473" s="24"/>
      <c r="B2473" s="20"/>
      <c r="C2473" s="20"/>
      <c r="D2473" s="14" t="str">
        <f>IF($C2473="","",IFERROR(INDEX(Productos!$B$5:$B$504,MATCH($C2473,Productos!$A$5:$A$504,0)),"Clave no existe"))</f>
        <v/>
      </c>
      <c r="E2473" s="14" t="str">
        <f>IF($C2473="","",IFERROR(INDEX(Productos!$D$5:$D$504,MATCH($C2473,Productos!$A$5:$A$504,0)),""))</f>
        <v/>
      </c>
      <c r="F2473" s="20"/>
      <c r="G2473" s="22" t="str">
        <f>IF($C2473="","",IFERROR(INDEX(Productos!$F$5:$F$504,MATCH($C2473,Productos!$A$5:$A$504,0)),0))</f>
        <v/>
      </c>
      <c r="H2473" s="22" t="str">
        <f t="shared" si="38"/>
        <v/>
      </c>
      <c r="I2473" s="14" t="str">
        <f>IF(OR($C2473="",$F2473=""),"",IFERROR(INDEX(Productos!$I$5:$I$504,MATCH($C2473,Productos!$A$5:$A$504,0)),0)+SUMIFS($F$5:$F2473,$C$5:$C2473,$C2473,$B$5:$B2473,"Entrada")-SUMIFS($F$5:$F2473,$C$5:$C2473,$C2473,$B$5:$B2473,"Salida"))</f>
        <v/>
      </c>
      <c r="J2473" s="20"/>
      <c r="K2473" s="20"/>
      <c r="L2473" s="20"/>
      <c r="M2473" s="14" t="str">
        <f>IF(AND($C2473&lt;&gt;"",$C2473=Kardex!$C$4),COUNTIF($C$5:$C2473,Kardex!$C$4),"")</f>
        <v/>
      </c>
    </row>
    <row r="2474" spans="1:13" x14ac:dyDescent="0.25">
      <c r="A2474" s="24"/>
      <c r="B2474" s="20"/>
      <c r="C2474" s="20"/>
      <c r="D2474" s="14" t="str">
        <f>IF($C2474="","",IFERROR(INDEX(Productos!$B$5:$B$504,MATCH($C2474,Productos!$A$5:$A$504,0)),"Clave no existe"))</f>
        <v/>
      </c>
      <c r="E2474" s="14" t="str">
        <f>IF($C2474="","",IFERROR(INDEX(Productos!$D$5:$D$504,MATCH($C2474,Productos!$A$5:$A$504,0)),""))</f>
        <v/>
      </c>
      <c r="F2474" s="20"/>
      <c r="G2474" s="22" t="str">
        <f>IF($C2474="","",IFERROR(INDEX(Productos!$F$5:$F$504,MATCH($C2474,Productos!$A$5:$A$504,0)),0))</f>
        <v/>
      </c>
      <c r="H2474" s="22" t="str">
        <f t="shared" si="38"/>
        <v/>
      </c>
      <c r="I2474" s="14" t="str">
        <f>IF(OR($C2474="",$F2474=""),"",IFERROR(INDEX(Productos!$I$5:$I$504,MATCH($C2474,Productos!$A$5:$A$504,0)),0)+SUMIFS($F$5:$F2474,$C$5:$C2474,$C2474,$B$5:$B2474,"Entrada")-SUMIFS($F$5:$F2474,$C$5:$C2474,$C2474,$B$5:$B2474,"Salida"))</f>
        <v/>
      </c>
      <c r="J2474" s="20"/>
      <c r="K2474" s="20"/>
      <c r="L2474" s="20"/>
      <c r="M2474" s="14" t="str">
        <f>IF(AND($C2474&lt;&gt;"",$C2474=Kardex!$C$4),COUNTIF($C$5:$C2474,Kardex!$C$4),"")</f>
        <v/>
      </c>
    </row>
    <row r="2475" spans="1:13" x14ac:dyDescent="0.25">
      <c r="A2475" s="24"/>
      <c r="B2475" s="20"/>
      <c r="C2475" s="20"/>
      <c r="D2475" s="14" t="str">
        <f>IF($C2475="","",IFERROR(INDEX(Productos!$B$5:$B$504,MATCH($C2475,Productos!$A$5:$A$504,0)),"Clave no existe"))</f>
        <v/>
      </c>
      <c r="E2475" s="14" t="str">
        <f>IF($C2475="","",IFERROR(INDEX(Productos!$D$5:$D$504,MATCH($C2475,Productos!$A$5:$A$504,0)),""))</f>
        <v/>
      </c>
      <c r="F2475" s="20"/>
      <c r="G2475" s="22" t="str">
        <f>IF($C2475="","",IFERROR(INDEX(Productos!$F$5:$F$504,MATCH($C2475,Productos!$A$5:$A$504,0)),0))</f>
        <v/>
      </c>
      <c r="H2475" s="22" t="str">
        <f t="shared" si="38"/>
        <v/>
      </c>
      <c r="I2475" s="14" t="str">
        <f>IF(OR($C2475="",$F2475=""),"",IFERROR(INDEX(Productos!$I$5:$I$504,MATCH($C2475,Productos!$A$5:$A$504,0)),0)+SUMIFS($F$5:$F2475,$C$5:$C2475,$C2475,$B$5:$B2475,"Entrada")-SUMIFS($F$5:$F2475,$C$5:$C2475,$C2475,$B$5:$B2475,"Salida"))</f>
        <v/>
      </c>
      <c r="J2475" s="20"/>
      <c r="K2475" s="20"/>
      <c r="L2475" s="20"/>
      <c r="M2475" s="14" t="str">
        <f>IF(AND($C2475&lt;&gt;"",$C2475=Kardex!$C$4),COUNTIF($C$5:$C2475,Kardex!$C$4),"")</f>
        <v/>
      </c>
    </row>
    <row r="2476" spans="1:13" x14ac:dyDescent="0.25">
      <c r="A2476" s="24"/>
      <c r="B2476" s="20"/>
      <c r="C2476" s="20"/>
      <c r="D2476" s="14" t="str">
        <f>IF($C2476="","",IFERROR(INDEX(Productos!$B$5:$B$504,MATCH($C2476,Productos!$A$5:$A$504,0)),"Clave no existe"))</f>
        <v/>
      </c>
      <c r="E2476" s="14" t="str">
        <f>IF($C2476="","",IFERROR(INDEX(Productos!$D$5:$D$504,MATCH($C2476,Productos!$A$5:$A$504,0)),""))</f>
        <v/>
      </c>
      <c r="F2476" s="20"/>
      <c r="G2476" s="22" t="str">
        <f>IF($C2476="","",IFERROR(INDEX(Productos!$F$5:$F$504,MATCH($C2476,Productos!$A$5:$A$504,0)),0))</f>
        <v/>
      </c>
      <c r="H2476" s="22" t="str">
        <f t="shared" si="38"/>
        <v/>
      </c>
      <c r="I2476" s="14" t="str">
        <f>IF(OR($C2476="",$F2476=""),"",IFERROR(INDEX(Productos!$I$5:$I$504,MATCH($C2476,Productos!$A$5:$A$504,0)),0)+SUMIFS($F$5:$F2476,$C$5:$C2476,$C2476,$B$5:$B2476,"Entrada")-SUMIFS($F$5:$F2476,$C$5:$C2476,$C2476,$B$5:$B2476,"Salida"))</f>
        <v/>
      </c>
      <c r="J2476" s="20"/>
      <c r="K2476" s="20"/>
      <c r="L2476" s="20"/>
      <c r="M2476" s="14" t="str">
        <f>IF(AND($C2476&lt;&gt;"",$C2476=Kardex!$C$4),COUNTIF($C$5:$C2476,Kardex!$C$4),"")</f>
        <v/>
      </c>
    </row>
    <row r="2477" spans="1:13" x14ac:dyDescent="0.25">
      <c r="A2477" s="24"/>
      <c r="B2477" s="20"/>
      <c r="C2477" s="20"/>
      <c r="D2477" s="14" t="str">
        <f>IF($C2477="","",IFERROR(INDEX(Productos!$B$5:$B$504,MATCH($C2477,Productos!$A$5:$A$504,0)),"Clave no existe"))</f>
        <v/>
      </c>
      <c r="E2477" s="14" t="str">
        <f>IF($C2477="","",IFERROR(INDEX(Productos!$D$5:$D$504,MATCH($C2477,Productos!$A$5:$A$504,0)),""))</f>
        <v/>
      </c>
      <c r="F2477" s="20"/>
      <c r="G2477" s="22" t="str">
        <f>IF($C2477="","",IFERROR(INDEX(Productos!$F$5:$F$504,MATCH($C2477,Productos!$A$5:$A$504,0)),0))</f>
        <v/>
      </c>
      <c r="H2477" s="22" t="str">
        <f t="shared" si="38"/>
        <v/>
      </c>
      <c r="I2477" s="14" t="str">
        <f>IF(OR($C2477="",$F2477=""),"",IFERROR(INDEX(Productos!$I$5:$I$504,MATCH($C2477,Productos!$A$5:$A$504,0)),0)+SUMIFS($F$5:$F2477,$C$5:$C2477,$C2477,$B$5:$B2477,"Entrada")-SUMIFS($F$5:$F2477,$C$5:$C2477,$C2477,$B$5:$B2477,"Salida"))</f>
        <v/>
      </c>
      <c r="J2477" s="20"/>
      <c r="K2477" s="20"/>
      <c r="L2477" s="20"/>
      <c r="M2477" s="14" t="str">
        <f>IF(AND($C2477&lt;&gt;"",$C2477=Kardex!$C$4),COUNTIF($C$5:$C2477,Kardex!$C$4),"")</f>
        <v/>
      </c>
    </row>
    <row r="2478" spans="1:13" x14ac:dyDescent="0.25">
      <c r="A2478" s="24"/>
      <c r="B2478" s="20"/>
      <c r="C2478" s="20"/>
      <c r="D2478" s="14" t="str">
        <f>IF($C2478="","",IFERROR(INDEX(Productos!$B$5:$B$504,MATCH($C2478,Productos!$A$5:$A$504,0)),"Clave no existe"))</f>
        <v/>
      </c>
      <c r="E2478" s="14" t="str">
        <f>IF($C2478="","",IFERROR(INDEX(Productos!$D$5:$D$504,MATCH($C2478,Productos!$A$5:$A$504,0)),""))</f>
        <v/>
      </c>
      <c r="F2478" s="20"/>
      <c r="G2478" s="22" t="str">
        <f>IF($C2478="","",IFERROR(INDEX(Productos!$F$5:$F$504,MATCH($C2478,Productos!$A$5:$A$504,0)),0))</f>
        <v/>
      </c>
      <c r="H2478" s="22" t="str">
        <f t="shared" si="38"/>
        <v/>
      </c>
      <c r="I2478" s="14" t="str">
        <f>IF(OR($C2478="",$F2478=""),"",IFERROR(INDEX(Productos!$I$5:$I$504,MATCH($C2478,Productos!$A$5:$A$504,0)),0)+SUMIFS($F$5:$F2478,$C$5:$C2478,$C2478,$B$5:$B2478,"Entrada")-SUMIFS($F$5:$F2478,$C$5:$C2478,$C2478,$B$5:$B2478,"Salida"))</f>
        <v/>
      </c>
      <c r="J2478" s="20"/>
      <c r="K2478" s="20"/>
      <c r="L2478" s="20"/>
      <c r="M2478" s="14" t="str">
        <f>IF(AND($C2478&lt;&gt;"",$C2478=Kardex!$C$4),COUNTIF($C$5:$C2478,Kardex!$C$4),"")</f>
        <v/>
      </c>
    </row>
    <row r="2479" spans="1:13" x14ac:dyDescent="0.25">
      <c r="A2479" s="24"/>
      <c r="B2479" s="20"/>
      <c r="C2479" s="20"/>
      <c r="D2479" s="14" t="str">
        <f>IF($C2479="","",IFERROR(INDEX(Productos!$B$5:$B$504,MATCH($C2479,Productos!$A$5:$A$504,0)),"Clave no existe"))</f>
        <v/>
      </c>
      <c r="E2479" s="14" t="str">
        <f>IF($C2479="","",IFERROR(INDEX(Productos!$D$5:$D$504,MATCH($C2479,Productos!$A$5:$A$504,0)),""))</f>
        <v/>
      </c>
      <c r="F2479" s="20"/>
      <c r="G2479" s="22" t="str">
        <f>IF($C2479="","",IFERROR(INDEX(Productos!$F$5:$F$504,MATCH($C2479,Productos!$A$5:$A$504,0)),0))</f>
        <v/>
      </c>
      <c r="H2479" s="22" t="str">
        <f t="shared" si="38"/>
        <v/>
      </c>
      <c r="I2479" s="14" t="str">
        <f>IF(OR($C2479="",$F2479=""),"",IFERROR(INDEX(Productos!$I$5:$I$504,MATCH($C2479,Productos!$A$5:$A$504,0)),0)+SUMIFS($F$5:$F2479,$C$5:$C2479,$C2479,$B$5:$B2479,"Entrada")-SUMIFS($F$5:$F2479,$C$5:$C2479,$C2479,$B$5:$B2479,"Salida"))</f>
        <v/>
      </c>
      <c r="J2479" s="20"/>
      <c r="K2479" s="20"/>
      <c r="L2479" s="20"/>
      <c r="M2479" s="14" t="str">
        <f>IF(AND($C2479&lt;&gt;"",$C2479=Kardex!$C$4),COUNTIF($C$5:$C2479,Kardex!$C$4),"")</f>
        <v/>
      </c>
    </row>
    <row r="2480" spans="1:13" x14ac:dyDescent="0.25">
      <c r="A2480" s="24"/>
      <c r="B2480" s="20"/>
      <c r="C2480" s="20"/>
      <c r="D2480" s="14" t="str">
        <f>IF($C2480="","",IFERROR(INDEX(Productos!$B$5:$B$504,MATCH($C2480,Productos!$A$5:$A$504,0)),"Clave no existe"))</f>
        <v/>
      </c>
      <c r="E2480" s="14" t="str">
        <f>IF($C2480="","",IFERROR(INDEX(Productos!$D$5:$D$504,MATCH($C2480,Productos!$A$5:$A$504,0)),""))</f>
        <v/>
      </c>
      <c r="F2480" s="20"/>
      <c r="G2480" s="22" t="str">
        <f>IF($C2480="","",IFERROR(INDEX(Productos!$F$5:$F$504,MATCH($C2480,Productos!$A$5:$A$504,0)),0))</f>
        <v/>
      </c>
      <c r="H2480" s="22" t="str">
        <f t="shared" si="38"/>
        <v/>
      </c>
      <c r="I2480" s="14" t="str">
        <f>IF(OR($C2480="",$F2480=""),"",IFERROR(INDEX(Productos!$I$5:$I$504,MATCH($C2480,Productos!$A$5:$A$504,0)),0)+SUMIFS($F$5:$F2480,$C$5:$C2480,$C2480,$B$5:$B2480,"Entrada")-SUMIFS($F$5:$F2480,$C$5:$C2480,$C2480,$B$5:$B2480,"Salida"))</f>
        <v/>
      </c>
      <c r="J2480" s="20"/>
      <c r="K2480" s="20"/>
      <c r="L2480" s="20"/>
      <c r="M2480" s="14" t="str">
        <f>IF(AND($C2480&lt;&gt;"",$C2480=Kardex!$C$4),COUNTIF($C$5:$C2480,Kardex!$C$4),"")</f>
        <v/>
      </c>
    </row>
    <row r="2481" spans="1:13" x14ac:dyDescent="0.25">
      <c r="A2481" s="24"/>
      <c r="B2481" s="20"/>
      <c r="C2481" s="20"/>
      <c r="D2481" s="14" t="str">
        <f>IF($C2481="","",IFERROR(INDEX(Productos!$B$5:$B$504,MATCH($C2481,Productos!$A$5:$A$504,0)),"Clave no existe"))</f>
        <v/>
      </c>
      <c r="E2481" s="14" t="str">
        <f>IF($C2481="","",IFERROR(INDEX(Productos!$D$5:$D$504,MATCH($C2481,Productos!$A$5:$A$504,0)),""))</f>
        <v/>
      </c>
      <c r="F2481" s="20"/>
      <c r="G2481" s="22" t="str">
        <f>IF($C2481="","",IFERROR(INDEX(Productos!$F$5:$F$504,MATCH($C2481,Productos!$A$5:$A$504,0)),0))</f>
        <v/>
      </c>
      <c r="H2481" s="22" t="str">
        <f t="shared" si="38"/>
        <v/>
      </c>
      <c r="I2481" s="14" t="str">
        <f>IF(OR($C2481="",$F2481=""),"",IFERROR(INDEX(Productos!$I$5:$I$504,MATCH($C2481,Productos!$A$5:$A$504,0)),0)+SUMIFS($F$5:$F2481,$C$5:$C2481,$C2481,$B$5:$B2481,"Entrada")-SUMIFS($F$5:$F2481,$C$5:$C2481,$C2481,$B$5:$B2481,"Salida"))</f>
        <v/>
      </c>
      <c r="J2481" s="20"/>
      <c r="K2481" s="20"/>
      <c r="L2481" s="20"/>
      <c r="M2481" s="14" t="str">
        <f>IF(AND($C2481&lt;&gt;"",$C2481=Kardex!$C$4),COUNTIF($C$5:$C2481,Kardex!$C$4),"")</f>
        <v/>
      </c>
    </row>
    <row r="2482" spans="1:13" x14ac:dyDescent="0.25">
      <c r="A2482" s="24"/>
      <c r="B2482" s="20"/>
      <c r="C2482" s="20"/>
      <c r="D2482" s="14" t="str">
        <f>IF($C2482="","",IFERROR(INDEX(Productos!$B$5:$B$504,MATCH($C2482,Productos!$A$5:$A$504,0)),"Clave no existe"))</f>
        <v/>
      </c>
      <c r="E2482" s="14" t="str">
        <f>IF($C2482="","",IFERROR(INDEX(Productos!$D$5:$D$504,MATCH($C2482,Productos!$A$5:$A$504,0)),""))</f>
        <v/>
      </c>
      <c r="F2482" s="20"/>
      <c r="G2482" s="22" t="str">
        <f>IF($C2482="","",IFERROR(INDEX(Productos!$F$5:$F$504,MATCH($C2482,Productos!$A$5:$A$504,0)),0))</f>
        <v/>
      </c>
      <c r="H2482" s="22" t="str">
        <f t="shared" si="38"/>
        <v/>
      </c>
      <c r="I2482" s="14" t="str">
        <f>IF(OR($C2482="",$F2482=""),"",IFERROR(INDEX(Productos!$I$5:$I$504,MATCH($C2482,Productos!$A$5:$A$504,0)),0)+SUMIFS($F$5:$F2482,$C$5:$C2482,$C2482,$B$5:$B2482,"Entrada")-SUMIFS($F$5:$F2482,$C$5:$C2482,$C2482,$B$5:$B2482,"Salida"))</f>
        <v/>
      </c>
      <c r="J2482" s="20"/>
      <c r="K2482" s="20"/>
      <c r="L2482" s="20"/>
      <c r="M2482" s="14" t="str">
        <f>IF(AND($C2482&lt;&gt;"",$C2482=Kardex!$C$4),COUNTIF($C$5:$C2482,Kardex!$C$4),"")</f>
        <v/>
      </c>
    </row>
    <row r="2483" spans="1:13" x14ac:dyDescent="0.25">
      <c r="A2483" s="24"/>
      <c r="B2483" s="20"/>
      <c r="C2483" s="20"/>
      <c r="D2483" s="14" t="str">
        <f>IF($C2483="","",IFERROR(INDEX(Productos!$B$5:$B$504,MATCH($C2483,Productos!$A$5:$A$504,0)),"Clave no existe"))</f>
        <v/>
      </c>
      <c r="E2483" s="14" t="str">
        <f>IF($C2483="","",IFERROR(INDEX(Productos!$D$5:$D$504,MATCH($C2483,Productos!$A$5:$A$504,0)),""))</f>
        <v/>
      </c>
      <c r="F2483" s="20"/>
      <c r="G2483" s="22" t="str">
        <f>IF($C2483="","",IFERROR(INDEX(Productos!$F$5:$F$504,MATCH($C2483,Productos!$A$5:$A$504,0)),0))</f>
        <v/>
      </c>
      <c r="H2483" s="22" t="str">
        <f t="shared" si="38"/>
        <v/>
      </c>
      <c r="I2483" s="14" t="str">
        <f>IF(OR($C2483="",$F2483=""),"",IFERROR(INDEX(Productos!$I$5:$I$504,MATCH($C2483,Productos!$A$5:$A$504,0)),0)+SUMIFS($F$5:$F2483,$C$5:$C2483,$C2483,$B$5:$B2483,"Entrada")-SUMIFS($F$5:$F2483,$C$5:$C2483,$C2483,$B$5:$B2483,"Salida"))</f>
        <v/>
      </c>
      <c r="J2483" s="20"/>
      <c r="K2483" s="20"/>
      <c r="L2483" s="20"/>
      <c r="M2483" s="14" t="str">
        <f>IF(AND($C2483&lt;&gt;"",$C2483=Kardex!$C$4),COUNTIF($C$5:$C2483,Kardex!$C$4),"")</f>
        <v/>
      </c>
    </row>
    <row r="2484" spans="1:13" x14ac:dyDescent="0.25">
      <c r="A2484" s="24"/>
      <c r="B2484" s="20"/>
      <c r="C2484" s="20"/>
      <c r="D2484" s="14" t="str">
        <f>IF($C2484="","",IFERROR(INDEX(Productos!$B$5:$B$504,MATCH($C2484,Productos!$A$5:$A$504,0)),"Clave no existe"))</f>
        <v/>
      </c>
      <c r="E2484" s="14" t="str">
        <f>IF($C2484="","",IFERROR(INDEX(Productos!$D$5:$D$504,MATCH($C2484,Productos!$A$5:$A$504,0)),""))</f>
        <v/>
      </c>
      <c r="F2484" s="20"/>
      <c r="G2484" s="22" t="str">
        <f>IF($C2484="","",IFERROR(INDEX(Productos!$F$5:$F$504,MATCH($C2484,Productos!$A$5:$A$504,0)),0))</f>
        <v/>
      </c>
      <c r="H2484" s="22" t="str">
        <f t="shared" si="38"/>
        <v/>
      </c>
      <c r="I2484" s="14" t="str">
        <f>IF(OR($C2484="",$F2484=""),"",IFERROR(INDEX(Productos!$I$5:$I$504,MATCH($C2484,Productos!$A$5:$A$504,0)),0)+SUMIFS($F$5:$F2484,$C$5:$C2484,$C2484,$B$5:$B2484,"Entrada")-SUMIFS($F$5:$F2484,$C$5:$C2484,$C2484,$B$5:$B2484,"Salida"))</f>
        <v/>
      </c>
      <c r="J2484" s="20"/>
      <c r="K2484" s="20"/>
      <c r="L2484" s="20"/>
      <c r="M2484" s="14" t="str">
        <f>IF(AND($C2484&lt;&gt;"",$C2484=Kardex!$C$4),COUNTIF($C$5:$C2484,Kardex!$C$4),"")</f>
        <v/>
      </c>
    </row>
    <row r="2485" spans="1:13" x14ac:dyDescent="0.25">
      <c r="A2485" s="24"/>
      <c r="B2485" s="20"/>
      <c r="C2485" s="20"/>
      <c r="D2485" s="14" t="str">
        <f>IF($C2485="","",IFERROR(INDEX(Productos!$B$5:$B$504,MATCH($C2485,Productos!$A$5:$A$504,0)),"Clave no existe"))</f>
        <v/>
      </c>
      <c r="E2485" s="14" t="str">
        <f>IF($C2485="","",IFERROR(INDEX(Productos!$D$5:$D$504,MATCH($C2485,Productos!$A$5:$A$504,0)),""))</f>
        <v/>
      </c>
      <c r="F2485" s="20"/>
      <c r="G2485" s="22" t="str">
        <f>IF($C2485="","",IFERROR(INDEX(Productos!$F$5:$F$504,MATCH($C2485,Productos!$A$5:$A$504,0)),0))</f>
        <v/>
      </c>
      <c r="H2485" s="22" t="str">
        <f t="shared" si="38"/>
        <v/>
      </c>
      <c r="I2485" s="14" t="str">
        <f>IF(OR($C2485="",$F2485=""),"",IFERROR(INDEX(Productos!$I$5:$I$504,MATCH($C2485,Productos!$A$5:$A$504,0)),0)+SUMIFS($F$5:$F2485,$C$5:$C2485,$C2485,$B$5:$B2485,"Entrada")-SUMIFS($F$5:$F2485,$C$5:$C2485,$C2485,$B$5:$B2485,"Salida"))</f>
        <v/>
      </c>
      <c r="J2485" s="20"/>
      <c r="K2485" s="20"/>
      <c r="L2485" s="20"/>
      <c r="M2485" s="14" t="str">
        <f>IF(AND($C2485&lt;&gt;"",$C2485=Kardex!$C$4),COUNTIF($C$5:$C2485,Kardex!$C$4),"")</f>
        <v/>
      </c>
    </row>
    <row r="2486" spans="1:13" x14ac:dyDescent="0.25">
      <c r="A2486" s="24"/>
      <c r="B2486" s="20"/>
      <c r="C2486" s="20"/>
      <c r="D2486" s="14" t="str">
        <f>IF($C2486="","",IFERROR(INDEX(Productos!$B$5:$B$504,MATCH($C2486,Productos!$A$5:$A$504,0)),"Clave no existe"))</f>
        <v/>
      </c>
      <c r="E2486" s="14" t="str">
        <f>IF($C2486="","",IFERROR(INDEX(Productos!$D$5:$D$504,MATCH($C2486,Productos!$A$5:$A$504,0)),""))</f>
        <v/>
      </c>
      <c r="F2486" s="20"/>
      <c r="G2486" s="22" t="str">
        <f>IF($C2486="","",IFERROR(INDEX(Productos!$F$5:$F$504,MATCH($C2486,Productos!$A$5:$A$504,0)),0))</f>
        <v/>
      </c>
      <c r="H2486" s="22" t="str">
        <f t="shared" si="38"/>
        <v/>
      </c>
      <c r="I2486" s="14" t="str">
        <f>IF(OR($C2486="",$F2486=""),"",IFERROR(INDEX(Productos!$I$5:$I$504,MATCH($C2486,Productos!$A$5:$A$504,0)),0)+SUMIFS($F$5:$F2486,$C$5:$C2486,$C2486,$B$5:$B2486,"Entrada")-SUMIFS($F$5:$F2486,$C$5:$C2486,$C2486,$B$5:$B2486,"Salida"))</f>
        <v/>
      </c>
      <c r="J2486" s="20"/>
      <c r="K2486" s="20"/>
      <c r="L2486" s="20"/>
      <c r="M2486" s="14" t="str">
        <f>IF(AND($C2486&lt;&gt;"",$C2486=Kardex!$C$4),COUNTIF($C$5:$C2486,Kardex!$C$4),"")</f>
        <v/>
      </c>
    </row>
    <row r="2487" spans="1:13" x14ac:dyDescent="0.25">
      <c r="A2487" s="24"/>
      <c r="B2487" s="20"/>
      <c r="C2487" s="20"/>
      <c r="D2487" s="14" t="str">
        <f>IF($C2487="","",IFERROR(INDEX(Productos!$B$5:$B$504,MATCH($C2487,Productos!$A$5:$A$504,0)),"Clave no existe"))</f>
        <v/>
      </c>
      <c r="E2487" s="14" t="str">
        <f>IF($C2487="","",IFERROR(INDEX(Productos!$D$5:$D$504,MATCH($C2487,Productos!$A$5:$A$504,0)),""))</f>
        <v/>
      </c>
      <c r="F2487" s="20"/>
      <c r="G2487" s="22" t="str">
        <f>IF($C2487="","",IFERROR(INDEX(Productos!$F$5:$F$504,MATCH($C2487,Productos!$A$5:$A$504,0)),0))</f>
        <v/>
      </c>
      <c r="H2487" s="22" t="str">
        <f t="shared" si="38"/>
        <v/>
      </c>
      <c r="I2487" s="14" t="str">
        <f>IF(OR($C2487="",$F2487=""),"",IFERROR(INDEX(Productos!$I$5:$I$504,MATCH($C2487,Productos!$A$5:$A$504,0)),0)+SUMIFS($F$5:$F2487,$C$5:$C2487,$C2487,$B$5:$B2487,"Entrada")-SUMIFS($F$5:$F2487,$C$5:$C2487,$C2487,$B$5:$B2487,"Salida"))</f>
        <v/>
      </c>
      <c r="J2487" s="20"/>
      <c r="K2487" s="20"/>
      <c r="L2487" s="20"/>
      <c r="M2487" s="14" t="str">
        <f>IF(AND($C2487&lt;&gt;"",$C2487=Kardex!$C$4),COUNTIF($C$5:$C2487,Kardex!$C$4),"")</f>
        <v/>
      </c>
    </row>
    <row r="2488" spans="1:13" x14ac:dyDescent="0.25">
      <c r="A2488" s="24"/>
      <c r="B2488" s="20"/>
      <c r="C2488" s="20"/>
      <c r="D2488" s="14" t="str">
        <f>IF($C2488="","",IFERROR(INDEX(Productos!$B$5:$B$504,MATCH($C2488,Productos!$A$5:$A$504,0)),"Clave no existe"))</f>
        <v/>
      </c>
      <c r="E2488" s="14" t="str">
        <f>IF($C2488="","",IFERROR(INDEX(Productos!$D$5:$D$504,MATCH($C2488,Productos!$A$5:$A$504,0)),""))</f>
        <v/>
      </c>
      <c r="F2488" s="20"/>
      <c r="G2488" s="22" t="str">
        <f>IF($C2488="","",IFERROR(INDEX(Productos!$F$5:$F$504,MATCH($C2488,Productos!$A$5:$A$504,0)),0))</f>
        <v/>
      </c>
      <c r="H2488" s="22" t="str">
        <f t="shared" si="38"/>
        <v/>
      </c>
      <c r="I2488" s="14" t="str">
        <f>IF(OR($C2488="",$F2488=""),"",IFERROR(INDEX(Productos!$I$5:$I$504,MATCH($C2488,Productos!$A$5:$A$504,0)),0)+SUMIFS($F$5:$F2488,$C$5:$C2488,$C2488,$B$5:$B2488,"Entrada")-SUMIFS($F$5:$F2488,$C$5:$C2488,$C2488,$B$5:$B2488,"Salida"))</f>
        <v/>
      </c>
      <c r="J2488" s="20"/>
      <c r="K2488" s="20"/>
      <c r="L2488" s="20"/>
      <c r="M2488" s="14" t="str">
        <f>IF(AND($C2488&lt;&gt;"",$C2488=Kardex!$C$4),COUNTIF($C$5:$C2488,Kardex!$C$4),"")</f>
        <v/>
      </c>
    </row>
    <row r="2489" spans="1:13" x14ac:dyDescent="0.25">
      <c r="A2489" s="24"/>
      <c r="B2489" s="20"/>
      <c r="C2489" s="20"/>
      <c r="D2489" s="14" t="str">
        <f>IF($C2489="","",IFERROR(INDEX(Productos!$B$5:$B$504,MATCH($C2489,Productos!$A$5:$A$504,0)),"Clave no existe"))</f>
        <v/>
      </c>
      <c r="E2489" s="14" t="str">
        <f>IF($C2489="","",IFERROR(INDEX(Productos!$D$5:$D$504,MATCH($C2489,Productos!$A$5:$A$504,0)),""))</f>
        <v/>
      </c>
      <c r="F2489" s="20"/>
      <c r="G2489" s="22" t="str">
        <f>IF($C2489="","",IFERROR(INDEX(Productos!$F$5:$F$504,MATCH($C2489,Productos!$A$5:$A$504,0)),0))</f>
        <v/>
      </c>
      <c r="H2489" s="22" t="str">
        <f t="shared" si="38"/>
        <v/>
      </c>
      <c r="I2489" s="14" t="str">
        <f>IF(OR($C2489="",$F2489=""),"",IFERROR(INDEX(Productos!$I$5:$I$504,MATCH($C2489,Productos!$A$5:$A$504,0)),0)+SUMIFS($F$5:$F2489,$C$5:$C2489,$C2489,$B$5:$B2489,"Entrada")-SUMIFS($F$5:$F2489,$C$5:$C2489,$C2489,$B$5:$B2489,"Salida"))</f>
        <v/>
      </c>
      <c r="J2489" s="20"/>
      <c r="K2489" s="20"/>
      <c r="L2489" s="20"/>
      <c r="M2489" s="14" t="str">
        <f>IF(AND($C2489&lt;&gt;"",$C2489=Kardex!$C$4),COUNTIF($C$5:$C2489,Kardex!$C$4),"")</f>
        <v/>
      </c>
    </row>
    <row r="2490" spans="1:13" x14ac:dyDescent="0.25">
      <c r="A2490" s="24"/>
      <c r="B2490" s="20"/>
      <c r="C2490" s="20"/>
      <c r="D2490" s="14" t="str">
        <f>IF($C2490="","",IFERROR(INDEX(Productos!$B$5:$B$504,MATCH($C2490,Productos!$A$5:$A$504,0)),"Clave no existe"))</f>
        <v/>
      </c>
      <c r="E2490" s="14" t="str">
        <f>IF($C2490="","",IFERROR(INDEX(Productos!$D$5:$D$504,MATCH($C2490,Productos!$A$5:$A$504,0)),""))</f>
        <v/>
      </c>
      <c r="F2490" s="20"/>
      <c r="G2490" s="22" t="str">
        <f>IF($C2490="","",IFERROR(INDEX(Productos!$F$5:$F$504,MATCH($C2490,Productos!$A$5:$A$504,0)),0))</f>
        <v/>
      </c>
      <c r="H2490" s="22" t="str">
        <f t="shared" si="38"/>
        <v/>
      </c>
      <c r="I2490" s="14" t="str">
        <f>IF(OR($C2490="",$F2490=""),"",IFERROR(INDEX(Productos!$I$5:$I$504,MATCH($C2490,Productos!$A$5:$A$504,0)),0)+SUMIFS($F$5:$F2490,$C$5:$C2490,$C2490,$B$5:$B2490,"Entrada")-SUMIFS($F$5:$F2490,$C$5:$C2490,$C2490,$B$5:$B2490,"Salida"))</f>
        <v/>
      </c>
      <c r="J2490" s="20"/>
      <c r="K2490" s="20"/>
      <c r="L2490" s="20"/>
      <c r="M2490" s="14" t="str">
        <f>IF(AND($C2490&lt;&gt;"",$C2490=Kardex!$C$4),COUNTIF($C$5:$C2490,Kardex!$C$4),"")</f>
        <v/>
      </c>
    </row>
    <row r="2491" spans="1:13" x14ac:dyDescent="0.25">
      <c r="A2491" s="24"/>
      <c r="B2491" s="20"/>
      <c r="C2491" s="20"/>
      <c r="D2491" s="14" t="str">
        <f>IF($C2491="","",IFERROR(INDEX(Productos!$B$5:$B$504,MATCH($C2491,Productos!$A$5:$A$504,0)),"Clave no existe"))</f>
        <v/>
      </c>
      <c r="E2491" s="14" t="str">
        <f>IF($C2491="","",IFERROR(INDEX(Productos!$D$5:$D$504,MATCH($C2491,Productos!$A$5:$A$504,0)),""))</f>
        <v/>
      </c>
      <c r="F2491" s="20"/>
      <c r="G2491" s="22" t="str">
        <f>IF($C2491="","",IFERROR(INDEX(Productos!$F$5:$F$504,MATCH($C2491,Productos!$A$5:$A$504,0)),0))</f>
        <v/>
      </c>
      <c r="H2491" s="22" t="str">
        <f t="shared" si="38"/>
        <v/>
      </c>
      <c r="I2491" s="14" t="str">
        <f>IF(OR($C2491="",$F2491=""),"",IFERROR(INDEX(Productos!$I$5:$I$504,MATCH($C2491,Productos!$A$5:$A$504,0)),0)+SUMIFS($F$5:$F2491,$C$5:$C2491,$C2491,$B$5:$B2491,"Entrada")-SUMIFS($F$5:$F2491,$C$5:$C2491,$C2491,$B$5:$B2491,"Salida"))</f>
        <v/>
      </c>
      <c r="J2491" s="20"/>
      <c r="K2491" s="20"/>
      <c r="L2491" s="20"/>
      <c r="M2491" s="14" t="str">
        <f>IF(AND($C2491&lt;&gt;"",$C2491=Kardex!$C$4),COUNTIF($C$5:$C2491,Kardex!$C$4),"")</f>
        <v/>
      </c>
    </row>
    <row r="2492" spans="1:13" x14ac:dyDescent="0.25">
      <c r="A2492" s="24"/>
      <c r="B2492" s="20"/>
      <c r="C2492" s="20"/>
      <c r="D2492" s="14" t="str">
        <f>IF($C2492="","",IFERROR(INDEX(Productos!$B$5:$B$504,MATCH($C2492,Productos!$A$5:$A$504,0)),"Clave no existe"))</f>
        <v/>
      </c>
      <c r="E2492" s="14" t="str">
        <f>IF($C2492="","",IFERROR(INDEX(Productos!$D$5:$D$504,MATCH($C2492,Productos!$A$5:$A$504,0)),""))</f>
        <v/>
      </c>
      <c r="F2492" s="20"/>
      <c r="G2492" s="22" t="str">
        <f>IF($C2492="","",IFERROR(INDEX(Productos!$F$5:$F$504,MATCH($C2492,Productos!$A$5:$A$504,0)),0))</f>
        <v/>
      </c>
      <c r="H2492" s="22" t="str">
        <f t="shared" si="38"/>
        <v/>
      </c>
      <c r="I2492" s="14" t="str">
        <f>IF(OR($C2492="",$F2492=""),"",IFERROR(INDEX(Productos!$I$5:$I$504,MATCH($C2492,Productos!$A$5:$A$504,0)),0)+SUMIFS($F$5:$F2492,$C$5:$C2492,$C2492,$B$5:$B2492,"Entrada")-SUMIFS($F$5:$F2492,$C$5:$C2492,$C2492,$B$5:$B2492,"Salida"))</f>
        <v/>
      </c>
      <c r="J2492" s="20"/>
      <c r="K2492" s="20"/>
      <c r="L2492" s="20"/>
      <c r="M2492" s="14" t="str">
        <f>IF(AND($C2492&lt;&gt;"",$C2492=Kardex!$C$4),COUNTIF($C$5:$C2492,Kardex!$C$4),"")</f>
        <v/>
      </c>
    </row>
    <row r="2493" spans="1:13" x14ac:dyDescent="0.25">
      <c r="A2493" s="24"/>
      <c r="B2493" s="20"/>
      <c r="C2493" s="20"/>
      <c r="D2493" s="14" t="str">
        <f>IF($C2493="","",IFERROR(INDEX(Productos!$B$5:$B$504,MATCH($C2493,Productos!$A$5:$A$504,0)),"Clave no existe"))</f>
        <v/>
      </c>
      <c r="E2493" s="14" t="str">
        <f>IF($C2493="","",IFERROR(INDEX(Productos!$D$5:$D$504,MATCH($C2493,Productos!$A$5:$A$504,0)),""))</f>
        <v/>
      </c>
      <c r="F2493" s="20"/>
      <c r="G2493" s="22" t="str">
        <f>IF($C2493="","",IFERROR(INDEX(Productos!$F$5:$F$504,MATCH($C2493,Productos!$A$5:$A$504,0)),0))</f>
        <v/>
      </c>
      <c r="H2493" s="22" t="str">
        <f t="shared" si="38"/>
        <v/>
      </c>
      <c r="I2493" s="14" t="str">
        <f>IF(OR($C2493="",$F2493=""),"",IFERROR(INDEX(Productos!$I$5:$I$504,MATCH($C2493,Productos!$A$5:$A$504,0)),0)+SUMIFS($F$5:$F2493,$C$5:$C2493,$C2493,$B$5:$B2493,"Entrada")-SUMIFS($F$5:$F2493,$C$5:$C2493,$C2493,$B$5:$B2493,"Salida"))</f>
        <v/>
      </c>
      <c r="J2493" s="20"/>
      <c r="K2493" s="20"/>
      <c r="L2493" s="20"/>
      <c r="M2493" s="14" t="str">
        <f>IF(AND($C2493&lt;&gt;"",$C2493=Kardex!$C$4),COUNTIF($C$5:$C2493,Kardex!$C$4),"")</f>
        <v/>
      </c>
    </row>
    <row r="2494" spans="1:13" x14ac:dyDescent="0.25">
      <c r="A2494" s="24"/>
      <c r="B2494" s="20"/>
      <c r="C2494" s="20"/>
      <c r="D2494" s="14" t="str">
        <f>IF($C2494="","",IFERROR(INDEX(Productos!$B$5:$B$504,MATCH($C2494,Productos!$A$5:$A$504,0)),"Clave no existe"))</f>
        <v/>
      </c>
      <c r="E2494" s="14" t="str">
        <f>IF($C2494="","",IFERROR(INDEX(Productos!$D$5:$D$504,MATCH($C2494,Productos!$A$5:$A$504,0)),""))</f>
        <v/>
      </c>
      <c r="F2494" s="20"/>
      <c r="G2494" s="22" t="str">
        <f>IF($C2494="","",IFERROR(INDEX(Productos!$F$5:$F$504,MATCH($C2494,Productos!$A$5:$A$504,0)),0))</f>
        <v/>
      </c>
      <c r="H2494" s="22" t="str">
        <f t="shared" si="38"/>
        <v/>
      </c>
      <c r="I2494" s="14" t="str">
        <f>IF(OR($C2494="",$F2494=""),"",IFERROR(INDEX(Productos!$I$5:$I$504,MATCH($C2494,Productos!$A$5:$A$504,0)),0)+SUMIFS($F$5:$F2494,$C$5:$C2494,$C2494,$B$5:$B2494,"Entrada")-SUMIFS($F$5:$F2494,$C$5:$C2494,$C2494,$B$5:$B2494,"Salida"))</f>
        <v/>
      </c>
      <c r="J2494" s="20"/>
      <c r="K2494" s="20"/>
      <c r="L2494" s="20"/>
      <c r="M2494" s="14" t="str">
        <f>IF(AND($C2494&lt;&gt;"",$C2494=Kardex!$C$4),COUNTIF($C$5:$C2494,Kardex!$C$4),"")</f>
        <v/>
      </c>
    </row>
    <row r="2495" spans="1:13" x14ac:dyDescent="0.25">
      <c r="A2495" s="24"/>
      <c r="B2495" s="20"/>
      <c r="C2495" s="20"/>
      <c r="D2495" s="14" t="str">
        <f>IF($C2495="","",IFERROR(INDEX(Productos!$B$5:$B$504,MATCH($C2495,Productos!$A$5:$A$504,0)),"Clave no existe"))</f>
        <v/>
      </c>
      <c r="E2495" s="14" t="str">
        <f>IF($C2495="","",IFERROR(INDEX(Productos!$D$5:$D$504,MATCH($C2495,Productos!$A$5:$A$504,0)),""))</f>
        <v/>
      </c>
      <c r="F2495" s="20"/>
      <c r="G2495" s="22" t="str">
        <f>IF($C2495="","",IFERROR(INDEX(Productos!$F$5:$F$504,MATCH($C2495,Productos!$A$5:$A$504,0)),0))</f>
        <v/>
      </c>
      <c r="H2495" s="22" t="str">
        <f t="shared" si="38"/>
        <v/>
      </c>
      <c r="I2495" s="14" t="str">
        <f>IF(OR($C2495="",$F2495=""),"",IFERROR(INDEX(Productos!$I$5:$I$504,MATCH($C2495,Productos!$A$5:$A$504,0)),0)+SUMIFS($F$5:$F2495,$C$5:$C2495,$C2495,$B$5:$B2495,"Entrada")-SUMIFS($F$5:$F2495,$C$5:$C2495,$C2495,$B$5:$B2495,"Salida"))</f>
        <v/>
      </c>
      <c r="J2495" s="20"/>
      <c r="K2495" s="20"/>
      <c r="L2495" s="20"/>
      <c r="M2495" s="14" t="str">
        <f>IF(AND($C2495&lt;&gt;"",$C2495=Kardex!$C$4),COUNTIF($C$5:$C2495,Kardex!$C$4),"")</f>
        <v/>
      </c>
    </row>
    <row r="2496" spans="1:13" x14ac:dyDescent="0.25">
      <c r="A2496" s="24"/>
      <c r="B2496" s="20"/>
      <c r="C2496" s="20"/>
      <c r="D2496" s="14" t="str">
        <f>IF($C2496="","",IFERROR(INDEX(Productos!$B$5:$B$504,MATCH($C2496,Productos!$A$5:$A$504,0)),"Clave no existe"))</f>
        <v/>
      </c>
      <c r="E2496" s="14" t="str">
        <f>IF($C2496="","",IFERROR(INDEX(Productos!$D$5:$D$504,MATCH($C2496,Productos!$A$5:$A$504,0)),""))</f>
        <v/>
      </c>
      <c r="F2496" s="20"/>
      <c r="G2496" s="22" t="str">
        <f>IF($C2496="","",IFERROR(INDEX(Productos!$F$5:$F$504,MATCH($C2496,Productos!$A$5:$A$504,0)),0))</f>
        <v/>
      </c>
      <c r="H2496" s="22" t="str">
        <f t="shared" si="38"/>
        <v/>
      </c>
      <c r="I2496" s="14" t="str">
        <f>IF(OR($C2496="",$F2496=""),"",IFERROR(INDEX(Productos!$I$5:$I$504,MATCH($C2496,Productos!$A$5:$A$504,0)),0)+SUMIFS($F$5:$F2496,$C$5:$C2496,$C2496,$B$5:$B2496,"Entrada")-SUMIFS($F$5:$F2496,$C$5:$C2496,$C2496,$B$5:$B2496,"Salida"))</f>
        <v/>
      </c>
      <c r="J2496" s="20"/>
      <c r="K2496" s="20"/>
      <c r="L2496" s="20"/>
      <c r="M2496" s="14" t="str">
        <f>IF(AND($C2496&lt;&gt;"",$C2496=Kardex!$C$4),COUNTIF($C$5:$C2496,Kardex!$C$4),"")</f>
        <v/>
      </c>
    </row>
    <row r="2497" spans="1:13" x14ac:dyDescent="0.25">
      <c r="A2497" s="24"/>
      <c r="B2497" s="20"/>
      <c r="C2497" s="20"/>
      <c r="D2497" s="14" t="str">
        <f>IF($C2497="","",IFERROR(INDEX(Productos!$B$5:$B$504,MATCH($C2497,Productos!$A$5:$A$504,0)),"Clave no existe"))</f>
        <v/>
      </c>
      <c r="E2497" s="14" t="str">
        <f>IF($C2497="","",IFERROR(INDEX(Productos!$D$5:$D$504,MATCH($C2497,Productos!$A$5:$A$504,0)),""))</f>
        <v/>
      </c>
      <c r="F2497" s="20"/>
      <c r="G2497" s="22" t="str">
        <f>IF($C2497="","",IFERROR(INDEX(Productos!$F$5:$F$504,MATCH($C2497,Productos!$A$5:$A$504,0)),0))</f>
        <v/>
      </c>
      <c r="H2497" s="22" t="str">
        <f t="shared" si="38"/>
        <v/>
      </c>
      <c r="I2497" s="14" t="str">
        <f>IF(OR($C2497="",$F2497=""),"",IFERROR(INDEX(Productos!$I$5:$I$504,MATCH($C2497,Productos!$A$5:$A$504,0)),0)+SUMIFS($F$5:$F2497,$C$5:$C2497,$C2497,$B$5:$B2497,"Entrada")-SUMIFS($F$5:$F2497,$C$5:$C2497,$C2497,$B$5:$B2497,"Salida"))</f>
        <v/>
      </c>
      <c r="J2497" s="20"/>
      <c r="K2497" s="20"/>
      <c r="L2497" s="20"/>
      <c r="M2497" s="14" t="str">
        <f>IF(AND($C2497&lt;&gt;"",$C2497=Kardex!$C$4),COUNTIF($C$5:$C2497,Kardex!$C$4),"")</f>
        <v/>
      </c>
    </row>
    <row r="2498" spans="1:13" x14ac:dyDescent="0.25">
      <c r="A2498" s="24"/>
      <c r="B2498" s="20"/>
      <c r="C2498" s="20"/>
      <c r="D2498" s="14" t="str">
        <f>IF($C2498="","",IFERROR(INDEX(Productos!$B$5:$B$504,MATCH($C2498,Productos!$A$5:$A$504,0)),"Clave no existe"))</f>
        <v/>
      </c>
      <c r="E2498" s="14" t="str">
        <f>IF($C2498="","",IFERROR(INDEX(Productos!$D$5:$D$504,MATCH($C2498,Productos!$A$5:$A$504,0)),""))</f>
        <v/>
      </c>
      <c r="F2498" s="20"/>
      <c r="G2498" s="22" t="str">
        <f>IF($C2498="","",IFERROR(INDEX(Productos!$F$5:$F$504,MATCH($C2498,Productos!$A$5:$A$504,0)),0))</f>
        <v/>
      </c>
      <c r="H2498" s="22" t="str">
        <f t="shared" si="38"/>
        <v/>
      </c>
      <c r="I2498" s="14" t="str">
        <f>IF(OR($C2498="",$F2498=""),"",IFERROR(INDEX(Productos!$I$5:$I$504,MATCH($C2498,Productos!$A$5:$A$504,0)),0)+SUMIFS($F$5:$F2498,$C$5:$C2498,$C2498,$B$5:$B2498,"Entrada")-SUMIFS($F$5:$F2498,$C$5:$C2498,$C2498,$B$5:$B2498,"Salida"))</f>
        <v/>
      </c>
      <c r="J2498" s="20"/>
      <c r="K2498" s="20"/>
      <c r="L2498" s="20"/>
      <c r="M2498" s="14" t="str">
        <f>IF(AND($C2498&lt;&gt;"",$C2498=Kardex!$C$4),COUNTIF($C$5:$C2498,Kardex!$C$4),"")</f>
        <v/>
      </c>
    </row>
    <row r="2499" spans="1:13" x14ac:dyDescent="0.25">
      <c r="A2499" s="24"/>
      <c r="B2499" s="20"/>
      <c r="C2499" s="20"/>
      <c r="D2499" s="14" t="str">
        <f>IF($C2499="","",IFERROR(INDEX(Productos!$B$5:$B$504,MATCH($C2499,Productos!$A$5:$A$504,0)),"Clave no existe"))</f>
        <v/>
      </c>
      <c r="E2499" s="14" t="str">
        <f>IF($C2499="","",IFERROR(INDEX(Productos!$D$5:$D$504,MATCH($C2499,Productos!$A$5:$A$504,0)),""))</f>
        <v/>
      </c>
      <c r="F2499" s="20"/>
      <c r="G2499" s="22" t="str">
        <f>IF($C2499="","",IFERROR(INDEX(Productos!$F$5:$F$504,MATCH($C2499,Productos!$A$5:$A$504,0)),0))</f>
        <v/>
      </c>
      <c r="H2499" s="22" t="str">
        <f t="shared" si="38"/>
        <v/>
      </c>
      <c r="I2499" s="14" t="str">
        <f>IF(OR($C2499="",$F2499=""),"",IFERROR(INDEX(Productos!$I$5:$I$504,MATCH($C2499,Productos!$A$5:$A$504,0)),0)+SUMIFS($F$5:$F2499,$C$5:$C2499,$C2499,$B$5:$B2499,"Entrada")-SUMIFS($F$5:$F2499,$C$5:$C2499,$C2499,$B$5:$B2499,"Salida"))</f>
        <v/>
      </c>
      <c r="J2499" s="20"/>
      <c r="K2499" s="20"/>
      <c r="L2499" s="20"/>
      <c r="M2499" s="14" t="str">
        <f>IF(AND($C2499&lt;&gt;"",$C2499=Kardex!$C$4),COUNTIF($C$5:$C2499,Kardex!$C$4),"")</f>
        <v/>
      </c>
    </row>
    <row r="2500" spans="1:13" x14ac:dyDescent="0.25">
      <c r="A2500" s="24"/>
      <c r="B2500" s="20"/>
      <c r="C2500" s="20"/>
      <c r="D2500" s="14" t="str">
        <f>IF($C2500="","",IFERROR(INDEX(Productos!$B$5:$B$504,MATCH($C2500,Productos!$A$5:$A$504,0)),"Clave no existe"))</f>
        <v/>
      </c>
      <c r="E2500" s="14" t="str">
        <f>IF($C2500="","",IFERROR(INDEX(Productos!$D$5:$D$504,MATCH($C2500,Productos!$A$5:$A$504,0)),""))</f>
        <v/>
      </c>
      <c r="F2500" s="20"/>
      <c r="G2500" s="22" t="str">
        <f>IF($C2500="","",IFERROR(INDEX(Productos!$F$5:$F$504,MATCH($C2500,Productos!$A$5:$A$504,0)),0))</f>
        <v/>
      </c>
      <c r="H2500" s="22" t="str">
        <f t="shared" si="38"/>
        <v/>
      </c>
      <c r="I2500" s="14" t="str">
        <f>IF(OR($C2500="",$F2500=""),"",IFERROR(INDEX(Productos!$I$5:$I$504,MATCH($C2500,Productos!$A$5:$A$504,0)),0)+SUMIFS($F$5:$F2500,$C$5:$C2500,$C2500,$B$5:$B2500,"Entrada")-SUMIFS($F$5:$F2500,$C$5:$C2500,$C2500,$B$5:$B2500,"Salida"))</f>
        <v/>
      </c>
      <c r="J2500" s="20"/>
      <c r="K2500" s="20"/>
      <c r="L2500" s="20"/>
      <c r="M2500" s="14" t="str">
        <f>IF(AND($C2500&lt;&gt;"",$C2500=Kardex!$C$4),COUNTIF($C$5:$C2500,Kardex!$C$4),"")</f>
        <v/>
      </c>
    </row>
    <row r="2501" spans="1:13" x14ac:dyDescent="0.25">
      <c r="A2501" s="24"/>
      <c r="B2501" s="20"/>
      <c r="C2501" s="20"/>
      <c r="D2501" s="14" t="str">
        <f>IF($C2501="","",IFERROR(INDEX(Productos!$B$5:$B$504,MATCH($C2501,Productos!$A$5:$A$504,0)),"Clave no existe"))</f>
        <v/>
      </c>
      <c r="E2501" s="14" t="str">
        <f>IF($C2501="","",IFERROR(INDEX(Productos!$D$5:$D$504,MATCH($C2501,Productos!$A$5:$A$504,0)),""))</f>
        <v/>
      </c>
      <c r="F2501" s="20"/>
      <c r="G2501" s="22" t="str">
        <f>IF($C2501="","",IFERROR(INDEX(Productos!$F$5:$F$504,MATCH($C2501,Productos!$A$5:$A$504,0)),0))</f>
        <v/>
      </c>
      <c r="H2501" s="22" t="str">
        <f t="shared" ref="H2501:H2564" si="39">IF(OR($C2501="",$F2501=""),"",F2501*G2501)</f>
        <v/>
      </c>
      <c r="I2501" s="14" t="str">
        <f>IF(OR($C2501="",$F2501=""),"",IFERROR(INDEX(Productos!$I$5:$I$504,MATCH($C2501,Productos!$A$5:$A$504,0)),0)+SUMIFS($F$5:$F2501,$C$5:$C2501,$C2501,$B$5:$B2501,"Entrada")-SUMIFS($F$5:$F2501,$C$5:$C2501,$C2501,$B$5:$B2501,"Salida"))</f>
        <v/>
      </c>
      <c r="J2501" s="20"/>
      <c r="K2501" s="20"/>
      <c r="L2501" s="20"/>
      <c r="M2501" s="14" t="str">
        <f>IF(AND($C2501&lt;&gt;"",$C2501=Kardex!$C$4),COUNTIF($C$5:$C2501,Kardex!$C$4),"")</f>
        <v/>
      </c>
    </row>
    <row r="2502" spans="1:13" x14ac:dyDescent="0.25">
      <c r="A2502" s="24"/>
      <c r="B2502" s="20"/>
      <c r="C2502" s="20"/>
      <c r="D2502" s="14" t="str">
        <f>IF($C2502="","",IFERROR(INDEX(Productos!$B$5:$B$504,MATCH($C2502,Productos!$A$5:$A$504,0)),"Clave no existe"))</f>
        <v/>
      </c>
      <c r="E2502" s="14" t="str">
        <f>IF($C2502="","",IFERROR(INDEX(Productos!$D$5:$D$504,MATCH($C2502,Productos!$A$5:$A$504,0)),""))</f>
        <v/>
      </c>
      <c r="F2502" s="20"/>
      <c r="G2502" s="22" t="str">
        <f>IF($C2502="","",IFERROR(INDEX(Productos!$F$5:$F$504,MATCH($C2502,Productos!$A$5:$A$504,0)),0))</f>
        <v/>
      </c>
      <c r="H2502" s="22" t="str">
        <f t="shared" si="39"/>
        <v/>
      </c>
      <c r="I2502" s="14" t="str">
        <f>IF(OR($C2502="",$F2502=""),"",IFERROR(INDEX(Productos!$I$5:$I$504,MATCH($C2502,Productos!$A$5:$A$504,0)),0)+SUMIFS($F$5:$F2502,$C$5:$C2502,$C2502,$B$5:$B2502,"Entrada")-SUMIFS($F$5:$F2502,$C$5:$C2502,$C2502,$B$5:$B2502,"Salida"))</f>
        <v/>
      </c>
      <c r="J2502" s="20"/>
      <c r="K2502" s="20"/>
      <c r="L2502" s="20"/>
      <c r="M2502" s="14" t="str">
        <f>IF(AND($C2502&lt;&gt;"",$C2502=Kardex!$C$4),COUNTIF($C$5:$C2502,Kardex!$C$4),"")</f>
        <v/>
      </c>
    </row>
    <row r="2503" spans="1:13" x14ac:dyDescent="0.25">
      <c r="A2503" s="24"/>
      <c r="B2503" s="20"/>
      <c r="C2503" s="20"/>
      <c r="D2503" s="14" t="str">
        <f>IF($C2503="","",IFERROR(INDEX(Productos!$B$5:$B$504,MATCH($C2503,Productos!$A$5:$A$504,0)),"Clave no existe"))</f>
        <v/>
      </c>
      <c r="E2503" s="14" t="str">
        <f>IF($C2503="","",IFERROR(INDEX(Productos!$D$5:$D$504,MATCH($C2503,Productos!$A$5:$A$504,0)),""))</f>
        <v/>
      </c>
      <c r="F2503" s="20"/>
      <c r="G2503" s="22" t="str">
        <f>IF($C2503="","",IFERROR(INDEX(Productos!$F$5:$F$504,MATCH($C2503,Productos!$A$5:$A$504,0)),0))</f>
        <v/>
      </c>
      <c r="H2503" s="22" t="str">
        <f t="shared" si="39"/>
        <v/>
      </c>
      <c r="I2503" s="14" t="str">
        <f>IF(OR($C2503="",$F2503=""),"",IFERROR(INDEX(Productos!$I$5:$I$504,MATCH($C2503,Productos!$A$5:$A$504,0)),0)+SUMIFS($F$5:$F2503,$C$5:$C2503,$C2503,$B$5:$B2503,"Entrada")-SUMIFS($F$5:$F2503,$C$5:$C2503,$C2503,$B$5:$B2503,"Salida"))</f>
        <v/>
      </c>
      <c r="J2503" s="20"/>
      <c r="K2503" s="20"/>
      <c r="L2503" s="20"/>
      <c r="M2503" s="14" t="str">
        <f>IF(AND($C2503&lt;&gt;"",$C2503=Kardex!$C$4),COUNTIF($C$5:$C2503,Kardex!$C$4),"")</f>
        <v/>
      </c>
    </row>
    <row r="2504" spans="1:13" x14ac:dyDescent="0.25">
      <c r="A2504" s="24"/>
      <c r="B2504" s="20"/>
      <c r="C2504" s="20"/>
      <c r="D2504" s="14" t="str">
        <f>IF($C2504="","",IFERROR(INDEX(Productos!$B$5:$B$504,MATCH($C2504,Productos!$A$5:$A$504,0)),"Clave no existe"))</f>
        <v/>
      </c>
      <c r="E2504" s="14" t="str">
        <f>IF($C2504="","",IFERROR(INDEX(Productos!$D$5:$D$504,MATCH($C2504,Productos!$A$5:$A$504,0)),""))</f>
        <v/>
      </c>
      <c r="F2504" s="20"/>
      <c r="G2504" s="22" t="str">
        <f>IF($C2504="","",IFERROR(INDEX(Productos!$F$5:$F$504,MATCH($C2504,Productos!$A$5:$A$504,0)),0))</f>
        <v/>
      </c>
      <c r="H2504" s="22" t="str">
        <f t="shared" si="39"/>
        <v/>
      </c>
      <c r="I2504" s="14" t="str">
        <f>IF(OR($C2504="",$F2504=""),"",IFERROR(INDEX(Productos!$I$5:$I$504,MATCH($C2504,Productos!$A$5:$A$504,0)),0)+SUMIFS($F$5:$F2504,$C$5:$C2504,$C2504,$B$5:$B2504,"Entrada")-SUMIFS($F$5:$F2504,$C$5:$C2504,$C2504,$B$5:$B2504,"Salida"))</f>
        <v/>
      </c>
      <c r="J2504" s="20"/>
      <c r="K2504" s="20"/>
      <c r="L2504" s="20"/>
      <c r="M2504" s="14" t="str">
        <f>IF(AND($C2504&lt;&gt;"",$C2504=Kardex!$C$4),COUNTIF($C$5:$C2504,Kardex!$C$4),"")</f>
        <v/>
      </c>
    </row>
    <row r="2505" spans="1:13" x14ac:dyDescent="0.25">
      <c r="A2505" s="24"/>
      <c r="B2505" s="20"/>
      <c r="C2505" s="20"/>
      <c r="D2505" s="14" t="str">
        <f>IF($C2505="","",IFERROR(INDEX(Productos!$B$5:$B$504,MATCH($C2505,Productos!$A$5:$A$504,0)),"Clave no existe"))</f>
        <v/>
      </c>
      <c r="E2505" s="14" t="str">
        <f>IF($C2505="","",IFERROR(INDEX(Productos!$D$5:$D$504,MATCH($C2505,Productos!$A$5:$A$504,0)),""))</f>
        <v/>
      </c>
      <c r="F2505" s="20"/>
      <c r="G2505" s="22" t="str">
        <f>IF($C2505="","",IFERROR(INDEX(Productos!$F$5:$F$504,MATCH($C2505,Productos!$A$5:$A$504,0)),0))</f>
        <v/>
      </c>
      <c r="H2505" s="22" t="str">
        <f t="shared" si="39"/>
        <v/>
      </c>
      <c r="I2505" s="14" t="str">
        <f>IF(OR($C2505="",$F2505=""),"",IFERROR(INDEX(Productos!$I$5:$I$504,MATCH($C2505,Productos!$A$5:$A$504,0)),0)+SUMIFS($F$5:$F2505,$C$5:$C2505,$C2505,$B$5:$B2505,"Entrada")-SUMIFS($F$5:$F2505,$C$5:$C2505,$C2505,$B$5:$B2505,"Salida"))</f>
        <v/>
      </c>
      <c r="J2505" s="20"/>
      <c r="K2505" s="20"/>
      <c r="L2505" s="20"/>
      <c r="M2505" s="14" t="str">
        <f>IF(AND($C2505&lt;&gt;"",$C2505=Kardex!$C$4),COUNTIF($C$5:$C2505,Kardex!$C$4),"")</f>
        <v/>
      </c>
    </row>
    <row r="2506" spans="1:13" x14ac:dyDescent="0.25">
      <c r="A2506" s="24"/>
      <c r="B2506" s="20"/>
      <c r="C2506" s="20"/>
      <c r="D2506" s="14" t="str">
        <f>IF($C2506="","",IFERROR(INDEX(Productos!$B$5:$B$504,MATCH($C2506,Productos!$A$5:$A$504,0)),"Clave no existe"))</f>
        <v/>
      </c>
      <c r="E2506" s="14" t="str">
        <f>IF($C2506="","",IFERROR(INDEX(Productos!$D$5:$D$504,MATCH($C2506,Productos!$A$5:$A$504,0)),""))</f>
        <v/>
      </c>
      <c r="F2506" s="20"/>
      <c r="G2506" s="22" t="str">
        <f>IF($C2506="","",IFERROR(INDEX(Productos!$F$5:$F$504,MATCH($C2506,Productos!$A$5:$A$504,0)),0))</f>
        <v/>
      </c>
      <c r="H2506" s="22" t="str">
        <f t="shared" si="39"/>
        <v/>
      </c>
      <c r="I2506" s="14" t="str">
        <f>IF(OR($C2506="",$F2506=""),"",IFERROR(INDEX(Productos!$I$5:$I$504,MATCH($C2506,Productos!$A$5:$A$504,0)),0)+SUMIFS($F$5:$F2506,$C$5:$C2506,$C2506,$B$5:$B2506,"Entrada")-SUMIFS($F$5:$F2506,$C$5:$C2506,$C2506,$B$5:$B2506,"Salida"))</f>
        <v/>
      </c>
      <c r="J2506" s="20"/>
      <c r="K2506" s="20"/>
      <c r="L2506" s="20"/>
      <c r="M2506" s="14" t="str">
        <f>IF(AND($C2506&lt;&gt;"",$C2506=Kardex!$C$4),COUNTIF($C$5:$C2506,Kardex!$C$4),"")</f>
        <v/>
      </c>
    </row>
    <row r="2507" spans="1:13" x14ac:dyDescent="0.25">
      <c r="A2507" s="24"/>
      <c r="B2507" s="20"/>
      <c r="C2507" s="20"/>
      <c r="D2507" s="14" t="str">
        <f>IF($C2507="","",IFERROR(INDEX(Productos!$B$5:$B$504,MATCH($C2507,Productos!$A$5:$A$504,0)),"Clave no existe"))</f>
        <v/>
      </c>
      <c r="E2507" s="14" t="str">
        <f>IF($C2507="","",IFERROR(INDEX(Productos!$D$5:$D$504,MATCH($C2507,Productos!$A$5:$A$504,0)),""))</f>
        <v/>
      </c>
      <c r="F2507" s="20"/>
      <c r="G2507" s="22" t="str">
        <f>IF($C2507="","",IFERROR(INDEX(Productos!$F$5:$F$504,MATCH($C2507,Productos!$A$5:$A$504,0)),0))</f>
        <v/>
      </c>
      <c r="H2507" s="22" t="str">
        <f t="shared" si="39"/>
        <v/>
      </c>
      <c r="I2507" s="14" t="str">
        <f>IF(OR($C2507="",$F2507=""),"",IFERROR(INDEX(Productos!$I$5:$I$504,MATCH($C2507,Productos!$A$5:$A$504,0)),0)+SUMIFS($F$5:$F2507,$C$5:$C2507,$C2507,$B$5:$B2507,"Entrada")-SUMIFS($F$5:$F2507,$C$5:$C2507,$C2507,$B$5:$B2507,"Salida"))</f>
        <v/>
      </c>
      <c r="J2507" s="20"/>
      <c r="K2507" s="20"/>
      <c r="L2507" s="20"/>
      <c r="M2507" s="14" t="str">
        <f>IF(AND($C2507&lt;&gt;"",$C2507=Kardex!$C$4),COUNTIF($C$5:$C2507,Kardex!$C$4),"")</f>
        <v/>
      </c>
    </row>
    <row r="2508" spans="1:13" x14ac:dyDescent="0.25">
      <c r="A2508" s="24"/>
      <c r="B2508" s="20"/>
      <c r="C2508" s="20"/>
      <c r="D2508" s="14" t="str">
        <f>IF($C2508="","",IFERROR(INDEX(Productos!$B$5:$B$504,MATCH($C2508,Productos!$A$5:$A$504,0)),"Clave no existe"))</f>
        <v/>
      </c>
      <c r="E2508" s="14" t="str">
        <f>IF($C2508="","",IFERROR(INDEX(Productos!$D$5:$D$504,MATCH($C2508,Productos!$A$5:$A$504,0)),""))</f>
        <v/>
      </c>
      <c r="F2508" s="20"/>
      <c r="G2508" s="22" t="str">
        <f>IF($C2508="","",IFERROR(INDEX(Productos!$F$5:$F$504,MATCH($C2508,Productos!$A$5:$A$504,0)),0))</f>
        <v/>
      </c>
      <c r="H2508" s="22" t="str">
        <f t="shared" si="39"/>
        <v/>
      </c>
      <c r="I2508" s="14" t="str">
        <f>IF(OR($C2508="",$F2508=""),"",IFERROR(INDEX(Productos!$I$5:$I$504,MATCH($C2508,Productos!$A$5:$A$504,0)),0)+SUMIFS($F$5:$F2508,$C$5:$C2508,$C2508,$B$5:$B2508,"Entrada")-SUMIFS($F$5:$F2508,$C$5:$C2508,$C2508,$B$5:$B2508,"Salida"))</f>
        <v/>
      </c>
      <c r="J2508" s="20"/>
      <c r="K2508" s="20"/>
      <c r="L2508" s="20"/>
      <c r="M2508" s="14" t="str">
        <f>IF(AND($C2508&lt;&gt;"",$C2508=Kardex!$C$4),COUNTIF($C$5:$C2508,Kardex!$C$4),"")</f>
        <v/>
      </c>
    </row>
    <row r="2509" spans="1:13" x14ac:dyDescent="0.25">
      <c r="A2509" s="24"/>
      <c r="B2509" s="20"/>
      <c r="C2509" s="20"/>
      <c r="D2509" s="14" t="str">
        <f>IF($C2509="","",IFERROR(INDEX(Productos!$B$5:$B$504,MATCH($C2509,Productos!$A$5:$A$504,0)),"Clave no existe"))</f>
        <v/>
      </c>
      <c r="E2509" s="14" t="str">
        <f>IF($C2509="","",IFERROR(INDEX(Productos!$D$5:$D$504,MATCH($C2509,Productos!$A$5:$A$504,0)),""))</f>
        <v/>
      </c>
      <c r="F2509" s="20"/>
      <c r="G2509" s="22" t="str">
        <f>IF($C2509="","",IFERROR(INDEX(Productos!$F$5:$F$504,MATCH($C2509,Productos!$A$5:$A$504,0)),0))</f>
        <v/>
      </c>
      <c r="H2509" s="22" t="str">
        <f t="shared" si="39"/>
        <v/>
      </c>
      <c r="I2509" s="14" t="str">
        <f>IF(OR($C2509="",$F2509=""),"",IFERROR(INDEX(Productos!$I$5:$I$504,MATCH($C2509,Productos!$A$5:$A$504,0)),0)+SUMIFS($F$5:$F2509,$C$5:$C2509,$C2509,$B$5:$B2509,"Entrada")-SUMIFS($F$5:$F2509,$C$5:$C2509,$C2509,$B$5:$B2509,"Salida"))</f>
        <v/>
      </c>
      <c r="J2509" s="20"/>
      <c r="K2509" s="20"/>
      <c r="L2509" s="20"/>
      <c r="M2509" s="14" t="str">
        <f>IF(AND($C2509&lt;&gt;"",$C2509=Kardex!$C$4),COUNTIF($C$5:$C2509,Kardex!$C$4),"")</f>
        <v/>
      </c>
    </row>
    <row r="2510" spans="1:13" x14ac:dyDescent="0.25">
      <c r="A2510" s="24"/>
      <c r="B2510" s="20"/>
      <c r="C2510" s="20"/>
      <c r="D2510" s="14" t="str">
        <f>IF($C2510="","",IFERROR(INDEX(Productos!$B$5:$B$504,MATCH($C2510,Productos!$A$5:$A$504,0)),"Clave no existe"))</f>
        <v/>
      </c>
      <c r="E2510" s="14" t="str">
        <f>IF($C2510="","",IFERROR(INDEX(Productos!$D$5:$D$504,MATCH($C2510,Productos!$A$5:$A$504,0)),""))</f>
        <v/>
      </c>
      <c r="F2510" s="20"/>
      <c r="G2510" s="22" t="str">
        <f>IF($C2510="","",IFERROR(INDEX(Productos!$F$5:$F$504,MATCH($C2510,Productos!$A$5:$A$504,0)),0))</f>
        <v/>
      </c>
      <c r="H2510" s="22" t="str">
        <f t="shared" si="39"/>
        <v/>
      </c>
      <c r="I2510" s="14" t="str">
        <f>IF(OR($C2510="",$F2510=""),"",IFERROR(INDEX(Productos!$I$5:$I$504,MATCH($C2510,Productos!$A$5:$A$504,0)),0)+SUMIFS($F$5:$F2510,$C$5:$C2510,$C2510,$B$5:$B2510,"Entrada")-SUMIFS($F$5:$F2510,$C$5:$C2510,$C2510,$B$5:$B2510,"Salida"))</f>
        <v/>
      </c>
      <c r="J2510" s="20"/>
      <c r="K2510" s="20"/>
      <c r="L2510" s="20"/>
      <c r="M2510" s="14" t="str">
        <f>IF(AND($C2510&lt;&gt;"",$C2510=Kardex!$C$4),COUNTIF($C$5:$C2510,Kardex!$C$4),"")</f>
        <v/>
      </c>
    </row>
    <row r="2511" spans="1:13" x14ac:dyDescent="0.25">
      <c r="A2511" s="24"/>
      <c r="B2511" s="20"/>
      <c r="C2511" s="20"/>
      <c r="D2511" s="14" t="str">
        <f>IF($C2511="","",IFERROR(INDEX(Productos!$B$5:$B$504,MATCH($C2511,Productos!$A$5:$A$504,0)),"Clave no existe"))</f>
        <v/>
      </c>
      <c r="E2511" s="14" t="str">
        <f>IF($C2511="","",IFERROR(INDEX(Productos!$D$5:$D$504,MATCH($C2511,Productos!$A$5:$A$504,0)),""))</f>
        <v/>
      </c>
      <c r="F2511" s="20"/>
      <c r="G2511" s="22" t="str">
        <f>IF($C2511="","",IFERROR(INDEX(Productos!$F$5:$F$504,MATCH($C2511,Productos!$A$5:$A$504,0)),0))</f>
        <v/>
      </c>
      <c r="H2511" s="22" t="str">
        <f t="shared" si="39"/>
        <v/>
      </c>
      <c r="I2511" s="14" t="str">
        <f>IF(OR($C2511="",$F2511=""),"",IFERROR(INDEX(Productos!$I$5:$I$504,MATCH($C2511,Productos!$A$5:$A$504,0)),0)+SUMIFS($F$5:$F2511,$C$5:$C2511,$C2511,$B$5:$B2511,"Entrada")-SUMIFS($F$5:$F2511,$C$5:$C2511,$C2511,$B$5:$B2511,"Salida"))</f>
        <v/>
      </c>
      <c r="J2511" s="20"/>
      <c r="K2511" s="20"/>
      <c r="L2511" s="20"/>
      <c r="M2511" s="14" t="str">
        <f>IF(AND($C2511&lt;&gt;"",$C2511=Kardex!$C$4),COUNTIF($C$5:$C2511,Kardex!$C$4),"")</f>
        <v/>
      </c>
    </row>
    <row r="2512" spans="1:13" x14ac:dyDescent="0.25">
      <c r="A2512" s="24"/>
      <c r="B2512" s="20"/>
      <c r="C2512" s="20"/>
      <c r="D2512" s="14" t="str">
        <f>IF($C2512="","",IFERROR(INDEX(Productos!$B$5:$B$504,MATCH($C2512,Productos!$A$5:$A$504,0)),"Clave no existe"))</f>
        <v/>
      </c>
      <c r="E2512" s="14" t="str">
        <f>IF($C2512="","",IFERROR(INDEX(Productos!$D$5:$D$504,MATCH($C2512,Productos!$A$5:$A$504,0)),""))</f>
        <v/>
      </c>
      <c r="F2512" s="20"/>
      <c r="G2512" s="22" t="str">
        <f>IF($C2512="","",IFERROR(INDEX(Productos!$F$5:$F$504,MATCH($C2512,Productos!$A$5:$A$504,0)),0))</f>
        <v/>
      </c>
      <c r="H2512" s="22" t="str">
        <f t="shared" si="39"/>
        <v/>
      </c>
      <c r="I2512" s="14" t="str">
        <f>IF(OR($C2512="",$F2512=""),"",IFERROR(INDEX(Productos!$I$5:$I$504,MATCH($C2512,Productos!$A$5:$A$504,0)),0)+SUMIFS($F$5:$F2512,$C$5:$C2512,$C2512,$B$5:$B2512,"Entrada")-SUMIFS($F$5:$F2512,$C$5:$C2512,$C2512,$B$5:$B2512,"Salida"))</f>
        <v/>
      </c>
      <c r="J2512" s="20"/>
      <c r="K2512" s="20"/>
      <c r="L2512" s="20"/>
      <c r="M2512" s="14" t="str">
        <f>IF(AND($C2512&lt;&gt;"",$C2512=Kardex!$C$4),COUNTIF($C$5:$C2512,Kardex!$C$4),"")</f>
        <v/>
      </c>
    </row>
    <row r="2513" spans="1:13" x14ac:dyDescent="0.25">
      <c r="A2513" s="24"/>
      <c r="B2513" s="20"/>
      <c r="C2513" s="20"/>
      <c r="D2513" s="14" t="str">
        <f>IF($C2513="","",IFERROR(INDEX(Productos!$B$5:$B$504,MATCH($C2513,Productos!$A$5:$A$504,0)),"Clave no existe"))</f>
        <v/>
      </c>
      <c r="E2513" s="14" t="str">
        <f>IF($C2513="","",IFERROR(INDEX(Productos!$D$5:$D$504,MATCH($C2513,Productos!$A$5:$A$504,0)),""))</f>
        <v/>
      </c>
      <c r="F2513" s="20"/>
      <c r="G2513" s="22" t="str">
        <f>IF($C2513="","",IFERROR(INDEX(Productos!$F$5:$F$504,MATCH($C2513,Productos!$A$5:$A$504,0)),0))</f>
        <v/>
      </c>
      <c r="H2513" s="22" t="str">
        <f t="shared" si="39"/>
        <v/>
      </c>
      <c r="I2513" s="14" t="str">
        <f>IF(OR($C2513="",$F2513=""),"",IFERROR(INDEX(Productos!$I$5:$I$504,MATCH($C2513,Productos!$A$5:$A$504,0)),0)+SUMIFS($F$5:$F2513,$C$5:$C2513,$C2513,$B$5:$B2513,"Entrada")-SUMIFS($F$5:$F2513,$C$5:$C2513,$C2513,$B$5:$B2513,"Salida"))</f>
        <v/>
      </c>
      <c r="J2513" s="20"/>
      <c r="K2513" s="20"/>
      <c r="L2513" s="20"/>
      <c r="M2513" s="14" t="str">
        <f>IF(AND($C2513&lt;&gt;"",$C2513=Kardex!$C$4),COUNTIF($C$5:$C2513,Kardex!$C$4),"")</f>
        <v/>
      </c>
    </row>
    <row r="2514" spans="1:13" x14ac:dyDescent="0.25">
      <c r="A2514" s="24"/>
      <c r="B2514" s="20"/>
      <c r="C2514" s="20"/>
      <c r="D2514" s="14" t="str">
        <f>IF($C2514="","",IFERROR(INDEX(Productos!$B$5:$B$504,MATCH($C2514,Productos!$A$5:$A$504,0)),"Clave no existe"))</f>
        <v/>
      </c>
      <c r="E2514" s="14" t="str">
        <f>IF($C2514="","",IFERROR(INDEX(Productos!$D$5:$D$504,MATCH($C2514,Productos!$A$5:$A$504,0)),""))</f>
        <v/>
      </c>
      <c r="F2514" s="20"/>
      <c r="G2514" s="22" t="str">
        <f>IF($C2514="","",IFERROR(INDEX(Productos!$F$5:$F$504,MATCH($C2514,Productos!$A$5:$A$504,0)),0))</f>
        <v/>
      </c>
      <c r="H2514" s="22" t="str">
        <f t="shared" si="39"/>
        <v/>
      </c>
      <c r="I2514" s="14" t="str">
        <f>IF(OR($C2514="",$F2514=""),"",IFERROR(INDEX(Productos!$I$5:$I$504,MATCH($C2514,Productos!$A$5:$A$504,0)),0)+SUMIFS($F$5:$F2514,$C$5:$C2514,$C2514,$B$5:$B2514,"Entrada")-SUMIFS($F$5:$F2514,$C$5:$C2514,$C2514,$B$5:$B2514,"Salida"))</f>
        <v/>
      </c>
      <c r="J2514" s="20"/>
      <c r="K2514" s="20"/>
      <c r="L2514" s="20"/>
      <c r="M2514" s="14" t="str">
        <f>IF(AND($C2514&lt;&gt;"",$C2514=Kardex!$C$4),COUNTIF($C$5:$C2514,Kardex!$C$4),"")</f>
        <v/>
      </c>
    </row>
    <row r="2515" spans="1:13" x14ac:dyDescent="0.25">
      <c r="A2515" s="24"/>
      <c r="B2515" s="20"/>
      <c r="C2515" s="20"/>
      <c r="D2515" s="14" t="str">
        <f>IF($C2515="","",IFERROR(INDEX(Productos!$B$5:$B$504,MATCH($C2515,Productos!$A$5:$A$504,0)),"Clave no existe"))</f>
        <v/>
      </c>
      <c r="E2515" s="14" t="str">
        <f>IF($C2515="","",IFERROR(INDEX(Productos!$D$5:$D$504,MATCH($C2515,Productos!$A$5:$A$504,0)),""))</f>
        <v/>
      </c>
      <c r="F2515" s="20"/>
      <c r="G2515" s="22" t="str">
        <f>IF($C2515="","",IFERROR(INDEX(Productos!$F$5:$F$504,MATCH($C2515,Productos!$A$5:$A$504,0)),0))</f>
        <v/>
      </c>
      <c r="H2515" s="22" t="str">
        <f t="shared" si="39"/>
        <v/>
      </c>
      <c r="I2515" s="14" t="str">
        <f>IF(OR($C2515="",$F2515=""),"",IFERROR(INDEX(Productos!$I$5:$I$504,MATCH($C2515,Productos!$A$5:$A$504,0)),0)+SUMIFS($F$5:$F2515,$C$5:$C2515,$C2515,$B$5:$B2515,"Entrada")-SUMIFS($F$5:$F2515,$C$5:$C2515,$C2515,$B$5:$B2515,"Salida"))</f>
        <v/>
      </c>
      <c r="J2515" s="20"/>
      <c r="K2515" s="20"/>
      <c r="L2515" s="20"/>
      <c r="M2515" s="14" t="str">
        <f>IF(AND($C2515&lt;&gt;"",$C2515=Kardex!$C$4),COUNTIF($C$5:$C2515,Kardex!$C$4),"")</f>
        <v/>
      </c>
    </row>
    <row r="2516" spans="1:13" x14ac:dyDescent="0.25">
      <c r="A2516" s="24"/>
      <c r="B2516" s="20"/>
      <c r="C2516" s="20"/>
      <c r="D2516" s="14" t="str">
        <f>IF($C2516="","",IFERROR(INDEX(Productos!$B$5:$B$504,MATCH($C2516,Productos!$A$5:$A$504,0)),"Clave no existe"))</f>
        <v/>
      </c>
      <c r="E2516" s="14" t="str">
        <f>IF($C2516="","",IFERROR(INDEX(Productos!$D$5:$D$504,MATCH($C2516,Productos!$A$5:$A$504,0)),""))</f>
        <v/>
      </c>
      <c r="F2516" s="20"/>
      <c r="G2516" s="22" t="str">
        <f>IF($C2516="","",IFERROR(INDEX(Productos!$F$5:$F$504,MATCH($C2516,Productos!$A$5:$A$504,0)),0))</f>
        <v/>
      </c>
      <c r="H2516" s="22" t="str">
        <f t="shared" si="39"/>
        <v/>
      </c>
      <c r="I2516" s="14" t="str">
        <f>IF(OR($C2516="",$F2516=""),"",IFERROR(INDEX(Productos!$I$5:$I$504,MATCH($C2516,Productos!$A$5:$A$504,0)),0)+SUMIFS($F$5:$F2516,$C$5:$C2516,$C2516,$B$5:$B2516,"Entrada")-SUMIFS($F$5:$F2516,$C$5:$C2516,$C2516,$B$5:$B2516,"Salida"))</f>
        <v/>
      </c>
      <c r="J2516" s="20"/>
      <c r="K2516" s="20"/>
      <c r="L2516" s="20"/>
      <c r="M2516" s="14" t="str">
        <f>IF(AND($C2516&lt;&gt;"",$C2516=Kardex!$C$4),COUNTIF($C$5:$C2516,Kardex!$C$4),"")</f>
        <v/>
      </c>
    </row>
    <row r="2517" spans="1:13" x14ac:dyDescent="0.25">
      <c r="A2517" s="24"/>
      <c r="B2517" s="20"/>
      <c r="C2517" s="20"/>
      <c r="D2517" s="14" t="str">
        <f>IF($C2517="","",IFERROR(INDEX(Productos!$B$5:$B$504,MATCH($C2517,Productos!$A$5:$A$504,0)),"Clave no existe"))</f>
        <v/>
      </c>
      <c r="E2517" s="14" t="str">
        <f>IF($C2517="","",IFERROR(INDEX(Productos!$D$5:$D$504,MATCH($C2517,Productos!$A$5:$A$504,0)),""))</f>
        <v/>
      </c>
      <c r="F2517" s="20"/>
      <c r="G2517" s="22" t="str">
        <f>IF($C2517="","",IFERROR(INDEX(Productos!$F$5:$F$504,MATCH($C2517,Productos!$A$5:$A$504,0)),0))</f>
        <v/>
      </c>
      <c r="H2517" s="22" t="str">
        <f t="shared" si="39"/>
        <v/>
      </c>
      <c r="I2517" s="14" t="str">
        <f>IF(OR($C2517="",$F2517=""),"",IFERROR(INDEX(Productos!$I$5:$I$504,MATCH($C2517,Productos!$A$5:$A$504,0)),0)+SUMIFS($F$5:$F2517,$C$5:$C2517,$C2517,$B$5:$B2517,"Entrada")-SUMIFS($F$5:$F2517,$C$5:$C2517,$C2517,$B$5:$B2517,"Salida"))</f>
        <v/>
      </c>
      <c r="J2517" s="20"/>
      <c r="K2517" s="20"/>
      <c r="L2517" s="20"/>
      <c r="M2517" s="14" t="str">
        <f>IF(AND($C2517&lt;&gt;"",$C2517=Kardex!$C$4),COUNTIF($C$5:$C2517,Kardex!$C$4),"")</f>
        <v/>
      </c>
    </row>
    <row r="2518" spans="1:13" x14ac:dyDescent="0.25">
      <c r="A2518" s="24"/>
      <c r="B2518" s="20"/>
      <c r="C2518" s="20"/>
      <c r="D2518" s="14" t="str">
        <f>IF($C2518="","",IFERROR(INDEX(Productos!$B$5:$B$504,MATCH($C2518,Productos!$A$5:$A$504,0)),"Clave no existe"))</f>
        <v/>
      </c>
      <c r="E2518" s="14" t="str">
        <f>IF($C2518="","",IFERROR(INDEX(Productos!$D$5:$D$504,MATCH($C2518,Productos!$A$5:$A$504,0)),""))</f>
        <v/>
      </c>
      <c r="F2518" s="20"/>
      <c r="G2518" s="22" t="str">
        <f>IF($C2518="","",IFERROR(INDEX(Productos!$F$5:$F$504,MATCH($C2518,Productos!$A$5:$A$504,0)),0))</f>
        <v/>
      </c>
      <c r="H2518" s="22" t="str">
        <f t="shared" si="39"/>
        <v/>
      </c>
      <c r="I2518" s="14" t="str">
        <f>IF(OR($C2518="",$F2518=""),"",IFERROR(INDEX(Productos!$I$5:$I$504,MATCH($C2518,Productos!$A$5:$A$504,0)),0)+SUMIFS($F$5:$F2518,$C$5:$C2518,$C2518,$B$5:$B2518,"Entrada")-SUMIFS($F$5:$F2518,$C$5:$C2518,$C2518,$B$5:$B2518,"Salida"))</f>
        <v/>
      </c>
      <c r="J2518" s="20"/>
      <c r="K2518" s="20"/>
      <c r="L2518" s="20"/>
      <c r="M2518" s="14" t="str">
        <f>IF(AND($C2518&lt;&gt;"",$C2518=Kardex!$C$4),COUNTIF($C$5:$C2518,Kardex!$C$4),"")</f>
        <v/>
      </c>
    </row>
    <row r="2519" spans="1:13" x14ac:dyDescent="0.25">
      <c r="A2519" s="24"/>
      <c r="B2519" s="20"/>
      <c r="C2519" s="20"/>
      <c r="D2519" s="14" t="str">
        <f>IF($C2519="","",IFERROR(INDEX(Productos!$B$5:$B$504,MATCH($C2519,Productos!$A$5:$A$504,0)),"Clave no existe"))</f>
        <v/>
      </c>
      <c r="E2519" s="14" t="str">
        <f>IF($C2519="","",IFERROR(INDEX(Productos!$D$5:$D$504,MATCH($C2519,Productos!$A$5:$A$504,0)),""))</f>
        <v/>
      </c>
      <c r="F2519" s="20"/>
      <c r="G2519" s="22" t="str">
        <f>IF($C2519="","",IFERROR(INDEX(Productos!$F$5:$F$504,MATCH($C2519,Productos!$A$5:$A$504,0)),0))</f>
        <v/>
      </c>
      <c r="H2519" s="22" t="str">
        <f t="shared" si="39"/>
        <v/>
      </c>
      <c r="I2519" s="14" t="str">
        <f>IF(OR($C2519="",$F2519=""),"",IFERROR(INDEX(Productos!$I$5:$I$504,MATCH($C2519,Productos!$A$5:$A$504,0)),0)+SUMIFS($F$5:$F2519,$C$5:$C2519,$C2519,$B$5:$B2519,"Entrada")-SUMIFS($F$5:$F2519,$C$5:$C2519,$C2519,$B$5:$B2519,"Salida"))</f>
        <v/>
      </c>
      <c r="J2519" s="20"/>
      <c r="K2519" s="20"/>
      <c r="L2519" s="20"/>
      <c r="M2519" s="14" t="str">
        <f>IF(AND($C2519&lt;&gt;"",$C2519=Kardex!$C$4),COUNTIF($C$5:$C2519,Kardex!$C$4),"")</f>
        <v/>
      </c>
    </row>
    <row r="2520" spans="1:13" x14ac:dyDescent="0.25">
      <c r="A2520" s="24"/>
      <c r="B2520" s="20"/>
      <c r="C2520" s="20"/>
      <c r="D2520" s="14" t="str">
        <f>IF($C2520="","",IFERROR(INDEX(Productos!$B$5:$B$504,MATCH($C2520,Productos!$A$5:$A$504,0)),"Clave no existe"))</f>
        <v/>
      </c>
      <c r="E2520" s="14" t="str">
        <f>IF($C2520="","",IFERROR(INDEX(Productos!$D$5:$D$504,MATCH($C2520,Productos!$A$5:$A$504,0)),""))</f>
        <v/>
      </c>
      <c r="F2520" s="20"/>
      <c r="G2520" s="22" t="str">
        <f>IF($C2520="","",IFERROR(INDEX(Productos!$F$5:$F$504,MATCH($C2520,Productos!$A$5:$A$504,0)),0))</f>
        <v/>
      </c>
      <c r="H2520" s="22" t="str">
        <f t="shared" si="39"/>
        <v/>
      </c>
      <c r="I2520" s="14" t="str">
        <f>IF(OR($C2520="",$F2520=""),"",IFERROR(INDEX(Productos!$I$5:$I$504,MATCH($C2520,Productos!$A$5:$A$504,0)),0)+SUMIFS($F$5:$F2520,$C$5:$C2520,$C2520,$B$5:$B2520,"Entrada")-SUMIFS($F$5:$F2520,$C$5:$C2520,$C2520,$B$5:$B2520,"Salida"))</f>
        <v/>
      </c>
      <c r="J2520" s="20"/>
      <c r="K2520" s="20"/>
      <c r="L2520" s="20"/>
      <c r="M2520" s="14" t="str">
        <f>IF(AND($C2520&lt;&gt;"",$C2520=Kardex!$C$4),COUNTIF($C$5:$C2520,Kardex!$C$4),"")</f>
        <v/>
      </c>
    </row>
    <row r="2521" spans="1:13" x14ac:dyDescent="0.25">
      <c r="A2521" s="24"/>
      <c r="B2521" s="20"/>
      <c r="C2521" s="20"/>
      <c r="D2521" s="14" t="str">
        <f>IF($C2521="","",IFERROR(INDEX(Productos!$B$5:$B$504,MATCH($C2521,Productos!$A$5:$A$504,0)),"Clave no existe"))</f>
        <v/>
      </c>
      <c r="E2521" s="14" t="str">
        <f>IF($C2521="","",IFERROR(INDEX(Productos!$D$5:$D$504,MATCH($C2521,Productos!$A$5:$A$504,0)),""))</f>
        <v/>
      </c>
      <c r="F2521" s="20"/>
      <c r="G2521" s="22" t="str">
        <f>IF($C2521="","",IFERROR(INDEX(Productos!$F$5:$F$504,MATCH($C2521,Productos!$A$5:$A$504,0)),0))</f>
        <v/>
      </c>
      <c r="H2521" s="22" t="str">
        <f t="shared" si="39"/>
        <v/>
      </c>
      <c r="I2521" s="14" t="str">
        <f>IF(OR($C2521="",$F2521=""),"",IFERROR(INDEX(Productos!$I$5:$I$504,MATCH($C2521,Productos!$A$5:$A$504,0)),0)+SUMIFS($F$5:$F2521,$C$5:$C2521,$C2521,$B$5:$B2521,"Entrada")-SUMIFS($F$5:$F2521,$C$5:$C2521,$C2521,$B$5:$B2521,"Salida"))</f>
        <v/>
      </c>
      <c r="J2521" s="20"/>
      <c r="K2521" s="20"/>
      <c r="L2521" s="20"/>
      <c r="M2521" s="14" t="str">
        <f>IF(AND($C2521&lt;&gt;"",$C2521=Kardex!$C$4),COUNTIF($C$5:$C2521,Kardex!$C$4),"")</f>
        <v/>
      </c>
    </row>
    <row r="2522" spans="1:13" x14ac:dyDescent="0.25">
      <c r="A2522" s="24"/>
      <c r="B2522" s="20"/>
      <c r="C2522" s="20"/>
      <c r="D2522" s="14" t="str">
        <f>IF($C2522="","",IFERROR(INDEX(Productos!$B$5:$B$504,MATCH($C2522,Productos!$A$5:$A$504,0)),"Clave no existe"))</f>
        <v/>
      </c>
      <c r="E2522" s="14" t="str">
        <f>IF($C2522="","",IFERROR(INDEX(Productos!$D$5:$D$504,MATCH($C2522,Productos!$A$5:$A$504,0)),""))</f>
        <v/>
      </c>
      <c r="F2522" s="20"/>
      <c r="G2522" s="22" t="str">
        <f>IF($C2522="","",IFERROR(INDEX(Productos!$F$5:$F$504,MATCH($C2522,Productos!$A$5:$A$504,0)),0))</f>
        <v/>
      </c>
      <c r="H2522" s="22" t="str">
        <f t="shared" si="39"/>
        <v/>
      </c>
      <c r="I2522" s="14" t="str">
        <f>IF(OR($C2522="",$F2522=""),"",IFERROR(INDEX(Productos!$I$5:$I$504,MATCH($C2522,Productos!$A$5:$A$504,0)),0)+SUMIFS($F$5:$F2522,$C$5:$C2522,$C2522,$B$5:$B2522,"Entrada")-SUMIFS($F$5:$F2522,$C$5:$C2522,$C2522,$B$5:$B2522,"Salida"))</f>
        <v/>
      </c>
      <c r="J2522" s="20"/>
      <c r="K2522" s="20"/>
      <c r="L2522" s="20"/>
      <c r="M2522" s="14" t="str">
        <f>IF(AND($C2522&lt;&gt;"",$C2522=Kardex!$C$4),COUNTIF($C$5:$C2522,Kardex!$C$4),"")</f>
        <v/>
      </c>
    </row>
    <row r="2523" spans="1:13" x14ac:dyDescent="0.25">
      <c r="A2523" s="24"/>
      <c r="B2523" s="20"/>
      <c r="C2523" s="20"/>
      <c r="D2523" s="14" t="str">
        <f>IF($C2523="","",IFERROR(INDEX(Productos!$B$5:$B$504,MATCH($C2523,Productos!$A$5:$A$504,0)),"Clave no existe"))</f>
        <v/>
      </c>
      <c r="E2523" s="14" t="str">
        <f>IF($C2523="","",IFERROR(INDEX(Productos!$D$5:$D$504,MATCH($C2523,Productos!$A$5:$A$504,0)),""))</f>
        <v/>
      </c>
      <c r="F2523" s="20"/>
      <c r="G2523" s="22" t="str">
        <f>IF($C2523="","",IFERROR(INDEX(Productos!$F$5:$F$504,MATCH($C2523,Productos!$A$5:$A$504,0)),0))</f>
        <v/>
      </c>
      <c r="H2523" s="22" t="str">
        <f t="shared" si="39"/>
        <v/>
      </c>
      <c r="I2523" s="14" t="str">
        <f>IF(OR($C2523="",$F2523=""),"",IFERROR(INDEX(Productos!$I$5:$I$504,MATCH($C2523,Productos!$A$5:$A$504,0)),0)+SUMIFS($F$5:$F2523,$C$5:$C2523,$C2523,$B$5:$B2523,"Entrada")-SUMIFS($F$5:$F2523,$C$5:$C2523,$C2523,$B$5:$B2523,"Salida"))</f>
        <v/>
      </c>
      <c r="J2523" s="20"/>
      <c r="K2523" s="20"/>
      <c r="L2523" s="20"/>
      <c r="M2523" s="14" t="str">
        <f>IF(AND($C2523&lt;&gt;"",$C2523=Kardex!$C$4),COUNTIF($C$5:$C2523,Kardex!$C$4),"")</f>
        <v/>
      </c>
    </row>
    <row r="2524" spans="1:13" x14ac:dyDescent="0.25">
      <c r="A2524" s="24"/>
      <c r="B2524" s="20"/>
      <c r="C2524" s="20"/>
      <c r="D2524" s="14" t="str">
        <f>IF($C2524="","",IFERROR(INDEX(Productos!$B$5:$B$504,MATCH($C2524,Productos!$A$5:$A$504,0)),"Clave no existe"))</f>
        <v/>
      </c>
      <c r="E2524" s="14" t="str">
        <f>IF($C2524="","",IFERROR(INDEX(Productos!$D$5:$D$504,MATCH($C2524,Productos!$A$5:$A$504,0)),""))</f>
        <v/>
      </c>
      <c r="F2524" s="20"/>
      <c r="G2524" s="22" t="str">
        <f>IF($C2524="","",IFERROR(INDEX(Productos!$F$5:$F$504,MATCH($C2524,Productos!$A$5:$A$504,0)),0))</f>
        <v/>
      </c>
      <c r="H2524" s="22" t="str">
        <f t="shared" si="39"/>
        <v/>
      </c>
      <c r="I2524" s="14" t="str">
        <f>IF(OR($C2524="",$F2524=""),"",IFERROR(INDEX(Productos!$I$5:$I$504,MATCH($C2524,Productos!$A$5:$A$504,0)),0)+SUMIFS($F$5:$F2524,$C$5:$C2524,$C2524,$B$5:$B2524,"Entrada")-SUMIFS($F$5:$F2524,$C$5:$C2524,$C2524,$B$5:$B2524,"Salida"))</f>
        <v/>
      </c>
      <c r="J2524" s="20"/>
      <c r="K2524" s="20"/>
      <c r="L2524" s="20"/>
      <c r="M2524" s="14" t="str">
        <f>IF(AND($C2524&lt;&gt;"",$C2524=Kardex!$C$4),COUNTIF($C$5:$C2524,Kardex!$C$4),"")</f>
        <v/>
      </c>
    </row>
    <row r="2525" spans="1:13" x14ac:dyDescent="0.25">
      <c r="A2525" s="24"/>
      <c r="B2525" s="20"/>
      <c r="C2525" s="20"/>
      <c r="D2525" s="14" t="str">
        <f>IF($C2525="","",IFERROR(INDEX(Productos!$B$5:$B$504,MATCH($C2525,Productos!$A$5:$A$504,0)),"Clave no existe"))</f>
        <v/>
      </c>
      <c r="E2525" s="14" t="str">
        <f>IF($C2525="","",IFERROR(INDEX(Productos!$D$5:$D$504,MATCH($C2525,Productos!$A$5:$A$504,0)),""))</f>
        <v/>
      </c>
      <c r="F2525" s="20"/>
      <c r="G2525" s="22" t="str">
        <f>IF($C2525="","",IFERROR(INDEX(Productos!$F$5:$F$504,MATCH($C2525,Productos!$A$5:$A$504,0)),0))</f>
        <v/>
      </c>
      <c r="H2525" s="22" t="str">
        <f t="shared" si="39"/>
        <v/>
      </c>
      <c r="I2525" s="14" t="str">
        <f>IF(OR($C2525="",$F2525=""),"",IFERROR(INDEX(Productos!$I$5:$I$504,MATCH($C2525,Productos!$A$5:$A$504,0)),0)+SUMIFS($F$5:$F2525,$C$5:$C2525,$C2525,$B$5:$B2525,"Entrada")-SUMIFS($F$5:$F2525,$C$5:$C2525,$C2525,$B$5:$B2525,"Salida"))</f>
        <v/>
      </c>
      <c r="J2525" s="20"/>
      <c r="K2525" s="20"/>
      <c r="L2525" s="20"/>
      <c r="M2525" s="14" t="str">
        <f>IF(AND($C2525&lt;&gt;"",$C2525=Kardex!$C$4),COUNTIF($C$5:$C2525,Kardex!$C$4),"")</f>
        <v/>
      </c>
    </row>
    <row r="2526" spans="1:13" x14ac:dyDescent="0.25">
      <c r="A2526" s="24"/>
      <c r="B2526" s="20"/>
      <c r="C2526" s="20"/>
      <c r="D2526" s="14" t="str">
        <f>IF($C2526="","",IFERROR(INDEX(Productos!$B$5:$B$504,MATCH($C2526,Productos!$A$5:$A$504,0)),"Clave no existe"))</f>
        <v/>
      </c>
      <c r="E2526" s="14" t="str">
        <f>IF($C2526="","",IFERROR(INDEX(Productos!$D$5:$D$504,MATCH($C2526,Productos!$A$5:$A$504,0)),""))</f>
        <v/>
      </c>
      <c r="F2526" s="20"/>
      <c r="G2526" s="22" t="str">
        <f>IF($C2526="","",IFERROR(INDEX(Productos!$F$5:$F$504,MATCH($C2526,Productos!$A$5:$A$504,0)),0))</f>
        <v/>
      </c>
      <c r="H2526" s="22" t="str">
        <f t="shared" si="39"/>
        <v/>
      </c>
      <c r="I2526" s="14" t="str">
        <f>IF(OR($C2526="",$F2526=""),"",IFERROR(INDEX(Productos!$I$5:$I$504,MATCH($C2526,Productos!$A$5:$A$504,0)),0)+SUMIFS($F$5:$F2526,$C$5:$C2526,$C2526,$B$5:$B2526,"Entrada")-SUMIFS($F$5:$F2526,$C$5:$C2526,$C2526,$B$5:$B2526,"Salida"))</f>
        <v/>
      </c>
      <c r="J2526" s="20"/>
      <c r="K2526" s="20"/>
      <c r="L2526" s="20"/>
      <c r="M2526" s="14" t="str">
        <f>IF(AND($C2526&lt;&gt;"",$C2526=Kardex!$C$4),COUNTIF($C$5:$C2526,Kardex!$C$4),"")</f>
        <v/>
      </c>
    </row>
    <row r="2527" spans="1:13" x14ac:dyDescent="0.25">
      <c r="A2527" s="24"/>
      <c r="B2527" s="20"/>
      <c r="C2527" s="20"/>
      <c r="D2527" s="14" t="str">
        <f>IF($C2527="","",IFERROR(INDEX(Productos!$B$5:$B$504,MATCH($C2527,Productos!$A$5:$A$504,0)),"Clave no existe"))</f>
        <v/>
      </c>
      <c r="E2527" s="14" t="str">
        <f>IF($C2527="","",IFERROR(INDEX(Productos!$D$5:$D$504,MATCH($C2527,Productos!$A$5:$A$504,0)),""))</f>
        <v/>
      </c>
      <c r="F2527" s="20"/>
      <c r="G2527" s="22" t="str">
        <f>IF($C2527="","",IFERROR(INDEX(Productos!$F$5:$F$504,MATCH($C2527,Productos!$A$5:$A$504,0)),0))</f>
        <v/>
      </c>
      <c r="H2527" s="22" t="str">
        <f t="shared" si="39"/>
        <v/>
      </c>
      <c r="I2527" s="14" t="str">
        <f>IF(OR($C2527="",$F2527=""),"",IFERROR(INDEX(Productos!$I$5:$I$504,MATCH($C2527,Productos!$A$5:$A$504,0)),0)+SUMIFS($F$5:$F2527,$C$5:$C2527,$C2527,$B$5:$B2527,"Entrada")-SUMIFS($F$5:$F2527,$C$5:$C2527,$C2527,$B$5:$B2527,"Salida"))</f>
        <v/>
      </c>
      <c r="J2527" s="20"/>
      <c r="K2527" s="20"/>
      <c r="L2527" s="20"/>
      <c r="M2527" s="14" t="str">
        <f>IF(AND($C2527&lt;&gt;"",$C2527=Kardex!$C$4),COUNTIF($C$5:$C2527,Kardex!$C$4),"")</f>
        <v/>
      </c>
    </row>
    <row r="2528" spans="1:13" x14ac:dyDescent="0.25">
      <c r="A2528" s="24"/>
      <c r="B2528" s="20"/>
      <c r="C2528" s="20"/>
      <c r="D2528" s="14" t="str">
        <f>IF($C2528="","",IFERROR(INDEX(Productos!$B$5:$B$504,MATCH($C2528,Productos!$A$5:$A$504,0)),"Clave no existe"))</f>
        <v/>
      </c>
      <c r="E2528" s="14" t="str">
        <f>IF($C2528="","",IFERROR(INDEX(Productos!$D$5:$D$504,MATCH($C2528,Productos!$A$5:$A$504,0)),""))</f>
        <v/>
      </c>
      <c r="F2528" s="20"/>
      <c r="G2528" s="22" t="str">
        <f>IF($C2528="","",IFERROR(INDEX(Productos!$F$5:$F$504,MATCH($C2528,Productos!$A$5:$A$504,0)),0))</f>
        <v/>
      </c>
      <c r="H2528" s="22" t="str">
        <f t="shared" si="39"/>
        <v/>
      </c>
      <c r="I2528" s="14" t="str">
        <f>IF(OR($C2528="",$F2528=""),"",IFERROR(INDEX(Productos!$I$5:$I$504,MATCH($C2528,Productos!$A$5:$A$504,0)),0)+SUMIFS($F$5:$F2528,$C$5:$C2528,$C2528,$B$5:$B2528,"Entrada")-SUMIFS($F$5:$F2528,$C$5:$C2528,$C2528,$B$5:$B2528,"Salida"))</f>
        <v/>
      </c>
      <c r="J2528" s="20"/>
      <c r="K2528" s="20"/>
      <c r="L2528" s="20"/>
      <c r="M2528" s="14" t="str">
        <f>IF(AND($C2528&lt;&gt;"",$C2528=Kardex!$C$4),COUNTIF($C$5:$C2528,Kardex!$C$4),"")</f>
        <v/>
      </c>
    </row>
    <row r="2529" spans="1:13" x14ac:dyDescent="0.25">
      <c r="A2529" s="24"/>
      <c r="B2529" s="20"/>
      <c r="C2529" s="20"/>
      <c r="D2529" s="14" t="str">
        <f>IF($C2529="","",IFERROR(INDEX(Productos!$B$5:$B$504,MATCH($C2529,Productos!$A$5:$A$504,0)),"Clave no existe"))</f>
        <v/>
      </c>
      <c r="E2529" s="14" t="str">
        <f>IF($C2529="","",IFERROR(INDEX(Productos!$D$5:$D$504,MATCH($C2529,Productos!$A$5:$A$504,0)),""))</f>
        <v/>
      </c>
      <c r="F2529" s="20"/>
      <c r="G2529" s="22" t="str">
        <f>IF($C2529="","",IFERROR(INDEX(Productos!$F$5:$F$504,MATCH($C2529,Productos!$A$5:$A$504,0)),0))</f>
        <v/>
      </c>
      <c r="H2529" s="22" t="str">
        <f t="shared" si="39"/>
        <v/>
      </c>
      <c r="I2529" s="14" t="str">
        <f>IF(OR($C2529="",$F2529=""),"",IFERROR(INDEX(Productos!$I$5:$I$504,MATCH($C2529,Productos!$A$5:$A$504,0)),0)+SUMIFS($F$5:$F2529,$C$5:$C2529,$C2529,$B$5:$B2529,"Entrada")-SUMIFS($F$5:$F2529,$C$5:$C2529,$C2529,$B$5:$B2529,"Salida"))</f>
        <v/>
      </c>
      <c r="J2529" s="20"/>
      <c r="K2529" s="20"/>
      <c r="L2529" s="20"/>
      <c r="M2529" s="14" t="str">
        <f>IF(AND($C2529&lt;&gt;"",$C2529=Kardex!$C$4),COUNTIF($C$5:$C2529,Kardex!$C$4),"")</f>
        <v/>
      </c>
    </row>
    <row r="2530" spans="1:13" x14ac:dyDescent="0.25">
      <c r="A2530" s="24"/>
      <c r="B2530" s="20"/>
      <c r="C2530" s="20"/>
      <c r="D2530" s="14" t="str">
        <f>IF($C2530="","",IFERROR(INDEX(Productos!$B$5:$B$504,MATCH($C2530,Productos!$A$5:$A$504,0)),"Clave no existe"))</f>
        <v/>
      </c>
      <c r="E2530" s="14" t="str">
        <f>IF($C2530="","",IFERROR(INDEX(Productos!$D$5:$D$504,MATCH($C2530,Productos!$A$5:$A$504,0)),""))</f>
        <v/>
      </c>
      <c r="F2530" s="20"/>
      <c r="G2530" s="22" t="str">
        <f>IF($C2530="","",IFERROR(INDEX(Productos!$F$5:$F$504,MATCH($C2530,Productos!$A$5:$A$504,0)),0))</f>
        <v/>
      </c>
      <c r="H2530" s="22" t="str">
        <f t="shared" si="39"/>
        <v/>
      </c>
      <c r="I2530" s="14" t="str">
        <f>IF(OR($C2530="",$F2530=""),"",IFERROR(INDEX(Productos!$I$5:$I$504,MATCH($C2530,Productos!$A$5:$A$504,0)),0)+SUMIFS($F$5:$F2530,$C$5:$C2530,$C2530,$B$5:$B2530,"Entrada")-SUMIFS($F$5:$F2530,$C$5:$C2530,$C2530,$B$5:$B2530,"Salida"))</f>
        <v/>
      </c>
      <c r="J2530" s="20"/>
      <c r="K2530" s="20"/>
      <c r="L2530" s="20"/>
      <c r="M2530" s="14" t="str">
        <f>IF(AND($C2530&lt;&gt;"",$C2530=Kardex!$C$4),COUNTIF($C$5:$C2530,Kardex!$C$4),"")</f>
        <v/>
      </c>
    </row>
    <row r="2531" spans="1:13" x14ac:dyDescent="0.25">
      <c r="A2531" s="24"/>
      <c r="B2531" s="20"/>
      <c r="C2531" s="20"/>
      <c r="D2531" s="14" t="str">
        <f>IF($C2531="","",IFERROR(INDEX(Productos!$B$5:$B$504,MATCH($C2531,Productos!$A$5:$A$504,0)),"Clave no existe"))</f>
        <v/>
      </c>
      <c r="E2531" s="14" t="str">
        <f>IF($C2531="","",IFERROR(INDEX(Productos!$D$5:$D$504,MATCH($C2531,Productos!$A$5:$A$504,0)),""))</f>
        <v/>
      </c>
      <c r="F2531" s="20"/>
      <c r="G2531" s="22" t="str">
        <f>IF($C2531="","",IFERROR(INDEX(Productos!$F$5:$F$504,MATCH($C2531,Productos!$A$5:$A$504,0)),0))</f>
        <v/>
      </c>
      <c r="H2531" s="22" t="str">
        <f t="shared" si="39"/>
        <v/>
      </c>
      <c r="I2531" s="14" t="str">
        <f>IF(OR($C2531="",$F2531=""),"",IFERROR(INDEX(Productos!$I$5:$I$504,MATCH($C2531,Productos!$A$5:$A$504,0)),0)+SUMIFS($F$5:$F2531,$C$5:$C2531,$C2531,$B$5:$B2531,"Entrada")-SUMIFS($F$5:$F2531,$C$5:$C2531,$C2531,$B$5:$B2531,"Salida"))</f>
        <v/>
      </c>
      <c r="J2531" s="20"/>
      <c r="K2531" s="20"/>
      <c r="L2531" s="20"/>
      <c r="M2531" s="14" t="str">
        <f>IF(AND($C2531&lt;&gt;"",$C2531=Kardex!$C$4),COUNTIF($C$5:$C2531,Kardex!$C$4),"")</f>
        <v/>
      </c>
    </row>
    <row r="2532" spans="1:13" x14ac:dyDescent="0.25">
      <c r="A2532" s="24"/>
      <c r="B2532" s="20"/>
      <c r="C2532" s="20"/>
      <c r="D2532" s="14" t="str">
        <f>IF($C2532="","",IFERROR(INDEX(Productos!$B$5:$B$504,MATCH($C2532,Productos!$A$5:$A$504,0)),"Clave no existe"))</f>
        <v/>
      </c>
      <c r="E2532" s="14" t="str">
        <f>IF($C2532="","",IFERROR(INDEX(Productos!$D$5:$D$504,MATCH($C2532,Productos!$A$5:$A$504,0)),""))</f>
        <v/>
      </c>
      <c r="F2532" s="20"/>
      <c r="G2532" s="22" t="str">
        <f>IF($C2532="","",IFERROR(INDEX(Productos!$F$5:$F$504,MATCH($C2532,Productos!$A$5:$A$504,0)),0))</f>
        <v/>
      </c>
      <c r="H2532" s="22" t="str">
        <f t="shared" si="39"/>
        <v/>
      </c>
      <c r="I2532" s="14" t="str">
        <f>IF(OR($C2532="",$F2532=""),"",IFERROR(INDEX(Productos!$I$5:$I$504,MATCH($C2532,Productos!$A$5:$A$504,0)),0)+SUMIFS($F$5:$F2532,$C$5:$C2532,$C2532,$B$5:$B2532,"Entrada")-SUMIFS($F$5:$F2532,$C$5:$C2532,$C2532,$B$5:$B2532,"Salida"))</f>
        <v/>
      </c>
      <c r="J2532" s="20"/>
      <c r="K2532" s="20"/>
      <c r="L2532" s="20"/>
      <c r="M2532" s="14" t="str">
        <f>IF(AND($C2532&lt;&gt;"",$C2532=Kardex!$C$4),COUNTIF($C$5:$C2532,Kardex!$C$4),"")</f>
        <v/>
      </c>
    </row>
    <row r="2533" spans="1:13" x14ac:dyDescent="0.25">
      <c r="A2533" s="24"/>
      <c r="B2533" s="20"/>
      <c r="C2533" s="20"/>
      <c r="D2533" s="14" t="str">
        <f>IF($C2533="","",IFERROR(INDEX(Productos!$B$5:$B$504,MATCH($C2533,Productos!$A$5:$A$504,0)),"Clave no existe"))</f>
        <v/>
      </c>
      <c r="E2533" s="14" t="str">
        <f>IF($C2533="","",IFERROR(INDEX(Productos!$D$5:$D$504,MATCH($C2533,Productos!$A$5:$A$504,0)),""))</f>
        <v/>
      </c>
      <c r="F2533" s="20"/>
      <c r="G2533" s="22" t="str">
        <f>IF($C2533="","",IFERROR(INDEX(Productos!$F$5:$F$504,MATCH($C2533,Productos!$A$5:$A$504,0)),0))</f>
        <v/>
      </c>
      <c r="H2533" s="22" t="str">
        <f t="shared" si="39"/>
        <v/>
      </c>
      <c r="I2533" s="14" t="str">
        <f>IF(OR($C2533="",$F2533=""),"",IFERROR(INDEX(Productos!$I$5:$I$504,MATCH($C2533,Productos!$A$5:$A$504,0)),0)+SUMIFS($F$5:$F2533,$C$5:$C2533,$C2533,$B$5:$B2533,"Entrada")-SUMIFS($F$5:$F2533,$C$5:$C2533,$C2533,$B$5:$B2533,"Salida"))</f>
        <v/>
      </c>
      <c r="J2533" s="20"/>
      <c r="K2533" s="20"/>
      <c r="L2533" s="20"/>
      <c r="M2533" s="14" t="str">
        <f>IF(AND($C2533&lt;&gt;"",$C2533=Kardex!$C$4),COUNTIF($C$5:$C2533,Kardex!$C$4),"")</f>
        <v/>
      </c>
    </row>
    <row r="2534" spans="1:13" x14ac:dyDescent="0.25">
      <c r="A2534" s="24"/>
      <c r="B2534" s="20"/>
      <c r="C2534" s="20"/>
      <c r="D2534" s="14" t="str">
        <f>IF($C2534="","",IFERROR(INDEX(Productos!$B$5:$B$504,MATCH($C2534,Productos!$A$5:$A$504,0)),"Clave no existe"))</f>
        <v/>
      </c>
      <c r="E2534" s="14" t="str">
        <f>IF($C2534="","",IFERROR(INDEX(Productos!$D$5:$D$504,MATCH($C2534,Productos!$A$5:$A$504,0)),""))</f>
        <v/>
      </c>
      <c r="F2534" s="20"/>
      <c r="G2534" s="22" t="str">
        <f>IF($C2534="","",IFERROR(INDEX(Productos!$F$5:$F$504,MATCH($C2534,Productos!$A$5:$A$504,0)),0))</f>
        <v/>
      </c>
      <c r="H2534" s="22" t="str">
        <f t="shared" si="39"/>
        <v/>
      </c>
      <c r="I2534" s="14" t="str">
        <f>IF(OR($C2534="",$F2534=""),"",IFERROR(INDEX(Productos!$I$5:$I$504,MATCH($C2534,Productos!$A$5:$A$504,0)),0)+SUMIFS($F$5:$F2534,$C$5:$C2534,$C2534,$B$5:$B2534,"Entrada")-SUMIFS($F$5:$F2534,$C$5:$C2534,$C2534,$B$5:$B2534,"Salida"))</f>
        <v/>
      </c>
      <c r="J2534" s="20"/>
      <c r="K2534" s="20"/>
      <c r="L2534" s="20"/>
      <c r="M2534" s="14" t="str">
        <f>IF(AND($C2534&lt;&gt;"",$C2534=Kardex!$C$4),COUNTIF($C$5:$C2534,Kardex!$C$4),"")</f>
        <v/>
      </c>
    </row>
    <row r="2535" spans="1:13" x14ac:dyDescent="0.25">
      <c r="A2535" s="24"/>
      <c r="B2535" s="20"/>
      <c r="C2535" s="20"/>
      <c r="D2535" s="14" t="str">
        <f>IF($C2535="","",IFERROR(INDEX(Productos!$B$5:$B$504,MATCH($C2535,Productos!$A$5:$A$504,0)),"Clave no existe"))</f>
        <v/>
      </c>
      <c r="E2535" s="14" t="str">
        <f>IF($C2535="","",IFERROR(INDEX(Productos!$D$5:$D$504,MATCH($C2535,Productos!$A$5:$A$504,0)),""))</f>
        <v/>
      </c>
      <c r="F2535" s="20"/>
      <c r="G2535" s="22" t="str">
        <f>IF($C2535="","",IFERROR(INDEX(Productos!$F$5:$F$504,MATCH($C2535,Productos!$A$5:$A$504,0)),0))</f>
        <v/>
      </c>
      <c r="H2535" s="22" t="str">
        <f t="shared" si="39"/>
        <v/>
      </c>
      <c r="I2535" s="14" t="str">
        <f>IF(OR($C2535="",$F2535=""),"",IFERROR(INDEX(Productos!$I$5:$I$504,MATCH($C2535,Productos!$A$5:$A$504,0)),0)+SUMIFS($F$5:$F2535,$C$5:$C2535,$C2535,$B$5:$B2535,"Entrada")-SUMIFS($F$5:$F2535,$C$5:$C2535,$C2535,$B$5:$B2535,"Salida"))</f>
        <v/>
      </c>
      <c r="J2535" s="20"/>
      <c r="K2535" s="20"/>
      <c r="L2535" s="20"/>
      <c r="M2535" s="14" t="str">
        <f>IF(AND($C2535&lt;&gt;"",$C2535=Kardex!$C$4),COUNTIF($C$5:$C2535,Kardex!$C$4),"")</f>
        <v/>
      </c>
    </row>
    <row r="2536" spans="1:13" x14ac:dyDescent="0.25">
      <c r="A2536" s="24"/>
      <c r="B2536" s="20"/>
      <c r="C2536" s="20"/>
      <c r="D2536" s="14" t="str">
        <f>IF($C2536="","",IFERROR(INDEX(Productos!$B$5:$B$504,MATCH($C2536,Productos!$A$5:$A$504,0)),"Clave no existe"))</f>
        <v/>
      </c>
      <c r="E2536" s="14" t="str">
        <f>IF($C2536="","",IFERROR(INDEX(Productos!$D$5:$D$504,MATCH($C2536,Productos!$A$5:$A$504,0)),""))</f>
        <v/>
      </c>
      <c r="F2536" s="20"/>
      <c r="G2536" s="22" t="str">
        <f>IF($C2536="","",IFERROR(INDEX(Productos!$F$5:$F$504,MATCH($C2536,Productos!$A$5:$A$504,0)),0))</f>
        <v/>
      </c>
      <c r="H2536" s="22" t="str">
        <f t="shared" si="39"/>
        <v/>
      </c>
      <c r="I2536" s="14" t="str">
        <f>IF(OR($C2536="",$F2536=""),"",IFERROR(INDEX(Productos!$I$5:$I$504,MATCH($C2536,Productos!$A$5:$A$504,0)),0)+SUMIFS($F$5:$F2536,$C$5:$C2536,$C2536,$B$5:$B2536,"Entrada")-SUMIFS($F$5:$F2536,$C$5:$C2536,$C2536,$B$5:$B2536,"Salida"))</f>
        <v/>
      </c>
      <c r="J2536" s="20"/>
      <c r="K2536" s="20"/>
      <c r="L2536" s="20"/>
      <c r="M2536" s="14" t="str">
        <f>IF(AND($C2536&lt;&gt;"",$C2536=Kardex!$C$4),COUNTIF($C$5:$C2536,Kardex!$C$4),"")</f>
        <v/>
      </c>
    </row>
    <row r="2537" spans="1:13" x14ac:dyDescent="0.25">
      <c r="A2537" s="24"/>
      <c r="B2537" s="20"/>
      <c r="C2537" s="20"/>
      <c r="D2537" s="14" t="str">
        <f>IF($C2537="","",IFERROR(INDEX(Productos!$B$5:$B$504,MATCH($C2537,Productos!$A$5:$A$504,0)),"Clave no existe"))</f>
        <v/>
      </c>
      <c r="E2537" s="14" t="str">
        <f>IF($C2537="","",IFERROR(INDEX(Productos!$D$5:$D$504,MATCH($C2537,Productos!$A$5:$A$504,0)),""))</f>
        <v/>
      </c>
      <c r="F2537" s="20"/>
      <c r="G2537" s="22" t="str">
        <f>IF($C2537="","",IFERROR(INDEX(Productos!$F$5:$F$504,MATCH($C2537,Productos!$A$5:$A$504,0)),0))</f>
        <v/>
      </c>
      <c r="H2537" s="22" t="str">
        <f t="shared" si="39"/>
        <v/>
      </c>
      <c r="I2537" s="14" t="str">
        <f>IF(OR($C2537="",$F2537=""),"",IFERROR(INDEX(Productos!$I$5:$I$504,MATCH($C2537,Productos!$A$5:$A$504,0)),0)+SUMIFS($F$5:$F2537,$C$5:$C2537,$C2537,$B$5:$B2537,"Entrada")-SUMIFS($F$5:$F2537,$C$5:$C2537,$C2537,$B$5:$B2537,"Salida"))</f>
        <v/>
      </c>
      <c r="J2537" s="20"/>
      <c r="K2537" s="20"/>
      <c r="L2537" s="20"/>
      <c r="M2537" s="14" t="str">
        <f>IF(AND($C2537&lt;&gt;"",$C2537=Kardex!$C$4),COUNTIF($C$5:$C2537,Kardex!$C$4),"")</f>
        <v/>
      </c>
    </row>
    <row r="2538" spans="1:13" x14ac:dyDescent="0.25">
      <c r="A2538" s="24"/>
      <c r="B2538" s="20"/>
      <c r="C2538" s="20"/>
      <c r="D2538" s="14" t="str">
        <f>IF($C2538="","",IFERROR(INDEX(Productos!$B$5:$B$504,MATCH($C2538,Productos!$A$5:$A$504,0)),"Clave no existe"))</f>
        <v/>
      </c>
      <c r="E2538" s="14" t="str">
        <f>IF($C2538="","",IFERROR(INDEX(Productos!$D$5:$D$504,MATCH($C2538,Productos!$A$5:$A$504,0)),""))</f>
        <v/>
      </c>
      <c r="F2538" s="20"/>
      <c r="G2538" s="22" t="str">
        <f>IF($C2538="","",IFERROR(INDEX(Productos!$F$5:$F$504,MATCH($C2538,Productos!$A$5:$A$504,0)),0))</f>
        <v/>
      </c>
      <c r="H2538" s="22" t="str">
        <f t="shared" si="39"/>
        <v/>
      </c>
      <c r="I2538" s="14" t="str">
        <f>IF(OR($C2538="",$F2538=""),"",IFERROR(INDEX(Productos!$I$5:$I$504,MATCH($C2538,Productos!$A$5:$A$504,0)),0)+SUMIFS($F$5:$F2538,$C$5:$C2538,$C2538,$B$5:$B2538,"Entrada")-SUMIFS($F$5:$F2538,$C$5:$C2538,$C2538,$B$5:$B2538,"Salida"))</f>
        <v/>
      </c>
      <c r="J2538" s="20"/>
      <c r="K2538" s="20"/>
      <c r="L2538" s="20"/>
      <c r="M2538" s="14" t="str">
        <f>IF(AND($C2538&lt;&gt;"",$C2538=Kardex!$C$4),COUNTIF($C$5:$C2538,Kardex!$C$4),"")</f>
        <v/>
      </c>
    </row>
    <row r="2539" spans="1:13" x14ac:dyDescent="0.25">
      <c r="A2539" s="24"/>
      <c r="B2539" s="20"/>
      <c r="C2539" s="20"/>
      <c r="D2539" s="14" t="str">
        <f>IF($C2539="","",IFERROR(INDEX(Productos!$B$5:$B$504,MATCH($C2539,Productos!$A$5:$A$504,0)),"Clave no existe"))</f>
        <v/>
      </c>
      <c r="E2539" s="14" t="str">
        <f>IF($C2539="","",IFERROR(INDEX(Productos!$D$5:$D$504,MATCH($C2539,Productos!$A$5:$A$504,0)),""))</f>
        <v/>
      </c>
      <c r="F2539" s="20"/>
      <c r="G2539" s="22" t="str">
        <f>IF($C2539="","",IFERROR(INDEX(Productos!$F$5:$F$504,MATCH($C2539,Productos!$A$5:$A$504,0)),0))</f>
        <v/>
      </c>
      <c r="H2539" s="22" t="str">
        <f t="shared" si="39"/>
        <v/>
      </c>
      <c r="I2539" s="14" t="str">
        <f>IF(OR($C2539="",$F2539=""),"",IFERROR(INDEX(Productos!$I$5:$I$504,MATCH($C2539,Productos!$A$5:$A$504,0)),0)+SUMIFS($F$5:$F2539,$C$5:$C2539,$C2539,$B$5:$B2539,"Entrada")-SUMIFS($F$5:$F2539,$C$5:$C2539,$C2539,$B$5:$B2539,"Salida"))</f>
        <v/>
      </c>
      <c r="J2539" s="20"/>
      <c r="K2539" s="20"/>
      <c r="L2539" s="20"/>
      <c r="M2539" s="14" t="str">
        <f>IF(AND($C2539&lt;&gt;"",$C2539=Kardex!$C$4),COUNTIF($C$5:$C2539,Kardex!$C$4),"")</f>
        <v/>
      </c>
    </row>
    <row r="2540" spans="1:13" x14ac:dyDescent="0.25">
      <c r="A2540" s="24"/>
      <c r="B2540" s="20"/>
      <c r="C2540" s="20"/>
      <c r="D2540" s="14" t="str">
        <f>IF($C2540="","",IFERROR(INDEX(Productos!$B$5:$B$504,MATCH($C2540,Productos!$A$5:$A$504,0)),"Clave no existe"))</f>
        <v/>
      </c>
      <c r="E2540" s="14" t="str">
        <f>IF($C2540="","",IFERROR(INDEX(Productos!$D$5:$D$504,MATCH($C2540,Productos!$A$5:$A$504,0)),""))</f>
        <v/>
      </c>
      <c r="F2540" s="20"/>
      <c r="G2540" s="22" t="str">
        <f>IF($C2540="","",IFERROR(INDEX(Productos!$F$5:$F$504,MATCH($C2540,Productos!$A$5:$A$504,0)),0))</f>
        <v/>
      </c>
      <c r="H2540" s="22" t="str">
        <f t="shared" si="39"/>
        <v/>
      </c>
      <c r="I2540" s="14" t="str">
        <f>IF(OR($C2540="",$F2540=""),"",IFERROR(INDEX(Productos!$I$5:$I$504,MATCH($C2540,Productos!$A$5:$A$504,0)),0)+SUMIFS($F$5:$F2540,$C$5:$C2540,$C2540,$B$5:$B2540,"Entrada")-SUMIFS($F$5:$F2540,$C$5:$C2540,$C2540,$B$5:$B2540,"Salida"))</f>
        <v/>
      </c>
      <c r="J2540" s="20"/>
      <c r="K2540" s="20"/>
      <c r="L2540" s="20"/>
      <c r="M2540" s="14" t="str">
        <f>IF(AND($C2540&lt;&gt;"",$C2540=Kardex!$C$4),COUNTIF($C$5:$C2540,Kardex!$C$4),"")</f>
        <v/>
      </c>
    </row>
    <row r="2541" spans="1:13" x14ac:dyDescent="0.25">
      <c r="A2541" s="24"/>
      <c r="B2541" s="20"/>
      <c r="C2541" s="20"/>
      <c r="D2541" s="14" t="str">
        <f>IF($C2541="","",IFERROR(INDEX(Productos!$B$5:$B$504,MATCH($C2541,Productos!$A$5:$A$504,0)),"Clave no existe"))</f>
        <v/>
      </c>
      <c r="E2541" s="14" t="str">
        <f>IF($C2541="","",IFERROR(INDEX(Productos!$D$5:$D$504,MATCH($C2541,Productos!$A$5:$A$504,0)),""))</f>
        <v/>
      </c>
      <c r="F2541" s="20"/>
      <c r="G2541" s="22" t="str">
        <f>IF($C2541="","",IFERROR(INDEX(Productos!$F$5:$F$504,MATCH($C2541,Productos!$A$5:$A$504,0)),0))</f>
        <v/>
      </c>
      <c r="H2541" s="22" t="str">
        <f t="shared" si="39"/>
        <v/>
      </c>
      <c r="I2541" s="14" t="str">
        <f>IF(OR($C2541="",$F2541=""),"",IFERROR(INDEX(Productos!$I$5:$I$504,MATCH($C2541,Productos!$A$5:$A$504,0)),0)+SUMIFS($F$5:$F2541,$C$5:$C2541,$C2541,$B$5:$B2541,"Entrada")-SUMIFS($F$5:$F2541,$C$5:$C2541,$C2541,$B$5:$B2541,"Salida"))</f>
        <v/>
      </c>
      <c r="J2541" s="20"/>
      <c r="K2541" s="20"/>
      <c r="L2541" s="20"/>
      <c r="M2541" s="14" t="str">
        <f>IF(AND($C2541&lt;&gt;"",$C2541=Kardex!$C$4),COUNTIF($C$5:$C2541,Kardex!$C$4),"")</f>
        <v/>
      </c>
    </row>
    <row r="2542" spans="1:13" x14ac:dyDescent="0.25">
      <c r="A2542" s="24"/>
      <c r="B2542" s="20"/>
      <c r="C2542" s="20"/>
      <c r="D2542" s="14" t="str">
        <f>IF($C2542="","",IFERROR(INDEX(Productos!$B$5:$B$504,MATCH($C2542,Productos!$A$5:$A$504,0)),"Clave no existe"))</f>
        <v/>
      </c>
      <c r="E2542" s="14" t="str">
        <f>IF($C2542="","",IFERROR(INDEX(Productos!$D$5:$D$504,MATCH($C2542,Productos!$A$5:$A$504,0)),""))</f>
        <v/>
      </c>
      <c r="F2542" s="20"/>
      <c r="G2542" s="22" t="str">
        <f>IF($C2542="","",IFERROR(INDEX(Productos!$F$5:$F$504,MATCH($C2542,Productos!$A$5:$A$504,0)),0))</f>
        <v/>
      </c>
      <c r="H2542" s="22" t="str">
        <f t="shared" si="39"/>
        <v/>
      </c>
      <c r="I2542" s="14" t="str">
        <f>IF(OR($C2542="",$F2542=""),"",IFERROR(INDEX(Productos!$I$5:$I$504,MATCH($C2542,Productos!$A$5:$A$504,0)),0)+SUMIFS($F$5:$F2542,$C$5:$C2542,$C2542,$B$5:$B2542,"Entrada")-SUMIFS($F$5:$F2542,$C$5:$C2542,$C2542,$B$5:$B2542,"Salida"))</f>
        <v/>
      </c>
      <c r="J2542" s="20"/>
      <c r="K2542" s="20"/>
      <c r="L2542" s="20"/>
      <c r="M2542" s="14" t="str">
        <f>IF(AND($C2542&lt;&gt;"",$C2542=Kardex!$C$4),COUNTIF($C$5:$C2542,Kardex!$C$4),"")</f>
        <v/>
      </c>
    </row>
    <row r="2543" spans="1:13" x14ac:dyDescent="0.25">
      <c r="A2543" s="24"/>
      <c r="B2543" s="20"/>
      <c r="C2543" s="20"/>
      <c r="D2543" s="14" t="str">
        <f>IF($C2543="","",IFERROR(INDEX(Productos!$B$5:$B$504,MATCH($C2543,Productos!$A$5:$A$504,0)),"Clave no existe"))</f>
        <v/>
      </c>
      <c r="E2543" s="14" t="str">
        <f>IF($C2543="","",IFERROR(INDEX(Productos!$D$5:$D$504,MATCH($C2543,Productos!$A$5:$A$504,0)),""))</f>
        <v/>
      </c>
      <c r="F2543" s="20"/>
      <c r="G2543" s="22" t="str">
        <f>IF($C2543="","",IFERROR(INDEX(Productos!$F$5:$F$504,MATCH($C2543,Productos!$A$5:$A$504,0)),0))</f>
        <v/>
      </c>
      <c r="H2543" s="22" t="str">
        <f t="shared" si="39"/>
        <v/>
      </c>
      <c r="I2543" s="14" t="str">
        <f>IF(OR($C2543="",$F2543=""),"",IFERROR(INDEX(Productos!$I$5:$I$504,MATCH($C2543,Productos!$A$5:$A$504,0)),0)+SUMIFS($F$5:$F2543,$C$5:$C2543,$C2543,$B$5:$B2543,"Entrada")-SUMIFS($F$5:$F2543,$C$5:$C2543,$C2543,$B$5:$B2543,"Salida"))</f>
        <v/>
      </c>
      <c r="J2543" s="20"/>
      <c r="K2543" s="20"/>
      <c r="L2543" s="20"/>
      <c r="M2543" s="14" t="str">
        <f>IF(AND($C2543&lt;&gt;"",$C2543=Kardex!$C$4),COUNTIF($C$5:$C2543,Kardex!$C$4),"")</f>
        <v/>
      </c>
    </row>
    <row r="2544" spans="1:13" x14ac:dyDescent="0.25">
      <c r="A2544" s="24"/>
      <c r="B2544" s="20"/>
      <c r="C2544" s="20"/>
      <c r="D2544" s="14" t="str">
        <f>IF($C2544="","",IFERROR(INDEX(Productos!$B$5:$B$504,MATCH($C2544,Productos!$A$5:$A$504,0)),"Clave no existe"))</f>
        <v/>
      </c>
      <c r="E2544" s="14" t="str">
        <f>IF($C2544="","",IFERROR(INDEX(Productos!$D$5:$D$504,MATCH($C2544,Productos!$A$5:$A$504,0)),""))</f>
        <v/>
      </c>
      <c r="F2544" s="20"/>
      <c r="G2544" s="22" t="str">
        <f>IF($C2544="","",IFERROR(INDEX(Productos!$F$5:$F$504,MATCH($C2544,Productos!$A$5:$A$504,0)),0))</f>
        <v/>
      </c>
      <c r="H2544" s="22" t="str">
        <f t="shared" si="39"/>
        <v/>
      </c>
      <c r="I2544" s="14" t="str">
        <f>IF(OR($C2544="",$F2544=""),"",IFERROR(INDEX(Productos!$I$5:$I$504,MATCH($C2544,Productos!$A$5:$A$504,0)),0)+SUMIFS($F$5:$F2544,$C$5:$C2544,$C2544,$B$5:$B2544,"Entrada")-SUMIFS($F$5:$F2544,$C$5:$C2544,$C2544,$B$5:$B2544,"Salida"))</f>
        <v/>
      </c>
      <c r="J2544" s="20"/>
      <c r="K2544" s="20"/>
      <c r="L2544" s="20"/>
      <c r="M2544" s="14" t="str">
        <f>IF(AND($C2544&lt;&gt;"",$C2544=Kardex!$C$4),COUNTIF($C$5:$C2544,Kardex!$C$4),"")</f>
        <v/>
      </c>
    </row>
    <row r="2545" spans="1:13" x14ac:dyDescent="0.25">
      <c r="A2545" s="24"/>
      <c r="B2545" s="20"/>
      <c r="C2545" s="20"/>
      <c r="D2545" s="14" t="str">
        <f>IF($C2545="","",IFERROR(INDEX(Productos!$B$5:$B$504,MATCH($C2545,Productos!$A$5:$A$504,0)),"Clave no existe"))</f>
        <v/>
      </c>
      <c r="E2545" s="14" t="str">
        <f>IF($C2545="","",IFERROR(INDEX(Productos!$D$5:$D$504,MATCH($C2545,Productos!$A$5:$A$504,0)),""))</f>
        <v/>
      </c>
      <c r="F2545" s="20"/>
      <c r="G2545" s="22" t="str">
        <f>IF($C2545="","",IFERROR(INDEX(Productos!$F$5:$F$504,MATCH($C2545,Productos!$A$5:$A$504,0)),0))</f>
        <v/>
      </c>
      <c r="H2545" s="22" t="str">
        <f t="shared" si="39"/>
        <v/>
      </c>
      <c r="I2545" s="14" t="str">
        <f>IF(OR($C2545="",$F2545=""),"",IFERROR(INDEX(Productos!$I$5:$I$504,MATCH($C2545,Productos!$A$5:$A$504,0)),0)+SUMIFS($F$5:$F2545,$C$5:$C2545,$C2545,$B$5:$B2545,"Entrada")-SUMIFS($F$5:$F2545,$C$5:$C2545,$C2545,$B$5:$B2545,"Salida"))</f>
        <v/>
      </c>
      <c r="J2545" s="20"/>
      <c r="K2545" s="20"/>
      <c r="L2545" s="20"/>
      <c r="M2545" s="14" t="str">
        <f>IF(AND($C2545&lt;&gt;"",$C2545=Kardex!$C$4),COUNTIF($C$5:$C2545,Kardex!$C$4),"")</f>
        <v/>
      </c>
    </row>
    <row r="2546" spans="1:13" x14ac:dyDescent="0.25">
      <c r="A2546" s="24"/>
      <c r="B2546" s="20"/>
      <c r="C2546" s="20"/>
      <c r="D2546" s="14" t="str">
        <f>IF($C2546="","",IFERROR(INDEX(Productos!$B$5:$B$504,MATCH($C2546,Productos!$A$5:$A$504,0)),"Clave no existe"))</f>
        <v/>
      </c>
      <c r="E2546" s="14" t="str">
        <f>IF($C2546="","",IFERROR(INDEX(Productos!$D$5:$D$504,MATCH($C2546,Productos!$A$5:$A$504,0)),""))</f>
        <v/>
      </c>
      <c r="F2546" s="20"/>
      <c r="G2546" s="22" t="str">
        <f>IF($C2546="","",IFERROR(INDEX(Productos!$F$5:$F$504,MATCH($C2546,Productos!$A$5:$A$504,0)),0))</f>
        <v/>
      </c>
      <c r="H2546" s="22" t="str">
        <f t="shared" si="39"/>
        <v/>
      </c>
      <c r="I2546" s="14" t="str">
        <f>IF(OR($C2546="",$F2546=""),"",IFERROR(INDEX(Productos!$I$5:$I$504,MATCH($C2546,Productos!$A$5:$A$504,0)),0)+SUMIFS($F$5:$F2546,$C$5:$C2546,$C2546,$B$5:$B2546,"Entrada")-SUMIFS($F$5:$F2546,$C$5:$C2546,$C2546,$B$5:$B2546,"Salida"))</f>
        <v/>
      </c>
      <c r="J2546" s="20"/>
      <c r="K2546" s="20"/>
      <c r="L2546" s="20"/>
      <c r="M2546" s="14" t="str">
        <f>IF(AND($C2546&lt;&gt;"",$C2546=Kardex!$C$4),COUNTIF($C$5:$C2546,Kardex!$C$4),"")</f>
        <v/>
      </c>
    </row>
    <row r="2547" spans="1:13" x14ac:dyDescent="0.25">
      <c r="A2547" s="24"/>
      <c r="B2547" s="20"/>
      <c r="C2547" s="20"/>
      <c r="D2547" s="14" t="str">
        <f>IF($C2547="","",IFERROR(INDEX(Productos!$B$5:$B$504,MATCH($C2547,Productos!$A$5:$A$504,0)),"Clave no existe"))</f>
        <v/>
      </c>
      <c r="E2547" s="14" t="str">
        <f>IF($C2547="","",IFERROR(INDEX(Productos!$D$5:$D$504,MATCH($C2547,Productos!$A$5:$A$504,0)),""))</f>
        <v/>
      </c>
      <c r="F2547" s="20"/>
      <c r="G2547" s="22" t="str">
        <f>IF($C2547="","",IFERROR(INDEX(Productos!$F$5:$F$504,MATCH($C2547,Productos!$A$5:$A$504,0)),0))</f>
        <v/>
      </c>
      <c r="H2547" s="22" t="str">
        <f t="shared" si="39"/>
        <v/>
      </c>
      <c r="I2547" s="14" t="str">
        <f>IF(OR($C2547="",$F2547=""),"",IFERROR(INDEX(Productos!$I$5:$I$504,MATCH($C2547,Productos!$A$5:$A$504,0)),0)+SUMIFS($F$5:$F2547,$C$5:$C2547,$C2547,$B$5:$B2547,"Entrada")-SUMIFS($F$5:$F2547,$C$5:$C2547,$C2547,$B$5:$B2547,"Salida"))</f>
        <v/>
      </c>
      <c r="J2547" s="20"/>
      <c r="K2547" s="20"/>
      <c r="L2547" s="20"/>
      <c r="M2547" s="14" t="str">
        <f>IF(AND($C2547&lt;&gt;"",$C2547=Kardex!$C$4),COUNTIF($C$5:$C2547,Kardex!$C$4),"")</f>
        <v/>
      </c>
    </row>
    <row r="2548" spans="1:13" x14ac:dyDescent="0.25">
      <c r="A2548" s="24"/>
      <c r="B2548" s="20"/>
      <c r="C2548" s="20"/>
      <c r="D2548" s="14" t="str">
        <f>IF($C2548="","",IFERROR(INDEX(Productos!$B$5:$B$504,MATCH($C2548,Productos!$A$5:$A$504,0)),"Clave no existe"))</f>
        <v/>
      </c>
      <c r="E2548" s="14" t="str">
        <f>IF($C2548="","",IFERROR(INDEX(Productos!$D$5:$D$504,MATCH($C2548,Productos!$A$5:$A$504,0)),""))</f>
        <v/>
      </c>
      <c r="F2548" s="20"/>
      <c r="G2548" s="22" t="str">
        <f>IF($C2548="","",IFERROR(INDEX(Productos!$F$5:$F$504,MATCH($C2548,Productos!$A$5:$A$504,0)),0))</f>
        <v/>
      </c>
      <c r="H2548" s="22" t="str">
        <f t="shared" si="39"/>
        <v/>
      </c>
      <c r="I2548" s="14" t="str">
        <f>IF(OR($C2548="",$F2548=""),"",IFERROR(INDEX(Productos!$I$5:$I$504,MATCH($C2548,Productos!$A$5:$A$504,0)),0)+SUMIFS($F$5:$F2548,$C$5:$C2548,$C2548,$B$5:$B2548,"Entrada")-SUMIFS($F$5:$F2548,$C$5:$C2548,$C2548,$B$5:$B2548,"Salida"))</f>
        <v/>
      </c>
      <c r="J2548" s="20"/>
      <c r="K2548" s="20"/>
      <c r="L2548" s="20"/>
      <c r="M2548" s="14" t="str">
        <f>IF(AND($C2548&lt;&gt;"",$C2548=Kardex!$C$4),COUNTIF($C$5:$C2548,Kardex!$C$4),"")</f>
        <v/>
      </c>
    </row>
    <row r="2549" spans="1:13" x14ac:dyDescent="0.25">
      <c r="A2549" s="24"/>
      <c r="B2549" s="20"/>
      <c r="C2549" s="20"/>
      <c r="D2549" s="14" t="str">
        <f>IF($C2549="","",IFERROR(INDEX(Productos!$B$5:$B$504,MATCH($C2549,Productos!$A$5:$A$504,0)),"Clave no existe"))</f>
        <v/>
      </c>
      <c r="E2549" s="14" t="str">
        <f>IF($C2549="","",IFERROR(INDEX(Productos!$D$5:$D$504,MATCH($C2549,Productos!$A$5:$A$504,0)),""))</f>
        <v/>
      </c>
      <c r="F2549" s="20"/>
      <c r="G2549" s="22" t="str">
        <f>IF($C2549="","",IFERROR(INDEX(Productos!$F$5:$F$504,MATCH($C2549,Productos!$A$5:$A$504,0)),0))</f>
        <v/>
      </c>
      <c r="H2549" s="22" t="str">
        <f t="shared" si="39"/>
        <v/>
      </c>
      <c r="I2549" s="14" t="str">
        <f>IF(OR($C2549="",$F2549=""),"",IFERROR(INDEX(Productos!$I$5:$I$504,MATCH($C2549,Productos!$A$5:$A$504,0)),0)+SUMIFS($F$5:$F2549,$C$5:$C2549,$C2549,$B$5:$B2549,"Entrada")-SUMIFS($F$5:$F2549,$C$5:$C2549,$C2549,$B$5:$B2549,"Salida"))</f>
        <v/>
      </c>
      <c r="J2549" s="20"/>
      <c r="K2549" s="20"/>
      <c r="L2549" s="20"/>
      <c r="M2549" s="14" t="str">
        <f>IF(AND($C2549&lt;&gt;"",$C2549=Kardex!$C$4),COUNTIF($C$5:$C2549,Kardex!$C$4),"")</f>
        <v/>
      </c>
    </row>
    <row r="2550" spans="1:13" x14ac:dyDescent="0.25">
      <c r="A2550" s="24"/>
      <c r="B2550" s="20"/>
      <c r="C2550" s="20"/>
      <c r="D2550" s="14" t="str">
        <f>IF($C2550="","",IFERROR(INDEX(Productos!$B$5:$B$504,MATCH($C2550,Productos!$A$5:$A$504,0)),"Clave no existe"))</f>
        <v/>
      </c>
      <c r="E2550" s="14" t="str">
        <f>IF($C2550="","",IFERROR(INDEX(Productos!$D$5:$D$504,MATCH($C2550,Productos!$A$5:$A$504,0)),""))</f>
        <v/>
      </c>
      <c r="F2550" s="20"/>
      <c r="G2550" s="22" t="str">
        <f>IF($C2550="","",IFERROR(INDEX(Productos!$F$5:$F$504,MATCH($C2550,Productos!$A$5:$A$504,0)),0))</f>
        <v/>
      </c>
      <c r="H2550" s="22" t="str">
        <f t="shared" si="39"/>
        <v/>
      </c>
      <c r="I2550" s="14" t="str">
        <f>IF(OR($C2550="",$F2550=""),"",IFERROR(INDEX(Productos!$I$5:$I$504,MATCH($C2550,Productos!$A$5:$A$504,0)),0)+SUMIFS($F$5:$F2550,$C$5:$C2550,$C2550,$B$5:$B2550,"Entrada")-SUMIFS($F$5:$F2550,$C$5:$C2550,$C2550,$B$5:$B2550,"Salida"))</f>
        <v/>
      </c>
      <c r="J2550" s="20"/>
      <c r="K2550" s="20"/>
      <c r="L2550" s="20"/>
      <c r="M2550" s="14" t="str">
        <f>IF(AND($C2550&lt;&gt;"",$C2550=Kardex!$C$4),COUNTIF($C$5:$C2550,Kardex!$C$4),"")</f>
        <v/>
      </c>
    </row>
    <row r="2551" spans="1:13" x14ac:dyDescent="0.25">
      <c r="A2551" s="24"/>
      <c r="B2551" s="20"/>
      <c r="C2551" s="20"/>
      <c r="D2551" s="14" t="str">
        <f>IF($C2551="","",IFERROR(INDEX(Productos!$B$5:$B$504,MATCH($C2551,Productos!$A$5:$A$504,0)),"Clave no existe"))</f>
        <v/>
      </c>
      <c r="E2551" s="14" t="str">
        <f>IF($C2551="","",IFERROR(INDEX(Productos!$D$5:$D$504,MATCH($C2551,Productos!$A$5:$A$504,0)),""))</f>
        <v/>
      </c>
      <c r="F2551" s="20"/>
      <c r="G2551" s="22" t="str">
        <f>IF($C2551="","",IFERROR(INDEX(Productos!$F$5:$F$504,MATCH($C2551,Productos!$A$5:$A$504,0)),0))</f>
        <v/>
      </c>
      <c r="H2551" s="22" t="str">
        <f t="shared" si="39"/>
        <v/>
      </c>
      <c r="I2551" s="14" t="str">
        <f>IF(OR($C2551="",$F2551=""),"",IFERROR(INDEX(Productos!$I$5:$I$504,MATCH($C2551,Productos!$A$5:$A$504,0)),0)+SUMIFS($F$5:$F2551,$C$5:$C2551,$C2551,$B$5:$B2551,"Entrada")-SUMIFS($F$5:$F2551,$C$5:$C2551,$C2551,$B$5:$B2551,"Salida"))</f>
        <v/>
      </c>
      <c r="J2551" s="20"/>
      <c r="K2551" s="20"/>
      <c r="L2551" s="20"/>
      <c r="M2551" s="14" t="str">
        <f>IF(AND($C2551&lt;&gt;"",$C2551=Kardex!$C$4),COUNTIF($C$5:$C2551,Kardex!$C$4),"")</f>
        <v/>
      </c>
    </row>
    <row r="2552" spans="1:13" x14ac:dyDescent="0.25">
      <c r="A2552" s="24"/>
      <c r="B2552" s="20"/>
      <c r="C2552" s="20"/>
      <c r="D2552" s="14" t="str">
        <f>IF($C2552="","",IFERROR(INDEX(Productos!$B$5:$B$504,MATCH($C2552,Productos!$A$5:$A$504,0)),"Clave no existe"))</f>
        <v/>
      </c>
      <c r="E2552" s="14" t="str">
        <f>IF($C2552="","",IFERROR(INDEX(Productos!$D$5:$D$504,MATCH($C2552,Productos!$A$5:$A$504,0)),""))</f>
        <v/>
      </c>
      <c r="F2552" s="20"/>
      <c r="G2552" s="22" t="str">
        <f>IF($C2552="","",IFERROR(INDEX(Productos!$F$5:$F$504,MATCH($C2552,Productos!$A$5:$A$504,0)),0))</f>
        <v/>
      </c>
      <c r="H2552" s="22" t="str">
        <f t="shared" si="39"/>
        <v/>
      </c>
      <c r="I2552" s="14" t="str">
        <f>IF(OR($C2552="",$F2552=""),"",IFERROR(INDEX(Productos!$I$5:$I$504,MATCH($C2552,Productos!$A$5:$A$504,0)),0)+SUMIFS($F$5:$F2552,$C$5:$C2552,$C2552,$B$5:$B2552,"Entrada")-SUMIFS($F$5:$F2552,$C$5:$C2552,$C2552,$B$5:$B2552,"Salida"))</f>
        <v/>
      </c>
      <c r="J2552" s="20"/>
      <c r="K2552" s="20"/>
      <c r="L2552" s="20"/>
      <c r="M2552" s="14" t="str">
        <f>IF(AND($C2552&lt;&gt;"",$C2552=Kardex!$C$4),COUNTIF($C$5:$C2552,Kardex!$C$4),"")</f>
        <v/>
      </c>
    </row>
    <row r="2553" spans="1:13" x14ac:dyDescent="0.25">
      <c r="A2553" s="24"/>
      <c r="B2553" s="20"/>
      <c r="C2553" s="20"/>
      <c r="D2553" s="14" t="str">
        <f>IF($C2553="","",IFERROR(INDEX(Productos!$B$5:$B$504,MATCH($C2553,Productos!$A$5:$A$504,0)),"Clave no existe"))</f>
        <v/>
      </c>
      <c r="E2553" s="14" t="str">
        <f>IF($C2553="","",IFERROR(INDEX(Productos!$D$5:$D$504,MATCH($C2553,Productos!$A$5:$A$504,0)),""))</f>
        <v/>
      </c>
      <c r="F2553" s="20"/>
      <c r="G2553" s="22" t="str">
        <f>IF($C2553="","",IFERROR(INDEX(Productos!$F$5:$F$504,MATCH($C2553,Productos!$A$5:$A$504,0)),0))</f>
        <v/>
      </c>
      <c r="H2553" s="22" t="str">
        <f t="shared" si="39"/>
        <v/>
      </c>
      <c r="I2553" s="14" t="str">
        <f>IF(OR($C2553="",$F2553=""),"",IFERROR(INDEX(Productos!$I$5:$I$504,MATCH($C2553,Productos!$A$5:$A$504,0)),0)+SUMIFS($F$5:$F2553,$C$5:$C2553,$C2553,$B$5:$B2553,"Entrada")-SUMIFS($F$5:$F2553,$C$5:$C2553,$C2553,$B$5:$B2553,"Salida"))</f>
        <v/>
      </c>
      <c r="J2553" s="20"/>
      <c r="K2553" s="20"/>
      <c r="L2553" s="20"/>
      <c r="M2553" s="14" t="str">
        <f>IF(AND($C2553&lt;&gt;"",$C2553=Kardex!$C$4),COUNTIF($C$5:$C2553,Kardex!$C$4),"")</f>
        <v/>
      </c>
    </row>
    <row r="2554" spans="1:13" x14ac:dyDescent="0.25">
      <c r="A2554" s="24"/>
      <c r="B2554" s="20"/>
      <c r="C2554" s="20"/>
      <c r="D2554" s="14" t="str">
        <f>IF($C2554="","",IFERROR(INDEX(Productos!$B$5:$B$504,MATCH($C2554,Productos!$A$5:$A$504,0)),"Clave no existe"))</f>
        <v/>
      </c>
      <c r="E2554" s="14" t="str">
        <f>IF($C2554="","",IFERROR(INDEX(Productos!$D$5:$D$504,MATCH($C2554,Productos!$A$5:$A$504,0)),""))</f>
        <v/>
      </c>
      <c r="F2554" s="20"/>
      <c r="G2554" s="22" t="str">
        <f>IF($C2554="","",IFERROR(INDEX(Productos!$F$5:$F$504,MATCH($C2554,Productos!$A$5:$A$504,0)),0))</f>
        <v/>
      </c>
      <c r="H2554" s="22" t="str">
        <f t="shared" si="39"/>
        <v/>
      </c>
      <c r="I2554" s="14" t="str">
        <f>IF(OR($C2554="",$F2554=""),"",IFERROR(INDEX(Productos!$I$5:$I$504,MATCH($C2554,Productos!$A$5:$A$504,0)),0)+SUMIFS($F$5:$F2554,$C$5:$C2554,$C2554,$B$5:$B2554,"Entrada")-SUMIFS($F$5:$F2554,$C$5:$C2554,$C2554,$B$5:$B2554,"Salida"))</f>
        <v/>
      </c>
      <c r="J2554" s="20"/>
      <c r="K2554" s="20"/>
      <c r="L2554" s="20"/>
      <c r="M2554" s="14" t="str">
        <f>IF(AND($C2554&lt;&gt;"",$C2554=Kardex!$C$4),COUNTIF($C$5:$C2554,Kardex!$C$4),"")</f>
        <v/>
      </c>
    </row>
    <row r="2555" spans="1:13" x14ac:dyDescent="0.25">
      <c r="A2555" s="24"/>
      <c r="B2555" s="20"/>
      <c r="C2555" s="20"/>
      <c r="D2555" s="14" t="str">
        <f>IF($C2555="","",IFERROR(INDEX(Productos!$B$5:$B$504,MATCH($C2555,Productos!$A$5:$A$504,0)),"Clave no existe"))</f>
        <v/>
      </c>
      <c r="E2555" s="14" t="str">
        <f>IF($C2555="","",IFERROR(INDEX(Productos!$D$5:$D$504,MATCH($C2555,Productos!$A$5:$A$504,0)),""))</f>
        <v/>
      </c>
      <c r="F2555" s="20"/>
      <c r="G2555" s="22" t="str">
        <f>IF($C2555="","",IFERROR(INDEX(Productos!$F$5:$F$504,MATCH($C2555,Productos!$A$5:$A$504,0)),0))</f>
        <v/>
      </c>
      <c r="H2555" s="22" t="str">
        <f t="shared" si="39"/>
        <v/>
      </c>
      <c r="I2555" s="14" t="str">
        <f>IF(OR($C2555="",$F2555=""),"",IFERROR(INDEX(Productos!$I$5:$I$504,MATCH($C2555,Productos!$A$5:$A$504,0)),0)+SUMIFS($F$5:$F2555,$C$5:$C2555,$C2555,$B$5:$B2555,"Entrada")-SUMIFS($F$5:$F2555,$C$5:$C2555,$C2555,$B$5:$B2555,"Salida"))</f>
        <v/>
      </c>
      <c r="J2555" s="20"/>
      <c r="K2555" s="20"/>
      <c r="L2555" s="20"/>
      <c r="M2555" s="14" t="str">
        <f>IF(AND($C2555&lt;&gt;"",$C2555=Kardex!$C$4),COUNTIF($C$5:$C2555,Kardex!$C$4),"")</f>
        <v/>
      </c>
    </row>
    <row r="2556" spans="1:13" x14ac:dyDescent="0.25">
      <c r="A2556" s="24"/>
      <c r="B2556" s="20"/>
      <c r="C2556" s="20"/>
      <c r="D2556" s="14" t="str">
        <f>IF($C2556="","",IFERROR(INDEX(Productos!$B$5:$B$504,MATCH($C2556,Productos!$A$5:$A$504,0)),"Clave no existe"))</f>
        <v/>
      </c>
      <c r="E2556" s="14" t="str">
        <f>IF($C2556="","",IFERROR(INDEX(Productos!$D$5:$D$504,MATCH($C2556,Productos!$A$5:$A$504,0)),""))</f>
        <v/>
      </c>
      <c r="F2556" s="20"/>
      <c r="G2556" s="22" t="str">
        <f>IF($C2556="","",IFERROR(INDEX(Productos!$F$5:$F$504,MATCH($C2556,Productos!$A$5:$A$504,0)),0))</f>
        <v/>
      </c>
      <c r="H2556" s="22" t="str">
        <f t="shared" si="39"/>
        <v/>
      </c>
      <c r="I2556" s="14" t="str">
        <f>IF(OR($C2556="",$F2556=""),"",IFERROR(INDEX(Productos!$I$5:$I$504,MATCH($C2556,Productos!$A$5:$A$504,0)),0)+SUMIFS($F$5:$F2556,$C$5:$C2556,$C2556,$B$5:$B2556,"Entrada")-SUMIFS($F$5:$F2556,$C$5:$C2556,$C2556,$B$5:$B2556,"Salida"))</f>
        <v/>
      </c>
      <c r="J2556" s="20"/>
      <c r="K2556" s="20"/>
      <c r="L2556" s="20"/>
      <c r="M2556" s="14" t="str">
        <f>IF(AND($C2556&lt;&gt;"",$C2556=Kardex!$C$4),COUNTIF($C$5:$C2556,Kardex!$C$4),"")</f>
        <v/>
      </c>
    </row>
    <row r="2557" spans="1:13" x14ac:dyDescent="0.25">
      <c r="A2557" s="24"/>
      <c r="B2557" s="20"/>
      <c r="C2557" s="20"/>
      <c r="D2557" s="14" t="str">
        <f>IF($C2557="","",IFERROR(INDEX(Productos!$B$5:$B$504,MATCH($C2557,Productos!$A$5:$A$504,0)),"Clave no existe"))</f>
        <v/>
      </c>
      <c r="E2557" s="14" t="str">
        <f>IF($C2557="","",IFERROR(INDEX(Productos!$D$5:$D$504,MATCH($C2557,Productos!$A$5:$A$504,0)),""))</f>
        <v/>
      </c>
      <c r="F2557" s="20"/>
      <c r="G2557" s="22" t="str">
        <f>IF($C2557="","",IFERROR(INDEX(Productos!$F$5:$F$504,MATCH($C2557,Productos!$A$5:$A$504,0)),0))</f>
        <v/>
      </c>
      <c r="H2557" s="22" t="str">
        <f t="shared" si="39"/>
        <v/>
      </c>
      <c r="I2557" s="14" t="str">
        <f>IF(OR($C2557="",$F2557=""),"",IFERROR(INDEX(Productos!$I$5:$I$504,MATCH($C2557,Productos!$A$5:$A$504,0)),0)+SUMIFS($F$5:$F2557,$C$5:$C2557,$C2557,$B$5:$B2557,"Entrada")-SUMIFS($F$5:$F2557,$C$5:$C2557,$C2557,$B$5:$B2557,"Salida"))</f>
        <v/>
      </c>
      <c r="J2557" s="20"/>
      <c r="K2557" s="20"/>
      <c r="L2557" s="20"/>
      <c r="M2557" s="14" t="str">
        <f>IF(AND($C2557&lt;&gt;"",$C2557=Kardex!$C$4),COUNTIF($C$5:$C2557,Kardex!$C$4),"")</f>
        <v/>
      </c>
    </row>
    <row r="2558" spans="1:13" x14ac:dyDescent="0.25">
      <c r="A2558" s="24"/>
      <c r="B2558" s="20"/>
      <c r="C2558" s="20"/>
      <c r="D2558" s="14" t="str">
        <f>IF($C2558="","",IFERROR(INDEX(Productos!$B$5:$B$504,MATCH($C2558,Productos!$A$5:$A$504,0)),"Clave no existe"))</f>
        <v/>
      </c>
      <c r="E2558" s="14" t="str">
        <f>IF($C2558="","",IFERROR(INDEX(Productos!$D$5:$D$504,MATCH($C2558,Productos!$A$5:$A$504,0)),""))</f>
        <v/>
      </c>
      <c r="F2558" s="20"/>
      <c r="G2558" s="22" t="str">
        <f>IF($C2558="","",IFERROR(INDEX(Productos!$F$5:$F$504,MATCH($C2558,Productos!$A$5:$A$504,0)),0))</f>
        <v/>
      </c>
      <c r="H2558" s="22" t="str">
        <f t="shared" si="39"/>
        <v/>
      </c>
      <c r="I2558" s="14" t="str">
        <f>IF(OR($C2558="",$F2558=""),"",IFERROR(INDEX(Productos!$I$5:$I$504,MATCH($C2558,Productos!$A$5:$A$504,0)),0)+SUMIFS($F$5:$F2558,$C$5:$C2558,$C2558,$B$5:$B2558,"Entrada")-SUMIFS($F$5:$F2558,$C$5:$C2558,$C2558,$B$5:$B2558,"Salida"))</f>
        <v/>
      </c>
      <c r="J2558" s="20"/>
      <c r="K2558" s="20"/>
      <c r="L2558" s="20"/>
      <c r="M2558" s="14" t="str">
        <f>IF(AND($C2558&lt;&gt;"",$C2558=Kardex!$C$4),COUNTIF($C$5:$C2558,Kardex!$C$4),"")</f>
        <v/>
      </c>
    </row>
    <row r="2559" spans="1:13" x14ac:dyDescent="0.25">
      <c r="A2559" s="24"/>
      <c r="B2559" s="20"/>
      <c r="C2559" s="20"/>
      <c r="D2559" s="14" t="str">
        <f>IF($C2559="","",IFERROR(INDEX(Productos!$B$5:$B$504,MATCH($C2559,Productos!$A$5:$A$504,0)),"Clave no existe"))</f>
        <v/>
      </c>
      <c r="E2559" s="14" t="str">
        <f>IF($C2559="","",IFERROR(INDEX(Productos!$D$5:$D$504,MATCH($C2559,Productos!$A$5:$A$504,0)),""))</f>
        <v/>
      </c>
      <c r="F2559" s="20"/>
      <c r="G2559" s="22" t="str">
        <f>IF($C2559="","",IFERROR(INDEX(Productos!$F$5:$F$504,MATCH($C2559,Productos!$A$5:$A$504,0)),0))</f>
        <v/>
      </c>
      <c r="H2559" s="22" t="str">
        <f t="shared" si="39"/>
        <v/>
      </c>
      <c r="I2559" s="14" t="str">
        <f>IF(OR($C2559="",$F2559=""),"",IFERROR(INDEX(Productos!$I$5:$I$504,MATCH($C2559,Productos!$A$5:$A$504,0)),0)+SUMIFS($F$5:$F2559,$C$5:$C2559,$C2559,$B$5:$B2559,"Entrada")-SUMIFS($F$5:$F2559,$C$5:$C2559,$C2559,$B$5:$B2559,"Salida"))</f>
        <v/>
      </c>
      <c r="J2559" s="20"/>
      <c r="K2559" s="20"/>
      <c r="L2559" s="20"/>
      <c r="M2559" s="14" t="str">
        <f>IF(AND($C2559&lt;&gt;"",$C2559=Kardex!$C$4),COUNTIF($C$5:$C2559,Kardex!$C$4),"")</f>
        <v/>
      </c>
    </row>
    <row r="2560" spans="1:13" x14ac:dyDescent="0.25">
      <c r="A2560" s="24"/>
      <c r="B2560" s="20"/>
      <c r="C2560" s="20"/>
      <c r="D2560" s="14" t="str">
        <f>IF($C2560="","",IFERROR(INDEX(Productos!$B$5:$B$504,MATCH($C2560,Productos!$A$5:$A$504,0)),"Clave no existe"))</f>
        <v/>
      </c>
      <c r="E2560" s="14" t="str">
        <f>IF($C2560="","",IFERROR(INDEX(Productos!$D$5:$D$504,MATCH($C2560,Productos!$A$5:$A$504,0)),""))</f>
        <v/>
      </c>
      <c r="F2560" s="20"/>
      <c r="G2560" s="22" t="str">
        <f>IF($C2560="","",IFERROR(INDEX(Productos!$F$5:$F$504,MATCH($C2560,Productos!$A$5:$A$504,0)),0))</f>
        <v/>
      </c>
      <c r="H2560" s="22" t="str">
        <f t="shared" si="39"/>
        <v/>
      </c>
      <c r="I2560" s="14" t="str">
        <f>IF(OR($C2560="",$F2560=""),"",IFERROR(INDEX(Productos!$I$5:$I$504,MATCH($C2560,Productos!$A$5:$A$504,0)),0)+SUMIFS($F$5:$F2560,$C$5:$C2560,$C2560,$B$5:$B2560,"Entrada")-SUMIFS($F$5:$F2560,$C$5:$C2560,$C2560,$B$5:$B2560,"Salida"))</f>
        <v/>
      </c>
      <c r="J2560" s="20"/>
      <c r="K2560" s="20"/>
      <c r="L2560" s="20"/>
      <c r="M2560" s="14" t="str">
        <f>IF(AND($C2560&lt;&gt;"",$C2560=Kardex!$C$4),COUNTIF($C$5:$C2560,Kardex!$C$4),"")</f>
        <v/>
      </c>
    </row>
    <row r="2561" spans="1:13" x14ac:dyDescent="0.25">
      <c r="A2561" s="24"/>
      <c r="B2561" s="20"/>
      <c r="C2561" s="20"/>
      <c r="D2561" s="14" t="str">
        <f>IF($C2561="","",IFERROR(INDEX(Productos!$B$5:$B$504,MATCH($C2561,Productos!$A$5:$A$504,0)),"Clave no existe"))</f>
        <v/>
      </c>
      <c r="E2561" s="14" t="str">
        <f>IF($C2561="","",IFERROR(INDEX(Productos!$D$5:$D$504,MATCH($C2561,Productos!$A$5:$A$504,0)),""))</f>
        <v/>
      </c>
      <c r="F2561" s="20"/>
      <c r="G2561" s="22" t="str">
        <f>IF($C2561="","",IFERROR(INDEX(Productos!$F$5:$F$504,MATCH($C2561,Productos!$A$5:$A$504,0)),0))</f>
        <v/>
      </c>
      <c r="H2561" s="22" t="str">
        <f t="shared" si="39"/>
        <v/>
      </c>
      <c r="I2561" s="14" t="str">
        <f>IF(OR($C2561="",$F2561=""),"",IFERROR(INDEX(Productos!$I$5:$I$504,MATCH($C2561,Productos!$A$5:$A$504,0)),0)+SUMIFS($F$5:$F2561,$C$5:$C2561,$C2561,$B$5:$B2561,"Entrada")-SUMIFS($F$5:$F2561,$C$5:$C2561,$C2561,$B$5:$B2561,"Salida"))</f>
        <v/>
      </c>
      <c r="J2561" s="20"/>
      <c r="K2561" s="20"/>
      <c r="L2561" s="20"/>
      <c r="M2561" s="14" t="str">
        <f>IF(AND($C2561&lt;&gt;"",$C2561=Kardex!$C$4),COUNTIF($C$5:$C2561,Kardex!$C$4),"")</f>
        <v/>
      </c>
    </row>
    <row r="2562" spans="1:13" x14ac:dyDescent="0.25">
      <c r="A2562" s="24"/>
      <c r="B2562" s="20"/>
      <c r="C2562" s="20"/>
      <c r="D2562" s="14" t="str">
        <f>IF($C2562="","",IFERROR(INDEX(Productos!$B$5:$B$504,MATCH($C2562,Productos!$A$5:$A$504,0)),"Clave no existe"))</f>
        <v/>
      </c>
      <c r="E2562" s="14" t="str">
        <f>IF($C2562="","",IFERROR(INDEX(Productos!$D$5:$D$504,MATCH($C2562,Productos!$A$5:$A$504,0)),""))</f>
        <v/>
      </c>
      <c r="F2562" s="20"/>
      <c r="G2562" s="22" t="str">
        <f>IF($C2562="","",IFERROR(INDEX(Productos!$F$5:$F$504,MATCH($C2562,Productos!$A$5:$A$504,0)),0))</f>
        <v/>
      </c>
      <c r="H2562" s="22" t="str">
        <f t="shared" si="39"/>
        <v/>
      </c>
      <c r="I2562" s="14" t="str">
        <f>IF(OR($C2562="",$F2562=""),"",IFERROR(INDEX(Productos!$I$5:$I$504,MATCH($C2562,Productos!$A$5:$A$504,0)),0)+SUMIFS($F$5:$F2562,$C$5:$C2562,$C2562,$B$5:$B2562,"Entrada")-SUMIFS($F$5:$F2562,$C$5:$C2562,$C2562,$B$5:$B2562,"Salida"))</f>
        <v/>
      </c>
      <c r="J2562" s="20"/>
      <c r="K2562" s="20"/>
      <c r="L2562" s="20"/>
      <c r="M2562" s="14" t="str">
        <f>IF(AND($C2562&lt;&gt;"",$C2562=Kardex!$C$4),COUNTIF($C$5:$C2562,Kardex!$C$4),"")</f>
        <v/>
      </c>
    </row>
    <row r="2563" spans="1:13" x14ac:dyDescent="0.25">
      <c r="A2563" s="24"/>
      <c r="B2563" s="20"/>
      <c r="C2563" s="20"/>
      <c r="D2563" s="14" t="str">
        <f>IF($C2563="","",IFERROR(INDEX(Productos!$B$5:$B$504,MATCH($C2563,Productos!$A$5:$A$504,0)),"Clave no existe"))</f>
        <v/>
      </c>
      <c r="E2563" s="14" t="str">
        <f>IF($C2563="","",IFERROR(INDEX(Productos!$D$5:$D$504,MATCH($C2563,Productos!$A$5:$A$504,0)),""))</f>
        <v/>
      </c>
      <c r="F2563" s="20"/>
      <c r="G2563" s="22" t="str">
        <f>IF($C2563="","",IFERROR(INDEX(Productos!$F$5:$F$504,MATCH($C2563,Productos!$A$5:$A$504,0)),0))</f>
        <v/>
      </c>
      <c r="H2563" s="22" t="str">
        <f t="shared" si="39"/>
        <v/>
      </c>
      <c r="I2563" s="14" t="str">
        <f>IF(OR($C2563="",$F2563=""),"",IFERROR(INDEX(Productos!$I$5:$I$504,MATCH($C2563,Productos!$A$5:$A$504,0)),0)+SUMIFS($F$5:$F2563,$C$5:$C2563,$C2563,$B$5:$B2563,"Entrada")-SUMIFS($F$5:$F2563,$C$5:$C2563,$C2563,$B$5:$B2563,"Salida"))</f>
        <v/>
      </c>
      <c r="J2563" s="20"/>
      <c r="K2563" s="20"/>
      <c r="L2563" s="20"/>
      <c r="M2563" s="14" t="str">
        <f>IF(AND($C2563&lt;&gt;"",$C2563=Kardex!$C$4),COUNTIF($C$5:$C2563,Kardex!$C$4),"")</f>
        <v/>
      </c>
    </row>
    <row r="2564" spans="1:13" x14ac:dyDescent="0.25">
      <c r="A2564" s="24"/>
      <c r="B2564" s="20"/>
      <c r="C2564" s="20"/>
      <c r="D2564" s="14" t="str">
        <f>IF($C2564="","",IFERROR(INDEX(Productos!$B$5:$B$504,MATCH($C2564,Productos!$A$5:$A$504,0)),"Clave no existe"))</f>
        <v/>
      </c>
      <c r="E2564" s="14" t="str">
        <f>IF($C2564="","",IFERROR(INDEX(Productos!$D$5:$D$504,MATCH($C2564,Productos!$A$5:$A$504,0)),""))</f>
        <v/>
      </c>
      <c r="F2564" s="20"/>
      <c r="G2564" s="22" t="str">
        <f>IF($C2564="","",IFERROR(INDEX(Productos!$F$5:$F$504,MATCH($C2564,Productos!$A$5:$A$504,0)),0))</f>
        <v/>
      </c>
      <c r="H2564" s="22" t="str">
        <f t="shared" si="39"/>
        <v/>
      </c>
      <c r="I2564" s="14" t="str">
        <f>IF(OR($C2564="",$F2564=""),"",IFERROR(INDEX(Productos!$I$5:$I$504,MATCH($C2564,Productos!$A$5:$A$504,0)),0)+SUMIFS($F$5:$F2564,$C$5:$C2564,$C2564,$B$5:$B2564,"Entrada")-SUMIFS($F$5:$F2564,$C$5:$C2564,$C2564,$B$5:$B2564,"Salida"))</f>
        <v/>
      </c>
      <c r="J2564" s="20"/>
      <c r="K2564" s="20"/>
      <c r="L2564" s="20"/>
      <c r="M2564" s="14" t="str">
        <f>IF(AND($C2564&lt;&gt;"",$C2564=Kardex!$C$4),COUNTIF($C$5:$C2564,Kardex!$C$4),"")</f>
        <v/>
      </c>
    </row>
    <row r="2565" spans="1:13" x14ac:dyDescent="0.25">
      <c r="A2565" s="24"/>
      <c r="B2565" s="20"/>
      <c r="C2565" s="20"/>
      <c r="D2565" s="14" t="str">
        <f>IF($C2565="","",IFERROR(INDEX(Productos!$B$5:$B$504,MATCH($C2565,Productos!$A$5:$A$504,0)),"Clave no existe"))</f>
        <v/>
      </c>
      <c r="E2565" s="14" t="str">
        <f>IF($C2565="","",IFERROR(INDEX(Productos!$D$5:$D$504,MATCH($C2565,Productos!$A$5:$A$504,0)),""))</f>
        <v/>
      </c>
      <c r="F2565" s="20"/>
      <c r="G2565" s="22" t="str">
        <f>IF($C2565="","",IFERROR(INDEX(Productos!$F$5:$F$504,MATCH($C2565,Productos!$A$5:$A$504,0)),0))</f>
        <v/>
      </c>
      <c r="H2565" s="22" t="str">
        <f t="shared" ref="H2565:H2628" si="40">IF(OR($C2565="",$F2565=""),"",F2565*G2565)</f>
        <v/>
      </c>
      <c r="I2565" s="14" t="str">
        <f>IF(OR($C2565="",$F2565=""),"",IFERROR(INDEX(Productos!$I$5:$I$504,MATCH($C2565,Productos!$A$5:$A$504,0)),0)+SUMIFS($F$5:$F2565,$C$5:$C2565,$C2565,$B$5:$B2565,"Entrada")-SUMIFS($F$5:$F2565,$C$5:$C2565,$C2565,$B$5:$B2565,"Salida"))</f>
        <v/>
      </c>
      <c r="J2565" s="20"/>
      <c r="K2565" s="20"/>
      <c r="L2565" s="20"/>
      <c r="M2565" s="14" t="str">
        <f>IF(AND($C2565&lt;&gt;"",$C2565=Kardex!$C$4),COUNTIF($C$5:$C2565,Kardex!$C$4),"")</f>
        <v/>
      </c>
    </row>
    <row r="2566" spans="1:13" x14ac:dyDescent="0.25">
      <c r="A2566" s="24"/>
      <c r="B2566" s="20"/>
      <c r="C2566" s="20"/>
      <c r="D2566" s="14" t="str">
        <f>IF($C2566="","",IFERROR(INDEX(Productos!$B$5:$B$504,MATCH($C2566,Productos!$A$5:$A$504,0)),"Clave no existe"))</f>
        <v/>
      </c>
      <c r="E2566" s="14" t="str">
        <f>IF($C2566="","",IFERROR(INDEX(Productos!$D$5:$D$504,MATCH($C2566,Productos!$A$5:$A$504,0)),""))</f>
        <v/>
      </c>
      <c r="F2566" s="20"/>
      <c r="G2566" s="22" t="str">
        <f>IF($C2566="","",IFERROR(INDEX(Productos!$F$5:$F$504,MATCH($C2566,Productos!$A$5:$A$504,0)),0))</f>
        <v/>
      </c>
      <c r="H2566" s="22" t="str">
        <f t="shared" si="40"/>
        <v/>
      </c>
      <c r="I2566" s="14" t="str">
        <f>IF(OR($C2566="",$F2566=""),"",IFERROR(INDEX(Productos!$I$5:$I$504,MATCH($C2566,Productos!$A$5:$A$504,0)),0)+SUMIFS($F$5:$F2566,$C$5:$C2566,$C2566,$B$5:$B2566,"Entrada")-SUMIFS($F$5:$F2566,$C$5:$C2566,$C2566,$B$5:$B2566,"Salida"))</f>
        <v/>
      </c>
      <c r="J2566" s="20"/>
      <c r="K2566" s="20"/>
      <c r="L2566" s="20"/>
      <c r="M2566" s="14" t="str">
        <f>IF(AND($C2566&lt;&gt;"",$C2566=Kardex!$C$4),COUNTIF($C$5:$C2566,Kardex!$C$4),"")</f>
        <v/>
      </c>
    </row>
    <row r="2567" spans="1:13" x14ac:dyDescent="0.25">
      <c r="A2567" s="24"/>
      <c r="B2567" s="20"/>
      <c r="C2567" s="20"/>
      <c r="D2567" s="14" t="str">
        <f>IF($C2567="","",IFERROR(INDEX(Productos!$B$5:$B$504,MATCH($C2567,Productos!$A$5:$A$504,0)),"Clave no existe"))</f>
        <v/>
      </c>
      <c r="E2567" s="14" t="str">
        <f>IF($C2567="","",IFERROR(INDEX(Productos!$D$5:$D$504,MATCH($C2567,Productos!$A$5:$A$504,0)),""))</f>
        <v/>
      </c>
      <c r="F2567" s="20"/>
      <c r="G2567" s="22" t="str">
        <f>IF($C2567="","",IFERROR(INDEX(Productos!$F$5:$F$504,MATCH($C2567,Productos!$A$5:$A$504,0)),0))</f>
        <v/>
      </c>
      <c r="H2567" s="22" t="str">
        <f t="shared" si="40"/>
        <v/>
      </c>
      <c r="I2567" s="14" t="str">
        <f>IF(OR($C2567="",$F2567=""),"",IFERROR(INDEX(Productos!$I$5:$I$504,MATCH($C2567,Productos!$A$5:$A$504,0)),0)+SUMIFS($F$5:$F2567,$C$5:$C2567,$C2567,$B$5:$B2567,"Entrada")-SUMIFS($F$5:$F2567,$C$5:$C2567,$C2567,$B$5:$B2567,"Salida"))</f>
        <v/>
      </c>
      <c r="J2567" s="20"/>
      <c r="K2567" s="20"/>
      <c r="L2567" s="20"/>
      <c r="M2567" s="14" t="str">
        <f>IF(AND($C2567&lt;&gt;"",$C2567=Kardex!$C$4),COUNTIF($C$5:$C2567,Kardex!$C$4),"")</f>
        <v/>
      </c>
    </row>
    <row r="2568" spans="1:13" x14ac:dyDescent="0.25">
      <c r="A2568" s="24"/>
      <c r="B2568" s="20"/>
      <c r="C2568" s="20"/>
      <c r="D2568" s="14" t="str">
        <f>IF($C2568="","",IFERROR(INDEX(Productos!$B$5:$B$504,MATCH($C2568,Productos!$A$5:$A$504,0)),"Clave no existe"))</f>
        <v/>
      </c>
      <c r="E2568" s="14" t="str">
        <f>IF($C2568="","",IFERROR(INDEX(Productos!$D$5:$D$504,MATCH($C2568,Productos!$A$5:$A$504,0)),""))</f>
        <v/>
      </c>
      <c r="F2568" s="20"/>
      <c r="G2568" s="22" t="str">
        <f>IF($C2568="","",IFERROR(INDEX(Productos!$F$5:$F$504,MATCH($C2568,Productos!$A$5:$A$504,0)),0))</f>
        <v/>
      </c>
      <c r="H2568" s="22" t="str">
        <f t="shared" si="40"/>
        <v/>
      </c>
      <c r="I2568" s="14" t="str">
        <f>IF(OR($C2568="",$F2568=""),"",IFERROR(INDEX(Productos!$I$5:$I$504,MATCH($C2568,Productos!$A$5:$A$504,0)),0)+SUMIFS($F$5:$F2568,$C$5:$C2568,$C2568,$B$5:$B2568,"Entrada")-SUMIFS($F$5:$F2568,$C$5:$C2568,$C2568,$B$5:$B2568,"Salida"))</f>
        <v/>
      </c>
      <c r="J2568" s="20"/>
      <c r="K2568" s="20"/>
      <c r="L2568" s="20"/>
      <c r="M2568" s="14" t="str">
        <f>IF(AND($C2568&lt;&gt;"",$C2568=Kardex!$C$4),COUNTIF($C$5:$C2568,Kardex!$C$4),"")</f>
        <v/>
      </c>
    </row>
    <row r="2569" spans="1:13" x14ac:dyDescent="0.25">
      <c r="A2569" s="24"/>
      <c r="B2569" s="20"/>
      <c r="C2569" s="20"/>
      <c r="D2569" s="14" t="str">
        <f>IF($C2569="","",IFERROR(INDEX(Productos!$B$5:$B$504,MATCH($C2569,Productos!$A$5:$A$504,0)),"Clave no existe"))</f>
        <v/>
      </c>
      <c r="E2569" s="14" t="str">
        <f>IF($C2569="","",IFERROR(INDEX(Productos!$D$5:$D$504,MATCH($C2569,Productos!$A$5:$A$504,0)),""))</f>
        <v/>
      </c>
      <c r="F2569" s="20"/>
      <c r="G2569" s="22" t="str">
        <f>IF($C2569="","",IFERROR(INDEX(Productos!$F$5:$F$504,MATCH($C2569,Productos!$A$5:$A$504,0)),0))</f>
        <v/>
      </c>
      <c r="H2569" s="22" t="str">
        <f t="shared" si="40"/>
        <v/>
      </c>
      <c r="I2569" s="14" t="str">
        <f>IF(OR($C2569="",$F2569=""),"",IFERROR(INDEX(Productos!$I$5:$I$504,MATCH($C2569,Productos!$A$5:$A$504,0)),0)+SUMIFS($F$5:$F2569,$C$5:$C2569,$C2569,$B$5:$B2569,"Entrada")-SUMIFS($F$5:$F2569,$C$5:$C2569,$C2569,$B$5:$B2569,"Salida"))</f>
        <v/>
      </c>
      <c r="J2569" s="20"/>
      <c r="K2569" s="20"/>
      <c r="L2569" s="20"/>
      <c r="M2569" s="14" t="str">
        <f>IF(AND($C2569&lt;&gt;"",$C2569=Kardex!$C$4),COUNTIF($C$5:$C2569,Kardex!$C$4),"")</f>
        <v/>
      </c>
    </row>
    <row r="2570" spans="1:13" x14ac:dyDescent="0.25">
      <c r="A2570" s="24"/>
      <c r="B2570" s="20"/>
      <c r="C2570" s="20"/>
      <c r="D2570" s="14" t="str">
        <f>IF($C2570="","",IFERROR(INDEX(Productos!$B$5:$B$504,MATCH($C2570,Productos!$A$5:$A$504,0)),"Clave no existe"))</f>
        <v/>
      </c>
      <c r="E2570" s="14" t="str">
        <f>IF($C2570="","",IFERROR(INDEX(Productos!$D$5:$D$504,MATCH($C2570,Productos!$A$5:$A$504,0)),""))</f>
        <v/>
      </c>
      <c r="F2570" s="20"/>
      <c r="G2570" s="22" t="str">
        <f>IF($C2570="","",IFERROR(INDEX(Productos!$F$5:$F$504,MATCH($C2570,Productos!$A$5:$A$504,0)),0))</f>
        <v/>
      </c>
      <c r="H2570" s="22" t="str">
        <f t="shared" si="40"/>
        <v/>
      </c>
      <c r="I2570" s="14" t="str">
        <f>IF(OR($C2570="",$F2570=""),"",IFERROR(INDEX(Productos!$I$5:$I$504,MATCH($C2570,Productos!$A$5:$A$504,0)),0)+SUMIFS($F$5:$F2570,$C$5:$C2570,$C2570,$B$5:$B2570,"Entrada")-SUMIFS($F$5:$F2570,$C$5:$C2570,$C2570,$B$5:$B2570,"Salida"))</f>
        <v/>
      </c>
      <c r="J2570" s="20"/>
      <c r="K2570" s="20"/>
      <c r="L2570" s="20"/>
      <c r="M2570" s="14" t="str">
        <f>IF(AND($C2570&lt;&gt;"",$C2570=Kardex!$C$4),COUNTIF($C$5:$C2570,Kardex!$C$4),"")</f>
        <v/>
      </c>
    </row>
    <row r="2571" spans="1:13" x14ac:dyDescent="0.25">
      <c r="A2571" s="24"/>
      <c r="B2571" s="20"/>
      <c r="C2571" s="20"/>
      <c r="D2571" s="14" t="str">
        <f>IF($C2571="","",IFERROR(INDEX(Productos!$B$5:$B$504,MATCH($C2571,Productos!$A$5:$A$504,0)),"Clave no existe"))</f>
        <v/>
      </c>
      <c r="E2571" s="14" t="str">
        <f>IF($C2571="","",IFERROR(INDEX(Productos!$D$5:$D$504,MATCH($C2571,Productos!$A$5:$A$504,0)),""))</f>
        <v/>
      </c>
      <c r="F2571" s="20"/>
      <c r="G2571" s="22" t="str">
        <f>IF($C2571="","",IFERROR(INDEX(Productos!$F$5:$F$504,MATCH($C2571,Productos!$A$5:$A$504,0)),0))</f>
        <v/>
      </c>
      <c r="H2571" s="22" t="str">
        <f t="shared" si="40"/>
        <v/>
      </c>
      <c r="I2571" s="14" t="str">
        <f>IF(OR($C2571="",$F2571=""),"",IFERROR(INDEX(Productos!$I$5:$I$504,MATCH($C2571,Productos!$A$5:$A$504,0)),0)+SUMIFS($F$5:$F2571,$C$5:$C2571,$C2571,$B$5:$B2571,"Entrada")-SUMIFS($F$5:$F2571,$C$5:$C2571,$C2571,$B$5:$B2571,"Salida"))</f>
        <v/>
      </c>
      <c r="J2571" s="20"/>
      <c r="K2571" s="20"/>
      <c r="L2571" s="20"/>
      <c r="M2571" s="14" t="str">
        <f>IF(AND($C2571&lt;&gt;"",$C2571=Kardex!$C$4),COUNTIF($C$5:$C2571,Kardex!$C$4),"")</f>
        <v/>
      </c>
    </row>
    <row r="2572" spans="1:13" x14ac:dyDescent="0.25">
      <c r="A2572" s="24"/>
      <c r="B2572" s="20"/>
      <c r="C2572" s="20"/>
      <c r="D2572" s="14" t="str">
        <f>IF($C2572="","",IFERROR(INDEX(Productos!$B$5:$B$504,MATCH($C2572,Productos!$A$5:$A$504,0)),"Clave no existe"))</f>
        <v/>
      </c>
      <c r="E2572" s="14" t="str">
        <f>IF($C2572="","",IFERROR(INDEX(Productos!$D$5:$D$504,MATCH($C2572,Productos!$A$5:$A$504,0)),""))</f>
        <v/>
      </c>
      <c r="F2572" s="20"/>
      <c r="G2572" s="22" t="str">
        <f>IF($C2572="","",IFERROR(INDEX(Productos!$F$5:$F$504,MATCH($C2572,Productos!$A$5:$A$504,0)),0))</f>
        <v/>
      </c>
      <c r="H2572" s="22" t="str">
        <f t="shared" si="40"/>
        <v/>
      </c>
      <c r="I2572" s="14" t="str">
        <f>IF(OR($C2572="",$F2572=""),"",IFERROR(INDEX(Productos!$I$5:$I$504,MATCH($C2572,Productos!$A$5:$A$504,0)),0)+SUMIFS($F$5:$F2572,$C$5:$C2572,$C2572,$B$5:$B2572,"Entrada")-SUMIFS($F$5:$F2572,$C$5:$C2572,$C2572,$B$5:$B2572,"Salida"))</f>
        <v/>
      </c>
      <c r="J2572" s="20"/>
      <c r="K2572" s="20"/>
      <c r="L2572" s="20"/>
      <c r="M2572" s="14" t="str">
        <f>IF(AND($C2572&lt;&gt;"",$C2572=Kardex!$C$4),COUNTIF($C$5:$C2572,Kardex!$C$4),"")</f>
        <v/>
      </c>
    </row>
    <row r="2573" spans="1:13" x14ac:dyDescent="0.25">
      <c r="A2573" s="24"/>
      <c r="B2573" s="20"/>
      <c r="C2573" s="20"/>
      <c r="D2573" s="14" t="str">
        <f>IF($C2573="","",IFERROR(INDEX(Productos!$B$5:$B$504,MATCH($C2573,Productos!$A$5:$A$504,0)),"Clave no existe"))</f>
        <v/>
      </c>
      <c r="E2573" s="14" t="str">
        <f>IF($C2573="","",IFERROR(INDEX(Productos!$D$5:$D$504,MATCH($C2573,Productos!$A$5:$A$504,0)),""))</f>
        <v/>
      </c>
      <c r="F2573" s="20"/>
      <c r="G2573" s="22" t="str">
        <f>IF($C2573="","",IFERROR(INDEX(Productos!$F$5:$F$504,MATCH($C2573,Productos!$A$5:$A$504,0)),0))</f>
        <v/>
      </c>
      <c r="H2573" s="22" t="str">
        <f t="shared" si="40"/>
        <v/>
      </c>
      <c r="I2573" s="14" t="str">
        <f>IF(OR($C2573="",$F2573=""),"",IFERROR(INDEX(Productos!$I$5:$I$504,MATCH($C2573,Productos!$A$5:$A$504,0)),0)+SUMIFS($F$5:$F2573,$C$5:$C2573,$C2573,$B$5:$B2573,"Entrada")-SUMIFS($F$5:$F2573,$C$5:$C2573,$C2573,$B$5:$B2573,"Salida"))</f>
        <v/>
      </c>
      <c r="J2573" s="20"/>
      <c r="K2573" s="20"/>
      <c r="L2573" s="20"/>
      <c r="M2573" s="14" t="str">
        <f>IF(AND($C2573&lt;&gt;"",$C2573=Kardex!$C$4),COUNTIF($C$5:$C2573,Kardex!$C$4),"")</f>
        <v/>
      </c>
    </row>
    <row r="2574" spans="1:13" x14ac:dyDescent="0.25">
      <c r="A2574" s="24"/>
      <c r="B2574" s="20"/>
      <c r="C2574" s="20"/>
      <c r="D2574" s="14" t="str">
        <f>IF($C2574="","",IFERROR(INDEX(Productos!$B$5:$B$504,MATCH($C2574,Productos!$A$5:$A$504,0)),"Clave no existe"))</f>
        <v/>
      </c>
      <c r="E2574" s="14" t="str">
        <f>IF($C2574="","",IFERROR(INDEX(Productos!$D$5:$D$504,MATCH($C2574,Productos!$A$5:$A$504,0)),""))</f>
        <v/>
      </c>
      <c r="F2574" s="20"/>
      <c r="G2574" s="22" t="str">
        <f>IF($C2574="","",IFERROR(INDEX(Productos!$F$5:$F$504,MATCH($C2574,Productos!$A$5:$A$504,0)),0))</f>
        <v/>
      </c>
      <c r="H2574" s="22" t="str">
        <f t="shared" si="40"/>
        <v/>
      </c>
      <c r="I2574" s="14" t="str">
        <f>IF(OR($C2574="",$F2574=""),"",IFERROR(INDEX(Productos!$I$5:$I$504,MATCH($C2574,Productos!$A$5:$A$504,0)),0)+SUMIFS($F$5:$F2574,$C$5:$C2574,$C2574,$B$5:$B2574,"Entrada")-SUMIFS($F$5:$F2574,$C$5:$C2574,$C2574,$B$5:$B2574,"Salida"))</f>
        <v/>
      </c>
      <c r="J2574" s="20"/>
      <c r="K2574" s="20"/>
      <c r="L2574" s="20"/>
      <c r="M2574" s="14" t="str">
        <f>IF(AND($C2574&lt;&gt;"",$C2574=Kardex!$C$4),COUNTIF($C$5:$C2574,Kardex!$C$4),"")</f>
        <v/>
      </c>
    </row>
    <row r="2575" spans="1:13" x14ac:dyDescent="0.25">
      <c r="A2575" s="24"/>
      <c r="B2575" s="20"/>
      <c r="C2575" s="20"/>
      <c r="D2575" s="14" t="str">
        <f>IF($C2575="","",IFERROR(INDEX(Productos!$B$5:$B$504,MATCH($C2575,Productos!$A$5:$A$504,0)),"Clave no existe"))</f>
        <v/>
      </c>
      <c r="E2575" s="14" t="str">
        <f>IF($C2575="","",IFERROR(INDEX(Productos!$D$5:$D$504,MATCH($C2575,Productos!$A$5:$A$504,0)),""))</f>
        <v/>
      </c>
      <c r="F2575" s="20"/>
      <c r="G2575" s="22" t="str">
        <f>IF($C2575="","",IFERROR(INDEX(Productos!$F$5:$F$504,MATCH($C2575,Productos!$A$5:$A$504,0)),0))</f>
        <v/>
      </c>
      <c r="H2575" s="22" t="str">
        <f t="shared" si="40"/>
        <v/>
      </c>
      <c r="I2575" s="14" t="str">
        <f>IF(OR($C2575="",$F2575=""),"",IFERROR(INDEX(Productos!$I$5:$I$504,MATCH($C2575,Productos!$A$5:$A$504,0)),0)+SUMIFS($F$5:$F2575,$C$5:$C2575,$C2575,$B$5:$B2575,"Entrada")-SUMIFS($F$5:$F2575,$C$5:$C2575,$C2575,$B$5:$B2575,"Salida"))</f>
        <v/>
      </c>
      <c r="J2575" s="20"/>
      <c r="K2575" s="20"/>
      <c r="L2575" s="20"/>
      <c r="M2575" s="14" t="str">
        <f>IF(AND($C2575&lt;&gt;"",$C2575=Kardex!$C$4),COUNTIF($C$5:$C2575,Kardex!$C$4),"")</f>
        <v/>
      </c>
    </row>
    <row r="2576" spans="1:13" x14ac:dyDescent="0.25">
      <c r="A2576" s="24"/>
      <c r="B2576" s="20"/>
      <c r="C2576" s="20"/>
      <c r="D2576" s="14" t="str">
        <f>IF($C2576="","",IFERROR(INDEX(Productos!$B$5:$B$504,MATCH($C2576,Productos!$A$5:$A$504,0)),"Clave no existe"))</f>
        <v/>
      </c>
      <c r="E2576" s="14" t="str">
        <f>IF($C2576="","",IFERROR(INDEX(Productos!$D$5:$D$504,MATCH($C2576,Productos!$A$5:$A$504,0)),""))</f>
        <v/>
      </c>
      <c r="F2576" s="20"/>
      <c r="G2576" s="22" t="str">
        <f>IF($C2576="","",IFERROR(INDEX(Productos!$F$5:$F$504,MATCH($C2576,Productos!$A$5:$A$504,0)),0))</f>
        <v/>
      </c>
      <c r="H2576" s="22" t="str">
        <f t="shared" si="40"/>
        <v/>
      </c>
      <c r="I2576" s="14" t="str">
        <f>IF(OR($C2576="",$F2576=""),"",IFERROR(INDEX(Productos!$I$5:$I$504,MATCH($C2576,Productos!$A$5:$A$504,0)),0)+SUMIFS($F$5:$F2576,$C$5:$C2576,$C2576,$B$5:$B2576,"Entrada")-SUMIFS($F$5:$F2576,$C$5:$C2576,$C2576,$B$5:$B2576,"Salida"))</f>
        <v/>
      </c>
      <c r="J2576" s="20"/>
      <c r="K2576" s="20"/>
      <c r="L2576" s="20"/>
      <c r="M2576" s="14" t="str">
        <f>IF(AND($C2576&lt;&gt;"",$C2576=Kardex!$C$4),COUNTIF($C$5:$C2576,Kardex!$C$4),"")</f>
        <v/>
      </c>
    </row>
    <row r="2577" spans="1:13" x14ac:dyDescent="0.25">
      <c r="A2577" s="24"/>
      <c r="B2577" s="20"/>
      <c r="C2577" s="20"/>
      <c r="D2577" s="14" t="str">
        <f>IF($C2577="","",IFERROR(INDEX(Productos!$B$5:$B$504,MATCH($C2577,Productos!$A$5:$A$504,0)),"Clave no existe"))</f>
        <v/>
      </c>
      <c r="E2577" s="14" t="str">
        <f>IF($C2577="","",IFERROR(INDEX(Productos!$D$5:$D$504,MATCH($C2577,Productos!$A$5:$A$504,0)),""))</f>
        <v/>
      </c>
      <c r="F2577" s="20"/>
      <c r="G2577" s="22" t="str">
        <f>IF($C2577="","",IFERROR(INDEX(Productos!$F$5:$F$504,MATCH($C2577,Productos!$A$5:$A$504,0)),0))</f>
        <v/>
      </c>
      <c r="H2577" s="22" t="str">
        <f t="shared" si="40"/>
        <v/>
      </c>
      <c r="I2577" s="14" t="str">
        <f>IF(OR($C2577="",$F2577=""),"",IFERROR(INDEX(Productos!$I$5:$I$504,MATCH($C2577,Productos!$A$5:$A$504,0)),0)+SUMIFS($F$5:$F2577,$C$5:$C2577,$C2577,$B$5:$B2577,"Entrada")-SUMIFS($F$5:$F2577,$C$5:$C2577,$C2577,$B$5:$B2577,"Salida"))</f>
        <v/>
      </c>
      <c r="J2577" s="20"/>
      <c r="K2577" s="20"/>
      <c r="L2577" s="20"/>
      <c r="M2577" s="14" t="str">
        <f>IF(AND($C2577&lt;&gt;"",$C2577=Kardex!$C$4),COUNTIF($C$5:$C2577,Kardex!$C$4),"")</f>
        <v/>
      </c>
    </row>
    <row r="2578" spans="1:13" x14ac:dyDescent="0.25">
      <c r="A2578" s="24"/>
      <c r="B2578" s="20"/>
      <c r="C2578" s="20"/>
      <c r="D2578" s="14" t="str">
        <f>IF($C2578="","",IFERROR(INDEX(Productos!$B$5:$B$504,MATCH($C2578,Productos!$A$5:$A$504,0)),"Clave no existe"))</f>
        <v/>
      </c>
      <c r="E2578" s="14" t="str">
        <f>IF($C2578="","",IFERROR(INDEX(Productos!$D$5:$D$504,MATCH($C2578,Productos!$A$5:$A$504,0)),""))</f>
        <v/>
      </c>
      <c r="F2578" s="20"/>
      <c r="G2578" s="22" t="str">
        <f>IF($C2578="","",IFERROR(INDEX(Productos!$F$5:$F$504,MATCH($C2578,Productos!$A$5:$A$504,0)),0))</f>
        <v/>
      </c>
      <c r="H2578" s="22" t="str">
        <f t="shared" si="40"/>
        <v/>
      </c>
      <c r="I2578" s="14" t="str">
        <f>IF(OR($C2578="",$F2578=""),"",IFERROR(INDEX(Productos!$I$5:$I$504,MATCH($C2578,Productos!$A$5:$A$504,0)),0)+SUMIFS($F$5:$F2578,$C$5:$C2578,$C2578,$B$5:$B2578,"Entrada")-SUMIFS($F$5:$F2578,$C$5:$C2578,$C2578,$B$5:$B2578,"Salida"))</f>
        <v/>
      </c>
      <c r="J2578" s="20"/>
      <c r="K2578" s="20"/>
      <c r="L2578" s="20"/>
      <c r="M2578" s="14" t="str">
        <f>IF(AND($C2578&lt;&gt;"",$C2578=Kardex!$C$4),COUNTIF($C$5:$C2578,Kardex!$C$4),"")</f>
        <v/>
      </c>
    </row>
    <row r="2579" spans="1:13" x14ac:dyDescent="0.25">
      <c r="A2579" s="24"/>
      <c r="B2579" s="20"/>
      <c r="C2579" s="20"/>
      <c r="D2579" s="14" t="str">
        <f>IF($C2579="","",IFERROR(INDEX(Productos!$B$5:$B$504,MATCH($C2579,Productos!$A$5:$A$504,0)),"Clave no existe"))</f>
        <v/>
      </c>
      <c r="E2579" s="14" t="str">
        <f>IF($C2579="","",IFERROR(INDEX(Productos!$D$5:$D$504,MATCH($C2579,Productos!$A$5:$A$504,0)),""))</f>
        <v/>
      </c>
      <c r="F2579" s="20"/>
      <c r="G2579" s="22" t="str">
        <f>IF($C2579="","",IFERROR(INDEX(Productos!$F$5:$F$504,MATCH($C2579,Productos!$A$5:$A$504,0)),0))</f>
        <v/>
      </c>
      <c r="H2579" s="22" t="str">
        <f t="shared" si="40"/>
        <v/>
      </c>
      <c r="I2579" s="14" t="str">
        <f>IF(OR($C2579="",$F2579=""),"",IFERROR(INDEX(Productos!$I$5:$I$504,MATCH($C2579,Productos!$A$5:$A$504,0)),0)+SUMIFS($F$5:$F2579,$C$5:$C2579,$C2579,$B$5:$B2579,"Entrada")-SUMIFS($F$5:$F2579,$C$5:$C2579,$C2579,$B$5:$B2579,"Salida"))</f>
        <v/>
      </c>
      <c r="J2579" s="20"/>
      <c r="K2579" s="20"/>
      <c r="L2579" s="20"/>
      <c r="M2579" s="14" t="str">
        <f>IF(AND($C2579&lt;&gt;"",$C2579=Kardex!$C$4),COUNTIF($C$5:$C2579,Kardex!$C$4),"")</f>
        <v/>
      </c>
    </row>
    <row r="2580" spans="1:13" x14ac:dyDescent="0.25">
      <c r="A2580" s="24"/>
      <c r="B2580" s="20"/>
      <c r="C2580" s="20"/>
      <c r="D2580" s="14" t="str">
        <f>IF($C2580="","",IFERROR(INDEX(Productos!$B$5:$B$504,MATCH($C2580,Productos!$A$5:$A$504,0)),"Clave no existe"))</f>
        <v/>
      </c>
      <c r="E2580" s="14" t="str">
        <f>IF($C2580="","",IFERROR(INDEX(Productos!$D$5:$D$504,MATCH($C2580,Productos!$A$5:$A$504,0)),""))</f>
        <v/>
      </c>
      <c r="F2580" s="20"/>
      <c r="G2580" s="22" t="str">
        <f>IF($C2580="","",IFERROR(INDEX(Productos!$F$5:$F$504,MATCH($C2580,Productos!$A$5:$A$504,0)),0))</f>
        <v/>
      </c>
      <c r="H2580" s="22" t="str">
        <f t="shared" si="40"/>
        <v/>
      </c>
      <c r="I2580" s="14" t="str">
        <f>IF(OR($C2580="",$F2580=""),"",IFERROR(INDEX(Productos!$I$5:$I$504,MATCH($C2580,Productos!$A$5:$A$504,0)),0)+SUMIFS($F$5:$F2580,$C$5:$C2580,$C2580,$B$5:$B2580,"Entrada")-SUMIFS($F$5:$F2580,$C$5:$C2580,$C2580,$B$5:$B2580,"Salida"))</f>
        <v/>
      </c>
      <c r="J2580" s="20"/>
      <c r="K2580" s="20"/>
      <c r="L2580" s="20"/>
      <c r="M2580" s="14" t="str">
        <f>IF(AND($C2580&lt;&gt;"",$C2580=Kardex!$C$4),COUNTIF($C$5:$C2580,Kardex!$C$4),"")</f>
        <v/>
      </c>
    </row>
    <row r="2581" spans="1:13" x14ac:dyDescent="0.25">
      <c r="A2581" s="24"/>
      <c r="B2581" s="20"/>
      <c r="C2581" s="20"/>
      <c r="D2581" s="14" t="str">
        <f>IF($C2581="","",IFERROR(INDEX(Productos!$B$5:$B$504,MATCH($C2581,Productos!$A$5:$A$504,0)),"Clave no existe"))</f>
        <v/>
      </c>
      <c r="E2581" s="14" t="str">
        <f>IF($C2581="","",IFERROR(INDEX(Productos!$D$5:$D$504,MATCH($C2581,Productos!$A$5:$A$504,0)),""))</f>
        <v/>
      </c>
      <c r="F2581" s="20"/>
      <c r="G2581" s="22" t="str">
        <f>IF($C2581="","",IFERROR(INDEX(Productos!$F$5:$F$504,MATCH($C2581,Productos!$A$5:$A$504,0)),0))</f>
        <v/>
      </c>
      <c r="H2581" s="22" t="str">
        <f t="shared" si="40"/>
        <v/>
      </c>
      <c r="I2581" s="14" t="str">
        <f>IF(OR($C2581="",$F2581=""),"",IFERROR(INDEX(Productos!$I$5:$I$504,MATCH($C2581,Productos!$A$5:$A$504,0)),0)+SUMIFS($F$5:$F2581,$C$5:$C2581,$C2581,$B$5:$B2581,"Entrada")-SUMIFS($F$5:$F2581,$C$5:$C2581,$C2581,$B$5:$B2581,"Salida"))</f>
        <v/>
      </c>
      <c r="J2581" s="20"/>
      <c r="K2581" s="20"/>
      <c r="L2581" s="20"/>
      <c r="M2581" s="14" t="str">
        <f>IF(AND($C2581&lt;&gt;"",$C2581=Kardex!$C$4),COUNTIF($C$5:$C2581,Kardex!$C$4),"")</f>
        <v/>
      </c>
    </row>
    <row r="2582" spans="1:13" x14ac:dyDescent="0.25">
      <c r="A2582" s="24"/>
      <c r="B2582" s="20"/>
      <c r="C2582" s="20"/>
      <c r="D2582" s="14" t="str">
        <f>IF($C2582="","",IFERROR(INDEX(Productos!$B$5:$B$504,MATCH($C2582,Productos!$A$5:$A$504,0)),"Clave no existe"))</f>
        <v/>
      </c>
      <c r="E2582" s="14" t="str">
        <f>IF($C2582="","",IFERROR(INDEX(Productos!$D$5:$D$504,MATCH($C2582,Productos!$A$5:$A$504,0)),""))</f>
        <v/>
      </c>
      <c r="F2582" s="20"/>
      <c r="G2582" s="22" t="str">
        <f>IF($C2582="","",IFERROR(INDEX(Productos!$F$5:$F$504,MATCH($C2582,Productos!$A$5:$A$504,0)),0))</f>
        <v/>
      </c>
      <c r="H2582" s="22" t="str">
        <f t="shared" si="40"/>
        <v/>
      </c>
      <c r="I2582" s="14" t="str">
        <f>IF(OR($C2582="",$F2582=""),"",IFERROR(INDEX(Productos!$I$5:$I$504,MATCH($C2582,Productos!$A$5:$A$504,0)),0)+SUMIFS($F$5:$F2582,$C$5:$C2582,$C2582,$B$5:$B2582,"Entrada")-SUMIFS($F$5:$F2582,$C$5:$C2582,$C2582,$B$5:$B2582,"Salida"))</f>
        <v/>
      </c>
      <c r="J2582" s="20"/>
      <c r="K2582" s="20"/>
      <c r="L2582" s="20"/>
      <c r="M2582" s="14" t="str">
        <f>IF(AND($C2582&lt;&gt;"",$C2582=Kardex!$C$4),COUNTIF($C$5:$C2582,Kardex!$C$4),"")</f>
        <v/>
      </c>
    </row>
    <row r="2583" spans="1:13" x14ac:dyDescent="0.25">
      <c r="A2583" s="24"/>
      <c r="B2583" s="20"/>
      <c r="C2583" s="20"/>
      <c r="D2583" s="14" t="str">
        <f>IF($C2583="","",IFERROR(INDEX(Productos!$B$5:$B$504,MATCH($C2583,Productos!$A$5:$A$504,0)),"Clave no existe"))</f>
        <v/>
      </c>
      <c r="E2583" s="14" t="str">
        <f>IF($C2583="","",IFERROR(INDEX(Productos!$D$5:$D$504,MATCH($C2583,Productos!$A$5:$A$504,0)),""))</f>
        <v/>
      </c>
      <c r="F2583" s="20"/>
      <c r="G2583" s="22" t="str">
        <f>IF($C2583="","",IFERROR(INDEX(Productos!$F$5:$F$504,MATCH($C2583,Productos!$A$5:$A$504,0)),0))</f>
        <v/>
      </c>
      <c r="H2583" s="22" t="str">
        <f t="shared" si="40"/>
        <v/>
      </c>
      <c r="I2583" s="14" t="str">
        <f>IF(OR($C2583="",$F2583=""),"",IFERROR(INDEX(Productos!$I$5:$I$504,MATCH($C2583,Productos!$A$5:$A$504,0)),0)+SUMIFS($F$5:$F2583,$C$5:$C2583,$C2583,$B$5:$B2583,"Entrada")-SUMIFS($F$5:$F2583,$C$5:$C2583,$C2583,$B$5:$B2583,"Salida"))</f>
        <v/>
      </c>
      <c r="J2583" s="20"/>
      <c r="K2583" s="20"/>
      <c r="L2583" s="20"/>
      <c r="M2583" s="14" t="str">
        <f>IF(AND($C2583&lt;&gt;"",$C2583=Kardex!$C$4),COUNTIF($C$5:$C2583,Kardex!$C$4),"")</f>
        <v/>
      </c>
    </row>
    <row r="2584" spans="1:13" x14ac:dyDescent="0.25">
      <c r="A2584" s="24"/>
      <c r="B2584" s="20"/>
      <c r="C2584" s="20"/>
      <c r="D2584" s="14" t="str">
        <f>IF($C2584="","",IFERROR(INDEX(Productos!$B$5:$B$504,MATCH($C2584,Productos!$A$5:$A$504,0)),"Clave no existe"))</f>
        <v/>
      </c>
      <c r="E2584" s="14" t="str">
        <f>IF($C2584="","",IFERROR(INDEX(Productos!$D$5:$D$504,MATCH($C2584,Productos!$A$5:$A$504,0)),""))</f>
        <v/>
      </c>
      <c r="F2584" s="20"/>
      <c r="G2584" s="22" t="str">
        <f>IF($C2584="","",IFERROR(INDEX(Productos!$F$5:$F$504,MATCH($C2584,Productos!$A$5:$A$504,0)),0))</f>
        <v/>
      </c>
      <c r="H2584" s="22" t="str">
        <f t="shared" si="40"/>
        <v/>
      </c>
      <c r="I2584" s="14" t="str">
        <f>IF(OR($C2584="",$F2584=""),"",IFERROR(INDEX(Productos!$I$5:$I$504,MATCH($C2584,Productos!$A$5:$A$504,0)),0)+SUMIFS($F$5:$F2584,$C$5:$C2584,$C2584,$B$5:$B2584,"Entrada")-SUMIFS($F$5:$F2584,$C$5:$C2584,$C2584,$B$5:$B2584,"Salida"))</f>
        <v/>
      </c>
      <c r="J2584" s="20"/>
      <c r="K2584" s="20"/>
      <c r="L2584" s="20"/>
      <c r="M2584" s="14" t="str">
        <f>IF(AND($C2584&lt;&gt;"",$C2584=Kardex!$C$4),COUNTIF($C$5:$C2584,Kardex!$C$4),"")</f>
        <v/>
      </c>
    </row>
    <row r="2585" spans="1:13" x14ac:dyDescent="0.25">
      <c r="A2585" s="24"/>
      <c r="B2585" s="20"/>
      <c r="C2585" s="20"/>
      <c r="D2585" s="14" t="str">
        <f>IF($C2585="","",IFERROR(INDEX(Productos!$B$5:$B$504,MATCH($C2585,Productos!$A$5:$A$504,0)),"Clave no existe"))</f>
        <v/>
      </c>
      <c r="E2585" s="14" t="str">
        <f>IF($C2585="","",IFERROR(INDEX(Productos!$D$5:$D$504,MATCH($C2585,Productos!$A$5:$A$504,0)),""))</f>
        <v/>
      </c>
      <c r="F2585" s="20"/>
      <c r="G2585" s="22" t="str">
        <f>IF($C2585="","",IFERROR(INDEX(Productos!$F$5:$F$504,MATCH($C2585,Productos!$A$5:$A$504,0)),0))</f>
        <v/>
      </c>
      <c r="H2585" s="22" t="str">
        <f t="shared" si="40"/>
        <v/>
      </c>
      <c r="I2585" s="14" t="str">
        <f>IF(OR($C2585="",$F2585=""),"",IFERROR(INDEX(Productos!$I$5:$I$504,MATCH($C2585,Productos!$A$5:$A$504,0)),0)+SUMIFS($F$5:$F2585,$C$5:$C2585,$C2585,$B$5:$B2585,"Entrada")-SUMIFS($F$5:$F2585,$C$5:$C2585,$C2585,$B$5:$B2585,"Salida"))</f>
        <v/>
      </c>
      <c r="J2585" s="20"/>
      <c r="K2585" s="20"/>
      <c r="L2585" s="20"/>
      <c r="M2585" s="14" t="str">
        <f>IF(AND($C2585&lt;&gt;"",$C2585=Kardex!$C$4),COUNTIF($C$5:$C2585,Kardex!$C$4),"")</f>
        <v/>
      </c>
    </row>
    <row r="2586" spans="1:13" x14ac:dyDescent="0.25">
      <c r="A2586" s="24"/>
      <c r="B2586" s="20"/>
      <c r="C2586" s="20"/>
      <c r="D2586" s="14" t="str">
        <f>IF($C2586="","",IFERROR(INDEX(Productos!$B$5:$B$504,MATCH($C2586,Productos!$A$5:$A$504,0)),"Clave no existe"))</f>
        <v/>
      </c>
      <c r="E2586" s="14" t="str">
        <f>IF($C2586="","",IFERROR(INDEX(Productos!$D$5:$D$504,MATCH($C2586,Productos!$A$5:$A$504,0)),""))</f>
        <v/>
      </c>
      <c r="F2586" s="20"/>
      <c r="G2586" s="22" t="str">
        <f>IF($C2586="","",IFERROR(INDEX(Productos!$F$5:$F$504,MATCH($C2586,Productos!$A$5:$A$504,0)),0))</f>
        <v/>
      </c>
      <c r="H2586" s="22" t="str">
        <f t="shared" si="40"/>
        <v/>
      </c>
      <c r="I2586" s="14" t="str">
        <f>IF(OR($C2586="",$F2586=""),"",IFERROR(INDEX(Productos!$I$5:$I$504,MATCH($C2586,Productos!$A$5:$A$504,0)),0)+SUMIFS($F$5:$F2586,$C$5:$C2586,$C2586,$B$5:$B2586,"Entrada")-SUMIFS($F$5:$F2586,$C$5:$C2586,$C2586,$B$5:$B2586,"Salida"))</f>
        <v/>
      </c>
      <c r="J2586" s="20"/>
      <c r="K2586" s="20"/>
      <c r="L2586" s="20"/>
      <c r="M2586" s="14" t="str">
        <f>IF(AND($C2586&lt;&gt;"",$C2586=Kardex!$C$4),COUNTIF($C$5:$C2586,Kardex!$C$4),"")</f>
        <v/>
      </c>
    </row>
    <row r="2587" spans="1:13" x14ac:dyDescent="0.25">
      <c r="A2587" s="24"/>
      <c r="B2587" s="20"/>
      <c r="C2587" s="20"/>
      <c r="D2587" s="14" t="str">
        <f>IF($C2587="","",IFERROR(INDEX(Productos!$B$5:$B$504,MATCH($C2587,Productos!$A$5:$A$504,0)),"Clave no existe"))</f>
        <v/>
      </c>
      <c r="E2587" s="14" t="str">
        <f>IF($C2587="","",IFERROR(INDEX(Productos!$D$5:$D$504,MATCH($C2587,Productos!$A$5:$A$504,0)),""))</f>
        <v/>
      </c>
      <c r="F2587" s="20"/>
      <c r="G2587" s="22" t="str">
        <f>IF($C2587="","",IFERROR(INDEX(Productos!$F$5:$F$504,MATCH($C2587,Productos!$A$5:$A$504,0)),0))</f>
        <v/>
      </c>
      <c r="H2587" s="22" t="str">
        <f t="shared" si="40"/>
        <v/>
      </c>
      <c r="I2587" s="14" t="str">
        <f>IF(OR($C2587="",$F2587=""),"",IFERROR(INDEX(Productos!$I$5:$I$504,MATCH($C2587,Productos!$A$5:$A$504,0)),0)+SUMIFS($F$5:$F2587,$C$5:$C2587,$C2587,$B$5:$B2587,"Entrada")-SUMIFS($F$5:$F2587,$C$5:$C2587,$C2587,$B$5:$B2587,"Salida"))</f>
        <v/>
      </c>
      <c r="J2587" s="20"/>
      <c r="K2587" s="20"/>
      <c r="L2587" s="20"/>
      <c r="M2587" s="14" t="str">
        <f>IF(AND($C2587&lt;&gt;"",$C2587=Kardex!$C$4),COUNTIF($C$5:$C2587,Kardex!$C$4),"")</f>
        <v/>
      </c>
    </row>
    <row r="2588" spans="1:13" x14ac:dyDescent="0.25">
      <c r="A2588" s="24"/>
      <c r="B2588" s="20"/>
      <c r="C2588" s="20"/>
      <c r="D2588" s="14" t="str">
        <f>IF($C2588="","",IFERROR(INDEX(Productos!$B$5:$B$504,MATCH($C2588,Productos!$A$5:$A$504,0)),"Clave no existe"))</f>
        <v/>
      </c>
      <c r="E2588" s="14" t="str">
        <f>IF($C2588="","",IFERROR(INDEX(Productos!$D$5:$D$504,MATCH($C2588,Productos!$A$5:$A$504,0)),""))</f>
        <v/>
      </c>
      <c r="F2588" s="20"/>
      <c r="G2588" s="22" t="str">
        <f>IF($C2588="","",IFERROR(INDEX(Productos!$F$5:$F$504,MATCH($C2588,Productos!$A$5:$A$504,0)),0))</f>
        <v/>
      </c>
      <c r="H2588" s="22" t="str">
        <f t="shared" si="40"/>
        <v/>
      </c>
      <c r="I2588" s="14" t="str">
        <f>IF(OR($C2588="",$F2588=""),"",IFERROR(INDEX(Productos!$I$5:$I$504,MATCH($C2588,Productos!$A$5:$A$504,0)),0)+SUMIFS($F$5:$F2588,$C$5:$C2588,$C2588,$B$5:$B2588,"Entrada")-SUMIFS($F$5:$F2588,$C$5:$C2588,$C2588,$B$5:$B2588,"Salida"))</f>
        <v/>
      </c>
      <c r="J2588" s="20"/>
      <c r="K2588" s="20"/>
      <c r="L2588" s="20"/>
      <c r="M2588" s="14" t="str">
        <f>IF(AND($C2588&lt;&gt;"",$C2588=Kardex!$C$4),COUNTIF($C$5:$C2588,Kardex!$C$4),"")</f>
        <v/>
      </c>
    </row>
    <row r="2589" spans="1:13" x14ac:dyDescent="0.25">
      <c r="A2589" s="24"/>
      <c r="B2589" s="20"/>
      <c r="C2589" s="20"/>
      <c r="D2589" s="14" t="str">
        <f>IF($C2589="","",IFERROR(INDEX(Productos!$B$5:$B$504,MATCH($C2589,Productos!$A$5:$A$504,0)),"Clave no existe"))</f>
        <v/>
      </c>
      <c r="E2589" s="14" t="str">
        <f>IF($C2589="","",IFERROR(INDEX(Productos!$D$5:$D$504,MATCH($C2589,Productos!$A$5:$A$504,0)),""))</f>
        <v/>
      </c>
      <c r="F2589" s="20"/>
      <c r="G2589" s="22" t="str">
        <f>IF($C2589="","",IFERROR(INDEX(Productos!$F$5:$F$504,MATCH($C2589,Productos!$A$5:$A$504,0)),0))</f>
        <v/>
      </c>
      <c r="H2589" s="22" t="str">
        <f t="shared" si="40"/>
        <v/>
      </c>
      <c r="I2589" s="14" t="str">
        <f>IF(OR($C2589="",$F2589=""),"",IFERROR(INDEX(Productos!$I$5:$I$504,MATCH($C2589,Productos!$A$5:$A$504,0)),0)+SUMIFS($F$5:$F2589,$C$5:$C2589,$C2589,$B$5:$B2589,"Entrada")-SUMIFS($F$5:$F2589,$C$5:$C2589,$C2589,$B$5:$B2589,"Salida"))</f>
        <v/>
      </c>
      <c r="J2589" s="20"/>
      <c r="K2589" s="20"/>
      <c r="L2589" s="20"/>
      <c r="M2589" s="14" t="str">
        <f>IF(AND($C2589&lt;&gt;"",$C2589=Kardex!$C$4),COUNTIF($C$5:$C2589,Kardex!$C$4),"")</f>
        <v/>
      </c>
    </row>
    <row r="2590" spans="1:13" x14ac:dyDescent="0.25">
      <c r="A2590" s="24"/>
      <c r="B2590" s="20"/>
      <c r="C2590" s="20"/>
      <c r="D2590" s="14" t="str">
        <f>IF($C2590="","",IFERROR(INDEX(Productos!$B$5:$B$504,MATCH($C2590,Productos!$A$5:$A$504,0)),"Clave no existe"))</f>
        <v/>
      </c>
      <c r="E2590" s="14" t="str">
        <f>IF($C2590="","",IFERROR(INDEX(Productos!$D$5:$D$504,MATCH($C2590,Productos!$A$5:$A$504,0)),""))</f>
        <v/>
      </c>
      <c r="F2590" s="20"/>
      <c r="G2590" s="22" t="str">
        <f>IF($C2590="","",IFERROR(INDEX(Productos!$F$5:$F$504,MATCH($C2590,Productos!$A$5:$A$504,0)),0))</f>
        <v/>
      </c>
      <c r="H2590" s="22" t="str">
        <f t="shared" si="40"/>
        <v/>
      </c>
      <c r="I2590" s="14" t="str">
        <f>IF(OR($C2590="",$F2590=""),"",IFERROR(INDEX(Productos!$I$5:$I$504,MATCH($C2590,Productos!$A$5:$A$504,0)),0)+SUMIFS($F$5:$F2590,$C$5:$C2590,$C2590,$B$5:$B2590,"Entrada")-SUMIFS($F$5:$F2590,$C$5:$C2590,$C2590,$B$5:$B2590,"Salida"))</f>
        <v/>
      </c>
      <c r="J2590" s="20"/>
      <c r="K2590" s="20"/>
      <c r="L2590" s="20"/>
      <c r="M2590" s="14" t="str">
        <f>IF(AND($C2590&lt;&gt;"",$C2590=Kardex!$C$4),COUNTIF($C$5:$C2590,Kardex!$C$4),"")</f>
        <v/>
      </c>
    </row>
    <row r="2591" spans="1:13" x14ac:dyDescent="0.25">
      <c r="A2591" s="24"/>
      <c r="B2591" s="20"/>
      <c r="C2591" s="20"/>
      <c r="D2591" s="14" t="str">
        <f>IF($C2591="","",IFERROR(INDEX(Productos!$B$5:$B$504,MATCH($C2591,Productos!$A$5:$A$504,0)),"Clave no existe"))</f>
        <v/>
      </c>
      <c r="E2591" s="14" t="str">
        <f>IF($C2591="","",IFERROR(INDEX(Productos!$D$5:$D$504,MATCH($C2591,Productos!$A$5:$A$504,0)),""))</f>
        <v/>
      </c>
      <c r="F2591" s="20"/>
      <c r="G2591" s="22" t="str">
        <f>IF($C2591="","",IFERROR(INDEX(Productos!$F$5:$F$504,MATCH($C2591,Productos!$A$5:$A$504,0)),0))</f>
        <v/>
      </c>
      <c r="H2591" s="22" t="str">
        <f t="shared" si="40"/>
        <v/>
      </c>
      <c r="I2591" s="14" t="str">
        <f>IF(OR($C2591="",$F2591=""),"",IFERROR(INDEX(Productos!$I$5:$I$504,MATCH($C2591,Productos!$A$5:$A$504,0)),0)+SUMIFS($F$5:$F2591,$C$5:$C2591,$C2591,$B$5:$B2591,"Entrada")-SUMIFS($F$5:$F2591,$C$5:$C2591,$C2591,$B$5:$B2591,"Salida"))</f>
        <v/>
      </c>
      <c r="J2591" s="20"/>
      <c r="K2591" s="20"/>
      <c r="L2591" s="20"/>
      <c r="M2591" s="14" t="str">
        <f>IF(AND($C2591&lt;&gt;"",$C2591=Kardex!$C$4),COUNTIF($C$5:$C2591,Kardex!$C$4),"")</f>
        <v/>
      </c>
    </row>
    <row r="2592" spans="1:13" x14ac:dyDescent="0.25">
      <c r="A2592" s="24"/>
      <c r="B2592" s="20"/>
      <c r="C2592" s="20"/>
      <c r="D2592" s="14" t="str">
        <f>IF($C2592="","",IFERROR(INDEX(Productos!$B$5:$B$504,MATCH($C2592,Productos!$A$5:$A$504,0)),"Clave no existe"))</f>
        <v/>
      </c>
      <c r="E2592" s="14" t="str">
        <f>IF($C2592="","",IFERROR(INDEX(Productos!$D$5:$D$504,MATCH($C2592,Productos!$A$5:$A$504,0)),""))</f>
        <v/>
      </c>
      <c r="F2592" s="20"/>
      <c r="G2592" s="22" t="str">
        <f>IF($C2592="","",IFERROR(INDEX(Productos!$F$5:$F$504,MATCH($C2592,Productos!$A$5:$A$504,0)),0))</f>
        <v/>
      </c>
      <c r="H2592" s="22" t="str">
        <f t="shared" si="40"/>
        <v/>
      </c>
      <c r="I2592" s="14" t="str">
        <f>IF(OR($C2592="",$F2592=""),"",IFERROR(INDEX(Productos!$I$5:$I$504,MATCH($C2592,Productos!$A$5:$A$504,0)),0)+SUMIFS($F$5:$F2592,$C$5:$C2592,$C2592,$B$5:$B2592,"Entrada")-SUMIFS($F$5:$F2592,$C$5:$C2592,$C2592,$B$5:$B2592,"Salida"))</f>
        <v/>
      </c>
      <c r="J2592" s="20"/>
      <c r="K2592" s="20"/>
      <c r="L2592" s="20"/>
      <c r="M2592" s="14" t="str">
        <f>IF(AND($C2592&lt;&gt;"",$C2592=Kardex!$C$4),COUNTIF($C$5:$C2592,Kardex!$C$4),"")</f>
        <v/>
      </c>
    </row>
    <row r="2593" spans="1:13" x14ac:dyDescent="0.25">
      <c r="A2593" s="24"/>
      <c r="B2593" s="20"/>
      <c r="C2593" s="20"/>
      <c r="D2593" s="14" t="str">
        <f>IF($C2593="","",IFERROR(INDEX(Productos!$B$5:$B$504,MATCH($C2593,Productos!$A$5:$A$504,0)),"Clave no existe"))</f>
        <v/>
      </c>
      <c r="E2593" s="14" t="str">
        <f>IF($C2593="","",IFERROR(INDEX(Productos!$D$5:$D$504,MATCH($C2593,Productos!$A$5:$A$504,0)),""))</f>
        <v/>
      </c>
      <c r="F2593" s="20"/>
      <c r="G2593" s="22" t="str">
        <f>IF($C2593="","",IFERROR(INDEX(Productos!$F$5:$F$504,MATCH($C2593,Productos!$A$5:$A$504,0)),0))</f>
        <v/>
      </c>
      <c r="H2593" s="22" t="str">
        <f t="shared" si="40"/>
        <v/>
      </c>
      <c r="I2593" s="14" t="str">
        <f>IF(OR($C2593="",$F2593=""),"",IFERROR(INDEX(Productos!$I$5:$I$504,MATCH($C2593,Productos!$A$5:$A$504,0)),0)+SUMIFS($F$5:$F2593,$C$5:$C2593,$C2593,$B$5:$B2593,"Entrada")-SUMIFS($F$5:$F2593,$C$5:$C2593,$C2593,$B$5:$B2593,"Salida"))</f>
        <v/>
      </c>
      <c r="J2593" s="20"/>
      <c r="K2593" s="20"/>
      <c r="L2593" s="20"/>
      <c r="M2593" s="14" t="str">
        <f>IF(AND($C2593&lt;&gt;"",$C2593=Kardex!$C$4),COUNTIF($C$5:$C2593,Kardex!$C$4),"")</f>
        <v/>
      </c>
    </row>
    <row r="2594" spans="1:13" x14ac:dyDescent="0.25">
      <c r="A2594" s="24"/>
      <c r="B2594" s="20"/>
      <c r="C2594" s="20"/>
      <c r="D2594" s="14" t="str">
        <f>IF($C2594="","",IFERROR(INDEX(Productos!$B$5:$B$504,MATCH($C2594,Productos!$A$5:$A$504,0)),"Clave no existe"))</f>
        <v/>
      </c>
      <c r="E2594" s="14" t="str">
        <f>IF($C2594="","",IFERROR(INDEX(Productos!$D$5:$D$504,MATCH($C2594,Productos!$A$5:$A$504,0)),""))</f>
        <v/>
      </c>
      <c r="F2594" s="20"/>
      <c r="G2594" s="22" t="str">
        <f>IF($C2594="","",IFERROR(INDEX(Productos!$F$5:$F$504,MATCH($C2594,Productos!$A$5:$A$504,0)),0))</f>
        <v/>
      </c>
      <c r="H2594" s="22" t="str">
        <f t="shared" si="40"/>
        <v/>
      </c>
      <c r="I2594" s="14" t="str">
        <f>IF(OR($C2594="",$F2594=""),"",IFERROR(INDEX(Productos!$I$5:$I$504,MATCH($C2594,Productos!$A$5:$A$504,0)),0)+SUMIFS($F$5:$F2594,$C$5:$C2594,$C2594,$B$5:$B2594,"Entrada")-SUMIFS($F$5:$F2594,$C$5:$C2594,$C2594,$B$5:$B2594,"Salida"))</f>
        <v/>
      </c>
      <c r="J2594" s="20"/>
      <c r="K2594" s="20"/>
      <c r="L2594" s="20"/>
      <c r="M2594" s="14" t="str">
        <f>IF(AND($C2594&lt;&gt;"",$C2594=Kardex!$C$4),COUNTIF($C$5:$C2594,Kardex!$C$4),"")</f>
        <v/>
      </c>
    </row>
    <row r="2595" spans="1:13" x14ac:dyDescent="0.25">
      <c r="A2595" s="24"/>
      <c r="B2595" s="20"/>
      <c r="C2595" s="20"/>
      <c r="D2595" s="14" t="str">
        <f>IF($C2595="","",IFERROR(INDEX(Productos!$B$5:$B$504,MATCH($C2595,Productos!$A$5:$A$504,0)),"Clave no existe"))</f>
        <v/>
      </c>
      <c r="E2595" s="14" t="str">
        <f>IF($C2595="","",IFERROR(INDEX(Productos!$D$5:$D$504,MATCH($C2595,Productos!$A$5:$A$504,0)),""))</f>
        <v/>
      </c>
      <c r="F2595" s="20"/>
      <c r="G2595" s="22" t="str">
        <f>IF($C2595="","",IFERROR(INDEX(Productos!$F$5:$F$504,MATCH($C2595,Productos!$A$5:$A$504,0)),0))</f>
        <v/>
      </c>
      <c r="H2595" s="22" t="str">
        <f t="shared" si="40"/>
        <v/>
      </c>
      <c r="I2595" s="14" t="str">
        <f>IF(OR($C2595="",$F2595=""),"",IFERROR(INDEX(Productos!$I$5:$I$504,MATCH($C2595,Productos!$A$5:$A$504,0)),0)+SUMIFS($F$5:$F2595,$C$5:$C2595,$C2595,$B$5:$B2595,"Entrada")-SUMIFS($F$5:$F2595,$C$5:$C2595,$C2595,$B$5:$B2595,"Salida"))</f>
        <v/>
      </c>
      <c r="J2595" s="20"/>
      <c r="K2595" s="20"/>
      <c r="L2595" s="20"/>
      <c r="M2595" s="14" t="str">
        <f>IF(AND($C2595&lt;&gt;"",$C2595=Kardex!$C$4),COUNTIF($C$5:$C2595,Kardex!$C$4),"")</f>
        <v/>
      </c>
    </row>
    <row r="2596" spans="1:13" x14ac:dyDescent="0.25">
      <c r="A2596" s="24"/>
      <c r="B2596" s="20"/>
      <c r="C2596" s="20"/>
      <c r="D2596" s="14" t="str">
        <f>IF($C2596="","",IFERROR(INDEX(Productos!$B$5:$B$504,MATCH($C2596,Productos!$A$5:$A$504,0)),"Clave no existe"))</f>
        <v/>
      </c>
      <c r="E2596" s="14" t="str">
        <f>IF($C2596="","",IFERROR(INDEX(Productos!$D$5:$D$504,MATCH($C2596,Productos!$A$5:$A$504,0)),""))</f>
        <v/>
      </c>
      <c r="F2596" s="20"/>
      <c r="G2596" s="22" t="str">
        <f>IF($C2596="","",IFERROR(INDEX(Productos!$F$5:$F$504,MATCH($C2596,Productos!$A$5:$A$504,0)),0))</f>
        <v/>
      </c>
      <c r="H2596" s="22" t="str">
        <f t="shared" si="40"/>
        <v/>
      </c>
      <c r="I2596" s="14" t="str">
        <f>IF(OR($C2596="",$F2596=""),"",IFERROR(INDEX(Productos!$I$5:$I$504,MATCH($C2596,Productos!$A$5:$A$504,0)),0)+SUMIFS($F$5:$F2596,$C$5:$C2596,$C2596,$B$5:$B2596,"Entrada")-SUMIFS($F$5:$F2596,$C$5:$C2596,$C2596,$B$5:$B2596,"Salida"))</f>
        <v/>
      </c>
      <c r="J2596" s="20"/>
      <c r="K2596" s="20"/>
      <c r="L2596" s="20"/>
      <c r="M2596" s="14" t="str">
        <f>IF(AND($C2596&lt;&gt;"",$C2596=Kardex!$C$4),COUNTIF($C$5:$C2596,Kardex!$C$4),"")</f>
        <v/>
      </c>
    </row>
    <row r="2597" spans="1:13" x14ac:dyDescent="0.25">
      <c r="A2597" s="24"/>
      <c r="B2597" s="20"/>
      <c r="C2597" s="20"/>
      <c r="D2597" s="14" t="str">
        <f>IF($C2597="","",IFERROR(INDEX(Productos!$B$5:$B$504,MATCH($C2597,Productos!$A$5:$A$504,0)),"Clave no existe"))</f>
        <v/>
      </c>
      <c r="E2597" s="14" t="str">
        <f>IF($C2597="","",IFERROR(INDEX(Productos!$D$5:$D$504,MATCH($C2597,Productos!$A$5:$A$504,0)),""))</f>
        <v/>
      </c>
      <c r="F2597" s="20"/>
      <c r="G2597" s="22" t="str">
        <f>IF($C2597="","",IFERROR(INDEX(Productos!$F$5:$F$504,MATCH($C2597,Productos!$A$5:$A$504,0)),0))</f>
        <v/>
      </c>
      <c r="H2597" s="22" t="str">
        <f t="shared" si="40"/>
        <v/>
      </c>
      <c r="I2597" s="14" t="str">
        <f>IF(OR($C2597="",$F2597=""),"",IFERROR(INDEX(Productos!$I$5:$I$504,MATCH($C2597,Productos!$A$5:$A$504,0)),0)+SUMIFS($F$5:$F2597,$C$5:$C2597,$C2597,$B$5:$B2597,"Entrada")-SUMIFS($F$5:$F2597,$C$5:$C2597,$C2597,$B$5:$B2597,"Salida"))</f>
        <v/>
      </c>
      <c r="J2597" s="20"/>
      <c r="K2597" s="20"/>
      <c r="L2597" s="20"/>
      <c r="M2597" s="14" t="str">
        <f>IF(AND($C2597&lt;&gt;"",$C2597=Kardex!$C$4),COUNTIF($C$5:$C2597,Kardex!$C$4),"")</f>
        <v/>
      </c>
    </row>
    <row r="2598" spans="1:13" x14ac:dyDescent="0.25">
      <c r="A2598" s="24"/>
      <c r="B2598" s="20"/>
      <c r="C2598" s="20"/>
      <c r="D2598" s="14" t="str">
        <f>IF($C2598="","",IFERROR(INDEX(Productos!$B$5:$B$504,MATCH($C2598,Productos!$A$5:$A$504,0)),"Clave no existe"))</f>
        <v/>
      </c>
      <c r="E2598" s="14" t="str">
        <f>IF($C2598="","",IFERROR(INDEX(Productos!$D$5:$D$504,MATCH($C2598,Productos!$A$5:$A$504,0)),""))</f>
        <v/>
      </c>
      <c r="F2598" s="20"/>
      <c r="G2598" s="22" t="str">
        <f>IF($C2598="","",IFERROR(INDEX(Productos!$F$5:$F$504,MATCH($C2598,Productos!$A$5:$A$504,0)),0))</f>
        <v/>
      </c>
      <c r="H2598" s="22" t="str">
        <f t="shared" si="40"/>
        <v/>
      </c>
      <c r="I2598" s="14" t="str">
        <f>IF(OR($C2598="",$F2598=""),"",IFERROR(INDEX(Productos!$I$5:$I$504,MATCH($C2598,Productos!$A$5:$A$504,0)),0)+SUMIFS($F$5:$F2598,$C$5:$C2598,$C2598,$B$5:$B2598,"Entrada")-SUMIFS($F$5:$F2598,$C$5:$C2598,$C2598,$B$5:$B2598,"Salida"))</f>
        <v/>
      </c>
      <c r="J2598" s="20"/>
      <c r="K2598" s="20"/>
      <c r="L2598" s="20"/>
      <c r="M2598" s="14" t="str">
        <f>IF(AND($C2598&lt;&gt;"",$C2598=Kardex!$C$4),COUNTIF($C$5:$C2598,Kardex!$C$4),"")</f>
        <v/>
      </c>
    </row>
    <row r="2599" spans="1:13" x14ac:dyDescent="0.25">
      <c r="A2599" s="24"/>
      <c r="B2599" s="20"/>
      <c r="C2599" s="20"/>
      <c r="D2599" s="14" t="str">
        <f>IF($C2599="","",IFERROR(INDEX(Productos!$B$5:$B$504,MATCH($C2599,Productos!$A$5:$A$504,0)),"Clave no existe"))</f>
        <v/>
      </c>
      <c r="E2599" s="14" t="str">
        <f>IF($C2599="","",IFERROR(INDEX(Productos!$D$5:$D$504,MATCH($C2599,Productos!$A$5:$A$504,0)),""))</f>
        <v/>
      </c>
      <c r="F2599" s="20"/>
      <c r="G2599" s="22" t="str">
        <f>IF($C2599="","",IFERROR(INDEX(Productos!$F$5:$F$504,MATCH($C2599,Productos!$A$5:$A$504,0)),0))</f>
        <v/>
      </c>
      <c r="H2599" s="22" t="str">
        <f t="shared" si="40"/>
        <v/>
      </c>
      <c r="I2599" s="14" t="str">
        <f>IF(OR($C2599="",$F2599=""),"",IFERROR(INDEX(Productos!$I$5:$I$504,MATCH($C2599,Productos!$A$5:$A$504,0)),0)+SUMIFS($F$5:$F2599,$C$5:$C2599,$C2599,$B$5:$B2599,"Entrada")-SUMIFS($F$5:$F2599,$C$5:$C2599,$C2599,$B$5:$B2599,"Salida"))</f>
        <v/>
      </c>
      <c r="J2599" s="20"/>
      <c r="K2599" s="20"/>
      <c r="L2599" s="20"/>
      <c r="M2599" s="14" t="str">
        <f>IF(AND($C2599&lt;&gt;"",$C2599=Kardex!$C$4),COUNTIF($C$5:$C2599,Kardex!$C$4),"")</f>
        <v/>
      </c>
    </row>
    <row r="2600" spans="1:13" x14ac:dyDescent="0.25">
      <c r="A2600" s="24"/>
      <c r="B2600" s="20"/>
      <c r="C2600" s="20"/>
      <c r="D2600" s="14" t="str">
        <f>IF($C2600="","",IFERROR(INDEX(Productos!$B$5:$B$504,MATCH($C2600,Productos!$A$5:$A$504,0)),"Clave no existe"))</f>
        <v/>
      </c>
      <c r="E2600" s="14" t="str">
        <f>IF($C2600="","",IFERROR(INDEX(Productos!$D$5:$D$504,MATCH($C2600,Productos!$A$5:$A$504,0)),""))</f>
        <v/>
      </c>
      <c r="F2600" s="20"/>
      <c r="G2600" s="22" t="str">
        <f>IF($C2600="","",IFERROR(INDEX(Productos!$F$5:$F$504,MATCH($C2600,Productos!$A$5:$A$504,0)),0))</f>
        <v/>
      </c>
      <c r="H2600" s="22" t="str">
        <f t="shared" si="40"/>
        <v/>
      </c>
      <c r="I2600" s="14" t="str">
        <f>IF(OR($C2600="",$F2600=""),"",IFERROR(INDEX(Productos!$I$5:$I$504,MATCH($C2600,Productos!$A$5:$A$504,0)),0)+SUMIFS($F$5:$F2600,$C$5:$C2600,$C2600,$B$5:$B2600,"Entrada")-SUMIFS($F$5:$F2600,$C$5:$C2600,$C2600,$B$5:$B2600,"Salida"))</f>
        <v/>
      </c>
      <c r="J2600" s="20"/>
      <c r="K2600" s="20"/>
      <c r="L2600" s="20"/>
      <c r="M2600" s="14" t="str">
        <f>IF(AND($C2600&lt;&gt;"",$C2600=Kardex!$C$4),COUNTIF($C$5:$C2600,Kardex!$C$4),"")</f>
        <v/>
      </c>
    </row>
    <row r="2601" spans="1:13" x14ac:dyDescent="0.25">
      <c r="A2601" s="24"/>
      <c r="B2601" s="20"/>
      <c r="C2601" s="20"/>
      <c r="D2601" s="14" t="str">
        <f>IF($C2601="","",IFERROR(INDEX(Productos!$B$5:$B$504,MATCH($C2601,Productos!$A$5:$A$504,0)),"Clave no existe"))</f>
        <v/>
      </c>
      <c r="E2601" s="14" t="str">
        <f>IF($C2601="","",IFERROR(INDEX(Productos!$D$5:$D$504,MATCH($C2601,Productos!$A$5:$A$504,0)),""))</f>
        <v/>
      </c>
      <c r="F2601" s="20"/>
      <c r="G2601" s="22" t="str">
        <f>IF($C2601="","",IFERROR(INDEX(Productos!$F$5:$F$504,MATCH($C2601,Productos!$A$5:$A$504,0)),0))</f>
        <v/>
      </c>
      <c r="H2601" s="22" t="str">
        <f t="shared" si="40"/>
        <v/>
      </c>
      <c r="I2601" s="14" t="str">
        <f>IF(OR($C2601="",$F2601=""),"",IFERROR(INDEX(Productos!$I$5:$I$504,MATCH($C2601,Productos!$A$5:$A$504,0)),0)+SUMIFS($F$5:$F2601,$C$5:$C2601,$C2601,$B$5:$B2601,"Entrada")-SUMIFS($F$5:$F2601,$C$5:$C2601,$C2601,$B$5:$B2601,"Salida"))</f>
        <v/>
      </c>
      <c r="J2601" s="20"/>
      <c r="K2601" s="20"/>
      <c r="L2601" s="20"/>
      <c r="M2601" s="14" t="str">
        <f>IF(AND($C2601&lt;&gt;"",$C2601=Kardex!$C$4),COUNTIF($C$5:$C2601,Kardex!$C$4),"")</f>
        <v/>
      </c>
    </row>
    <row r="2602" spans="1:13" x14ac:dyDescent="0.25">
      <c r="A2602" s="24"/>
      <c r="B2602" s="20"/>
      <c r="C2602" s="20"/>
      <c r="D2602" s="14" t="str">
        <f>IF($C2602="","",IFERROR(INDEX(Productos!$B$5:$B$504,MATCH($C2602,Productos!$A$5:$A$504,0)),"Clave no existe"))</f>
        <v/>
      </c>
      <c r="E2602" s="14" t="str">
        <f>IF($C2602="","",IFERROR(INDEX(Productos!$D$5:$D$504,MATCH($C2602,Productos!$A$5:$A$504,0)),""))</f>
        <v/>
      </c>
      <c r="F2602" s="20"/>
      <c r="G2602" s="22" t="str">
        <f>IF($C2602="","",IFERROR(INDEX(Productos!$F$5:$F$504,MATCH($C2602,Productos!$A$5:$A$504,0)),0))</f>
        <v/>
      </c>
      <c r="H2602" s="22" t="str">
        <f t="shared" si="40"/>
        <v/>
      </c>
      <c r="I2602" s="14" t="str">
        <f>IF(OR($C2602="",$F2602=""),"",IFERROR(INDEX(Productos!$I$5:$I$504,MATCH($C2602,Productos!$A$5:$A$504,0)),0)+SUMIFS($F$5:$F2602,$C$5:$C2602,$C2602,$B$5:$B2602,"Entrada")-SUMIFS($F$5:$F2602,$C$5:$C2602,$C2602,$B$5:$B2602,"Salida"))</f>
        <v/>
      </c>
      <c r="J2602" s="20"/>
      <c r="K2602" s="20"/>
      <c r="L2602" s="20"/>
      <c r="M2602" s="14" t="str">
        <f>IF(AND($C2602&lt;&gt;"",$C2602=Kardex!$C$4),COUNTIF($C$5:$C2602,Kardex!$C$4),"")</f>
        <v/>
      </c>
    </row>
    <row r="2603" spans="1:13" x14ac:dyDescent="0.25">
      <c r="A2603" s="24"/>
      <c r="B2603" s="20"/>
      <c r="C2603" s="20"/>
      <c r="D2603" s="14" t="str">
        <f>IF($C2603="","",IFERROR(INDEX(Productos!$B$5:$B$504,MATCH($C2603,Productos!$A$5:$A$504,0)),"Clave no existe"))</f>
        <v/>
      </c>
      <c r="E2603" s="14" t="str">
        <f>IF($C2603="","",IFERROR(INDEX(Productos!$D$5:$D$504,MATCH($C2603,Productos!$A$5:$A$504,0)),""))</f>
        <v/>
      </c>
      <c r="F2603" s="20"/>
      <c r="G2603" s="22" t="str">
        <f>IF($C2603="","",IFERROR(INDEX(Productos!$F$5:$F$504,MATCH($C2603,Productos!$A$5:$A$504,0)),0))</f>
        <v/>
      </c>
      <c r="H2603" s="22" t="str">
        <f t="shared" si="40"/>
        <v/>
      </c>
      <c r="I2603" s="14" t="str">
        <f>IF(OR($C2603="",$F2603=""),"",IFERROR(INDEX(Productos!$I$5:$I$504,MATCH($C2603,Productos!$A$5:$A$504,0)),0)+SUMIFS($F$5:$F2603,$C$5:$C2603,$C2603,$B$5:$B2603,"Entrada")-SUMIFS($F$5:$F2603,$C$5:$C2603,$C2603,$B$5:$B2603,"Salida"))</f>
        <v/>
      </c>
      <c r="J2603" s="20"/>
      <c r="K2603" s="20"/>
      <c r="L2603" s="20"/>
      <c r="M2603" s="14" t="str">
        <f>IF(AND($C2603&lt;&gt;"",$C2603=Kardex!$C$4),COUNTIF($C$5:$C2603,Kardex!$C$4),"")</f>
        <v/>
      </c>
    </row>
    <row r="2604" spans="1:13" x14ac:dyDescent="0.25">
      <c r="A2604" s="24"/>
      <c r="B2604" s="20"/>
      <c r="C2604" s="20"/>
      <c r="D2604" s="14" t="str">
        <f>IF($C2604="","",IFERROR(INDEX(Productos!$B$5:$B$504,MATCH($C2604,Productos!$A$5:$A$504,0)),"Clave no existe"))</f>
        <v/>
      </c>
      <c r="E2604" s="14" t="str">
        <f>IF($C2604="","",IFERROR(INDEX(Productos!$D$5:$D$504,MATCH($C2604,Productos!$A$5:$A$504,0)),""))</f>
        <v/>
      </c>
      <c r="F2604" s="20"/>
      <c r="G2604" s="22" t="str">
        <f>IF($C2604="","",IFERROR(INDEX(Productos!$F$5:$F$504,MATCH($C2604,Productos!$A$5:$A$504,0)),0))</f>
        <v/>
      </c>
      <c r="H2604" s="22" t="str">
        <f t="shared" si="40"/>
        <v/>
      </c>
      <c r="I2604" s="14" t="str">
        <f>IF(OR($C2604="",$F2604=""),"",IFERROR(INDEX(Productos!$I$5:$I$504,MATCH($C2604,Productos!$A$5:$A$504,0)),0)+SUMIFS($F$5:$F2604,$C$5:$C2604,$C2604,$B$5:$B2604,"Entrada")-SUMIFS($F$5:$F2604,$C$5:$C2604,$C2604,$B$5:$B2604,"Salida"))</f>
        <v/>
      </c>
      <c r="J2604" s="20"/>
      <c r="K2604" s="20"/>
      <c r="L2604" s="20"/>
      <c r="M2604" s="14" t="str">
        <f>IF(AND($C2604&lt;&gt;"",$C2604=Kardex!$C$4),COUNTIF($C$5:$C2604,Kardex!$C$4),"")</f>
        <v/>
      </c>
    </row>
    <row r="2605" spans="1:13" x14ac:dyDescent="0.25">
      <c r="A2605" s="24"/>
      <c r="B2605" s="20"/>
      <c r="C2605" s="20"/>
      <c r="D2605" s="14" t="str">
        <f>IF($C2605="","",IFERROR(INDEX(Productos!$B$5:$B$504,MATCH($C2605,Productos!$A$5:$A$504,0)),"Clave no existe"))</f>
        <v/>
      </c>
      <c r="E2605" s="14" t="str">
        <f>IF($C2605="","",IFERROR(INDEX(Productos!$D$5:$D$504,MATCH($C2605,Productos!$A$5:$A$504,0)),""))</f>
        <v/>
      </c>
      <c r="F2605" s="20"/>
      <c r="G2605" s="22" t="str">
        <f>IF($C2605="","",IFERROR(INDEX(Productos!$F$5:$F$504,MATCH($C2605,Productos!$A$5:$A$504,0)),0))</f>
        <v/>
      </c>
      <c r="H2605" s="22" t="str">
        <f t="shared" si="40"/>
        <v/>
      </c>
      <c r="I2605" s="14" t="str">
        <f>IF(OR($C2605="",$F2605=""),"",IFERROR(INDEX(Productos!$I$5:$I$504,MATCH($C2605,Productos!$A$5:$A$504,0)),0)+SUMIFS($F$5:$F2605,$C$5:$C2605,$C2605,$B$5:$B2605,"Entrada")-SUMIFS($F$5:$F2605,$C$5:$C2605,$C2605,$B$5:$B2605,"Salida"))</f>
        <v/>
      </c>
      <c r="J2605" s="20"/>
      <c r="K2605" s="20"/>
      <c r="L2605" s="20"/>
      <c r="M2605" s="14" t="str">
        <f>IF(AND($C2605&lt;&gt;"",$C2605=Kardex!$C$4),COUNTIF($C$5:$C2605,Kardex!$C$4),"")</f>
        <v/>
      </c>
    </row>
    <row r="2606" spans="1:13" x14ac:dyDescent="0.25">
      <c r="A2606" s="24"/>
      <c r="B2606" s="20"/>
      <c r="C2606" s="20"/>
      <c r="D2606" s="14" t="str">
        <f>IF($C2606="","",IFERROR(INDEX(Productos!$B$5:$B$504,MATCH($C2606,Productos!$A$5:$A$504,0)),"Clave no existe"))</f>
        <v/>
      </c>
      <c r="E2606" s="14" t="str">
        <f>IF($C2606="","",IFERROR(INDEX(Productos!$D$5:$D$504,MATCH($C2606,Productos!$A$5:$A$504,0)),""))</f>
        <v/>
      </c>
      <c r="F2606" s="20"/>
      <c r="G2606" s="22" t="str">
        <f>IF($C2606="","",IFERROR(INDEX(Productos!$F$5:$F$504,MATCH($C2606,Productos!$A$5:$A$504,0)),0))</f>
        <v/>
      </c>
      <c r="H2606" s="22" t="str">
        <f t="shared" si="40"/>
        <v/>
      </c>
      <c r="I2606" s="14" t="str">
        <f>IF(OR($C2606="",$F2606=""),"",IFERROR(INDEX(Productos!$I$5:$I$504,MATCH($C2606,Productos!$A$5:$A$504,0)),0)+SUMIFS($F$5:$F2606,$C$5:$C2606,$C2606,$B$5:$B2606,"Entrada")-SUMIFS($F$5:$F2606,$C$5:$C2606,$C2606,$B$5:$B2606,"Salida"))</f>
        <v/>
      </c>
      <c r="J2606" s="20"/>
      <c r="K2606" s="20"/>
      <c r="L2606" s="20"/>
      <c r="M2606" s="14" t="str">
        <f>IF(AND($C2606&lt;&gt;"",$C2606=Kardex!$C$4),COUNTIF($C$5:$C2606,Kardex!$C$4),"")</f>
        <v/>
      </c>
    </row>
    <row r="2607" spans="1:13" x14ac:dyDescent="0.25">
      <c r="A2607" s="24"/>
      <c r="B2607" s="20"/>
      <c r="C2607" s="20"/>
      <c r="D2607" s="14" t="str">
        <f>IF($C2607="","",IFERROR(INDEX(Productos!$B$5:$B$504,MATCH($C2607,Productos!$A$5:$A$504,0)),"Clave no existe"))</f>
        <v/>
      </c>
      <c r="E2607" s="14" t="str">
        <f>IF($C2607="","",IFERROR(INDEX(Productos!$D$5:$D$504,MATCH($C2607,Productos!$A$5:$A$504,0)),""))</f>
        <v/>
      </c>
      <c r="F2607" s="20"/>
      <c r="G2607" s="22" t="str">
        <f>IF($C2607="","",IFERROR(INDEX(Productos!$F$5:$F$504,MATCH($C2607,Productos!$A$5:$A$504,0)),0))</f>
        <v/>
      </c>
      <c r="H2607" s="22" t="str">
        <f t="shared" si="40"/>
        <v/>
      </c>
      <c r="I2607" s="14" t="str">
        <f>IF(OR($C2607="",$F2607=""),"",IFERROR(INDEX(Productos!$I$5:$I$504,MATCH($C2607,Productos!$A$5:$A$504,0)),0)+SUMIFS($F$5:$F2607,$C$5:$C2607,$C2607,$B$5:$B2607,"Entrada")-SUMIFS($F$5:$F2607,$C$5:$C2607,$C2607,$B$5:$B2607,"Salida"))</f>
        <v/>
      </c>
      <c r="J2607" s="20"/>
      <c r="K2607" s="20"/>
      <c r="L2607" s="20"/>
      <c r="M2607" s="14" t="str">
        <f>IF(AND($C2607&lt;&gt;"",$C2607=Kardex!$C$4),COUNTIF($C$5:$C2607,Kardex!$C$4),"")</f>
        <v/>
      </c>
    </row>
    <row r="2608" spans="1:13" x14ac:dyDescent="0.25">
      <c r="A2608" s="24"/>
      <c r="B2608" s="20"/>
      <c r="C2608" s="20"/>
      <c r="D2608" s="14" t="str">
        <f>IF($C2608="","",IFERROR(INDEX(Productos!$B$5:$B$504,MATCH($C2608,Productos!$A$5:$A$504,0)),"Clave no existe"))</f>
        <v/>
      </c>
      <c r="E2608" s="14" t="str">
        <f>IF($C2608="","",IFERROR(INDEX(Productos!$D$5:$D$504,MATCH($C2608,Productos!$A$5:$A$504,0)),""))</f>
        <v/>
      </c>
      <c r="F2608" s="20"/>
      <c r="G2608" s="22" t="str">
        <f>IF($C2608="","",IFERROR(INDEX(Productos!$F$5:$F$504,MATCH($C2608,Productos!$A$5:$A$504,0)),0))</f>
        <v/>
      </c>
      <c r="H2608" s="22" t="str">
        <f t="shared" si="40"/>
        <v/>
      </c>
      <c r="I2608" s="14" t="str">
        <f>IF(OR($C2608="",$F2608=""),"",IFERROR(INDEX(Productos!$I$5:$I$504,MATCH($C2608,Productos!$A$5:$A$504,0)),0)+SUMIFS($F$5:$F2608,$C$5:$C2608,$C2608,$B$5:$B2608,"Entrada")-SUMIFS($F$5:$F2608,$C$5:$C2608,$C2608,$B$5:$B2608,"Salida"))</f>
        <v/>
      </c>
      <c r="J2608" s="20"/>
      <c r="K2608" s="20"/>
      <c r="L2608" s="20"/>
      <c r="M2608" s="14" t="str">
        <f>IF(AND($C2608&lt;&gt;"",$C2608=Kardex!$C$4),COUNTIF($C$5:$C2608,Kardex!$C$4),"")</f>
        <v/>
      </c>
    </row>
    <row r="2609" spans="1:13" x14ac:dyDescent="0.25">
      <c r="A2609" s="24"/>
      <c r="B2609" s="20"/>
      <c r="C2609" s="20"/>
      <c r="D2609" s="14" t="str">
        <f>IF($C2609="","",IFERROR(INDEX(Productos!$B$5:$B$504,MATCH($C2609,Productos!$A$5:$A$504,0)),"Clave no existe"))</f>
        <v/>
      </c>
      <c r="E2609" s="14" t="str">
        <f>IF($C2609="","",IFERROR(INDEX(Productos!$D$5:$D$504,MATCH($C2609,Productos!$A$5:$A$504,0)),""))</f>
        <v/>
      </c>
      <c r="F2609" s="20"/>
      <c r="G2609" s="22" t="str">
        <f>IF($C2609="","",IFERROR(INDEX(Productos!$F$5:$F$504,MATCH($C2609,Productos!$A$5:$A$504,0)),0))</f>
        <v/>
      </c>
      <c r="H2609" s="22" t="str">
        <f t="shared" si="40"/>
        <v/>
      </c>
      <c r="I2609" s="14" t="str">
        <f>IF(OR($C2609="",$F2609=""),"",IFERROR(INDEX(Productos!$I$5:$I$504,MATCH($C2609,Productos!$A$5:$A$504,0)),0)+SUMIFS($F$5:$F2609,$C$5:$C2609,$C2609,$B$5:$B2609,"Entrada")-SUMIFS($F$5:$F2609,$C$5:$C2609,$C2609,$B$5:$B2609,"Salida"))</f>
        <v/>
      </c>
      <c r="J2609" s="20"/>
      <c r="K2609" s="20"/>
      <c r="L2609" s="20"/>
      <c r="M2609" s="14" t="str">
        <f>IF(AND($C2609&lt;&gt;"",$C2609=Kardex!$C$4),COUNTIF($C$5:$C2609,Kardex!$C$4),"")</f>
        <v/>
      </c>
    </row>
    <row r="2610" spans="1:13" x14ac:dyDescent="0.25">
      <c r="A2610" s="24"/>
      <c r="B2610" s="20"/>
      <c r="C2610" s="20"/>
      <c r="D2610" s="14" t="str">
        <f>IF($C2610="","",IFERROR(INDEX(Productos!$B$5:$B$504,MATCH($C2610,Productos!$A$5:$A$504,0)),"Clave no existe"))</f>
        <v/>
      </c>
      <c r="E2610" s="14" t="str">
        <f>IF($C2610="","",IFERROR(INDEX(Productos!$D$5:$D$504,MATCH($C2610,Productos!$A$5:$A$504,0)),""))</f>
        <v/>
      </c>
      <c r="F2610" s="20"/>
      <c r="G2610" s="22" t="str">
        <f>IF($C2610="","",IFERROR(INDEX(Productos!$F$5:$F$504,MATCH($C2610,Productos!$A$5:$A$504,0)),0))</f>
        <v/>
      </c>
      <c r="H2610" s="22" t="str">
        <f t="shared" si="40"/>
        <v/>
      </c>
      <c r="I2610" s="14" t="str">
        <f>IF(OR($C2610="",$F2610=""),"",IFERROR(INDEX(Productos!$I$5:$I$504,MATCH($C2610,Productos!$A$5:$A$504,0)),0)+SUMIFS($F$5:$F2610,$C$5:$C2610,$C2610,$B$5:$B2610,"Entrada")-SUMIFS($F$5:$F2610,$C$5:$C2610,$C2610,$B$5:$B2610,"Salida"))</f>
        <v/>
      </c>
      <c r="J2610" s="20"/>
      <c r="K2610" s="20"/>
      <c r="L2610" s="20"/>
      <c r="M2610" s="14" t="str">
        <f>IF(AND($C2610&lt;&gt;"",$C2610=Kardex!$C$4),COUNTIF($C$5:$C2610,Kardex!$C$4),"")</f>
        <v/>
      </c>
    </row>
    <row r="2611" spans="1:13" x14ac:dyDescent="0.25">
      <c r="A2611" s="24"/>
      <c r="B2611" s="20"/>
      <c r="C2611" s="20"/>
      <c r="D2611" s="14" t="str">
        <f>IF($C2611="","",IFERROR(INDEX(Productos!$B$5:$B$504,MATCH($C2611,Productos!$A$5:$A$504,0)),"Clave no existe"))</f>
        <v/>
      </c>
      <c r="E2611" s="14" t="str">
        <f>IF($C2611="","",IFERROR(INDEX(Productos!$D$5:$D$504,MATCH($C2611,Productos!$A$5:$A$504,0)),""))</f>
        <v/>
      </c>
      <c r="F2611" s="20"/>
      <c r="G2611" s="22" t="str">
        <f>IF($C2611="","",IFERROR(INDEX(Productos!$F$5:$F$504,MATCH($C2611,Productos!$A$5:$A$504,0)),0))</f>
        <v/>
      </c>
      <c r="H2611" s="22" t="str">
        <f t="shared" si="40"/>
        <v/>
      </c>
      <c r="I2611" s="14" t="str">
        <f>IF(OR($C2611="",$F2611=""),"",IFERROR(INDEX(Productos!$I$5:$I$504,MATCH($C2611,Productos!$A$5:$A$504,0)),0)+SUMIFS($F$5:$F2611,$C$5:$C2611,$C2611,$B$5:$B2611,"Entrada")-SUMIFS($F$5:$F2611,$C$5:$C2611,$C2611,$B$5:$B2611,"Salida"))</f>
        <v/>
      </c>
      <c r="J2611" s="20"/>
      <c r="K2611" s="20"/>
      <c r="L2611" s="20"/>
      <c r="M2611" s="14" t="str">
        <f>IF(AND($C2611&lt;&gt;"",$C2611=Kardex!$C$4),COUNTIF($C$5:$C2611,Kardex!$C$4),"")</f>
        <v/>
      </c>
    </row>
    <row r="2612" spans="1:13" x14ac:dyDescent="0.25">
      <c r="A2612" s="24"/>
      <c r="B2612" s="20"/>
      <c r="C2612" s="20"/>
      <c r="D2612" s="14" t="str">
        <f>IF($C2612="","",IFERROR(INDEX(Productos!$B$5:$B$504,MATCH($C2612,Productos!$A$5:$A$504,0)),"Clave no existe"))</f>
        <v/>
      </c>
      <c r="E2612" s="14" t="str">
        <f>IF($C2612="","",IFERROR(INDEX(Productos!$D$5:$D$504,MATCH($C2612,Productos!$A$5:$A$504,0)),""))</f>
        <v/>
      </c>
      <c r="F2612" s="20"/>
      <c r="G2612" s="22" t="str">
        <f>IF($C2612="","",IFERROR(INDEX(Productos!$F$5:$F$504,MATCH($C2612,Productos!$A$5:$A$504,0)),0))</f>
        <v/>
      </c>
      <c r="H2612" s="22" t="str">
        <f t="shared" si="40"/>
        <v/>
      </c>
      <c r="I2612" s="14" t="str">
        <f>IF(OR($C2612="",$F2612=""),"",IFERROR(INDEX(Productos!$I$5:$I$504,MATCH($C2612,Productos!$A$5:$A$504,0)),0)+SUMIFS($F$5:$F2612,$C$5:$C2612,$C2612,$B$5:$B2612,"Entrada")-SUMIFS($F$5:$F2612,$C$5:$C2612,$C2612,$B$5:$B2612,"Salida"))</f>
        <v/>
      </c>
      <c r="J2612" s="20"/>
      <c r="K2612" s="20"/>
      <c r="L2612" s="20"/>
      <c r="M2612" s="14" t="str">
        <f>IF(AND($C2612&lt;&gt;"",$C2612=Kardex!$C$4),COUNTIF($C$5:$C2612,Kardex!$C$4),"")</f>
        <v/>
      </c>
    </row>
    <row r="2613" spans="1:13" x14ac:dyDescent="0.25">
      <c r="A2613" s="24"/>
      <c r="B2613" s="20"/>
      <c r="C2613" s="20"/>
      <c r="D2613" s="14" t="str">
        <f>IF($C2613="","",IFERROR(INDEX(Productos!$B$5:$B$504,MATCH($C2613,Productos!$A$5:$A$504,0)),"Clave no existe"))</f>
        <v/>
      </c>
      <c r="E2613" s="14" t="str">
        <f>IF($C2613="","",IFERROR(INDEX(Productos!$D$5:$D$504,MATCH($C2613,Productos!$A$5:$A$504,0)),""))</f>
        <v/>
      </c>
      <c r="F2613" s="20"/>
      <c r="G2613" s="22" t="str">
        <f>IF($C2613="","",IFERROR(INDEX(Productos!$F$5:$F$504,MATCH($C2613,Productos!$A$5:$A$504,0)),0))</f>
        <v/>
      </c>
      <c r="H2613" s="22" t="str">
        <f t="shared" si="40"/>
        <v/>
      </c>
      <c r="I2613" s="14" t="str">
        <f>IF(OR($C2613="",$F2613=""),"",IFERROR(INDEX(Productos!$I$5:$I$504,MATCH($C2613,Productos!$A$5:$A$504,0)),0)+SUMIFS($F$5:$F2613,$C$5:$C2613,$C2613,$B$5:$B2613,"Entrada")-SUMIFS($F$5:$F2613,$C$5:$C2613,$C2613,$B$5:$B2613,"Salida"))</f>
        <v/>
      </c>
      <c r="J2613" s="20"/>
      <c r="K2613" s="20"/>
      <c r="L2613" s="20"/>
      <c r="M2613" s="14" t="str">
        <f>IF(AND($C2613&lt;&gt;"",$C2613=Kardex!$C$4),COUNTIF($C$5:$C2613,Kardex!$C$4),"")</f>
        <v/>
      </c>
    </row>
    <row r="2614" spans="1:13" x14ac:dyDescent="0.25">
      <c r="A2614" s="24"/>
      <c r="B2614" s="20"/>
      <c r="C2614" s="20"/>
      <c r="D2614" s="14" t="str">
        <f>IF($C2614="","",IFERROR(INDEX(Productos!$B$5:$B$504,MATCH($C2614,Productos!$A$5:$A$504,0)),"Clave no existe"))</f>
        <v/>
      </c>
      <c r="E2614" s="14" t="str">
        <f>IF($C2614="","",IFERROR(INDEX(Productos!$D$5:$D$504,MATCH($C2614,Productos!$A$5:$A$504,0)),""))</f>
        <v/>
      </c>
      <c r="F2614" s="20"/>
      <c r="G2614" s="22" t="str">
        <f>IF($C2614="","",IFERROR(INDEX(Productos!$F$5:$F$504,MATCH($C2614,Productos!$A$5:$A$504,0)),0))</f>
        <v/>
      </c>
      <c r="H2614" s="22" t="str">
        <f t="shared" si="40"/>
        <v/>
      </c>
      <c r="I2614" s="14" t="str">
        <f>IF(OR($C2614="",$F2614=""),"",IFERROR(INDEX(Productos!$I$5:$I$504,MATCH($C2614,Productos!$A$5:$A$504,0)),0)+SUMIFS($F$5:$F2614,$C$5:$C2614,$C2614,$B$5:$B2614,"Entrada")-SUMIFS($F$5:$F2614,$C$5:$C2614,$C2614,$B$5:$B2614,"Salida"))</f>
        <v/>
      </c>
      <c r="J2614" s="20"/>
      <c r="K2614" s="20"/>
      <c r="L2614" s="20"/>
      <c r="M2614" s="14" t="str">
        <f>IF(AND($C2614&lt;&gt;"",$C2614=Kardex!$C$4),COUNTIF($C$5:$C2614,Kardex!$C$4),"")</f>
        <v/>
      </c>
    </row>
    <row r="2615" spans="1:13" x14ac:dyDescent="0.25">
      <c r="A2615" s="24"/>
      <c r="B2615" s="20"/>
      <c r="C2615" s="20"/>
      <c r="D2615" s="14" t="str">
        <f>IF($C2615="","",IFERROR(INDEX(Productos!$B$5:$B$504,MATCH($C2615,Productos!$A$5:$A$504,0)),"Clave no existe"))</f>
        <v/>
      </c>
      <c r="E2615" s="14" t="str">
        <f>IF($C2615="","",IFERROR(INDEX(Productos!$D$5:$D$504,MATCH($C2615,Productos!$A$5:$A$504,0)),""))</f>
        <v/>
      </c>
      <c r="F2615" s="20"/>
      <c r="G2615" s="22" t="str">
        <f>IF($C2615="","",IFERROR(INDEX(Productos!$F$5:$F$504,MATCH($C2615,Productos!$A$5:$A$504,0)),0))</f>
        <v/>
      </c>
      <c r="H2615" s="22" t="str">
        <f t="shared" si="40"/>
        <v/>
      </c>
      <c r="I2615" s="14" t="str">
        <f>IF(OR($C2615="",$F2615=""),"",IFERROR(INDEX(Productos!$I$5:$I$504,MATCH($C2615,Productos!$A$5:$A$504,0)),0)+SUMIFS($F$5:$F2615,$C$5:$C2615,$C2615,$B$5:$B2615,"Entrada")-SUMIFS($F$5:$F2615,$C$5:$C2615,$C2615,$B$5:$B2615,"Salida"))</f>
        <v/>
      </c>
      <c r="J2615" s="20"/>
      <c r="K2615" s="20"/>
      <c r="L2615" s="20"/>
      <c r="M2615" s="14" t="str">
        <f>IF(AND($C2615&lt;&gt;"",$C2615=Kardex!$C$4),COUNTIF($C$5:$C2615,Kardex!$C$4),"")</f>
        <v/>
      </c>
    </row>
    <row r="2616" spans="1:13" x14ac:dyDescent="0.25">
      <c r="A2616" s="24"/>
      <c r="B2616" s="20"/>
      <c r="C2616" s="20"/>
      <c r="D2616" s="14" t="str">
        <f>IF($C2616="","",IFERROR(INDEX(Productos!$B$5:$B$504,MATCH($C2616,Productos!$A$5:$A$504,0)),"Clave no existe"))</f>
        <v/>
      </c>
      <c r="E2616" s="14" t="str">
        <f>IF($C2616="","",IFERROR(INDEX(Productos!$D$5:$D$504,MATCH($C2616,Productos!$A$5:$A$504,0)),""))</f>
        <v/>
      </c>
      <c r="F2616" s="20"/>
      <c r="G2616" s="22" t="str">
        <f>IF($C2616="","",IFERROR(INDEX(Productos!$F$5:$F$504,MATCH($C2616,Productos!$A$5:$A$504,0)),0))</f>
        <v/>
      </c>
      <c r="H2616" s="22" t="str">
        <f t="shared" si="40"/>
        <v/>
      </c>
      <c r="I2616" s="14" t="str">
        <f>IF(OR($C2616="",$F2616=""),"",IFERROR(INDEX(Productos!$I$5:$I$504,MATCH($C2616,Productos!$A$5:$A$504,0)),0)+SUMIFS($F$5:$F2616,$C$5:$C2616,$C2616,$B$5:$B2616,"Entrada")-SUMIFS($F$5:$F2616,$C$5:$C2616,$C2616,$B$5:$B2616,"Salida"))</f>
        <v/>
      </c>
      <c r="J2616" s="20"/>
      <c r="K2616" s="20"/>
      <c r="L2616" s="20"/>
      <c r="M2616" s="14" t="str">
        <f>IF(AND($C2616&lt;&gt;"",$C2616=Kardex!$C$4),COUNTIF($C$5:$C2616,Kardex!$C$4),"")</f>
        <v/>
      </c>
    </row>
    <row r="2617" spans="1:13" x14ac:dyDescent="0.25">
      <c r="A2617" s="24"/>
      <c r="B2617" s="20"/>
      <c r="C2617" s="20"/>
      <c r="D2617" s="14" t="str">
        <f>IF($C2617="","",IFERROR(INDEX(Productos!$B$5:$B$504,MATCH($C2617,Productos!$A$5:$A$504,0)),"Clave no existe"))</f>
        <v/>
      </c>
      <c r="E2617" s="14" t="str">
        <f>IF($C2617="","",IFERROR(INDEX(Productos!$D$5:$D$504,MATCH($C2617,Productos!$A$5:$A$504,0)),""))</f>
        <v/>
      </c>
      <c r="F2617" s="20"/>
      <c r="G2617" s="22" t="str">
        <f>IF($C2617="","",IFERROR(INDEX(Productos!$F$5:$F$504,MATCH($C2617,Productos!$A$5:$A$504,0)),0))</f>
        <v/>
      </c>
      <c r="H2617" s="22" t="str">
        <f t="shared" si="40"/>
        <v/>
      </c>
      <c r="I2617" s="14" t="str">
        <f>IF(OR($C2617="",$F2617=""),"",IFERROR(INDEX(Productos!$I$5:$I$504,MATCH($C2617,Productos!$A$5:$A$504,0)),0)+SUMIFS($F$5:$F2617,$C$5:$C2617,$C2617,$B$5:$B2617,"Entrada")-SUMIFS($F$5:$F2617,$C$5:$C2617,$C2617,$B$5:$B2617,"Salida"))</f>
        <v/>
      </c>
      <c r="J2617" s="20"/>
      <c r="K2617" s="20"/>
      <c r="L2617" s="20"/>
      <c r="M2617" s="14" t="str">
        <f>IF(AND($C2617&lt;&gt;"",$C2617=Kardex!$C$4),COUNTIF($C$5:$C2617,Kardex!$C$4),"")</f>
        <v/>
      </c>
    </row>
    <row r="2618" spans="1:13" x14ac:dyDescent="0.25">
      <c r="A2618" s="24"/>
      <c r="B2618" s="20"/>
      <c r="C2618" s="20"/>
      <c r="D2618" s="14" t="str">
        <f>IF($C2618="","",IFERROR(INDEX(Productos!$B$5:$B$504,MATCH($C2618,Productos!$A$5:$A$504,0)),"Clave no existe"))</f>
        <v/>
      </c>
      <c r="E2618" s="14" t="str">
        <f>IF($C2618="","",IFERROR(INDEX(Productos!$D$5:$D$504,MATCH($C2618,Productos!$A$5:$A$504,0)),""))</f>
        <v/>
      </c>
      <c r="F2618" s="20"/>
      <c r="G2618" s="22" t="str">
        <f>IF($C2618="","",IFERROR(INDEX(Productos!$F$5:$F$504,MATCH($C2618,Productos!$A$5:$A$504,0)),0))</f>
        <v/>
      </c>
      <c r="H2618" s="22" t="str">
        <f t="shared" si="40"/>
        <v/>
      </c>
      <c r="I2618" s="14" t="str">
        <f>IF(OR($C2618="",$F2618=""),"",IFERROR(INDEX(Productos!$I$5:$I$504,MATCH($C2618,Productos!$A$5:$A$504,0)),0)+SUMIFS($F$5:$F2618,$C$5:$C2618,$C2618,$B$5:$B2618,"Entrada")-SUMIFS($F$5:$F2618,$C$5:$C2618,$C2618,$B$5:$B2618,"Salida"))</f>
        <v/>
      </c>
      <c r="J2618" s="20"/>
      <c r="K2618" s="20"/>
      <c r="L2618" s="20"/>
      <c r="M2618" s="14" t="str">
        <f>IF(AND($C2618&lt;&gt;"",$C2618=Kardex!$C$4),COUNTIF($C$5:$C2618,Kardex!$C$4),"")</f>
        <v/>
      </c>
    </row>
    <row r="2619" spans="1:13" x14ac:dyDescent="0.25">
      <c r="A2619" s="24"/>
      <c r="B2619" s="20"/>
      <c r="C2619" s="20"/>
      <c r="D2619" s="14" t="str">
        <f>IF($C2619="","",IFERROR(INDEX(Productos!$B$5:$B$504,MATCH($C2619,Productos!$A$5:$A$504,0)),"Clave no existe"))</f>
        <v/>
      </c>
      <c r="E2619" s="14" t="str">
        <f>IF($C2619="","",IFERROR(INDEX(Productos!$D$5:$D$504,MATCH($C2619,Productos!$A$5:$A$504,0)),""))</f>
        <v/>
      </c>
      <c r="F2619" s="20"/>
      <c r="G2619" s="22" t="str">
        <f>IF($C2619="","",IFERROR(INDEX(Productos!$F$5:$F$504,MATCH($C2619,Productos!$A$5:$A$504,0)),0))</f>
        <v/>
      </c>
      <c r="H2619" s="22" t="str">
        <f t="shared" si="40"/>
        <v/>
      </c>
      <c r="I2619" s="14" t="str">
        <f>IF(OR($C2619="",$F2619=""),"",IFERROR(INDEX(Productos!$I$5:$I$504,MATCH($C2619,Productos!$A$5:$A$504,0)),0)+SUMIFS($F$5:$F2619,$C$5:$C2619,$C2619,$B$5:$B2619,"Entrada")-SUMIFS($F$5:$F2619,$C$5:$C2619,$C2619,$B$5:$B2619,"Salida"))</f>
        <v/>
      </c>
      <c r="J2619" s="20"/>
      <c r="K2619" s="20"/>
      <c r="L2619" s="20"/>
      <c r="M2619" s="14" t="str">
        <f>IF(AND($C2619&lt;&gt;"",$C2619=Kardex!$C$4),COUNTIF($C$5:$C2619,Kardex!$C$4),"")</f>
        <v/>
      </c>
    </row>
    <row r="2620" spans="1:13" x14ac:dyDescent="0.25">
      <c r="A2620" s="24"/>
      <c r="B2620" s="20"/>
      <c r="C2620" s="20"/>
      <c r="D2620" s="14" t="str">
        <f>IF($C2620="","",IFERROR(INDEX(Productos!$B$5:$B$504,MATCH($C2620,Productos!$A$5:$A$504,0)),"Clave no existe"))</f>
        <v/>
      </c>
      <c r="E2620" s="14" t="str">
        <f>IF($C2620="","",IFERROR(INDEX(Productos!$D$5:$D$504,MATCH($C2620,Productos!$A$5:$A$504,0)),""))</f>
        <v/>
      </c>
      <c r="F2620" s="20"/>
      <c r="G2620" s="22" t="str">
        <f>IF($C2620="","",IFERROR(INDEX(Productos!$F$5:$F$504,MATCH($C2620,Productos!$A$5:$A$504,0)),0))</f>
        <v/>
      </c>
      <c r="H2620" s="22" t="str">
        <f t="shared" si="40"/>
        <v/>
      </c>
      <c r="I2620" s="14" t="str">
        <f>IF(OR($C2620="",$F2620=""),"",IFERROR(INDEX(Productos!$I$5:$I$504,MATCH($C2620,Productos!$A$5:$A$504,0)),0)+SUMIFS($F$5:$F2620,$C$5:$C2620,$C2620,$B$5:$B2620,"Entrada")-SUMIFS($F$5:$F2620,$C$5:$C2620,$C2620,$B$5:$B2620,"Salida"))</f>
        <v/>
      </c>
      <c r="J2620" s="20"/>
      <c r="K2620" s="20"/>
      <c r="L2620" s="20"/>
      <c r="M2620" s="14" t="str">
        <f>IF(AND($C2620&lt;&gt;"",$C2620=Kardex!$C$4),COUNTIF($C$5:$C2620,Kardex!$C$4),"")</f>
        <v/>
      </c>
    </row>
    <row r="2621" spans="1:13" x14ac:dyDescent="0.25">
      <c r="A2621" s="24"/>
      <c r="B2621" s="20"/>
      <c r="C2621" s="20"/>
      <c r="D2621" s="14" t="str">
        <f>IF($C2621="","",IFERROR(INDEX(Productos!$B$5:$B$504,MATCH($C2621,Productos!$A$5:$A$504,0)),"Clave no existe"))</f>
        <v/>
      </c>
      <c r="E2621" s="14" t="str">
        <f>IF($C2621="","",IFERROR(INDEX(Productos!$D$5:$D$504,MATCH($C2621,Productos!$A$5:$A$504,0)),""))</f>
        <v/>
      </c>
      <c r="F2621" s="20"/>
      <c r="G2621" s="22" t="str">
        <f>IF($C2621="","",IFERROR(INDEX(Productos!$F$5:$F$504,MATCH($C2621,Productos!$A$5:$A$504,0)),0))</f>
        <v/>
      </c>
      <c r="H2621" s="22" t="str">
        <f t="shared" si="40"/>
        <v/>
      </c>
      <c r="I2621" s="14" t="str">
        <f>IF(OR($C2621="",$F2621=""),"",IFERROR(INDEX(Productos!$I$5:$I$504,MATCH($C2621,Productos!$A$5:$A$504,0)),0)+SUMIFS($F$5:$F2621,$C$5:$C2621,$C2621,$B$5:$B2621,"Entrada")-SUMIFS($F$5:$F2621,$C$5:$C2621,$C2621,$B$5:$B2621,"Salida"))</f>
        <v/>
      </c>
      <c r="J2621" s="20"/>
      <c r="K2621" s="20"/>
      <c r="L2621" s="20"/>
      <c r="M2621" s="14" t="str">
        <f>IF(AND($C2621&lt;&gt;"",$C2621=Kardex!$C$4),COUNTIF($C$5:$C2621,Kardex!$C$4),"")</f>
        <v/>
      </c>
    </row>
    <row r="2622" spans="1:13" x14ac:dyDescent="0.25">
      <c r="A2622" s="24"/>
      <c r="B2622" s="20"/>
      <c r="C2622" s="20"/>
      <c r="D2622" s="14" t="str">
        <f>IF($C2622="","",IFERROR(INDEX(Productos!$B$5:$B$504,MATCH($C2622,Productos!$A$5:$A$504,0)),"Clave no existe"))</f>
        <v/>
      </c>
      <c r="E2622" s="14" t="str">
        <f>IF($C2622="","",IFERROR(INDEX(Productos!$D$5:$D$504,MATCH($C2622,Productos!$A$5:$A$504,0)),""))</f>
        <v/>
      </c>
      <c r="F2622" s="20"/>
      <c r="G2622" s="22" t="str">
        <f>IF($C2622="","",IFERROR(INDEX(Productos!$F$5:$F$504,MATCH($C2622,Productos!$A$5:$A$504,0)),0))</f>
        <v/>
      </c>
      <c r="H2622" s="22" t="str">
        <f t="shared" si="40"/>
        <v/>
      </c>
      <c r="I2622" s="14" t="str">
        <f>IF(OR($C2622="",$F2622=""),"",IFERROR(INDEX(Productos!$I$5:$I$504,MATCH($C2622,Productos!$A$5:$A$504,0)),0)+SUMIFS($F$5:$F2622,$C$5:$C2622,$C2622,$B$5:$B2622,"Entrada")-SUMIFS($F$5:$F2622,$C$5:$C2622,$C2622,$B$5:$B2622,"Salida"))</f>
        <v/>
      </c>
      <c r="J2622" s="20"/>
      <c r="K2622" s="20"/>
      <c r="L2622" s="20"/>
      <c r="M2622" s="14" t="str">
        <f>IF(AND($C2622&lt;&gt;"",$C2622=Kardex!$C$4),COUNTIF($C$5:$C2622,Kardex!$C$4),"")</f>
        <v/>
      </c>
    </row>
    <row r="2623" spans="1:13" x14ac:dyDescent="0.25">
      <c r="A2623" s="24"/>
      <c r="B2623" s="20"/>
      <c r="C2623" s="20"/>
      <c r="D2623" s="14" t="str">
        <f>IF($C2623="","",IFERROR(INDEX(Productos!$B$5:$B$504,MATCH($C2623,Productos!$A$5:$A$504,0)),"Clave no existe"))</f>
        <v/>
      </c>
      <c r="E2623" s="14" t="str">
        <f>IF($C2623="","",IFERROR(INDEX(Productos!$D$5:$D$504,MATCH($C2623,Productos!$A$5:$A$504,0)),""))</f>
        <v/>
      </c>
      <c r="F2623" s="20"/>
      <c r="G2623" s="22" t="str">
        <f>IF($C2623="","",IFERROR(INDEX(Productos!$F$5:$F$504,MATCH($C2623,Productos!$A$5:$A$504,0)),0))</f>
        <v/>
      </c>
      <c r="H2623" s="22" t="str">
        <f t="shared" si="40"/>
        <v/>
      </c>
      <c r="I2623" s="14" t="str">
        <f>IF(OR($C2623="",$F2623=""),"",IFERROR(INDEX(Productos!$I$5:$I$504,MATCH($C2623,Productos!$A$5:$A$504,0)),0)+SUMIFS($F$5:$F2623,$C$5:$C2623,$C2623,$B$5:$B2623,"Entrada")-SUMIFS($F$5:$F2623,$C$5:$C2623,$C2623,$B$5:$B2623,"Salida"))</f>
        <v/>
      </c>
      <c r="J2623" s="20"/>
      <c r="K2623" s="20"/>
      <c r="L2623" s="20"/>
      <c r="M2623" s="14" t="str">
        <f>IF(AND($C2623&lt;&gt;"",$C2623=Kardex!$C$4),COUNTIF($C$5:$C2623,Kardex!$C$4),"")</f>
        <v/>
      </c>
    </row>
    <row r="2624" spans="1:13" x14ac:dyDescent="0.25">
      <c r="A2624" s="24"/>
      <c r="B2624" s="20"/>
      <c r="C2624" s="20"/>
      <c r="D2624" s="14" t="str">
        <f>IF($C2624="","",IFERROR(INDEX(Productos!$B$5:$B$504,MATCH($C2624,Productos!$A$5:$A$504,0)),"Clave no existe"))</f>
        <v/>
      </c>
      <c r="E2624" s="14" t="str">
        <f>IF($C2624="","",IFERROR(INDEX(Productos!$D$5:$D$504,MATCH($C2624,Productos!$A$5:$A$504,0)),""))</f>
        <v/>
      </c>
      <c r="F2624" s="20"/>
      <c r="G2624" s="22" t="str">
        <f>IF($C2624="","",IFERROR(INDEX(Productos!$F$5:$F$504,MATCH($C2624,Productos!$A$5:$A$504,0)),0))</f>
        <v/>
      </c>
      <c r="H2624" s="22" t="str">
        <f t="shared" si="40"/>
        <v/>
      </c>
      <c r="I2624" s="14" t="str">
        <f>IF(OR($C2624="",$F2624=""),"",IFERROR(INDEX(Productos!$I$5:$I$504,MATCH($C2624,Productos!$A$5:$A$504,0)),0)+SUMIFS($F$5:$F2624,$C$5:$C2624,$C2624,$B$5:$B2624,"Entrada")-SUMIFS($F$5:$F2624,$C$5:$C2624,$C2624,$B$5:$B2624,"Salida"))</f>
        <v/>
      </c>
      <c r="J2624" s="20"/>
      <c r="K2624" s="20"/>
      <c r="L2624" s="20"/>
      <c r="M2624" s="14" t="str">
        <f>IF(AND($C2624&lt;&gt;"",$C2624=Kardex!$C$4),COUNTIF($C$5:$C2624,Kardex!$C$4),"")</f>
        <v/>
      </c>
    </row>
    <row r="2625" spans="1:13" x14ac:dyDescent="0.25">
      <c r="A2625" s="24"/>
      <c r="B2625" s="20"/>
      <c r="C2625" s="20"/>
      <c r="D2625" s="14" t="str">
        <f>IF($C2625="","",IFERROR(INDEX(Productos!$B$5:$B$504,MATCH($C2625,Productos!$A$5:$A$504,0)),"Clave no existe"))</f>
        <v/>
      </c>
      <c r="E2625" s="14" t="str">
        <f>IF($C2625="","",IFERROR(INDEX(Productos!$D$5:$D$504,MATCH($C2625,Productos!$A$5:$A$504,0)),""))</f>
        <v/>
      </c>
      <c r="F2625" s="20"/>
      <c r="G2625" s="22" t="str">
        <f>IF($C2625="","",IFERROR(INDEX(Productos!$F$5:$F$504,MATCH($C2625,Productos!$A$5:$A$504,0)),0))</f>
        <v/>
      </c>
      <c r="H2625" s="22" t="str">
        <f t="shared" si="40"/>
        <v/>
      </c>
      <c r="I2625" s="14" t="str">
        <f>IF(OR($C2625="",$F2625=""),"",IFERROR(INDEX(Productos!$I$5:$I$504,MATCH($C2625,Productos!$A$5:$A$504,0)),0)+SUMIFS($F$5:$F2625,$C$5:$C2625,$C2625,$B$5:$B2625,"Entrada")-SUMIFS($F$5:$F2625,$C$5:$C2625,$C2625,$B$5:$B2625,"Salida"))</f>
        <v/>
      </c>
      <c r="J2625" s="20"/>
      <c r="K2625" s="20"/>
      <c r="L2625" s="20"/>
      <c r="M2625" s="14" t="str">
        <f>IF(AND($C2625&lt;&gt;"",$C2625=Kardex!$C$4),COUNTIF($C$5:$C2625,Kardex!$C$4),"")</f>
        <v/>
      </c>
    </row>
    <row r="2626" spans="1:13" x14ac:dyDescent="0.25">
      <c r="A2626" s="24"/>
      <c r="B2626" s="20"/>
      <c r="C2626" s="20"/>
      <c r="D2626" s="14" t="str">
        <f>IF($C2626="","",IFERROR(INDEX(Productos!$B$5:$B$504,MATCH($C2626,Productos!$A$5:$A$504,0)),"Clave no existe"))</f>
        <v/>
      </c>
      <c r="E2626" s="14" t="str">
        <f>IF($C2626="","",IFERROR(INDEX(Productos!$D$5:$D$504,MATCH($C2626,Productos!$A$5:$A$504,0)),""))</f>
        <v/>
      </c>
      <c r="F2626" s="20"/>
      <c r="G2626" s="22" t="str">
        <f>IF($C2626="","",IFERROR(INDEX(Productos!$F$5:$F$504,MATCH($C2626,Productos!$A$5:$A$504,0)),0))</f>
        <v/>
      </c>
      <c r="H2626" s="22" t="str">
        <f t="shared" si="40"/>
        <v/>
      </c>
      <c r="I2626" s="14" t="str">
        <f>IF(OR($C2626="",$F2626=""),"",IFERROR(INDEX(Productos!$I$5:$I$504,MATCH($C2626,Productos!$A$5:$A$504,0)),0)+SUMIFS($F$5:$F2626,$C$5:$C2626,$C2626,$B$5:$B2626,"Entrada")-SUMIFS($F$5:$F2626,$C$5:$C2626,$C2626,$B$5:$B2626,"Salida"))</f>
        <v/>
      </c>
      <c r="J2626" s="20"/>
      <c r="K2626" s="20"/>
      <c r="L2626" s="20"/>
      <c r="M2626" s="14" t="str">
        <f>IF(AND($C2626&lt;&gt;"",$C2626=Kardex!$C$4),COUNTIF($C$5:$C2626,Kardex!$C$4),"")</f>
        <v/>
      </c>
    </row>
    <row r="2627" spans="1:13" x14ac:dyDescent="0.25">
      <c r="A2627" s="24"/>
      <c r="B2627" s="20"/>
      <c r="C2627" s="20"/>
      <c r="D2627" s="14" t="str">
        <f>IF($C2627="","",IFERROR(INDEX(Productos!$B$5:$B$504,MATCH($C2627,Productos!$A$5:$A$504,0)),"Clave no existe"))</f>
        <v/>
      </c>
      <c r="E2627" s="14" t="str">
        <f>IF($C2627="","",IFERROR(INDEX(Productos!$D$5:$D$504,MATCH($C2627,Productos!$A$5:$A$504,0)),""))</f>
        <v/>
      </c>
      <c r="F2627" s="20"/>
      <c r="G2627" s="22" t="str">
        <f>IF($C2627="","",IFERROR(INDEX(Productos!$F$5:$F$504,MATCH($C2627,Productos!$A$5:$A$504,0)),0))</f>
        <v/>
      </c>
      <c r="H2627" s="22" t="str">
        <f t="shared" si="40"/>
        <v/>
      </c>
      <c r="I2627" s="14" t="str">
        <f>IF(OR($C2627="",$F2627=""),"",IFERROR(INDEX(Productos!$I$5:$I$504,MATCH($C2627,Productos!$A$5:$A$504,0)),0)+SUMIFS($F$5:$F2627,$C$5:$C2627,$C2627,$B$5:$B2627,"Entrada")-SUMIFS($F$5:$F2627,$C$5:$C2627,$C2627,$B$5:$B2627,"Salida"))</f>
        <v/>
      </c>
      <c r="J2627" s="20"/>
      <c r="K2627" s="20"/>
      <c r="L2627" s="20"/>
      <c r="M2627" s="14" t="str">
        <f>IF(AND($C2627&lt;&gt;"",$C2627=Kardex!$C$4),COUNTIF($C$5:$C2627,Kardex!$C$4),"")</f>
        <v/>
      </c>
    </row>
    <row r="2628" spans="1:13" x14ac:dyDescent="0.25">
      <c r="A2628" s="24"/>
      <c r="B2628" s="20"/>
      <c r="C2628" s="20"/>
      <c r="D2628" s="14" t="str">
        <f>IF($C2628="","",IFERROR(INDEX(Productos!$B$5:$B$504,MATCH($C2628,Productos!$A$5:$A$504,0)),"Clave no existe"))</f>
        <v/>
      </c>
      <c r="E2628" s="14" t="str">
        <f>IF($C2628="","",IFERROR(INDEX(Productos!$D$5:$D$504,MATCH($C2628,Productos!$A$5:$A$504,0)),""))</f>
        <v/>
      </c>
      <c r="F2628" s="20"/>
      <c r="G2628" s="22" t="str">
        <f>IF($C2628="","",IFERROR(INDEX(Productos!$F$5:$F$504,MATCH($C2628,Productos!$A$5:$A$504,0)),0))</f>
        <v/>
      </c>
      <c r="H2628" s="22" t="str">
        <f t="shared" si="40"/>
        <v/>
      </c>
      <c r="I2628" s="14" t="str">
        <f>IF(OR($C2628="",$F2628=""),"",IFERROR(INDEX(Productos!$I$5:$I$504,MATCH($C2628,Productos!$A$5:$A$504,0)),0)+SUMIFS($F$5:$F2628,$C$5:$C2628,$C2628,$B$5:$B2628,"Entrada")-SUMIFS($F$5:$F2628,$C$5:$C2628,$C2628,$B$5:$B2628,"Salida"))</f>
        <v/>
      </c>
      <c r="J2628" s="20"/>
      <c r="K2628" s="20"/>
      <c r="L2628" s="20"/>
      <c r="M2628" s="14" t="str">
        <f>IF(AND($C2628&lt;&gt;"",$C2628=Kardex!$C$4),COUNTIF($C$5:$C2628,Kardex!$C$4),"")</f>
        <v/>
      </c>
    </row>
    <row r="2629" spans="1:13" x14ac:dyDescent="0.25">
      <c r="A2629" s="24"/>
      <c r="B2629" s="20"/>
      <c r="C2629" s="20"/>
      <c r="D2629" s="14" t="str">
        <f>IF($C2629="","",IFERROR(INDEX(Productos!$B$5:$B$504,MATCH($C2629,Productos!$A$5:$A$504,0)),"Clave no existe"))</f>
        <v/>
      </c>
      <c r="E2629" s="14" t="str">
        <f>IF($C2629="","",IFERROR(INDEX(Productos!$D$5:$D$504,MATCH($C2629,Productos!$A$5:$A$504,0)),""))</f>
        <v/>
      </c>
      <c r="F2629" s="20"/>
      <c r="G2629" s="22" t="str">
        <f>IF($C2629="","",IFERROR(INDEX(Productos!$F$5:$F$504,MATCH($C2629,Productos!$A$5:$A$504,0)),0))</f>
        <v/>
      </c>
      <c r="H2629" s="22" t="str">
        <f t="shared" ref="H2629:H2692" si="41">IF(OR($C2629="",$F2629=""),"",F2629*G2629)</f>
        <v/>
      </c>
      <c r="I2629" s="14" t="str">
        <f>IF(OR($C2629="",$F2629=""),"",IFERROR(INDEX(Productos!$I$5:$I$504,MATCH($C2629,Productos!$A$5:$A$504,0)),0)+SUMIFS($F$5:$F2629,$C$5:$C2629,$C2629,$B$5:$B2629,"Entrada")-SUMIFS($F$5:$F2629,$C$5:$C2629,$C2629,$B$5:$B2629,"Salida"))</f>
        <v/>
      </c>
      <c r="J2629" s="20"/>
      <c r="K2629" s="20"/>
      <c r="L2629" s="20"/>
      <c r="M2629" s="14" t="str">
        <f>IF(AND($C2629&lt;&gt;"",$C2629=Kardex!$C$4),COUNTIF($C$5:$C2629,Kardex!$C$4),"")</f>
        <v/>
      </c>
    </row>
    <row r="2630" spans="1:13" x14ac:dyDescent="0.25">
      <c r="A2630" s="24"/>
      <c r="B2630" s="20"/>
      <c r="C2630" s="20"/>
      <c r="D2630" s="14" t="str">
        <f>IF($C2630="","",IFERROR(INDEX(Productos!$B$5:$B$504,MATCH($C2630,Productos!$A$5:$A$504,0)),"Clave no existe"))</f>
        <v/>
      </c>
      <c r="E2630" s="14" t="str">
        <f>IF($C2630="","",IFERROR(INDEX(Productos!$D$5:$D$504,MATCH($C2630,Productos!$A$5:$A$504,0)),""))</f>
        <v/>
      </c>
      <c r="F2630" s="20"/>
      <c r="G2630" s="22" t="str">
        <f>IF($C2630="","",IFERROR(INDEX(Productos!$F$5:$F$504,MATCH($C2630,Productos!$A$5:$A$504,0)),0))</f>
        <v/>
      </c>
      <c r="H2630" s="22" t="str">
        <f t="shared" si="41"/>
        <v/>
      </c>
      <c r="I2630" s="14" t="str">
        <f>IF(OR($C2630="",$F2630=""),"",IFERROR(INDEX(Productos!$I$5:$I$504,MATCH($C2630,Productos!$A$5:$A$504,0)),0)+SUMIFS($F$5:$F2630,$C$5:$C2630,$C2630,$B$5:$B2630,"Entrada")-SUMIFS($F$5:$F2630,$C$5:$C2630,$C2630,$B$5:$B2630,"Salida"))</f>
        <v/>
      </c>
      <c r="J2630" s="20"/>
      <c r="K2630" s="20"/>
      <c r="L2630" s="20"/>
      <c r="M2630" s="14" t="str">
        <f>IF(AND($C2630&lt;&gt;"",$C2630=Kardex!$C$4),COUNTIF($C$5:$C2630,Kardex!$C$4),"")</f>
        <v/>
      </c>
    </row>
    <row r="2631" spans="1:13" x14ac:dyDescent="0.25">
      <c r="A2631" s="24"/>
      <c r="B2631" s="20"/>
      <c r="C2631" s="20"/>
      <c r="D2631" s="14" t="str">
        <f>IF($C2631="","",IFERROR(INDEX(Productos!$B$5:$B$504,MATCH($C2631,Productos!$A$5:$A$504,0)),"Clave no existe"))</f>
        <v/>
      </c>
      <c r="E2631" s="14" t="str">
        <f>IF($C2631="","",IFERROR(INDEX(Productos!$D$5:$D$504,MATCH($C2631,Productos!$A$5:$A$504,0)),""))</f>
        <v/>
      </c>
      <c r="F2631" s="20"/>
      <c r="G2631" s="22" t="str">
        <f>IF($C2631="","",IFERROR(INDEX(Productos!$F$5:$F$504,MATCH($C2631,Productos!$A$5:$A$504,0)),0))</f>
        <v/>
      </c>
      <c r="H2631" s="22" t="str">
        <f t="shared" si="41"/>
        <v/>
      </c>
      <c r="I2631" s="14" t="str">
        <f>IF(OR($C2631="",$F2631=""),"",IFERROR(INDEX(Productos!$I$5:$I$504,MATCH($C2631,Productos!$A$5:$A$504,0)),0)+SUMIFS($F$5:$F2631,$C$5:$C2631,$C2631,$B$5:$B2631,"Entrada")-SUMIFS($F$5:$F2631,$C$5:$C2631,$C2631,$B$5:$B2631,"Salida"))</f>
        <v/>
      </c>
      <c r="J2631" s="20"/>
      <c r="K2631" s="20"/>
      <c r="L2631" s="20"/>
      <c r="M2631" s="14" t="str">
        <f>IF(AND($C2631&lt;&gt;"",$C2631=Kardex!$C$4),COUNTIF($C$5:$C2631,Kardex!$C$4),"")</f>
        <v/>
      </c>
    </row>
    <row r="2632" spans="1:13" x14ac:dyDescent="0.25">
      <c r="A2632" s="24"/>
      <c r="B2632" s="20"/>
      <c r="C2632" s="20"/>
      <c r="D2632" s="14" t="str">
        <f>IF($C2632="","",IFERROR(INDEX(Productos!$B$5:$B$504,MATCH($C2632,Productos!$A$5:$A$504,0)),"Clave no existe"))</f>
        <v/>
      </c>
      <c r="E2632" s="14" t="str">
        <f>IF($C2632="","",IFERROR(INDEX(Productos!$D$5:$D$504,MATCH($C2632,Productos!$A$5:$A$504,0)),""))</f>
        <v/>
      </c>
      <c r="F2632" s="20"/>
      <c r="G2632" s="22" t="str">
        <f>IF($C2632="","",IFERROR(INDEX(Productos!$F$5:$F$504,MATCH($C2632,Productos!$A$5:$A$504,0)),0))</f>
        <v/>
      </c>
      <c r="H2632" s="22" t="str">
        <f t="shared" si="41"/>
        <v/>
      </c>
      <c r="I2632" s="14" t="str">
        <f>IF(OR($C2632="",$F2632=""),"",IFERROR(INDEX(Productos!$I$5:$I$504,MATCH($C2632,Productos!$A$5:$A$504,0)),0)+SUMIFS($F$5:$F2632,$C$5:$C2632,$C2632,$B$5:$B2632,"Entrada")-SUMIFS($F$5:$F2632,$C$5:$C2632,$C2632,$B$5:$B2632,"Salida"))</f>
        <v/>
      </c>
      <c r="J2632" s="20"/>
      <c r="K2632" s="20"/>
      <c r="L2632" s="20"/>
      <c r="M2632" s="14" t="str">
        <f>IF(AND($C2632&lt;&gt;"",$C2632=Kardex!$C$4),COUNTIF($C$5:$C2632,Kardex!$C$4),"")</f>
        <v/>
      </c>
    </row>
    <row r="2633" spans="1:13" x14ac:dyDescent="0.25">
      <c r="A2633" s="24"/>
      <c r="B2633" s="20"/>
      <c r="C2633" s="20"/>
      <c r="D2633" s="14" t="str">
        <f>IF($C2633="","",IFERROR(INDEX(Productos!$B$5:$B$504,MATCH($C2633,Productos!$A$5:$A$504,0)),"Clave no existe"))</f>
        <v/>
      </c>
      <c r="E2633" s="14" t="str">
        <f>IF($C2633="","",IFERROR(INDEX(Productos!$D$5:$D$504,MATCH($C2633,Productos!$A$5:$A$504,0)),""))</f>
        <v/>
      </c>
      <c r="F2633" s="20"/>
      <c r="G2633" s="22" t="str">
        <f>IF($C2633="","",IFERROR(INDEX(Productos!$F$5:$F$504,MATCH($C2633,Productos!$A$5:$A$504,0)),0))</f>
        <v/>
      </c>
      <c r="H2633" s="22" t="str">
        <f t="shared" si="41"/>
        <v/>
      </c>
      <c r="I2633" s="14" t="str">
        <f>IF(OR($C2633="",$F2633=""),"",IFERROR(INDEX(Productos!$I$5:$I$504,MATCH($C2633,Productos!$A$5:$A$504,0)),0)+SUMIFS($F$5:$F2633,$C$5:$C2633,$C2633,$B$5:$B2633,"Entrada")-SUMIFS($F$5:$F2633,$C$5:$C2633,$C2633,$B$5:$B2633,"Salida"))</f>
        <v/>
      </c>
      <c r="J2633" s="20"/>
      <c r="K2633" s="20"/>
      <c r="L2633" s="20"/>
      <c r="M2633" s="14" t="str">
        <f>IF(AND($C2633&lt;&gt;"",$C2633=Kardex!$C$4),COUNTIF($C$5:$C2633,Kardex!$C$4),"")</f>
        <v/>
      </c>
    </row>
    <row r="2634" spans="1:13" x14ac:dyDescent="0.25">
      <c r="A2634" s="24"/>
      <c r="B2634" s="20"/>
      <c r="C2634" s="20"/>
      <c r="D2634" s="14" t="str">
        <f>IF($C2634="","",IFERROR(INDEX(Productos!$B$5:$B$504,MATCH($C2634,Productos!$A$5:$A$504,0)),"Clave no existe"))</f>
        <v/>
      </c>
      <c r="E2634" s="14" t="str">
        <f>IF($C2634="","",IFERROR(INDEX(Productos!$D$5:$D$504,MATCH($C2634,Productos!$A$5:$A$504,0)),""))</f>
        <v/>
      </c>
      <c r="F2634" s="20"/>
      <c r="G2634" s="22" t="str">
        <f>IF($C2634="","",IFERROR(INDEX(Productos!$F$5:$F$504,MATCH($C2634,Productos!$A$5:$A$504,0)),0))</f>
        <v/>
      </c>
      <c r="H2634" s="22" t="str">
        <f t="shared" si="41"/>
        <v/>
      </c>
      <c r="I2634" s="14" t="str">
        <f>IF(OR($C2634="",$F2634=""),"",IFERROR(INDEX(Productos!$I$5:$I$504,MATCH($C2634,Productos!$A$5:$A$504,0)),0)+SUMIFS($F$5:$F2634,$C$5:$C2634,$C2634,$B$5:$B2634,"Entrada")-SUMIFS($F$5:$F2634,$C$5:$C2634,$C2634,$B$5:$B2634,"Salida"))</f>
        <v/>
      </c>
      <c r="J2634" s="20"/>
      <c r="K2634" s="20"/>
      <c r="L2634" s="20"/>
      <c r="M2634" s="14" t="str">
        <f>IF(AND($C2634&lt;&gt;"",$C2634=Kardex!$C$4),COUNTIF($C$5:$C2634,Kardex!$C$4),"")</f>
        <v/>
      </c>
    </row>
    <row r="2635" spans="1:13" x14ac:dyDescent="0.25">
      <c r="A2635" s="24"/>
      <c r="B2635" s="20"/>
      <c r="C2635" s="20"/>
      <c r="D2635" s="14" t="str">
        <f>IF($C2635="","",IFERROR(INDEX(Productos!$B$5:$B$504,MATCH($C2635,Productos!$A$5:$A$504,0)),"Clave no existe"))</f>
        <v/>
      </c>
      <c r="E2635" s="14" t="str">
        <f>IF($C2635="","",IFERROR(INDEX(Productos!$D$5:$D$504,MATCH($C2635,Productos!$A$5:$A$504,0)),""))</f>
        <v/>
      </c>
      <c r="F2635" s="20"/>
      <c r="G2635" s="22" t="str">
        <f>IF($C2635="","",IFERROR(INDEX(Productos!$F$5:$F$504,MATCH($C2635,Productos!$A$5:$A$504,0)),0))</f>
        <v/>
      </c>
      <c r="H2635" s="22" t="str">
        <f t="shared" si="41"/>
        <v/>
      </c>
      <c r="I2635" s="14" t="str">
        <f>IF(OR($C2635="",$F2635=""),"",IFERROR(INDEX(Productos!$I$5:$I$504,MATCH($C2635,Productos!$A$5:$A$504,0)),0)+SUMIFS($F$5:$F2635,$C$5:$C2635,$C2635,$B$5:$B2635,"Entrada")-SUMIFS($F$5:$F2635,$C$5:$C2635,$C2635,$B$5:$B2635,"Salida"))</f>
        <v/>
      </c>
      <c r="J2635" s="20"/>
      <c r="K2635" s="20"/>
      <c r="L2635" s="20"/>
      <c r="M2635" s="14" t="str">
        <f>IF(AND($C2635&lt;&gt;"",$C2635=Kardex!$C$4),COUNTIF($C$5:$C2635,Kardex!$C$4),"")</f>
        <v/>
      </c>
    </row>
    <row r="2636" spans="1:13" x14ac:dyDescent="0.25">
      <c r="A2636" s="24"/>
      <c r="B2636" s="20"/>
      <c r="C2636" s="20"/>
      <c r="D2636" s="14" t="str">
        <f>IF($C2636="","",IFERROR(INDEX(Productos!$B$5:$B$504,MATCH($C2636,Productos!$A$5:$A$504,0)),"Clave no existe"))</f>
        <v/>
      </c>
      <c r="E2636" s="14" t="str">
        <f>IF($C2636="","",IFERROR(INDEX(Productos!$D$5:$D$504,MATCH($C2636,Productos!$A$5:$A$504,0)),""))</f>
        <v/>
      </c>
      <c r="F2636" s="20"/>
      <c r="G2636" s="22" t="str">
        <f>IF($C2636="","",IFERROR(INDEX(Productos!$F$5:$F$504,MATCH($C2636,Productos!$A$5:$A$504,0)),0))</f>
        <v/>
      </c>
      <c r="H2636" s="22" t="str">
        <f t="shared" si="41"/>
        <v/>
      </c>
      <c r="I2636" s="14" t="str">
        <f>IF(OR($C2636="",$F2636=""),"",IFERROR(INDEX(Productos!$I$5:$I$504,MATCH($C2636,Productos!$A$5:$A$504,0)),0)+SUMIFS($F$5:$F2636,$C$5:$C2636,$C2636,$B$5:$B2636,"Entrada")-SUMIFS($F$5:$F2636,$C$5:$C2636,$C2636,$B$5:$B2636,"Salida"))</f>
        <v/>
      </c>
      <c r="J2636" s="20"/>
      <c r="K2636" s="20"/>
      <c r="L2636" s="20"/>
      <c r="M2636" s="14" t="str">
        <f>IF(AND($C2636&lt;&gt;"",$C2636=Kardex!$C$4),COUNTIF($C$5:$C2636,Kardex!$C$4),"")</f>
        <v/>
      </c>
    </row>
    <row r="2637" spans="1:13" x14ac:dyDescent="0.25">
      <c r="A2637" s="24"/>
      <c r="B2637" s="20"/>
      <c r="C2637" s="20"/>
      <c r="D2637" s="14" t="str">
        <f>IF($C2637="","",IFERROR(INDEX(Productos!$B$5:$B$504,MATCH($C2637,Productos!$A$5:$A$504,0)),"Clave no existe"))</f>
        <v/>
      </c>
      <c r="E2637" s="14" t="str">
        <f>IF($C2637="","",IFERROR(INDEX(Productos!$D$5:$D$504,MATCH($C2637,Productos!$A$5:$A$504,0)),""))</f>
        <v/>
      </c>
      <c r="F2637" s="20"/>
      <c r="G2637" s="22" t="str">
        <f>IF($C2637="","",IFERROR(INDEX(Productos!$F$5:$F$504,MATCH($C2637,Productos!$A$5:$A$504,0)),0))</f>
        <v/>
      </c>
      <c r="H2637" s="22" t="str">
        <f t="shared" si="41"/>
        <v/>
      </c>
      <c r="I2637" s="14" t="str">
        <f>IF(OR($C2637="",$F2637=""),"",IFERROR(INDEX(Productos!$I$5:$I$504,MATCH($C2637,Productos!$A$5:$A$504,0)),0)+SUMIFS($F$5:$F2637,$C$5:$C2637,$C2637,$B$5:$B2637,"Entrada")-SUMIFS($F$5:$F2637,$C$5:$C2637,$C2637,$B$5:$B2637,"Salida"))</f>
        <v/>
      </c>
      <c r="J2637" s="20"/>
      <c r="K2637" s="20"/>
      <c r="L2637" s="20"/>
      <c r="M2637" s="14" t="str">
        <f>IF(AND($C2637&lt;&gt;"",$C2637=Kardex!$C$4),COUNTIF($C$5:$C2637,Kardex!$C$4),"")</f>
        <v/>
      </c>
    </row>
    <row r="2638" spans="1:13" x14ac:dyDescent="0.25">
      <c r="A2638" s="24"/>
      <c r="B2638" s="20"/>
      <c r="C2638" s="20"/>
      <c r="D2638" s="14" t="str">
        <f>IF($C2638="","",IFERROR(INDEX(Productos!$B$5:$B$504,MATCH($C2638,Productos!$A$5:$A$504,0)),"Clave no existe"))</f>
        <v/>
      </c>
      <c r="E2638" s="14" t="str">
        <f>IF($C2638="","",IFERROR(INDEX(Productos!$D$5:$D$504,MATCH($C2638,Productos!$A$5:$A$504,0)),""))</f>
        <v/>
      </c>
      <c r="F2638" s="20"/>
      <c r="G2638" s="22" t="str">
        <f>IF($C2638="","",IFERROR(INDEX(Productos!$F$5:$F$504,MATCH($C2638,Productos!$A$5:$A$504,0)),0))</f>
        <v/>
      </c>
      <c r="H2638" s="22" t="str">
        <f t="shared" si="41"/>
        <v/>
      </c>
      <c r="I2638" s="14" t="str">
        <f>IF(OR($C2638="",$F2638=""),"",IFERROR(INDEX(Productos!$I$5:$I$504,MATCH($C2638,Productos!$A$5:$A$504,0)),0)+SUMIFS($F$5:$F2638,$C$5:$C2638,$C2638,$B$5:$B2638,"Entrada")-SUMIFS($F$5:$F2638,$C$5:$C2638,$C2638,$B$5:$B2638,"Salida"))</f>
        <v/>
      </c>
      <c r="J2638" s="20"/>
      <c r="K2638" s="20"/>
      <c r="L2638" s="20"/>
      <c r="M2638" s="14" t="str">
        <f>IF(AND($C2638&lt;&gt;"",$C2638=Kardex!$C$4),COUNTIF($C$5:$C2638,Kardex!$C$4),"")</f>
        <v/>
      </c>
    </row>
    <row r="2639" spans="1:13" x14ac:dyDescent="0.25">
      <c r="A2639" s="24"/>
      <c r="B2639" s="20"/>
      <c r="C2639" s="20"/>
      <c r="D2639" s="14" t="str">
        <f>IF($C2639="","",IFERROR(INDEX(Productos!$B$5:$B$504,MATCH($C2639,Productos!$A$5:$A$504,0)),"Clave no existe"))</f>
        <v/>
      </c>
      <c r="E2639" s="14" t="str">
        <f>IF($C2639="","",IFERROR(INDEX(Productos!$D$5:$D$504,MATCH($C2639,Productos!$A$5:$A$504,0)),""))</f>
        <v/>
      </c>
      <c r="F2639" s="20"/>
      <c r="G2639" s="22" t="str">
        <f>IF($C2639="","",IFERROR(INDEX(Productos!$F$5:$F$504,MATCH($C2639,Productos!$A$5:$A$504,0)),0))</f>
        <v/>
      </c>
      <c r="H2639" s="22" t="str">
        <f t="shared" si="41"/>
        <v/>
      </c>
      <c r="I2639" s="14" t="str">
        <f>IF(OR($C2639="",$F2639=""),"",IFERROR(INDEX(Productos!$I$5:$I$504,MATCH($C2639,Productos!$A$5:$A$504,0)),0)+SUMIFS($F$5:$F2639,$C$5:$C2639,$C2639,$B$5:$B2639,"Entrada")-SUMIFS($F$5:$F2639,$C$5:$C2639,$C2639,$B$5:$B2639,"Salida"))</f>
        <v/>
      </c>
      <c r="J2639" s="20"/>
      <c r="K2639" s="20"/>
      <c r="L2639" s="20"/>
      <c r="M2639" s="14" t="str">
        <f>IF(AND($C2639&lt;&gt;"",$C2639=Kardex!$C$4),COUNTIF($C$5:$C2639,Kardex!$C$4),"")</f>
        <v/>
      </c>
    </row>
    <row r="2640" spans="1:13" x14ac:dyDescent="0.25">
      <c r="A2640" s="24"/>
      <c r="B2640" s="20"/>
      <c r="C2640" s="20"/>
      <c r="D2640" s="14" t="str">
        <f>IF($C2640="","",IFERROR(INDEX(Productos!$B$5:$B$504,MATCH($C2640,Productos!$A$5:$A$504,0)),"Clave no existe"))</f>
        <v/>
      </c>
      <c r="E2640" s="14" t="str">
        <f>IF($C2640="","",IFERROR(INDEX(Productos!$D$5:$D$504,MATCH($C2640,Productos!$A$5:$A$504,0)),""))</f>
        <v/>
      </c>
      <c r="F2640" s="20"/>
      <c r="G2640" s="22" t="str">
        <f>IF($C2640="","",IFERROR(INDEX(Productos!$F$5:$F$504,MATCH($C2640,Productos!$A$5:$A$504,0)),0))</f>
        <v/>
      </c>
      <c r="H2640" s="22" t="str">
        <f t="shared" si="41"/>
        <v/>
      </c>
      <c r="I2640" s="14" t="str">
        <f>IF(OR($C2640="",$F2640=""),"",IFERROR(INDEX(Productos!$I$5:$I$504,MATCH($C2640,Productos!$A$5:$A$504,0)),0)+SUMIFS($F$5:$F2640,$C$5:$C2640,$C2640,$B$5:$B2640,"Entrada")-SUMIFS($F$5:$F2640,$C$5:$C2640,$C2640,$B$5:$B2640,"Salida"))</f>
        <v/>
      </c>
      <c r="J2640" s="20"/>
      <c r="K2640" s="20"/>
      <c r="L2640" s="20"/>
      <c r="M2640" s="14" t="str">
        <f>IF(AND($C2640&lt;&gt;"",$C2640=Kardex!$C$4),COUNTIF($C$5:$C2640,Kardex!$C$4),"")</f>
        <v/>
      </c>
    </row>
    <row r="2641" spans="1:13" x14ac:dyDescent="0.25">
      <c r="A2641" s="24"/>
      <c r="B2641" s="20"/>
      <c r="C2641" s="20"/>
      <c r="D2641" s="14" t="str">
        <f>IF($C2641="","",IFERROR(INDEX(Productos!$B$5:$B$504,MATCH($C2641,Productos!$A$5:$A$504,0)),"Clave no existe"))</f>
        <v/>
      </c>
      <c r="E2641" s="14" t="str">
        <f>IF($C2641="","",IFERROR(INDEX(Productos!$D$5:$D$504,MATCH($C2641,Productos!$A$5:$A$504,0)),""))</f>
        <v/>
      </c>
      <c r="F2641" s="20"/>
      <c r="G2641" s="22" t="str">
        <f>IF($C2641="","",IFERROR(INDEX(Productos!$F$5:$F$504,MATCH($C2641,Productos!$A$5:$A$504,0)),0))</f>
        <v/>
      </c>
      <c r="H2641" s="22" t="str">
        <f t="shared" si="41"/>
        <v/>
      </c>
      <c r="I2641" s="14" t="str">
        <f>IF(OR($C2641="",$F2641=""),"",IFERROR(INDEX(Productos!$I$5:$I$504,MATCH($C2641,Productos!$A$5:$A$504,0)),0)+SUMIFS($F$5:$F2641,$C$5:$C2641,$C2641,$B$5:$B2641,"Entrada")-SUMIFS($F$5:$F2641,$C$5:$C2641,$C2641,$B$5:$B2641,"Salida"))</f>
        <v/>
      </c>
      <c r="J2641" s="20"/>
      <c r="K2641" s="20"/>
      <c r="L2641" s="20"/>
      <c r="M2641" s="14" t="str">
        <f>IF(AND($C2641&lt;&gt;"",$C2641=Kardex!$C$4),COUNTIF($C$5:$C2641,Kardex!$C$4),"")</f>
        <v/>
      </c>
    </row>
    <row r="2642" spans="1:13" x14ac:dyDescent="0.25">
      <c r="A2642" s="24"/>
      <c r="B2642" s="20"/>
      <c r="C2642" s="20"/>
      <c r="D2642" s="14" t="str">
        <f>IF($C2642="","",IFERROR(INDEX(Productos!$B$5:$B$504,MATCH($C2642,Productos!$A$5:$A$504,0)),"Clave no existe"))</f>
        <v/>
      </c>
      <c r="E2642" s="14" t="str">
        <f>IF($C2642="","",IFERROR(INDEX(Productos!$D$5:$D$504,MATCH($C2642,Productos!$A$5:$A$504,0)),""))</f>
        <v/>
      </c>
      <c r="F2642" s="20"/>
      <c r="G2642" s="22" t="str">
        <f>IF($C2642="","",IFERROR(INDEX(Productos!$F$5:$F$504,MATCH($C2642,Productos!$A$5:$A$504,0)),0))</f>
        <v/>
      </c>
      <c r="H2642" s="22" t="str">
        <f t="shared" si="41"/>
        <v/>
      </c>
      <c r="I2642" s="14" t="str">
        <f>IF(OR($C2642="",$F2642=""),"",IFERROR(INDEX(Productos!$I$5:$I$504,MATCH($C2642,Productos!$A$5:$A$504,0)),0)+SUMIFS($F$5:$F2642,$C$5:$C2642,$C2642,$B$5:$B2642,"Entrada")-SUMIFS($F$5:$F2642,$C$5:$C2642,$C2642,$B$5:$B2642,"Salida"))</f>
        <v/>
      </c>
      <c r="J2642" s="20"/>
      <c r="K2642" s="20"/>
      <c r="L2642" s="20"/>
      <c r="M2642" s="14" t="str">
        <f>IF(AND($C2642&lt;&gt;"",$C2642=Kardex!$C$4),COUNTIF($C$5:$C2642,Kardex!$C$4),"")</f>
        <v/>
      </c>
    </row>
    <row r="2643" spans="1:13" x14ac:dyDescent="0.25">
      <c r="A2643" s="24"/>
      <c r="B2643" s="20"/>
      <c r="C2643" s="20"/>
      <c r="D2643" s="14" t="str">
        <f>IF($C2643="","",IFERROR(INDEX(Productos!$B$5:$B$504,MATCH($C2643,Productos!$A$5:$A$504,0)),"Clave no existe"))</f>
        <v/>
      </c>
      <c r="E2643" s="14" t="str">
        <f>IF($C2643="","",IFERROR(INDEX(Productos!$D$5:$D$504,MATCH($C2643,Productos!$A$5:$A$504,0)),""))</f>
        <v/>
      </c>
      <c r="F2643" s="20"/>
      <c r="G2643" s="22" t="str">
        <f>IF($C2643="","",IFERROR(INDEX(Productos!$F$5:$F$504,MATCH($C2643,Productos!$A$5:$A$504,0)),0))</f>
        <v/>
      </c>
      <c r="H2643" s="22" t="str">
        <f t="shared" si="41"/>
        <v/>
      </c>
      <c r="I2643" s="14" t="str">
        <f>IF(OR($C2643="",$F2643=""),"",IFERROR(INDEX(Productos!$I$5:$I$504,MATCH($C2643,Productos!$A$5:$A$504,0)),0)+SUMIFS($F$5:$F2643,$C$5:$C2643,$C2643,$B$5:$B2643,"Entrada")-SUMIFS($F$5:$F2643,$C$5:$C2643,$C2643,$B$5:$B2643,"Salida"))</f>
        <v/>
      </c>
      <c r="J2643" s="20"/>
      <c r="K2643" s="20"/>
      <c r="L2643" s="20"/>
      <c r="M2643" s="14" t="str">
        <f>IF(AND($C2643&lt;&gt;"",$C2643=Kardex!$C$4),COUNTIF($C$5:$C2643,Kardex!$C$4),"")</f>
        <v/>
      </c>
    </row>
    <row r="2644" spans="1:13" x14ac:dyDescent="0.25">
      <c r="A2644" s="24"/>
      <c r="B2644" s="20"/>
      <c r="C2644" s="20"/>
      <c r="D2644" s="14" t="str">
        <f>IF($C2644="","",IFERROR(INDEX(Productos!$B$5:$B$504,MATCH($C2644,Productos!$A$5:$A$504,0)),"Clave no existe"))</f>
        <v/>
      </c>
      <c r="E2644" s="14" t="str">
        <f>IF($C2644="","",IFERROR(INDEX(Productos!$D$5:$D$504,MATCH($C2644,Productos!$A$5:$A$504,0)),""))</f>
        <v/>
      </c>
      <c r="F2644" s="20"/>
      <c r="G2644" s="22" t="str">
        <f>IF($C2644="","",IFERROR(INDEX(Productos!$F$5:$F$504,MATCH($C2644,Productos!$A$5:$A$504,0)),0))</f>
        <v/>
      </c>
      <c r="H2644" s="22" t="str">
        <f t="shared" si="41"/>
        <v/>
      </c>
      <c r="I2644" s="14" t="str">
        <f>IF(OR($C2644="",$F2644=""),"",IFERROR(INDEX(Productos!$I$5:$I$504,MATCH($C2644,Productos!$A$5:$A$504,0)),0)+SUMIFS($F$5:$F2644,$C$5:$C2644,$C2644,$B$5:$B2644,"Entrada")-SUMIFS($F$5:$F2644,$C$5:$C2644,$C2644,$B$5:$B2644,"Salida"))</f>
        <v/>
      </c>
      <c r="J2644" s="20"/>
      <c r="K2644" s="20"/>
      <c r="L2644" s="20"/>
      <c r="M2644" s="14" t="str">
        <f>IF(AND($C2644&lt;&gt;"",$C2644=Kardex!$C$4),COUNTIF($C$5:$C2644,Kardex!$C$4),"")</f>
        <v/>
      </c>
    </row>
    <row r="2645" spans="1:13" x14ac:dyDescent="0.25">
      <c r="A2645" s="24"/>
      <c r="B2645" s="20"/>
      <c r="C2645" s="20"/>
      <c r="D2645" s="14" t="str">
        <f>IF($C2645="","",IFERROR(INDEX(Productos!$B$5:$B$504,MATCH($C2645,Productos!$A$5:$A$504,0)),"Clave no existe"))</f>
        <v/>
      </c>
      <c r="E2645" s="14" t="str">
        <f>IF($C2645="","",IFERROR(INDEX(Productos!$D$5:$D$504,MATCH($C2645,Productos!$A$5:$A$504,0)),""))</f>
        <v/>
      </c>
      <c r="F2645" s="20"/>
      <c r="G2645" s="22" t="str">
        <f>IF($C2645="","",IFERROR(INDEX(Productos!$F$5:$F$504,MATCH($C2645,Productos!$A$5:$A$504,0)),0))</f>
        <v/>
      </c>
      <c r="H2645" s="22" t="str">
        <f t="shared" si="41"/>
        <v/>
      </c>
      <c r="I2645" s="14" t="str">
        <f>IF(OR($C2645="",$F2645=""),"",IFERROR(INDEX(Productos!$I$5:$I$504,MATCH($C2645,Productos!$A$5:$A$504,0)),0)+SUMIFS($F$5:$F2645,$C$5:$C2645,$C2645,$B$5:$B2645,"Entrada")-SUMIFS($F$5:$F2645,$C$5:$C2645,$C2645,$B$5:$B2645,"Salida"))</f>
        <v/>
      </c>
      <c r="J2645" s="20"/>
      <c r="K2645" s="20"/>
      <c r="L2645" s="20"/>
      <c r="M2645" s="14" t="str">
        <f>IF(AND($C2645&lt;&gt;"",$C2645=Kardex!$C$4),COUNTIF($C$5:$C2645,Kardex!$C$4),"")</f>
        <v/>
      </c>
    </row>
    <row r="2646" spans="1:13" x14ac:dyDescent="0.25">
      <c r="A2646" s="24"/>
      <c r="B2646" s="20"/>
      <c r="C2646" s="20"/>
      <c r="D2646" s="14" t="str">
        <f>IF($C2646="","",IFERROR(INDEX(Productos!$B$5:$B$504,MATCH($C2646,Productos!$A$5:$A$504,0)),"Clave no existe"))</f>
        <v/>
      </c>
      <c r="E2646" s="14" t="str">
        <f>IF($C2646="","",IFERROR(INDEX(Productos!$D$5:$D$504,MATCH($C2646,Productos!$A$5:$A$504,0)),""))</f>
        <v/>
      </c>
      <c r="F2646" s="20"/>
      <c r="G2646" s="22" t="str">
        <f>IF($C2646="","",IFERROR(INDEX(Productos!$F$5:$F$504,MATCH($C2646,Productos!$A$5:$A$504,0)),0))</f>
        <v/>
      </c>
      <c r="H2646" s="22" t="str">
        <f t="shared" si="41"/>
        <v/>
      </c>
      <c r="I2646" s="14" t="str">
        <f>IF(OR($C2646="",$F2646=""),"",IFERROR(INDEX(Productos!$I$5:$I$504,MATCH($C2646,Productos!$A$5:$A$504,0)),0)+SUMIFS($F$5:$F2646,$C$5:$C2646,$C2646,$B$5:$B2646,"Entrada")-SUMIFS($F$5:$F2646,$C$5:$C2646,$C2646,$B$5:$B2646,"Salida"))</f>
        <v/>
      </c>
      <c r="J2646" s="20"/>
      <c r="K2646" s="20"/>
      <c r="L2646" s="20"/>
      <c r="M2646" s="14" t="str">
        <f>IF(AND($C2646&lt;&gt;"",$C2646=Kardex!$C$4),COUNTIF($C$5:$C2646,Kardex!$C$4),"")</f>
        <v/>
      </c>
    </row>
    <row r="2647" spans="1:13" x14ac:dyDescent="0.25">
      <c r="A2647" s="24"/>
      <c r="B2647" s="20"/>
      <c r="C2647" s="20"/>
      <c r="D2647" s="14" t="str">
        <f>IF($C2647="","",IFERROR(INDEX(Productos!$B$5:$B$504,MATCH($C2647,Productos!$A$5:$A$504,0)),"Clave no existe"))</f>
        <v/>
      </c>
      <c r="E2647" s="14" t="str">
        <f>IF($C2647="","",IFERROR(INDEX(Productos!$D$5:$D$504,MATCH($C2647,Productos!$A$5:$A$504,0)),""))</f>
        <v/>
      </c>
      <c r="F2647" s="20"/>
      <c r="G2647" s="22" t="str">
        <f>IF($C2647="","",IFERROR(INDEX(Productos!$F$5:$F$504,MATCH($C2647,Productos!$A$5:$A$504,0)),0))</f>
        <v/>
      </c>
      <c r="H2647" s="22" t="str">
        <f t="shared" si="41"/>
        <v/>
      </c>
      <c r="I2647" s="14" t="str">
        <f>IF(OR($C2647="",$F2647=""),"",IFERROR(INDEX(Productos!$I$5:$I$504,MATCH($C2647,Productos!$A$5:$A$504,0)),0)+SUMIFS($F$5:$F2647,$C$5:$C2647,$C2647,$B$5:$B2647,"Entrada")-SUMIFS($F$5:$F2647,$C$5:$C2647,$C2647,$B$5:$B2647,"Salida"))</f>
        <v/>
      </c>
      <c r="J2647" s="20"/>
      <c r="K2647" s="20"/>
      <c r="L2647" s="20"/>
      <c r="M2647" s="14" t="str">
        <f>IF(AND($C2647&lt;&gt;"",$C2647=Kardex!$C$4),COUNTIF($C$5:$C2647,Kardex!$C$4),"")</f>
        <v/>
      </c>
    </row>
    <row r="2648" spans="1:13" x14ac:dyDescent="0.25">
      <c r="A2648" s="24"/>
      <c r="B2648" s="20"/>
      <c r="C2648" s="20"/>
      <c r="D2648" s="14" t="str">
        <f>IF($C2648="","",IFERROR(INDEX(Productos!$B$5:$B$504,MATCH($C2648,Productos!$A$5:$A$504,0)),"Clave no existe"))</f>
        <v/>
      </c>
      <c r="E2648" s="14" t="str">
        <f>IF($C2648="","",IFERROR(INDEX(Productos!$D$5:$D$504,MATCH($C2648,Productos!$A$5:$A$504,0)),""))</f>
        <v/>
      </c>
      <c r="F2648" s="20"/>
      <c r="G2648" s="22" t="str">
        <f>IF($C2648="","",IFERROR(INDEX(Productos!$F$5:$F$504,MATCH($C2648,Productos!$A$5:$A$504,0)),0))</f>
        <v/>
      </c>
      <c r="H2648" s="22" t="str">
        <f t="shared" si="41"/>
        <v/>
      </c>
      <c r="I2648" s="14" t="str">
        <f>IF(OR($C2648="",$F2648=""),"",IFERROR(INDEX(Productos!$I$5:$I$504,MATCH($C2648,Productos!$A$5:$A$504,0)),0)+SUMIFS($F$5:$F2648,$C$5:$C2648,$C2648,$B$5:$B2648,"Entrada")-SUMIFS($F$5:$F2648,$C$5:$C2648,$C2648,$B$5:$B2648,"Salida"))</f>
        <v/>
      </c>
      <c r="J2648" s="20"/>
      <c r="K2648" s="20"/>
      <c r="L2648" s="20"/>
      <c r="M2648" s="14" t="str">
        <f>IF(AND($C2648&lt;&gt;"",$C2648=Kardex!$C$4),COUNTIF($C$5:$C2648,Kardex!$C$4),"")</f>
        <v/>
      </c>
    </row>
    <row r="2649" spans="1:13" x14ac:dyDescent="0.25">
      <c r="A2649" s="24"/>
      <c r="B2649" s="20"/>
      <c r="C2649" s="20"/>
      <c r="D2649" s="14" t="str">
        <f>IF($C2649="","",IFERROR(INDEX(Productos!$B$5:$B$504,MATCH($C2649,Productos!$A$5:$A$504,0)),"Clave no existe"))</f>
        <v/>
      </c>
      <c r="E2649" s="14" t="str">
        <f>IF($C2649="","",IFERROR(INDEX(Productos!$D$5:$D$504,MATCH($C2649,Productos!$A$5:$A$504,0)),""))</f>
        <v/>
      </c>
      <c r="F2649" s="20"/>
      <c r="G2649" s="22" t="str">
        <f>IF($C2649="","",IFERROR(INDEX(Productos!$F$5:$F$504,MATCH($C2649,Productos!$A$5:$A$504,0)),0))</f>
        <v/>
      </c>
      <c r="H2649" s="22" t="str">
        <f t="shared" si="41"/>
        <v/>
      </c>
      <c r="I2649" s="14" t="str">
        <f>IF(OR($C2649="",$F2649=""),"",IFERROR(INDEX(Productos!$I$5:$I$504,MATCH($C2649,Productos!$A$5:$A$504,0)),0)+SUMIFS($F$5:$F2649,$C$5:$C2649,$C2649,$B$5:$B2649,"Entrada")-SUMIFS($F$5:$F2649,$C$5:$C2649,$C2649,$B$5:$B2649,"Salida"))</f>
        <v/>
      </c>
      <c r="J2649" s="20"/>
      <c r="K2649" s="20"/>
      <c r="L2649" s="20"/>
      <c r="M2649" s="14" t="str">
        <f>IF(AND($C2649&lt;&gt;"",$C2649=Kardex!$C$4),COUNTIF($C$5:$C2649,Kardex!$C$4),"")</f>
        <v/>
      </c>
    </row>
    <row r="2650" spans="1:13" x14ac:dyDescent="0.25">
      <c r="A2650" s="24"/>
      <c r="B2650" s="20"/>
      <c r="C2650" s="20"/>
      <c r="D2650" s="14" t="str">
        <f>IF($C2650="","",IFERROR(INDEX(Productos!$B$5:$B$504,MATCH($C2650,Productos!$A$5:$A$504,0)),"Clave no existe"))</f>
        <v/>
      </c>
      <c r="E2650" s="14" t="str">
        <f>IF($C2650="","",IFERROR(INDEX(Productos!$D$5:$D$504,MATCH($C2650,Productos!$A$5:$A$504,0)),""))</f>
        <v/>
      </c>
      <c r="F2650" s="20"/>
      <c r="G2650" s="22" t="str">
        <f>IF($C2650="","",IFERROR(INDEX(Productos!$F$5:$F$504,MATCH($C2650,Productos!$A$5:$A$504,0)),0))</f>
        <v/>
      </c>
      <c r="H2650" s="22" t="str">
        <f t="shared" si="41"/>
        <v/>
      </c>
      <c r="I2650" s="14" t="str">
        <f>IF(OR($C2650="",$F2650=""),"",IFERROR(INDEX(Productos!$I$5:$I$504,MATCH($C2650,Productos!$A$5:$A$504,0)),0)+SUMIFS($F$5:$F2650,$C$5:$C2650,$C2650,$B$5:$B2650,"Entrada")-SUMIFS($F$5:$F2650,$C$5:$C2650,$C2650,$B$5:$B2650,"Salida"))</f>
        <v/>
      </c>
      <c r="J2650" s="20"/>
      <c r="K2650" s="20"/>
      <c r="L2650" s="20"/>
      <c r="M2650" s="14" t="str">
        <f>IF(AND($C2650&lt;&gt;"",$C2650=Kardex!$C$4),COUNTIF($C$5:$C2650,Kardex!$C$4),"")</f>
        <v/>
      </c>
    </row>
    <row r="2651" spans="1:13" x14ac:dyDescent="0.25">
      <c r="A2651" s="24"/>
      <c r="B2651" s="20"/>
      <c r="C2651" s="20"/>
      <c r="D2651" s="14" t="str">
        <f>IF($C2651="","",IFERROR(INDEX(Productos!$B$5:$B$504,MATCH($C2651,Productos!$A$5:$A$504,0)),"Clave no existe"))</f>
        <v/>
      </c>
      <c r="E2651" s="14" t="str">
        <f>IF($C2651="","",IFERROR(INDEX(Productos!$D$5:$D$504,MATCH($C2651,Productos!$A$5:$A$504,0)),""))</f>
        <v/>
      </c>
      <c r="F2651" s="20"/>
      <c r="G2651" s="22" t="str">
        <f>IF($C2651="","",IFERROR(INDEX(Productos!$F$5:$F$504,MATCH($C2651,Productos!$A$5:$A$504,0)),0))</f>
        <v/>
      </c>
      <c r="H2651" s="22" t="str">
        <f t="shared" si="41"/>
        <v/>
      </c>
      <c r="I2651" s="14" t="str">
        <f>IF(OR($C2651="",$F2651=""),"",IFERROR(INDEX(Productos!$I$5:$I$504,MATCH($C2651,Productos!$A$5:$A$504,0)),0)+SUMIFS($F$5:$F2651,$C$5:$C2651,$C2651,$B$5:$B2651,"Entrada")-SUMIFS($F$5:$F2651,$C$5:$C2651,$C2651,$B$5:$B2651,"Salida"))</f>
        <v/>
      </c>
      <c r="J2651" s="20"/>
      <c r="K2651" s="20"/>
      <c r="L2651" s="20"/>
      <c r="M2651" s="14" t="str">
        <f>IF(AND($C2651&lt;&gt;"",$C2651=Kardex!$C$4),COUNTIF($C$5:$C2651,Kardex!$C$4),"")</f>
        <v/>
      </c>
    </row>
    <row r="2652" spans="1:13" x14ac:dyDescent="0.25">
      <c r="A2652" s="24"/>
      <c r="B2652" s="20"/>
      <c r="C2652" s="20"/>
      <c r="D2652" s="14" t="str">
        <f>IF($C2652="","",IFERROR(INDEX(Productos!$B$5:$B$504,MATCH($C2652,Productos!$A$5:$A$504,0)),"Clave no existe"))</f>
        <v/>
      </c>
      <c r="E2652" s="14" t="str">
        <f>IF($C2652="","",IFERROR(INDEX(Productos!$D$5:$D$504,MATCH($C2652,Productos!$A$5:$A$504,0)),""))</f>
        <v/>
      </c>
      <c r="F2652" s="20"/>
      <c r="G2652" s="22" t="str">
        <f>IF($C2652="","",IFERROR(INDEX(Productos!$F$5:$F$504,MATCH($C2652,Productos!$A$5:$A$504,0)),0))</f>
        <v/>
      </c>
      <c r="H2652" s="22" t="str">
        <f t="shared" si="41"/>
        <v/>
      </c>
      <c r="I2652" s="14" t="str">
        <f>IF(OR($C2652="",$F2652=""),"",IFERROR(INDEX(Productos!$I$5:$I$504,MATCH($C2652,Productos!$A$5:$A$504,0)),0)+SUMIFS($F$5:$F2652,$C$5:$C2652,$C2652,$B$5:$B2652,"Entrada")-SUMIFS($F$5:$F2652,$C$5:$C2652,$C2652,$B$5:$B2652,"Salida"))</f>
        <v/>
      </c>
      <c r="J2652" s="20"/>
      <c r="K2652" s="20"/>
      <c r="L2652" s="20"/>
      <c r="M2652" s="14" t="str">
        <f>IF(AND($C2652&lt;&gt;"",$C2652=Kardex!$C$4),COUNTIF($C$5:$C2652,Kardex!$C$4),"")</f>
        <v/>
      </c>
    </row>
    <row r="2653" spans="1:13" x14ac:dyDescent="0.25">
      <c r="A2653" s="24"/>
      <c r="B2653" s="20"/>
      <c r="C2653" s="20"/>
      <c r="D2653" s="14" t="str">
        <f>IF($C2653="","",IFERROR(INDEX(Productos!$B$5:$B$504,MATCH($C2653,Productos!$A$5:$A$504,0)),"Clave no existe"))</f>
        <v/>
      </c>
      <c r="E2653" s="14" t="str">
        <f>IF($C2653="","",IFERROR(INDEX(Productos!$D$5:$D$504,MATCH($C2653,Productos!$A$5:$A$504,0)),""))</f>
        <v/>
      </c>
      <c r="F2653" s="20"/>
      <c r="G2653" s="22" t="str">
        <f>IF($C2653="","",IFERROR(INDEX(Productos!$F$5:$F$504,MATCH($C2653,Productos!$A$5:$A$504,0)),0))</f>
        <v/>
      </c>
      <c r="H2653" s="22" t="str">
        <f t="shared" si="41"/>
        <v/>
      </c>
      <c r="I2653" s="14" t="str">
        <f>IF(OR($C2653="",$F2653=""),"",IFERROR(INDEX(Productos!$I$5:$I$504,MATCH($C2653,Productos!$A$5:$A$504,0)),0)+SUMIFS($F$5:$F2653,$C$5:$C2653,$C2653,$B$5:$B2653,"Entrada")-SUMIFS($F$5:$F2653,$C$5:$C2653,$C2653,$B$5:$B2653,"Salida"))</f>
        <v/>
      </c>
      <c r="J2653" s="20"/>
      <c r="K2653" s="20"/>
      <c r="L2653" s="20"/>
      <c r="M2653" s="14" t="str">
        <f>IF(AND($C2653&lt;&gt;"",$C2653=Kardex!$C$4),COUNTIF($C$5:$C2653,Kardex!$C$4),"")</f>
        <v/>
      </c>
    </row>
    <row r="2654" spans="1:13" x14ac:dyDescent="0.25">
      <c r="A2654" s="24"/>
      <c r="B2654" s="20"/>
      <c r="C2654" s="20"/>
      <c r="D2654" s="14" t="str">
        <f>IF($C2654="","",IFERROR(INDEX(Productos!$B$5:$B$504,MATCH($C2654,Productos!$A$5:$A$504,0)),"Clave no existe"))</f>
        <v/>
      </c>
      <c r="E2654" s="14" t="str">
        <f>IF($C2654="","",IFERROR(INDEX(Productos!$D$5:$D$504,MATCH($C2654,Productos!$A$5:$A$504,0)),""))</f>
        <v/>
      </c>
      <c r="F2654" s="20"/>
      <c r="G2654" s="22" t="str">
        <f>IF($C2654="","",IFERROR(INDEX(Productos!$F$5:$F$504,MATCH($C2654,Productos!$A$5:$A$504,0)),0))</f>
        <v/>
      </c>
      <c r="H2654" s="22" t="str">
        <f t="shared" si="41"/>
        <v/>
      </c>
      <c r="I2654" s="14" t="str">
        <f>IF(OR($C2654="",$F2654=""),"",IFERROR(INDEX(Productos!$I$5:$I$504,MATCH($C2654,Productos!$A$5:$A$504,0)),0)+SUMIFS($F$5:$F2654,$C$5:$C2654,$C2654,$B$5:$B2654,"Entrada")-SUMIFS($F$5:$F2654,$C$5:$C2654,$C2654,$B$5:$B2654,"Salida"))</f>
        <v/>
      </c>
      <c r="J2654" s="20"/>
      <c r="K2654" s="20"/>
      <c r="L2654" s="20"/>
      <c r="M2654" s="14" t="str">
        <f>IF(AND($C2654&lt;&gt;"",$C2654=Kardex!$C$4),COUNTIF($C$5:$C2654,Kardex!$C$4),"")</f>
        <v/>
      </c>
    </row>
    <row r="2655" spans="1:13" x14ac:dyDescent="0.25">
      <c r="A2655" s="24"/>
      <c r="B2655" s="20"/>
      <c r="C2655" s="20"/>
      <c r="D2655" s="14" t="str">
        <f>IF($C2655="","",IFERROR(INDEX(Productos!$B$5:$B$504,MATCH($C2655,Productos!$A$5:$A$504,0)),"Clave no existe"))</f>
        <v/>
      </c>
      <c r="E2655" s="14" t="str">
        <f>IF($C2655="","",IFERROR(INDEX(Productos!$D$5:$D$504,MATCH($C2655,Productos!$A$5:$A$504,0)),""))</f>
        <v/>
      </c>
      <c r="F2655" s="20"/>
      <c r="G2655" s="22" t="str">
        <f>IF($C2655="","",IFERROR(INDEX(Productos!$F$5:$F$504,MATCH($C2655,Productos!$A$5:$A$504,0)),0))</f>
        <v/>
      </c>
      <c r="H2655" s="22" t="str">
        <f t="shared" si="41"/>
        <v/>
      </c>
      <c r="I2655" s="14" t="str">
        <f>IF(OR($C2655="",$F2655=""),"",IFERROR(INDEX(Productos!$I$5:$I$504,MATCH($C2655,Productos!$A$5:$A$504,0)),0)+SUMIFS($F$5:$F2655,$C$5:$C2655,$C2655,$B$5:$B2655,"Entrada")-SUMIFS($F$5:$F2655,$C$5:$C2655,$C2655,$B$5:$B2655,"Salida"))</f>
        <v/>
      </c>
      <c r="J2655" s="20"/>
      <c r="K2655" s="20"/>
      <c r="L2655" s="20"/>
      <c r="M2655" s="14" t="str">
        <f>IF(AND($C2655&lt;&gt;"",$C2655=Kardex!$C$4),COUNTIF($C$5:$C2655,Kardex!$C$4),"")</f>
        <v/>
      </c>
    </row>
    <row r="2656" spans="1:13" x14ac:dyDescent="0.25">
      <c r="A2656" s="24"/>
      <c r="B2656" s="20"/>
      <c r="C2656" s="20"/>
      <c r="D2656" s="14" t="str">
        <f>IF($C2656="","",IFERROR(INDEX(Productos!$B$5:$B$504,MATCH($C2656,Productos!$A$5:$A$504,0)),"Clave no existe"))</f>
        <v/>
      </c>
      <c r="E2656" s="14" t="str">
        <f>IF($C2656="","",IFERROR(INDEX(Productos!$D$5:$D$504,MATCH($C2656,Productos!$A$5:$A$504,0)),""))</f>
        <v/>
      </c>
      <c r="F2656" s="20"/>
      <c r="G2656" s="22" t="str">
        <f>IF($C2656="","",IFERROR(INDEX(Productos!$F$5:$F$504,MATCH($C2656,Productos!$A$5:$A$504,0)),0))</f>
        <v/>
      </c>
      <c r="H2656" s="22" t="str">
        <f t="shared" si="41"/>
        <v/>
      </c>
      <c r="I2656" s="14" t="str">
        <f>IF(OR($C2656="",$F2656=""),"",IFERROR(INDEX(Productos!$I$5:$I$504,MATCH($C2656,Productos!$A$5:$A$504,0)),0)+SUMIFS($F$5:$F2656,$C$5:$C2656,$C2656,$B$5:$B2656,"Entrada")-SUMIFS($F$5:$F2656,$C$5:$C2656,$C2656,$B$5:$B2656,"Salida"))</f>
        <v/>
      </c>
      <c r="J2656" s="20"/>
      <c r="K2656" s="20"/>
      <c r="L2656" s="20"/>
      <c r="M2656" s="14" t="str">
        <f>IF(AND($C2656&lt;&gt;"",$C2656=Kardex!$C$4),COUNTIF($C$5:$C2656,Kardex!$C$4),"")</f>
        <v/>
      </c>
    </row>
    <row r="2657" spans="1:13" x14ac:dyDescent="0.25">
      <c r="A2657" s="24"/>
      <c r="B2657" s="20"/>
      <c r="C2657" s="20"/>
      <c r="D2657" s="14" t="str">
        <f>IF($C2657="","",IFERROR(INDEX(Productos!$B$5:$B$504,MATCH($C2657,Productos!$A$5:$A$504,0)),"Clave no existe"))</f>
        <v/>
      </c>
      <c r="E2657" s="14" t="str">
        <f>IF($C2657="","",IFERROR(INDEX(Productos!$D$5:$D$504,MATCH($C2657,Productos!$A$5:$A$504,0)),""))</f>
        <v/>
      </c>
      <c r="F2657" s="20"/>
      <c r="G2657" s="22" t="str">
        <f>IF($C2657="","",IFERROR(INDEX(Productos!$F$5:$F$504,MATCH($C2657,Productos!$A$5:$A$504,0)),0))</f>
        <v/>
      </c>
      <c r="H2657" s="22" t="str">
        <f t="shared" si="41"/>
        <v/>
      </c>
      <c r="I2657" s="14" t="str">
        <f>IF(OR($C2657="",$F2657=""),"",IFERROR(INDEX(Productos!$I$5:$I$504,MATCH($C2657,Productos!$A$5:$A$504,0)),0)+SUMIFS($F$5:$F2657,$C$5:$C2657,$C2657,$B$5:$B2657,"Entrada")-SUMIFS($F$5:$F2657,$C$5:$C2657,$C2657,$B$5:$B2657,"Salida"))</f>
        <v/>
      </c>
      <c r="J2657" s="20"/>
      <c r="K2657" s="20"/>
      <c r="L2657" s="20"/>
      <c r="M2657" s="14" t="str">
        <f>IF(AND($C2657&lt;&gt;"",$C2657=Kardex!$C$4),COUNTIF($C$5:$C2657,Kardex!$C$4),"")</f>
        <v/>
      </c>
    </row>
    <row r="2658" spans="1:13" x14ac:dyDescent="0.25">
      <c r="A2658" s="24"/>
      <c r="B2658" s="20"/>
      <c r="C2658" s="20"/>
      <c r="D2658" s="14" t="str">
        <f>IF($C2658="","",IFERROR(INDEX(Productos!$B$5:$B$504,MATCH($C2658,Productos!$A$5:$A$504,0)),"Clave no existe"))</f>
        <v/>
      </c>
      <c r="E2658" s="14" t="str">
        <f>IF($C2658="","",IFERROR(INDEX(Productos!$D$5:$D$504,MATCH($C2658,Productos!$A$5:$A$504,0)),""))</f>
        <v/>
      </c>
      <c r="F2658" s="20"/>
      <c r="G2658" s="22" t="str">
        <f>IF($C2658="","",IFERROR(INDEX(Productos!$F$5:$F$504,MATCH($C2658,Productos!$A$5:$A$504,0)),0))</f>
        <v/>
      </c>
      <c r="H2658" s="22" t="str">
        <f t="shared" si="41"/>
        <v/>
      </c>
      <c r="I2658" s="14" t="str">
        <f>IF(OR($C2658="",$F2658=""),"",IFERROR(INDEX(Productos!$I$5:$I$504,MATCH($C2658,Productos!$A$5:$A$504,0)),0)+SUMIFS($F$5:$F2658,$C$5:$C2658,$C2658,$B$5:$B2658,"Entrada")-SUMIFS($F$5:$F2658,$C$5:$C2658,$C2658,$B$5:$B2658,"Salida"))</f>
        <v/>
      </c>
      <c r="J2658" s="20"/>
      <c r="K2658" s="20"/>
      <c r="L2658" s="20"/>
      <c r="M2658" s="14" t="str">
        <f>IF(AND($C2658&lt;&gt;"",$C2658=Kardex!$C$4),COUNTIF($C$5:$C2658,Kardex!$C$4),"")</f>
        <v/>
      </c>
    </row>
    <row r="2659" spans="1:13" x14ac:dyDescent="0.25">
      <c r="A2659" s="24"/>
      <c r="B2659" s="20"/>
      <c r="C2659" s="20"/>
      <c r="D2659" s="14" t="str">
        <f>IF($C2659="","",IFERROR(INDEX(Productos!$B$5:$B$504,MATCH($C2659,Productos!$A$5:$A$504,0)),"Clave no existe"))</f>
        <v/>
      </c>
      <c r="E2659" s="14" t="str">
        <f>IF($C2659="","",IFERROR(INDEX(Productos!$D$5:$D$504,MATCH($C2659,Productos!$A$5:$A$504,0)),""))</f>
        <v/>
      </c>
      <c r="F2659" s="20"/>
      <c r="G2659" s="22" t="str">
        <f>IF($C2659="","",IFERROR(INDEX(Productos!$F$5:$F$504,MATCH($C2659,Productos!$A$5:$A$504,0)),0))</f>
        <v/>
      </c>
      <c r="H2659" s="22" t="str">
        <f t="shared" si="41"/>
        <v/>
      </c>
      <c r="I2659" s="14" t="str">
        <f>IF(OR($C2659="",$F2659=""),"",IFERROR(INDEX(Productos!$I$5:$I$504,MATCH($C2659,Productos!$A$5:$A$504,0)),0)+SUMIFS($F$5:$F2659,$C$5:$C2659,$C2659,$B$5:$B2659,"Entrada")-SUMIFS($F$5:$F2659,$C$5:$C2659,$C2659,$B$5:$B2659,"Salida"))</f>
        <v/>
      </c>
      <c r="J2659" s="20"/>
      <c r="K2659" s="20"/>
      <c r="L2659" s="20"/>
      <c r="M2659" s="14" t="str">
        <f>IF(AND($C2659&lt;&gt;"",$C2659=Kardex!$C$4),COUNTIF($C$5:$C2659,Kardex!$C$4),"")</f>
        <v/>
      </c>
    </row>
    <row r="2660" spans="1:13" x14ac:dyDescent="0.25">
      <c r="A2660" s="24"/>
      <c r="B2660" s="20"/>
      <c r="C2660" s="20"/>
      <c r="D2660" s="14" t="str">
        <f>IF($C2660="","",IFERROR(INDEX(Productos!$B$5:$B$504,MATCH($C2660,Productos!$A$5:$A$504,0)),"Clave no existe"))</f>
        <v/>
      </c>
      <c r="E2660" s="14" t="str">
        <f>IF($C2660="","",IFERROR(INDEX(Productos!$D$5:$D$504,MATCH($C2660,Productos!$A$5:$A$504,0)),""))</f>
        <v/>
      </c>
      <c r="F2660" s="20"/>
      <c r="G2660" s="22" t="str">
        <f>IF($C2660="","",IFERROR(INDEX(Productos!$F$5:$F$504,MATCH($C2660,Productos!$A$5:$A$504,0)),0))</f>
        <v/>
      </c>
      <c r="H2660" s="22" t="str">
        <f t="shared" si="41"/>
        <v/>
      </c>
      <c r="I2660" s="14" t="str">
        <f>IF(OR($C2660="",$F2660=""),"",IFERROR(INDEX(Productos!$I$5:$I$504,MATCH($C2660,Productos!$A$5:$A$504,0)),0)+SUMIFS($F$5:$F2660,$C$5:$C2660,$C2660,$B$5:$B2660,"Entrada")-SUMIFS($F$5:$F2660,$C$5:$C2660,$C2660,$B$5:$B2660,"Salida"))</f>
        <v/>
      </c>
      <c r="J2660" s="20"/>
      <c r="K2660" s="20"/>
      <c r="L2660" s="20"/>
      <c r="M2660" s="14" t="str">
        <f>IF(AND($C2660&lt;&gt;"",$C2660=Kardex!$C$4),COUNTIF($C$5:$C2660,Kardex!$C$4),"")</f>
        <v/>
      </c>
    </row>
    <row r="2661" spans="1:13" x14ac:dyDescent="0.25">
      <c r="A2661" s="24"/>
      <c r="B2661" s="20"/>
      <c r="C2661" s="20"/>
      <c r="D2661" s="14" t="str">
        <f>IF($C2661="","",IFERROR(INDEX(Productos!$B$5:$B$504,MATCH($C2661,Productos!$A$5:$A$504,0)),"Clave no existe"))</f>
        <v/>
      </c>
      <c r="E2661" s="14" t="str">
        <f>IF($C2661="","",IFERROR(INDEX(Productos!$D$5:$D$504,MATCH($C2661,Productos!$A$5:$A$504,0)),""))</f>
        <v/>
      </c>
      <c r="F2661" s="20"/>
      <c r="G2661" s="22" t="str">
        <f>IF($C2661="","",IFERROR(INDEX(Productos!$F$5:$F$504,MATCH($C2661,Productos!$A$5:$A$504,0)),0))</f>
        <v/>
      </c>
      <c r="H2661" s="22" t="str">
        <f t="shared" si="41"/>
        <v/>
      </c>
      <c r="I2661" s="14" t="str">
        <f>IF(OR($C2661="",$F2661=""),"",IFERROR(INDEX(Productos!$I$5:$I$504,MATCH($C2661,Productos!$A$5:$A$504,0)),0)+SUMIFS($F$5:$F2661,$C$5:$C2661,$C2661,$B$5:$B2661,"Entrada")-SUMIFS($F$5:$F2661,$C$5:$C2661,$C2661,$B$5:$B2661,"Salida"))</f>
        <v/>
      </c>
      <c r="J2661" s="20"/>
      <c r="K2661" s="20"/>
      <c r="L2661" s="20"/>
      <c r="M2661" s="14" t="str">
        <f>IF(AND($C2661&lt;&gt;"",$C2661=Kardex!$C$4),COUNTIF($C$5:$C2661,Kardex!$C$4),"")</f>
        <v/>
      </c>
    </row>
    <row r="2662" spans="1:13" x14ac:dyDescent="0.25">
      <c r="A2662" s="24"/>
      <c r="B2662" s="20"/>
      <c r="C2662" s="20"/>
      <c r="D2662" s="14" t="str">
        <f>IF($C2662="","",IFERROR(INDEX(Productos!$B$5:$B$504,MATCH($C2662,Productos!$A$5:$A$504,0)),"Clave no existe"))</f>
        <v/>
      </c>
      <c r="E2662" s="14" t="str">
        <f>IF($C2662="","",IFERROR(INDEX(Productos!$D$5:$D$504,MATCH($C2662,Productos!$A$5:$A$504,0)),""))</f>
        <v/>
      </c>
      <c r="F2662" s="20"/>
      <c r="G2662" s="22" t="str">
        <f>IF($C2662="","",IFERROR(INDEX(Productos!$F$5:$F$504,MATCH($C2662,Productos!$A$5:$A$504,0)),0))</f>
        <v/>
      </c>
      <c r="H2662" s="22" t="str">
        <f t="shared" si="41"/>
        <v/>
      </c>
      <c r="I2662" s="14" t="str">
        <f>IF(OR($C2662="",$F2662=""),"",IFERROR(INDEX(Productos!$I$5:$I$504,MATCH($C2662,Productos!$A$5:$A$504,0)),0)+SUMIFS($F$5:$F2662,$C$5:$C2662,$C2662,$B$5:$B2662,"Entrada")-SUMIFS($F$5:$F2662,$C$5:$C2662,$C2662,$B$5:$B2662,"Salida"))</f>
        <v/>
      </c>
      <c r="J2662" s="20"/>
      <c r="K2662" s="20"/>
      <c r="L2662" s="20"/>
      <c r="M2662" s="14" t="str">
        <f>IF(AND($C2662&lt;&gt;"",$C2662=Kardex!$C$4),COUNTIF($C$5:$C2662,Kardex!$C$4),"")</f>
        <v/>
      </c>
    </row>
    <row r="2663" spans="1:13" x14ac:dyDescent="0.25">
      <c r="A2663" s="24"/>
      <c r="B2663" s="20"/>
      <c r="C2663" s="20"/>
      <c r="D2663" s="14" t="str">
        <f>IF($C2663="","",IFERROR(INDEX(Productos!$B$5:$B$504,MATCH($C2663,Productos!$A$5:$A$504,0)),"Clave no existe"))</f>
        <v/>
      </c>
      <c r="E2663" s="14" t="str">
        <f>IF($C2663="","",IFERROR(INDEX(Productos!$D$5:$D$504,MATCH($C2663,Productos!$A$5:$A$504,0)),""))</f>
        <v/>
      </c>
      <c r="F2663" s="20"/>
      <c r="G2663" s="22" t="str">
        <f>IF($C2663="","",IFERROR(INDEX(Productos!$F$5:$F$504,MATCH($C2663,Productos!$A$5:$A$504,0)),0))</f>
        <v/>
      </c>
      <c r="H2663" s="22" t="str">
        <f t="shared" si="41"/>
        <v/>
      </c>
      <c r="I2663" s="14" t="str">
        <f>IF(OR($C2663="",$F2663=""),"",IFERROR(INDEX(Productos!$I$5:$I$504,MATCH($C2663,Productos!$A$5:$A$504,0)),0)+SUMIFS($F$5:$F2663,$C$5:$C2663,$C2663,$B$5:$B2663,"Entrada")-SUMIFS($F$5:$F2663,$C$5:$C2663,$C2663,$B$5:$B2663,"Salida"))</f>
        <v/>
      </c>
      <c r="J2663" s="20"/>
      <c r="K2663" s="20"/>
      <c r="L2663" s="20"/>
      <c r="M2663" s="14" t="str">
        <f>IF(AND($C2663&lt;&gt;"",$C2663=Kardex!$C$4),COUNTIF($C$5:$C2663,Kardex!$C$4),"")</f>
        <v/>
      </c>
    </row>
    <row r="2664" spans="1:13" x14ac:dyDescent="0.25">
      <c r="A2664" s="24"/>
      <c r="B2664" s="20"/>
      <c r="C2664" s="20"/>
      <c r="D2664" s="14" t="str">
        <f>IF($C2664="","",IFERROR(INDEX(Productos!$B$5:$B$504,MATCH($C2664,Productos!$A$5:$A$504,0)),"Clave no existe"))</f>
        <v/>
      </c>
      <c r="E2664" s="14" t="str">
        <f>IF($C2664="","",IFERROR(INDEX(Productos!$D$5:$D$504,MATCH($C2664,Productos!$A$5:$A$504,0)),""))</f>
        <v/>
      </c>
      <c r="F2664" s="20"/>
      <c r="G2664" s="22" t="str">
        <f>IF($C2664="","",IFERROR(INDEX(Productos!$F$5:$F$504,MATCH($C2664,Productos!$A$5:$A$504,0)),0))</f>
        <v/>
      </c>
      <c r="H2664" s="22" t="str">
        <f t="shared" si="41"/>
        <v/>
      </c>
      <c r="I2664" s="14" t="str">
        <f>IF(OR($C2664="",$F2664=""),"",IFERROR(INDEX(Productos!$I$5:$I$504,MATCH($C2664,Productos!$A$5:$A$504,0)),0)+SUMIFS($F$5:$F2664,$C$5:$C2664,$C2664,$B$5:$B2664,"Entrada")-SUMIFS($F$5:$F2664,$C$5:$C2664,$C2664,$B$5:$B2664,"Salida"))</f>
        <v/>
      </c>
      <c r="J2664" s="20"/>
      <c r="K2664" s="20"/>
      <c r="L2664" s="20"/>
      <c r="M2664" s="14" t="str">
        <f>IF(AND($C2664&lt;&gt;"",$C2664=Kardex!$C$4),COUNTIF($C$5:$C2664,Kardex!$C$4),"")</f>
        <v/>
      </c>
    </row>
    <row r="2665" spans="1:13" x14ac:dyDescent="0.25">
      <c r="A2665" s="24"/>
      <c r="B2665" s="20"/>
      <c r="C2665" s="20"/>
      <c r="D2665" s="14" t="str">
        <f>IF($C2665="","",IFERROR(INDEX(Productos!$B$5:$B$504,MATCH($C2665,Productos!$A$5:$A$504,0)),"Clave no existe"))</f>
        <v/>
      </c>
      <c r="E2665" s="14" t="str">
        <f>IF($C2665="","",IFERROR(INDEX(Productos!$D$5:$D$504,MATCH($C2665,Productos!$A$5:$A$504,0)),""))</f>
        <v/>
      </c>
      <c r="F2665" s="20"/>
      <c r="G2665" s="22" t="str">
        <f>IF($C2665="","",IFERROR(INDEX(Productos!$F$5:$F$504,MATCH($C2665,Productos!$A$5:$A$504,0)),0))</f>
        <v/>
      </c>
      <c r="H2665" s="22" t="str">
        <f t="shared" si="41"/>
        <v/>
      </c>
      <c r="I2665" s="14" t="str">
        <f>IF(OR($C2665="",$F2665=""),"",IFERROR(INDEX(Productos!$I$5:$I$504,MATCH($C2665,Productos!$A$5:$A$504,0)),0)+SUMIFS($F$5:$F2665,$C$5:$C2665,$C2665,$B$5:$B2665,"Entrada")-SUMIFS($F$5:$F2665,$C$5:$C2665,$C2665,$B$5:$B2665,"Salida"))</f>
        <v/>
      </c>
      <c r="J2665" s="20"/>
      <c r="K2665" s="20"/>
      <c r="L2665" s="20"/>
      <c r="M2665" s="14" t="str">
        <f>IF(AND($C2665&lt;&gt;"",$C2665=Kardex!$C$4),COUNTIF($C$5:$C2665,Kardex!$C$4),"")</f>
        <v/>
      </c>
    </row>
    <row r="2666" spans="1:13" x14ac:dyDescent="0.25">
      <c r="A2666" s="24"/>
      <c r="B2666" s="20"/>
      <c r="C2666" s="20"/>
      <c r="D2666" s="14" t="str">
        <f>IF($C2666="","",IFERROR(INDEX(Productos!$B$5:$B$504,MATCH($C2666,Productos!$A$5:$A$504,0)),"Clave no existe"))</f>
        <v/>
      </c>
      <c r="E2666" s="14" t="str">
        <f>IF($C2666="","",IFERROR(INDEX(Productos!$D$5:$D$504,MATCH($C2666,Productos!$A$5:$A$504,0)),""))</f>
        <v/>
      </c>
      <c r="F2666" s="20"/>
      <c r="G2666" s="22" t="str">
        <f>IF($C2666="","",IFERROR(INDEX(Productos!$F$5:$F$504,MATCH($C2666,Productos!$A$5:$A$504,0)),0))</f>
        <v/>
      </c>
      <c r="H2666" s="22" t="str">
        <f t="shared" si="41"/>
        <v/>
      </c>
      <c r="I2666" s="14" t="str">
        <f>IF(OR($C2666="",$F2666=""),"",IFERROR(INDEX(Productos!$I$5:$I$504,MATCH($C2666,Productos!$A$5:$A$504,0)),0)+SUMIFS($F$5:$F2666,$C$5:$C2666,$C2666,$B$5:$B2666,"Entrada")-SUMIFS($F$5:$F2666,$C$5:$C2666,$C2666,$B$5:$B2666,"Salida"))</f>
        <v/>
      </c>
      <c r="J2666" s="20"/>
      <c r="K2666" s="20"/>
      <c r="L2666" s="20"/>
      <c r="M2666" s="14" t="str">
        <f>IF(AND($C2666&lt;&gt;"",$C2666=Kardex!$C$4),COUNTIF($C$5:$C2666,Kardex!$C$4),"")</f>
        <v/>
      </c>
    </row>
    <row r="2667" spans="1:13" x14ac:dyDescent="0.25">
      <c r="A2667" s="24"/>
      <c r="B2667" s="20"/>
      <c r="C2667" s="20"/>
      <c r="D2667" s="14" t="str">
        <f>IF($C2667="","",IFERROR(INDEX(Productos!$B$5:$B$504,MATCH($C2667,Productos!$A$5:$A$504,0)),"Clave no existe"))</f>
        <v/>
      </c>
      <c r="E2667" s="14" t="str">
        <f>IF($C2667="","",IFERROR(INDEX(Productos!$D$5:$D$504,MATCH($C2667,Productos!$A$5:$A$504,0)),""))</f>
        <v/>
      </c>
      <c r="F2667" s="20"/>
      <c r="G2667" s="22" t="str">
        <f>IF($C2667="","",IFERROR(INDEX(Productos!$F$5:$F$504,MATCH($C2667,Productos!$A$5:$A$504,0)),0))</f>
        <v/>
      </c>
      <c r="H2667" s="22" t="str">
        <f t="shared" si="41"/>
        <v/>
      </c>
      <c r="I2667" s="14" t="str">
        <f>IF(OR($C2667="",$F2667=""),"",IFERROR(INDEX(Productos!$I$5:$I$504,MATCH($C2667,Productos!$A$5:$A$504,0)),0)+SUMIFS($F$5:$F2667,$C$5:$C2667,$C2667,$B$5:$B2667,"Entrada")-SUMIFS($F$5:$F2667,$C$5:$C2667,$C2667,$B$5:$B2667,"Salida"))</f>
        <v/>
      </c>
      <c r="J2667" s="20"/>
      <c r="K2667" s="20"/>
      <c r="L2667" s="20"/>
      <c r="M2667" s="14" t="str">
        <f>IF(AND($C2667&lt;&gt;"",$C2667=Kardex!$C$4),COUNTIF($C$5:$C2667,Kardex!$C$4),"")</f>
        <v/>
      </c>
    </row>
    <row r="2668" spans="1:13" x14ac:dyDescent="0.25">
      <c r="A2668" s="24"/>
      <c r="B2668" s="20"/>
      <c r="C2668" s="20"/>
      <c r="D2668" s="14" t="str">
        <f>IF($C2668="","",IFERROR(INDEX(Productos!$B$5:$B$504,MATCH($C2668,Productos!$A$5:$A$504,0)),"Clave no existe"))</f>
        <v/>
      </c>
      <c r="E2668" s="14" t="str">
        <f>IF($C2668="","",IFERROR(INDEX(Productos!$D$5:$D$504,MATCH($C2668,Productos!$A$5:$A$504,0)),""))</f>
        <v/>
      </c>
      <c r="F2668" s="20"/>
      <c r="G2668" s="22" t="str">
        <f>IF($C2668="","",IFERROR(INDEX(Productos!$F$5:$F$504,MATCH($C2668,Productos!$A$5:$A$504,0)),0))</f>
        <v/>
      </c>
      <c r="H2668" s="22" t="str">
        <f t="shared" si="41"/>
        <v/>
      </c>
      <c r="I2668" s="14" t="str">
        <f>IF(OR($C2668="",$F2668=""),"",IFERROR(INDEX(Productos!$I$5:$I$504,MATCH($C2668,Productos!$A$5:$A$504,0)),0)+SUMIFS($F$5:$F2668,$C$5:$C2668,$C2668,$B$5:$B2668,"Entrada")-SUMIFS($F$5:$F2668,$C$5:$C2668,$C2668,$B$5:$B2668,"Salida"))</f>
        <v/>
      </c>
      <c r="J2668" s="20"/>
      <c r="K2668" s="20"/>
      <c r="L2668" s="20"/>
      <c r="M2668" s="14" t="str">
        <f>IF(AND($C2668&lt;&gt;"",$C2668=Kardex!$C$4),COUNTIF($C$5:$C2668,Kardex!$C$4),"")</f>
        <v/>
      </c>
    </row>
    <row r="2669" spans="1:13" x14ac:dyDescent="0.25">
      <c r="A2669" s="24"/>
      <c r="B2669" s="20"/>
      <c r="C2669" s="20"/>
      <c r="D2669" s="14" t="str">
        <f>IF($C2669="","",IFERROR(INDEX(Productos!$B$5:$B$504,MATCH($C2669,Productos!$A$5:$A$504,0)),"Clave no existe"))</f>
        <v/>
      </c>
      <c r="E2669" s="14" t="str">
        <f>IF($C2669="","",IFERROR(INDEX(Productos!$D$5:$D$504,MATCH($C2669,Productos!$A$5:$A$504,0)),""))</f>
        <v/>
      </c>
      <c r="F2669" s="20"/>
      <c r="G2669" s="22" t="str">
        <f>IF($C2669="","",IFERROR(INDEX(Productos!$F$5:$F$504,MATCH($C2669,Productos!$A$5:$A$504,0)),0))</f>
        <v/>
      </c>
      <c r="H2669" s="22" t="str">
        <f t="shared" si="41"/>
        <v/>
      </c>
      <c r="I2669" s="14" t="str">
        <f>IF(OR($C2669="",$F2669=""),"",IFERROR(INDEX(Productos!$I$5:$I$504,MATCH($C2669,Productos!$A$5:$A$504,0)),0)+SUMIFS($F$5:$F2669,$C$5:$C2669,$C2669,$B$5:$B2669,"Entrada")-SUMIFS($F$5:$F2669,$C$5:$C2669,$C2669,$B$5:$B2669,"Salida"))</f>
        <v/>
      </c>
      <c r="J2669" s="20"/>
      <c r="K2669" s="20"/>
      <c r="L2669" s="20"/>
      <c r="M2669" s="14" t="str">
        <f>IF(AND($C2669&lt;&gt;"",$C2669=Kardex!$C$4),COUNTIF($C$5:$C2669,Kardex!$C$4),"")</f>
        <v/>
      </c>
    </row>
    <row r="2670" spans="1:13" x14ac:dyDescent="0.25">
      <c r="A2670" s="24"/>
      <c r="B2670" s="20"/>
      <c r="C2670" s="20"/>
      <c r="D2670" s="14" t="str">
        <f>IF($C2670="","",IFERROR(INDEX(Productos!$B$5:$B$504,MATCH($C2670,Productos!$A$5:$A$504,0)),"Clave no existe"))</f>
        <v/>
      </c>
      <c r="E2670" s="14" t="str">
        <f>IF($C2670="","",IFERROR(INDEX(Productos!$D$5:$D$504,MATCH($C2670,Productos!$A$5:$A$504,0)),""))</f>
        <v/>
      </c>
      <c r="F2670" s="20"/>
      <c r="G2670" s="22" t="str">
        <f>IF($C2670="","",IFERROR(INDEX(Productos!$F$5:$F$504,MATCH($C2670,Productos!$A$5:$A$504,0)),0))</f>
        <v/>
      </c>
      <c r="H2670" s="22" t="str">
        <f t="shared" si="41"/>
        <v/>
      </c>
      <c r="I2670" s="14" t="str">
        <f>IF(OR($C2670="",$F2670=""),"",IFERROR(INDEX(Productos!$I$5:$I$504,MATCH($C2670,Productos!$A$5:$A$504,0)),0)+SUMIFS($F$5:$F2670,$C$5:$C2670,$C2670,$B$5:$B2670,"Entrada")-SUMIFS($F$5:$F2670,$C$5:$C2670,$C2670,$B$5:$B2670,"Salida"))</f>
        <v/>
      </c>
      <c r="J2670" s="20"/>
      <c r="K2670" s="20"/>
      <c r="L2670" s="20"/>
      <c r="M2670" s="14" t="str">
        <f>IF(AND($C2670&lt;&gt;"",$C2670=Kardex!$C$4),COUNTIF($C$5:$C2670,Kardex!$C$4),"")</f>
        <v/>
      </c>
    </row>
    <row r="2671" spans="1:13" x14ac:dyDescent="0.25">
      <c r="A2671" s="24"/>
      <c r="B2671" s="20"/>
      <c r="C2671" s="20"/>
      <c r="D2671" s="14" t="str">
        <f>IF($C2671="","",IFERROR(INDEX(Productos!$B$5:$B$504,MATCH($C2671,Productos!$A$5:$A$504,0)),"Clave no existe"))</f>
        <v/>
      </c>
      <c r="E2671" s="14" t="str">
        <f>IF($C2671="","",IFERROR(INDEX(Productos!$D$5:$D$504,MATCH($C2671,Productos!$A$5:$A$504,0)),""))</f>
        <v/>
      </c>
      <c r="F2671" s="20"/>
      <c r="G2671" s="22" t="str">
        <f>IF($C2671="","",IFERROR(INDEX(Productos!$F$5:$F$504,MATCH($C2671,Productos!$A$5:$A$504,0)),0))</f>
        <v/>
      </c>
      <c r="H2671" s="22" t="str">
        <f t="shared" si="41"/>
        <v/>
      </c>
      <c r="I2671" s="14" t="str">
        <f>IF(OR($C2671="",$F2671=""),"",IFERROR(INDEX(Productos!$I$5:$I$504,MATCH($C2671,Productos!$A$5:$A$504,0)),0)+SUMIFS($F$5:$F2671,$C$5:$C2671,$C2671,$B$5:$B2671,"Entrada")-SUMIFS($F$5:$F2671,$C$5:$C2671,$C2671,$B$5:$B2671,"Salida"))</f>
        <v/>
      </c>
      <c r="J2671" s="20"/>
      <c r="K2671" s="20"/>
      <c r="L2671" s="20"/>
      <c r="M2671" s="14" t="str">
        <f>IF(AND($C2671&lt;&gt;"",$C2671=Kardex!$C$4),COUNTIF($C$5:$C2671,Kardex!$C$4),"")</f>
        <v/>
      </c>
    </row>
    <row r="2672" spans="1:13" x14ac:dyDescent="0.25">
      <c r="A2672" s="24"/>
      <c r="B2672" s="20"/>
      <c r="C2672" s="20"/>
      <c r="D2672" s="14" t="str">
        <f>IF($C2672="","",IFERROR(INDEX(Productos!$B$5:$B$504,MATCH($C2672,Productos!$A$5:$A$504,0)),"Clave no existe"))</f>
        <v/>
      </c>
      <c r="E2672" s="14" t="str">
        <f>IF($C2672="","",IFERROR(INDEX(Productos!$D$5:$D$504,MATCH($C2672,Productos!$A$5:$A$504,0)),""))</f>
        <v/>
      </c>
      <c r="F2672" s="20"/>
      <c r="G2672" s="22" t="str">
        <f>IF($C2672="","",IFERROR(INDEX(Productos!$F$5:$F$504,MATCH($C2672,Productos!$A$5:$A$504,0)),0))</f>
        <v/>
      </c>
      <c r="H2672" s="22" t="str">
        <f t="shared" si="41"/>
        <v/>
      </c>
      <c r="I2672" s="14" t="str">
        <f>IF(OR($C2672="",$F2672=""),"",IFERROR(INDEX(Productos!$I$5:$I$504,MATCH($C2672,Productos!$A$5:$A$504,0)),0)+SUMIFS($F$5:$F2672,$C$5:$C2672,$C2672,$B$5:$B2672,"Entrada")-SUMIFS($F$5:$F2672,$C$5:$C2672,$C2672,$B$5:$B2672,"Salida"))</f>
        <v/>
      </c>
      <c r="J2672" s="20"/>
      <c r="K2672" s="20"/>
      <c r="L2672" s="20"/>
      <c r="M2672" s="14" t="str">
        <f>IF(AND($C2672&lt;&gt;"",$C2672=Kardex!$C$4),COUNTIF($C$5:$C2672,Kardex!$C$4),"")</f>
        <v/>
      </c>
    </row>
    <row r="2673" spans="1:13" x14ac:dyDescent="0.25">
      <c r="A2673" s="24"/>
      <c r="B2673" s="20"/>
      <c r="C2673" s="20"/>
      <c r="D2673" s="14" t="str">
        <f>IF($C2673="","",IFERROR(INDEX(Productos!$B$5:$B$504,MATCH($C2673,Productos!$A$5:$A$504,0)),"Clave no existe"))</f>
        <v/>
      </c>
      <c r="E2673" s="14" t="str">
        <f>IF($C2673="","",IFERROR(INDEX(Productos!$D$5:$D$504,MATCH($C2673,Productos!$A$5:$A$504,0)),""))</f>
        <v/>
      </c>
      <c r="F2673" s="20"/>
      <c r="G2673" s="22" t="str">
        <f>IF($C2673="","",IFERROR(INDEX(Productos!$F$5:$F$504,MATCH($C2673,Productos!$A$5:$A$504,0)),0))</f>
        <v/>
      </c>
      <c r="H2673" s="22" t="str">
        <f t="shared" si="41"/>
        <v/>
      </c>
      <c r="I2673" s="14" t="str">
        <f>IF(OR($C2673="",$F2673=""),"",IFERROR(INDEX(Productos!$I$5:$I$504,MATCH($C2673,Productos!$A$5:$A$504,0)),0)+SUMIFS($F$5:$F2673,$C$5:$C2673,$C2673,$B$5:$B2673,"Entrada")-SUMIFS($F$5:$F2673,$C$5:$C2673,$C2673,$B$5:$B2673,"Salida"))</f>
        <v/>
      </c>
      <c r="J2673" s="20"/>
      <c r="K2673" s="20"/>
      <c r="L2673" s="20"/>
      <c r="M2673" s="14" t="str">
        <f>IF(AND($C2673&lt;&gt;"",$C2673=Kardex!$C$4),COUNTIF($C$5:$C2673,Kardex!$C$4),"")</f>
        <v/>
      </c>
    </row>
    <row r="2674" spans="1:13" x14ac:dyDescent="0.25">
      <c r="A2674" s="24"/>
      <c r="B2674" s="20"/>
      <c r="C2674" s="20"/>
      <c r="D2674" s="14" t="str">
        <f>IF($C2674="","",IFERROR(INDEX(Productos!$B$5:$B$504,MATCH($C2674,Productos!$A$5:$A$504,0)),"Clave no existe"))</f>
        <v/>
      </c>
      <c r="E2674" s="14" t="str">
        <f>IF($C2674="","",IFERROR(INDEX(Productos!$D$5:$D$504,MATCH($C2674,Productos!$A$5:$A$504,0)),""))</f>
        <v/>
      </c>
      <c r="F2674" s="20"/>
      <c r="G2674" s="22" t="str">
        <f>IF($C2674="","",IFERROR(INDEX(Productos!$F$5:$F$504,MATCH($C2674,Productos!$A$5:$A$504,0)),0))</f>
        <v/>
      </c>
      <c r="H2674" s="22" t="str">
        <f t="shared" si="41"/>
        <v/>
      </c>
      <c r="I2674" s="14" t="str">
        <f>IF(OR($C2674="",$F2674=""),"",IFERROR(INDEX(Productos!$I$5:$I$504,MATCH($C2674,Productos!$A$5:$A$504,0)),0)+SUMIFS($F$5:$F2674,$C$5:$C2674,$C2674,$B$5:$B2674,"Entrada")-SUMIFS($F$5:$F2674,$C$5:$C2674,$C2674,$B$5:$B2674,"Salida"))</f>
        <v/>
      </c>
      <c r="J2674" s="20"/>
      <c r="K2674" s="20"/>
      <c r="L2674" s="20"/>
      <c r="M2674" s="14" t="str">
        <f>IF(AND($C2674&lt;&gt;"",$C2674=Kardex!$C$4),COUNTIF($C$5:$C2674,Kardex!$C$4),"")</f>
        <v/>
      </c>
    </row>
    <row r="2675" spans="1:13" x14ac:dyDescent="0.25">
      <c r="A2675" s="24"/>
      <c r="B2675" s="20"/>
      <c r="C2675" s="20"/>
      <c r="D2675" s="14" t="str">
        <f>IF($C2675="","",IFERROR(INDEX(Productos!$B$5:$B$504,MATCH($C2675,Productos!$A$5:$A$504,0)),"Clave no existe"))</f>
        <v/>
      </c>
      <c r="E2675" s="14" t="str">
        <f>IF($C2675="","",IFERROR(INDEX(Productos!$D$5:$D$504,MATCH($C2675,Productos!$A$5:$A$504,0)),""))</f>
        <v/>
      </c>
      <c r="F2675" s="20"/>
      <c r="G2675" s="22" t="str">
        <f>IF($C2675="","",IFERROR(INDEX(Productos!$F$5:$F$504,MATCH($C2675,Productos!$A$5:$A$504,0)),0))</f>
        <v/>
      </c>
      <c r="H2675" s="22" t="str">
        <f t="shared" si="41"/>
        <v/>
      </c>
      <c r="I2675" s="14" t="str">
        <f>IF(OR($C2675="",$F2675=""),"",IFERROR(INDEX(Productos!$I$5:$I$504,MATCH($C2675,Productos!$A$5:$A$504,0)),0)+SUMIFS($F$5:$F2675,$C$5:$C2675,$C2675,$B$5:$B2675,"Entrada")-SUMIFS($F$5:$F2675,$C$5:$C2675,$C2675,$B$5:$B2675,"Salida"))</f>
        <v/>
      </c>
      <c r="J2675" s="20"/>
      <c r="K2675" s="20"/>
      <c r="L2675" s="20"/>
      <c r="M2675" s="14" t="str">
        <f>IF(AND($C2675&lt;&gt;"",$C2675=Kardex!$C$4),COUNTIF($C$5:$C2675,Kardex!$C$4),"")</f>
        <v/>
      </c>
    </row>
    <row r="2676" spans="1:13" x14ac:dyDescent="0.25">
      <c r="A2676" s="24"/>
      <c r="B2676" s="20"/>
      <c r="C2676" s="20"/>
      <c r="D2676" s="14" t="str">
        <f>IF($C2676="","",IFERROR(INDEX(Productos!$B$5:$B$504,MATCH($C2676,Productos!$A$5:$A$504,0)),"Clave no existe"))</f>
        <v/>
      </c>
      <c r="E2676" s="14" t="str">
        <f>IF($C2676="","",IFERROR(INDEX(Productos!$D$5:$D$504,MATCH($C2676,Productos!$A$5:$A$504,0)),""))</f>
        <v/>
      </c>
      <c r="F2676" s="20"/>
      <c r="G2676" s="22" t="str">
        <f>IF($C2676="","",IFERROR(INDEX(Productos!$F$5:$F$504,MATCH($C2676,Productos!$A$5:$A$504,0)),0))</f>
        <v/>
      </c>
      <c r="H2676" s="22" t="str">
        <f t="shared" si="41"/>
        <v/>
      </c>
      <c r="I2676" s="14" t="str">
        <f>IF(OR($C2676="",$F2676=""),"",IFERROR(INDEX(Productos!$I$5:$I$504,MATCH($C2676,Productos!$A$5:$A$504,0)),0)+SUMIFS($F$5:$F2676,$C$5:$C2676,$C2676,$B$5:$B2676,"Entrada")-SUMIFS($F$5:$F2676,$C$5:$C2676,$C2676,$B$5:$B2676,"Salida"))</f>
        <v/>
      </c>
      <c r="J2676" s="20"/>
      <c r="K2676" s="20"/>
      <c r="L2676" s="20"/>
      <c r="M2676" s="14" t="str">
        <f>IF(AND($C2676&lt;&gt;"",$C2676=Kardex!$C$4),COUNTIF($C$5:$C2676,Kardex!$C$4),"")</f>
        <v/>
      </c>
    </row>
    <row r="2677" spans="1:13" x14ac:dyDescent="0.25">
      <c r="A2677" s="24"/>
      <c r="B2677" s="20"/>
      <c r="C2677" s="20"/>
      <c r="D2677" s="14" t="str">
        <f>IF($C2677="","",IFERROR(INDEX(Productos!$B$5:$B$504,MATCH($C2677,Productos!$A$5:$A$504,0)),"Clave no existe"))</f>
        <v/>
      </c>
      <c r="E2677" s="14" t="str">
        <f>IF($C2677="","",IFERROR(INDEX(Productos!$D$5:$D$504,MATCH($C2677,Productos!$A$5:$A$504,0)),""))</f>
        <v/>
      </c>
      <c r="F2677" s="20"/>
      <c r="G2677" s="22" t="str">
        <f>IF($C2677="","",IFERROR(INDEX(Productos!$F$5:$F$504,MATCH($C2677,Productos!$A$5:$A$504,0)),0))</f>
        <v/>
      </c>
      <c r="H2677" s="22" t="str">
        <f t="shared" si="41"/>
        <v/>
      </c>
      <c r="I2677" s="14" t="str">
        <f>IF(OR($C2677="",$F2677=""),"",IFERROR(INDEX(Productos!$I$5:$I$504,MATCH($C2677,Productos!$A$5:$A$504,0)),0)+SUMIFS($F$5:$F2677,$C$5:$C2677,$C2677,$B$5:$B2677,"Entrada")-SUMIFS($F$5:$F2677,$C$5:$C2677,$C2677,$B$5:$B2677,"Salida"))</f>
        <v/>
      </c>
      <c r="J2677" s="20"/>
      <c r="K2677" s="20"/>
      <c r="L2677" s="20"/>
      <c r="M2677" s="14" t="str">
        <f>IF(AND($C2677&lt;&gt;"",$C2677=Kardex!$C$4),COUNTIF($C$5:$C2677,Kardex!$C$4),"")</f>
        <v/>
      </c>
    </row>
    <row r="2678" spans="1:13" x14ac:dyDescent="0.25">
      <c r="A2678" s="24"/>
      <c r="B2678" s="20"/>
      <c r="C2678" s="20"/>
      <c r="D2678" s="14" t="str">
        <f>IF($C2678="","",IFERROR(INDEX(Productos!$B$5:$B$504,MATCH($C2678,Productos!$A$5:$A$504,0)),"Clave no existe"))</f>
        <v/>
      </c>
      <c r="E2678" s="14" t="str">
        <f>IF($C2678="","",IFERROR(INDEX(Productos!$D$5:$D$504,MATCH($C2678,Productos!$A$5:$A$504,0)),""))</f>
        <v/>
      </c>
      <c r="F2678" s="20"/>
      <c r="G2678" s="22" t="str">
        <f>IF($C2678="","",IFERROR(INDEX(Productos!$F$5:$F$504,MATCH($C2678,Productos!$A$5:$A$504,0)),0))</f>
        <v/>
      </c>
      <c r="H2678" s="22" t="str">
        <f t="shared" si="41"/>
        <v/>
      </c>
      <c r="I2678" s="14" t="str">
        <f>IF(OR($C2678="",$F2678=""),"",IFERROR(INDEX(Productos!$I$5:$I$504,MATCH($C2678,Productos!$A$5:$A$504,0)),0)+SUMIFS($F$5:$F2678,$C$5:$C2678,$C2678,$B$5:$B2678,"Entrada")-SUMIFS($F$5:$F2678,$C$5:$C2678,$C2678,$B$5:$B2678,"Salida"))</f>
        <v/>
      </c>
      <c r="J2678" s="20"/>
      <c r="K2678" s="20"/>
      <c r="L2678" s="20"/>
      <c r="M2678" s="14" t="str">
        <f>IF(AND($C2678&lt;&gt;"",$C2678=Kardex!$C$4),COUNTIF($C$5:$C2678,Kardex!$C$4),"")</f>
        <v/>
      </c>
    </row>
    <row r="2679" spans="1:13" x14ac:dyDescent="0.25">
      <c r="A2679" s="24"/>
      <c r="B2679" s="20"/>
      <c r="C2679" s="20"/>
      <c r="D2679" s="14" t="str">
        <f>IF($C2679="","",IFERROR(INDEX(Productos!$B$5:$B$504,MATCH($C2679,Productos!$A$5:$A$504,0)),"Clave no existe"))</f>
        <v/>
      </c>
      <c r="E2679" s="14" t="str">
        <f>IF($C2679="","",IFERROR(INDEX(Productos!$D$5:$D$504,MATCH($C2679,Productos!$A$5:$A$504,0)),""))</f>
        <v/>
      </c>
      <c r="F2679" s="20"/>
      <c r="G2679" s="22" t="str">
        <f>IF($C2679="","",IFERROR(INDEX(Productos!$F$5:$F$504,MATCH($C2679,Productos!$A$5:$A$504,0)),0))</f>
        <v/>
      </c>
      <c r="H2679" s="22" t="str">
        <f t="shared" si="41"/>
        <v/>
      </c>
      <c r="I2679" s="14" t="str">
        <f>IF(OR($C2679="",$F2679=""),"",IFERROR(INDEX(Productos!$I$5:$I$504,MATCH($C2679,Productos!$A$5:$A$504,0)),0)+SUMIFS($F$5:$F2679,$C$5:$C2679,$C2679,$B$5:$B2679,"Entrada")-SUMIFS($F$5:$F2679,$C$5:$C2679,$C2679,$B$5:$B2679,"Salida"))</f>
        <v/>
      </c>
      <c r="J2679" s="20"/>
      <c r="K2679" s="20"/>
      <c r="L2679" s="20"/>
      <c r="M2679" s="14" t="str">
        <f>IF(AND($C2679&lt;&gt;"",$C2679=Kardex!$C$4),COUNTIF($C$5:$C2679,Kardex!$C$4),"")</f>
        <v/>
      </c>
    </row>
    <row r="2680" spans="1:13" x14ac:dyDescent="0.25">
      <c r="A2680" s="24"/>
      <c r="B2680" s="20"/>
      <c r="C2680" s="20"/>
      <c r="D2680" s="14" t="str">
        <f>IF($C2680="","",IFERROR(INDEX(Productos!$B$5:$B$504,MATCH($C2680,Productos!$A$5:$A$504,0)),"Clave no existe"))</f>
        <v/>
      </c>
      <c r="E2680" s="14" t="str">
        <f>IF($C2680="","",IFERROR(INDEX(Productos!$D$5:$D$504,MATCH($C2680,Productos!$A$5:$A$504,0)),""))</f>
        <v/>
      </c>
      <c r="F2680" s="20"/>
      <c r="G2680" s="22" t="str">
        <f>IF($C2680="","",IFERROR(INDEX(Productos!$F$5:$F$504,MATCH($C2680,Productos!$A$5:$A$504,0)),0))</f>
        <v/>
      </c>
      <c r="H2680" s="22" t="str">
        <f t="shared" si="41"/>
        <v/>
      </c>
      <c r="I2680" s="14" t="str">
        <f>IF(OR($C2680="",$F2680=""),"",IFERROR(INDEX(Productos!$I$5:$I$504,MATCH($C2680,Productos!$A$5:$A$504,0)),0)+SUMIFS($F$5:$F2680,$C$5:$C2680,$C2680,$B$5:$B2680,"Entrada")-SUMIFS($F$5:$F2680,$C$5:$C2680,$C2680,$B$5:$B2680,"Salida"))</f>
        <v/>
      </c>
      <c r="J2680" s="20"/>
      <c r="K2680" s="20"/>
      <c r="L2680" s="20"/>
      <c r="M2680" s="14" t="str">
        <f>IF(AND($C2680&lt;&gt;"",$C2680=Kardex!$C$4),COUNTIF($C$5:$C2680,Kardex!$C$4),"")</f>
        <v/>
      </c>
    </row>
    <row r="2681" spans="1:13" x14ac:dyDescent="0.25">
      <c r="A2681" s="24"/>
      <c r="B2681" s="20"/>
      <c r="C2681" s="20"/>
      <c r="D2681" s="14" t="str">
        <f>IF($C2681="","",IFERROR(INDEX(Productos!$B$5:$B$504,MATCH($C2681,Productos!$A$5:$A$504,0)),"Clave no existe"))</f>
        <v/>
      </c>
      <c r="E2681" s="14" t="str">
        <f>IF($C2681="","",IFERROR(INDEX(Productos!$D$5:$D$504,MATCH($C2681,Productos!$A$5:$A$504,0)),""))</f>
        <v/>
      </c>
      <c r="F2681" s="20"/>
      <c r="G2681" s="22" t="str">
        <f>IF($C2681="","",IFERROR(INDEX(Productos!$F$5:$F$504,MATCH($C2681,Productos!$A$5:$A$504,0)),0))</f>
        <v/>
      </c>
      <c r="H2681" s="22" t="str">
        <f t="shared" si="41"/>
        <v/>
      </c>
      <c r="I2681" s="14" t="str">
        <f>IF(OR($C2681="",$F2681=""),"",IFERROR(INDEX(Productos!$I$5:$I$504,MATCH($C2681,Productos!$A$5:$A$504,0)),0)+SUMIFS($F$5:$F2681,$C$5:$C2681,$C2681,$B$5:$B2681,"Entrada")-SUMIFS($F$5:$F2681,$C$5:$C2681,$C2681,$B$5:$B2681,"Salida"))</f>
        <v/>
      </c>
      <c r="J2681" s="20"/>
      <c r="K2681" s="20"/>
      <c r="L2681" s="20"/>
      <c r="M2681" s="14" t="str">
        <f>IF(AND($C2681&lt;&gt;"",$C2681=Kardex!$C$4),COUNTIF($C$5:$C2681,Kardex!$C$4),"")</f>
        <v/>
      </c>
    </row>
    <row r="2682" spans="1:13" x14ac:dyDescent="0.25">
      <c r="A2682" s="24"/>
      <c r="B2682" s="20"/>
      <c r="C2682" s="20"/>
      <c r="D2682" s="14" t="str">
        <f>IF($C2682="","",IFERROR(INDEX(Productos!$B$5:$B$504,MATCH($C2682,Productos!$A$5:$A$504,0)),"Clave no existe"))</f>
        <v/>
      </c>
      <c r="E2682" s="14" t="str">
        <f>IF($C2682="","",IFERROR(INDEX(Productos!$D$5:$D$504,MATCH($C2682,Productos!$A$5:$A$504,0)),""))</f>
        <v/>
      </c>
      <c r="F2682" s="20"/>
      <c r="G2682" s="22" t="str">
        <f>IF($C2682="","",IFERROR(INDEX(Productos!$F$5:$F$504,MATCH($C2682,Productos!$A$5:$A$504,0)),0))</f>
        <v/>
      </c>
      <c r="H2682" s="22" t="str">
        <f t="shared" si="41"/>
        <v/>
      </c>
      <c r="I2682" s="14" t="str">
        <f>IF(OR($C2682="",$F2682=""),"",IFERROR(INDEX(Productos!$I$5:$I$504,MATCH($C2682,Productos!$A$5:$A$504,0)),0)+SUMIFS($F$5:$F2682,$C$5:$C2682,$C2682,$B$5:$B2682,"Entrada")-SUMIFS($F$5:$F2682,$C$5:$C2682,$C2682,$B$5:$B2682,"Salida"))</f>
        <v/>
      </c>
      <c r="J2682" s="20"/>
      <c r="K2682" s="20"/>
      <c r="L2682" s="20"/>
      <c r="M2682" s="14" t="str">
        <f>IF(AND($C2682&lt;&gt;"",$C2682=Kardex!$C$4),COUNTIF($C$5:$C2682,Kardex!$C$4),"")</f>
        <v/>
      </c>
    </row>
    <row r="2683" spans="1:13" x14ac:dyDescent="0.25">
      <c r="A2683" s="24"/>
      <c r="B2683" s="20"/>
      <c r="C2683" s="20"/>
      <c r="D2683" s="14" t="str">
        <f>IF($C2683="","",IFERROR(INDEX(Productos!$B$5:$B$504,MATCH($C2683,Productos!$A$5:$A$504,0)),"Clave no existe"))</f>
        <v/>
      </c>
      <c r="E2683" s="14" t="str">
        <f>IF($C2683="","",IFERROR(INDEX(Productos!$D$5:$D$504,MATCH($C2683,Productos!$A$5:$A$504,0)),""))</f>
        <v/>
      </c>
      <c r="F2683" s="20"/>
      <c r="G2683" s="22" t="str">
        <f>IF($C2683="","",IFERROR(INDEX(Productos!$F$5:$F$504,MATCH($C2683,Productos!$A$5:$A$504,0)),0))</f>
        <v/>
      </c>
      <c r="H2683" s="22" t="str">
        <f t="shared" si="41"/>
        <v/>
      </c>
      <c r="I2683" s="14" t="str">
        <f>IF(OR($C2683="",$F2683=""),"",IFERROR(INDEX(Productos!$I$5:$I$504,MATCH($C2683,Productos!$A$5:$A$504,0)),0)+SUMIFS($F$5:$F2683,$C$5:$C2683,$C2683,$B$5:$B2683,"Entrada")-SUMIFS($F$5:$F2683,$C$5:$C2683,$C2683,$B$5:$B2683,"Salida"))</f>
        <v/>
      </c>
      <c r="J2683" s="20"/>
      <c r="K2683" s="20"/>
      <c r="L2683" s="20"/>
      <c r="M2683" s="14" t="str">
        <f>IF(AND($C2683&lt;&gt;"",$C2683=Kardex!$C$4),COUNTIF($C$5:$C2683,Kardex!$C$4),"")</f>
        <v/>
      </c>
    </row>
    <row r="2684" spans="1:13" x14ac:dyDescent="0.25">
      <c r="A2684" s="24"/>
      <c r="B2684" s="20"/>
      <c r="C2684" s="20"/>
      <c r="D2684" s="14" t="str">
        <f>IF($C2684="","",IFERROR(INDEX(Productos!$B$5:$B$504,MATCH($C2684,Productos!$A$5:$A$504,0)),"Clave no existe"))</f>
        <v/>
      </c>
      <c r="E2684" s="14" t="str">
        <f>IF($C2684="","",IFERROR(INDEX(Productos!$D$5:$D$504,MATCH($C2684,Productos!$A$5:$A$504,0)),""))</f>
        <v/>
      </c>
      <c r="F2684" s="20"/>
      <c r="G2684" s="22" t="str">
        <f>IF($C2684="","",IFERROR(INDEX(Productos!$F$5:$F$504,MATCH($C2684,Productos!$A$5:$A$504,0)),0))</f>
        <v/>
      </c>
      <c r="H2684" s="22" t="str">
        <f t="shared" si="41"/>
        <v/>
      </c>
      <c r="I2684" s="14" t="str">
        <f>IF(OR($C2684="",$F2684=""),"",IFERROR(INDEX(Productos!$I$5:$I$504,MATCH($C2684,Productos!$A$5:$A$504,0)),0)+SUMIFS($F$5:$F2684,$C$5:$C2684,$C2684,$B$5:$B2684,"Entrada")-SUMIFS($F$5:$F2684,$C$5:$C2684,$C2684,$B$5:$B2684,"Salida"))</f>
        <v/>
      </c>
      <c r="J2684" s="20"/>
      <c r="K2684" s="20"/>
      <c r="L2684" s="20"/>
      <c r="M2684" s="14" t="str">
        <f>IF(AND($C2684&lt;&gt;"",$C2684=Kardex!$C$4),COUNTIF($C$5:$C2684,Kardex!$C$4),"")</f>
        <v/>
      </c>
    </row>
    <row r="2685" spans="1:13" x14ac:dyDescent="0.25">
      <c r="A2685" s="24"/>
      <c r="B2685" s="20"/>
      <c r="C2685" s="20"/>
      <c r="D2685" s="14" t="str">
        <f>IF($C2685="","",IFERROR(INDEX(Productos!$B$5:$B$504,MATCH($C2685,Productos!$A$5:$A$504,0)),"Clave no existe"))</f>
        <v/>
      </c>
      <c r="E2685" s="14" t="str">
        <f>IF($C2685="","",IFERROR(INDEX(Productos!$D$5:$D$504,MATCH($C2685,Productos!$A$5:$A$504,0)),""))</f>
        <v/>
      </c>
      <c r="F2685" s="20"/>
      <c r="G2685" s="22" t="str">
        <f>IF($C2685="","",IFERROR(INDEX(Productos!$F$5:$F$504,MATCH($C2685,Productos!$A$5:$A$504,0)),0))</f>
        <v/>
      </c>
      <c r="H2685" s="22" t="str">
        <f t="shared" si="41"/>
        <v/>
      </c>
      <c r="I2685" s="14" t="str">
        <f>IF(OR($C2685="",$F2685=""),"",IFERROR(INDEX(Productos!$I$5:$I$504,MATCH($C2685,Productos!$A$5:$A$504,0)),0)+SUMIFS($F$5:$F2685,$C$5:$C2685,$C2685,$B$5:$B2685,"Entrada")-SUMIFS($F$5:$F2685,$C$5:$C2685,$C2685,$B$5:$B2685,"Salida"))</f>
        <v/>
      </c>
      <c r="J2685" s="20"/>
      <c r="K2685" s="20"/>
      <c r="L2685" s="20"/>
      <c r="M2685" s="14" t="str">
        <f>IF(AND($C2685&lt;&gt;"",$C2685=Kardex!$C$4),COUNTIF($C$5:$C2685,Kardex!$C$4),"")</f>
        <v/>
      </c>
    </row>
    <row r="2686" spans="1:13" x14ac:dyDescent="0.25">
      <c r="A2686" s="24"/>
      <c r="B2686" s="20"/>
      <c r="C2686" s="20"/>
      <c r="D2686" s="14" t="str">
        <f>IF($C2686="","",IFERROR(INDEX(Productos!$B$5:$B$504,MATCH($C2686,Productos!$A$5:$A$504,0)),"Clave no existe"))</f>
        <v/>
      </c>
      <c r="E2686" s="14" t="str">
        <f>IF($C2686="","",IFERROR(INDEX(Productos!$D$5:$D$504,MATCH($C2686,Productos!$A$5:$A$504,0)),""))</f>
        <v/>
      </c>
      <c r="F2686" s="20"/>
      <c r="G2686" s="22" t="str">
        <f>IF($C2686="","",IFERROR(INDEX(Productos!$F$5:$F$504,MATCH($C2686,Productos!$A$5:$A$504,0)),0))</f>
        <v/>
      </c>
      <c r="H2686" s="22" t="str">
        <f t="shared" si="41"/>
        <v/>
      </c>
      <c r="I2686" s="14" t="str">
        <f>IF(OR($C2686="",$F2686=""),"",IFERROR(INDEX(Productos!$I$5:$I$504,MATCH($C2686,Productos!$A$5:$A$504,0)),0)+SUMIFS($F$5:$F2686,$C$5:$C2686,$C2686,$B$5:$B2686,"Entrada")-SUMIFS($F$5:$F2686,$C$5:$C2686,$C2686,$B$5:$B2686,"Salida"))</f>
        <v/>
      </c>
      <c r="J2686" s="20"/>
      <c r="K2686" s="20"/>
      <c r="L2686" s="20"/>
      <c r="M2686" s="14" t="str">
        <f>IF(AND($C2686&lt;&gt;"",$C2686=Kardex!$C$4),COUNTIF($C$5:$C2686,Kardex!$C$4),"")</f>
        <v/>
      </c>
    </row>
    <row r="2687" spans="1:13" x14ac:dyDescent="0.25">
      <c r="A2687" s="24"/>
      <c r="B2687" s="20"/>
      <c r="C2687" s="20"/>
      <c r="D2687" s="14" t="str">
        <f>IF($C2687="","",IFERROR(INDEX(Productos!$B$5:$B$504,MATCH($C2687,Productos!$A$5:$A$504,0)),"Clave no existe"))</f>
        <v/>
      </c>
      <c r="E2687" s="14" t="str">
        <f>IF($C2687="","",IFERROR(INDEX(Productos!$D$5:$D$504,MATCH($C2687,Productos!$A$5:$A$504,0)),""))</f>
        <v/>
      </c>
      <c r="F2687" s="20"/>
      <c r="G2687" s="22" t="str">
        <f>IF($C2687="","",IFERROR(INDEX(Productos!$F$5:$F$504,MATCH($C2687,Productos!$A$5:$A$504,0)),0))</f>
        <v/>
      </c>
      <c r="H2687" s="22" t="str">
        <f t="shared" si="41"/>
        <v/>
      </c>
      <c r="I2687" s="14" t="str">
        <f>IF(OR($C2687="",$F2687=""),"",IFERROR(INDEX(Productos!$I$5:$I$504,MATCH($C2687,Productos!$A$5:$A$504,0)),0)+SUMIFS($F$5:$F2687,$C$5:$C2687,$C2687,$B$5:$B2687,"Entrada")-SUMIFS($F$5:$F2687,$C$5:$C2687,$C2687,$B$5:$B2687,"Salida"))</f>
        <v/>
      </c>
      <c r="J2687" s="20"/>
      <c r="K2687" s="20"/>
      <c r="L2687" s="20"/>
      <c r="M2687" s="14" t="str">
        <f>IF(AND($C2687&lt;&gt;"",$C2687=Kardex!$C$4),COUNTIF($C$5:$C2687,Kardex!$C$4),"")</f>
        <v/>
      </c>
    </row>
    <row r="2688" spans="1:13" x14ac:dyDescent="0.25">
      <c r="A2688" s="24"/>
      <c r="B2688" s="20"/>
      <c r="C2688" s="20"/>
      <c r="D2688" s="14" t="str">
        <f>IF($C2688="","",IFERROR(INDEX(Productos!$B$5:$B$504,MATCH($C2688,Productos!$A$5:$A$504,0)),"Clave no existe"))</f>
        <v/>
      </c>
      <c r="E2688" s="14" t="str">
        <f>IF($C2688="","",IFERROR(INDEX(Productos!$D$5:$D$504,MATCH($C2688,Productos!$A$5:$A$504,0)),""))</f>
        <v/>
      </c>
      <c r="F2688" s="20"/>
      <c r="G2688" s="22" t="str">
        <f>IF($C2688="","",IFERROR(INDEX(Productos!$F$5:$F$504,MATCH($C2688,Productos!$A$5:$A$504,0)),0))</f>
        <v/>
      </c>
      <c r="H2688" s="22" t="str">
        <f t="shared" si="41"/>
        <v/>
      </c>
      <c r="I2688" s="14" t="str">
        <f>IF(OR($C2688="",$F2688=""),"",IFERROR(INDEX(Productos!$I$5:$I$504,MATCH($C2688,Productos!$A$5:$A$504,0)),0)+SUMIFS($F$5:$F2688,$C$5:$C2688,$C2688,$B$5:$B2688,"Entrada")-SUMIFS($F$5:$F2688,$C$5:$C2688,$C2688,$B$5:$B2688,"Salida"))</f>
        <v/>
      </c>
      <c r="J2688" s="20"/>
      <c r="K2688" s="20"/>
      <c r="L2688" s="20"/>
      <c r="M2688" s="14" t="str">
        <f>IF(AND($C2688&lt;&gt;"",$C2688=Kardex!$C$4),COUNTIF($C$5:$C2688,Kardex!$C$4),"")</f>
        <v/>
      </c>
    </row>
    <row r="2689" spans="1:13" x14ac:dyDescent="0.25">
      <c r="A2689" s="24"/>
      <c r="B2689" s="20"/>
      <c r="C2689" s="20"/>
      <c r="D2689" s="14" t="str">
        <f>IF($C2689="","",IFERROR(INDEX(Productos!$B$5:$B$504,MATCH($C2689,Productos!$A$5:$A$504,0)),"Clave no existe"))</f>
        <v/>
      </c>
      <c r="E2689" s="14" t="str">
        <f>IF($C2689="","",IFERROR(INDEX(Productos!$D$5:$D$504,MATCH($C2689,Productos!$A$5:$A$504,0)),""))</f>
        <v/>
      </c>
      <c r="F2689" s="20"/>
      <c r="G2689" s="22" t="str">
        <f>IF($C2689="","",IFERROR(INDEX(Productos!$F$5:$F$504,MATCH($C2689,Productos!$A$5:$A$504,0)),0))</f>
        <v/>
      </c>
      <c r="H2689" s="22" t="str">
        <f t="shared" si="41"/>
        <v/>
      </c>
      <c r="I2689" s="14" t="str">
        <f>IF(OR($C2689="",$F2689=""),"",IFERROR(INDEX(Productos!$I$5:$I$504,MATCH($C2689,Productos!$A$5:$A$504,0)),0)+SUMIFS($F$5:$F2689,$C$5:$C2689,$C2689,$B$5:$B2689,"Entrada")-SUMIFS($F$5:$F2689,$C$5:$C2689,$C2689,$B$5:$B2689,"Salida"))</f>
        <v/>
      </c>
      <c r="J2689" s="20"/>
      <c r="K2689" s="20"/>
      <c r="L2689" s="20"/>
      <c r="M2689" s="14" t="str">
        <f>IF(AND($C2689&lt;&gt;"",$C2689=Kardex!$C$4),COUNTIF($C$5:$C2689,Kardex!$C$4),"")</f>
        <v/>
      </c>
    </row>
    <row r="2690" spans="1:13" x14ac:dyDescent="0.25">
      <c r="A2690" s="24"/>
      <c r="B2690" s="20"/>
      <c r="C2690" s="20"/>
      <c r="D2690" s="14" t="str">
        <f>IF($C2690="","",IFERROR(INDEX(Productos!$B$5:$B$504,MATCH($C2690,Productos!$A$5:$A$504,0)),"Clave no existe"))</f>
        <v/>
      </c>
      <c r="E2690" s="14" t="str">
        <f>IF($C2690="","",IFERROR(INDEX(Productos!$D$5:$D$504,MATCH($C2690,Productos!$A$5:$A$504,0)),""))</f>
        <v/>
      </c>
      <c r="F2690" s="20"/>
      <c r="G2690" s="22" t="str">
        <f>IF($C2690="","",IFERROR(INDEX(Productos!$F$5:$F$504,MATCH($C2690,Productos!$A$5:$A$504,0)),0))</f>
        <v/>
      </c>
      <c r="H2690" s="22" t="str">
        <f t="shared" si="41"/>
        <v/>
      </c>
      <c r="I2690" s="14" t="str">
        <f>IF(OR($C2690="",$F2690=""),"",IFERROR(INDEX(Productos!$I$5:$I$504,MATCH($C2690,Productos!$A$5:$A$504,0)),0)+SUMIFS($F$5:$F2690,$C$5:$C2690,$C2690,$B$5:$B2690,"Entrada")-SUMIFS($F$5:$F2690,$C$5:$C2690,$C2690,$B$5:$B2690,"Salida"))</f>
        <v/>
      </c>
      <c r="J2690" s="20"/>
      <c r="K2690" s="20"/>
      <c r="L2690" s="20"/>
      <c r="M2690" s="14" t="str">
        <f>IF(AND($C2690&lt;&gt;"",$C2690=Kardex!$C$4),COUNTIF($C$5:$C2690,Kardex!$C$4),"")</f>
        <v/>
      </c>
    </row>
    <row r="2691" spans="1:13" x14ac:dyDescent="0.25">
      <c r="A2691" s="24"/>
      <c r="B2691" s="20"/>
      <c r="C2691" s="20"/>
      <c r="D2691" s="14" t="str">
        <f>IF($C2691="","",IFERROR(INDEX(Productos!$B$5:$B$504,MATCH($C2691,Productos!$A$5:$A$504,0)),"Clave no existe"))</f>
        <v/>
      </c>
      <c r="E2691" s="14" t="str">
        <f>IF($C2691="","",IFERROR(INDEX(Productos!$D$5:$D$504,MATCH($C2691,Productos!$A$5:$A$504,0)),""))</f>
        <v/>
      </c>
      <c r="F2691" s="20"/>
      <c r="G2691" s="22" t="str">
        <f>IF($C2691="","",IFERROR(INDEX(Productos!$F$5:$F$504,MATCH($C2691,Productos!$A$5:$A$504,0)),0))</f>
        <v/>
      </c>
      <c r="H2691" s="22" t="str">
        <f t="shared" si="41"/>
        <v/>
      </c>
      <c r="I2691" s="14" t="str">
        <f>IF(OR($C2691="",$F2691=""),"",IFERROR(INDEX(Productos!$I$5:$I$504,MATCH($C2691,Productos!$A$5:$A$504,0)),0)+SUMIFS($F$5:$F2691,$C$5:$C2691,$C2691,$B$5:$B2691,"Entrada")-SUMIFS($F$5:$F2691,$C$5:$C2691,$C2691,$B$5:$B2691,"Salida"))</f>
        <v/>
      </c>
      <c r="J2691" s="20"/>
      <c r="K2691" s="20"/>
      <c r="L2691" s="20"/>
      <c r="M2691" s="14" t="str">
        <f>IF(AND($C2691&lt;&gt;"",$C2691=Kardex!$C$4),COUNTIF($C$5:$C2691,Kardex!$C$4),"")</f>
        <v/>
      </c>
    </row>
    <row r="2692" spans="1:13" x14ac:dyDescent="0.25">
      <c r="A2692" s="24"/>
      <c r="B2692" s="20"/>
      <c r="C2692" s="20"/>
      <c r="D2692" s="14" t="str">
        <f>IF($C2692="","",IFERROR(INDEX(Productos!$B$5:$B$504,MATCH($C2692,Productos!$A$5:$A$504,0)),"Clave no existe"))</f>
        <v/>
      </c>
      <c r="E2692" s="14" t="str">
        <f>IF($C2692="","",IFERROR(INDEX(Productos!$D$5:$D$504,MATCH($C2692,Productos!$A$5:$A$504,0)),""))</f>
        <v/>
      </c>
      <c r="F2692" s="20"/>
      <c r="G2692" s="22" t="str">
        <f>IF($C2692="","",IFERROR(INDEX(Productos!$F$5:$F$504,MATCH($C2692,Productos!$A$5:$A$504,0)),0))</f>
        <v/>
      </c>
      <c r="H2692" s="22" t="str">
        <f t="shared" si="41"/>
        <v/>
      </c>
      <c r="I2692" s="14" t="str">
        <f>IF(OR($C2692="",$F2692=""),"",IFERROR(INDEX(Productos!$I$5:$I$504,MATCH($C2692,Productos!$A$5:$A$504,0)),0)+SUMIFS($F$5:$F2692,$C$5:$C2692,$C2692,$B$5:$B2692,"Entrada")-SUMIFS($F$5:$F2692,$C$5:$C2692,$C2692,$B$5:$B2692,"Salida"))</f>
        <v/>
      </c>
      <c r="J2692" s="20"/>
      <c r="K2692" s="20"/>
      <c r="L2692" s="20"/>
      <c r="M2692" s="14" t="str">
        <f>IF(AND($C2692&lt;&gt;"",$C2692=Kardex!$C$4),COUNTIF($C$5:$C2692,Kardex!$C$4),"")</f>
        <v/>
      </c>
    </row>
    <row r="2693" spans="1:13" x14ac:dyDescent="0.25">
      <c r="A2693" s="24"/>
      <c r="B2693" s="20"/>
      <c r="C2693" s="20"/>
      <c r="D2693" s="14" t="str">
        <f>IF($C2693="","",IFERROR(INDEX(Productos!$B$5:$B$504,MATCH($C2693,Productos!$A$5:$A$504,0)),"Clave no existe"))</f>
        <v/>
      </c>
      <c r="E2693" s="14" t="str">
        <f>IF($C2693="","",IFERROR(INDEX(Productos!$D$5:$D$504,MATCH($C2693,Productos!$A$5:$A$504,0)),""))</f>
        <v/>
      </c>
      <c r="F2693" s="20"/>
      <c r="G2693" s="22" t="str">
        <f>IF($C2693="","",IFERROR(INDEX(Productos!$F$5:$F$504,MATCH($C2693,Productos!$A$5:$A$504,0)),0))</f>
        <v/>
      </c>
      <c r="H2693" s="22" t="str">
        <f t="shared" ref="H2693:H2756" si="42">IF(OR($C2693="",$F2693=""),"",F2693*G2693)</f>
        <v/>
      </c>
      <c r="I2693" s="14" t="str">
        <f>IF(OR($C2693="",$F2693=""),"",IFERROR(INDEX(Productos!$I$5:$I$504,MATCH($C2693,Productos!$A$5:$A$504,0)),0)+SUMIFS($F$5:$F2693,$C$5:$C2693,$C2693,$B$5:$B2693,"Entrada")-SUMIFS($F$5:$F2693,$C$5:$C2693,$C2693,$B$5:$B2693,"Salida"))</f>
        <v/>
      </c>
      <c r="J2693" s="20"/>
      <c r="K2693" s="20"/>
      <c r="L2693" s="20"/>
      <c r="M2693" s="14" t="str">
        <f>IF(AND($C2693&lt;&gt;"",$C2693=Kardex!$C$4),COUNTIF($C$5:$C2693,Kardex!$C$4),"")</f>
        <v/>
      </c>
    </row>
    <row r="2694" spans="1:13" x14ac:dyDescent="0.25">
      <c r="A2694" s="24"/>
      <c r="B2694" s="20"/>
      <c r="C2694" s="20"/>
      <c r="D2694" s="14" t="str">
        <f>IF($C2694="","",IFERROR(INDEX(Productos!$B$5:$B$504,MATCH($C2694,Productos!$A$5:$A$504,0)),"Clave no existe"))</f>
        <v/>
      </c>
      <c r="E2694" s="14" t="str">
        <f>IF($C2694="","",IFERROR(INDEX(Productos!$D$5:$D$504,MATCH($C2694,Productos!$A$5:$A$504,0)),""))</f>
        <v/>
      </c>
      <c r="F2694" s="20"/>
      <c r="G2694" s="22" t="str">
        <f>IF($C2694="","",IFERROR(INDEX(Productos!$F$5:$F$504,MATCH($C2694,Productos!$A$5:$A$504,0)),0))</f>
        <v/>
      </c>
      <c r="H2694" s="22" t="str">
        <f t="shared" si="42"/>
        <v/>
      </c>
      <c r="I2694" s="14" t="str">
        <f>IF(OR($C2694="",$F2694=""),"",IFERROR(INDEX(Productos!$I$5:$I$504,MATCH($C2694,Productos!$A$5:$A$504,0)),0)+SUMIFS($F$5:$F2694,$C$5:$C2694,$C2694,$B$5:$B2694,"Entrada")-SUMIFS($F$5:$F2694,$C$5:$C2694,$C2694,$B$5:$B2694,"Salida"))</f>
        <v/>
      </c>
      <c r="J2694" s="20"/>
      <c r="K2694" s="20"/>
      <c r="L2694" s="20"/>
      <c r="M2694" s="14" t="str">
        <f>IF(AND($C2694&lt;&gt;"",$C2694=Kardex!$C$4),COUNTIF($C$5:$C2694,Kardex!$C$4),"")</f>
        <v/>
      </c>
    </row>
    <row r="2695" spans="1:13" x14ac:dyDescent="0.25">
      <c r="A2695" s="24"/>
      <c r="B2695" s="20"/>
      <c r="C2695" s="20"/>
      <c r="D2695" s="14" t="str">
        <f>IF($C2695="","",IFERROR(INDEX(Productos!$B$5:$B$504,MATCH($C2695,Productos!$A$5:$A$504,0)),"Clave no existe"))</f>
        <v/>
      </c>
      <c r="E2695" s="14" t="str">
        <f>IF($C2695="","",IFERROR(INDEX(Productos!$D$5:$D$504,MATCH($C2695,Productos!$A$5:$A$504,0)),""))</f>
        <v/>
      </c>
      <c r="F2695" s="20"/>
      <c r="G2695" s="22" t="str">
        <f>IF($C2695="","",IFERROR(INDEX(Productos!$F$5:$F$504,MATCH($C2695,Productos!$A$5:$A$504,0)),0))</f>
        <v/>
      </c>
      <c r="H2695" s="22" t="str">
        <f t="shared" si="42"/>
        <v/>
      </c>
      <c r="I2695" s="14" t="str">
        <f>IF(OR($C2695="",$F2695=""),"",IFERROR(INDEX(Productos!$I$5:$I$504,MATCH($C2695,Productos!$A$5:$A$504,0)),0)+SUMIFS($F$5:$F2695,$C$5:$C2695,$C2695,$B$5:$B2695,"Entrada")-SUMIFS($F$5:$F2695,$C$5:$C2695,$C2695,$B$5:$B2695,"Salida"))</f>
        <v/>
      </c>
      <c r="J2695" s="20"/>
      <c r="K2695" s="20"/>
      <c r="L2695" s="20"/>
      <c r="M2695" s="14" t="str">
        <f>IF(AND($C2695&lt;&gt;"",$C2695=Kardex!$C$4),COUNTIF($C$5:$C2695,Kardex!$C$4),"")</f>
        <v/>
      </c>
    </row>
    <row r="2696" spans="1:13" x14ac:dyDescent="0.25">
      <c r="A2696" s="24"/>
      <c r="B2696" s="20"/>
      <c r="C2696" s="20"/>
      <c r="D2696" s="14" t="str">
        <f>IF($C2696="","",IFERROR(INDEX(Productos!$B$5:$B$504,MATCH($C2696,Productos!$A$5:$A$504,0)),"Clave no existe"))</f>
        <v/>
      </c>
      <c r="E2696" s="14" t="str">
        <f>IF($C2696="","",IFERROR(INDEX(Productos!$D$5:$D$504,MATCH($C2696,Productos!$A$5:$A$504,0)),""))</f>
        <v/>
      </c>
      <c r="F2696" s="20"/>
      <c r="G2696" s="22" t="str">
        <f>IF($C2696="","",IFERROR(INDEX(Productos!$F$5:$F$504,MATCH($C2696,Productos!$A$5:$A$504,0)),0))</f>
        <v/>
      </c>
      <c r="H2696" s="22" t="str">
        <f t="shared" si="42"/>
        <v/>
      </c>
      <c r="I2696" s="14" t="str">
        <f>IF(OR($C2696="",$F2696=""),"",IFERROR(INDEX(Productos!$I$5:$I$504,MATCH($C2696,Productos!$A$5:$A$504,0)),0)+SUMIFS($F$5:$F2696,$C$5:$C2696,$C2696,$B$5:$B2696,"Entrada")-SUMIFS($F$5:$F2696,$C$5:$C2696,$C2696,$B$5:$B2696,"Salida"))</f>
        <v/>
      </c>
      <c r="J2696" s="20"/>
      <c r="K2696" s="20"/>
      <c r="L2696" s="20"/>
      <c r="M2696" s="14" t="str">
        <f>IF(AND($C2696&lt;&gt;"",$C2696=Kardex!$C$4),COUNTIF($C$5:$C2696,Kardex!$C$4),"")</f>
        <v/>
      </c>
    </row>
    <row r="2697" spans="1:13" x14ac:dyDescent="0.25">
      <c r="A2697" s="24"/>
      <c r="B2697" s="20"/>
      <c r="C2697" s="20"/>
      <c r="D2697" s="14" t="str">
        <f>IF($C2697="","",IFERROR(INDEX(Productos!$B$5:$B$504,MATCH($C2697,Productos!$A$5:$A$504,0)),"Clave no existe"))</f>
        <v/>
      </c>
      <c r="E2697" s="14" t="str">
        <f>IF($C2697="","",IFERROR(INDEX(Productos!$D$5:$D$504,MATCH($C2697,Productos!$A$5:$A$504,0)),""))</f>
        <v/>
      </c>
      <c r="F2697" s="20"/>
      <c r="G2697" s="22" t="str">
        <f>IF($C2697="","",IFERROR(INDEX(Productos!$F$5:$F$504,MATCH($C2697,Productos!$A$5:$A$504,0)),0))</f>
        <v/>
      </c>
      <c r="H2697" s="22" t="str">
        <f t="shared" si="42"/>
        <v/>
      </c>
      <c r="I2697" s="14" t="str">
        <f>IF(OR($C2697="",$F2697=""),"",IFERROR(INDEX(Productos!$I$5:$I$504,MATCH($C2697,Productos!$A$5:$A$504,0)),0)+SUMIFS($F$5:$F2697,$C$5:$C2697,$C2697,$B$5:$B2697,"Entrada")-SUMIFS($F$5:$F2697,$C$5:$C2697,$C2697,$B$5:$B2697,"Salida"))</f>
        <v/>
      </c>
      <c r="J2697" s="20"/>
      <c r="K2697" s="20"/>
      <c r="L2697" s="20"/>
      <c r="M2697" s="14" t="str">
        <f>IF(AND($C2697&lt;&gt;"",$C2697=Kardex!$C$4),COUNTIF($C$5:$C2697,Kardex!$C$4),"")</f>
        <v/>
      </c>
    </row>
    <row r="2698" spans="1:13" x14ac:dyDescent="0.25">
      <c r="A2698" s="24"/>
      <c r="B2698" s="20"/>
      <c r="C2698" s="20"/>
      <c r="D2698" s="14" t="str">
        <f>IF($C2698="","",IFERROR(INDEX(Productos!$B$5:$B$504,MATCH($C2698,Productos!$A$5:$A$504,0)),"Clave no existe"))</f>
        <v/>
      </c>
      <c r="E2698" s="14" t="str">
        <f>IF($C2698="","",IFERROR(INDEX(Productos!$D$5:$D$504,MATCH($C2698,Productos!$A$5:$A$504,0)),""))</f>
        <v/>
      </c>
      <c r="F2698" s="20"/>
      <c r="G2698" s="22" t="str">
        <f>IF($C2698="","",IFERROR(INDEX(Productos!$F$5:$F$504,MATCH($C2698,Productos!$A$5:$A$504,0)),0))</f>
        <v/>
      </c>
      <c r="H2698" s="22" t="str">
        <f t="shared" si="42"/>
        <v/>
      </c>
      <c r="I2698" s="14" t="str">
        <f>IF(OR($C2698="",$F2698=""),"",IFERROR(INDEX(Productos!$I$5:$I$504,MATCH($C2698,Productos!$A$5:$A$504,0)),0)+SUMIFS($F$5:$F2698,$C$5:$C2698,$C2698,$B$5:$B2698,"Entrada")-SUMIFS($F$5:$F2698,$C$5:$C2698,$C2698,$B$5:$B2698,"Salida"))</f>
        <v/>
      </c>
      <c r="J2698" s="20"/>
      <c r="K2698" s="20"/>
      <c r="L2698" s="20"/>
      <c r="M2698" s="14" t="str">
        <f>IF(AND($C2698&lt;&gt;"",$C2698=Kardex!$C$4),COUNTIF($C$5:$C2698,Kardex!$C$4),"")</f>
        <v/>
      </c>
    </row>
    <row r="2699" spans="1:13" x14ac:dyDescent="0.25">
      <c r="A2699" s="24"/>
      <c r="B2699" s="20"/>
      <c r="C2699" s="20"/>
      <c r="D2699" s="14" t="str">
        <f>IF($C2699="","",IFERROR(INDEX(Productos!$B$5:$B$504,MATCH($C2699,Productos!$A$5:$A$504,0)),"Clave no existe"))</f>
        <v/>
      </c>
      <c r="E2699" s="14" t="str">
        <f>IF($C2699="","",IFERROR(INDEX(Productos!$D$5:$D$504,MATCH($C2699,Productos!$A$5:$A$504,0)),""))</f>
        <v/>
      </c>
      <c r="F2699" s="20"/>
      <c r="G2699" s="22" t="str">
        <f>IF($C2699="","",IFERROR(INDEX(Productos!$F$5:$F$504,MATCH($C2699,Productos!$A$5:$A$504,0)),0))</f>
        <v/>
      </c>
      <c r="H2699" s="22" t="str">
        <f t="shared" si="42"/>
        <v/>
      </c>
      <c r="I2699" s="14" t="str">
        <f>IF(OR($C2699="",$F2699=""),"",IFERROR(INDEX(Productos!$I$5:$I$504,MATCH($C2699,Productos!$A$5:$A$504,0)),0)+SUMIFS($F$5:$F2699,$C$5:$C2699,$C2699,$B$5:$B2699,"Entrada")-SUMIFS($F$5:$F2699,$C$5:$C2699,$C2699,$B$5:$B2699,"Salida"))</f>
        <v/>
      </c>
      <c r="J2699" s="20"/>
      <c r="K2699" s="20"/>
      <c r="L2699" s="20"/>
      <c r="M2699" s="14" t="str">
        <f>IF(AND($C2699&lt;&gt;"",$C2699=Kardex!$C$4),COUNTIF($C$5:$C2699,Kardex!$C$4),"")</f>
        <v/>
      </c>
    </row>
    <row r="2700" spans="1:13" x14ac:dyDescent="0.25">
      <c r="A2700" s="24"/>
      <c r="B2700" s="20"/>
      <c r="C2700" s="20"/>
      <c r="D2700" s="14" t="str">
        <f>IF($C2700="","",IFERROR(INDEX(Productos!$B$5:$B$504,MATCH($C2700,Productos!$A$5:$A$504,0)),"Clave no existe"))</f>
        <v/>
      </c>
      <c r="E2700" s="14" t="str">
        <f>IF($C2700="","",IFERROR(INDEX(Productos!$D$5:$D$504,MATCH($C2700,Productos!$A$5:$A$504,0)),""))</f>
        <v/>
      </c>
      <c r="F2700" s="20"/>
      <c r="G2700" s="22" t="str">
        <f>IF($C2700="","",IFERROR(INDEX(Productos!$F$5:$F$504,MATCH($C2700,Productos!$A$5:$A$504,0)),0))</f>
        <v/>
      </c>
      <c r="H2700" s="22" t="str">
        <f t="shared" si="42"/>
        <v/>
      </c>
      <c r="I2700" s="14" t="str">
        <f>IF(OR($C2700="",$F2700=""),"",IFERROR(INDEX(Productos!$I$5:$I$504,MATCH($C2700,Productos!$A$5:$A$504,0)),0)+SUMIFS($F$5:$F2700,$C$5:$C2700,$C2700,$B$5:$B2700,"Entrada")-SUMIFS($F$5:$F2700,$C$5:$C2700,$C2700,$B$5:$B2700,"Salida"))</f>
        <v/>
      </c>
      <c r="J2700" s="20"/>
      <c r="K2700" s="20"/>
      <c r="L2700" s="20"/>
      <c r="M2700" s="14" t="str">
        <f>IF(AND($C2700&lt;&gt;"",$C2700=Kardex!$C$4),COUNTIF($C$5:$C2700,Kardex!$C$4),"")</f>
        <v/>
      </c>
    </row>
    <row r="2701" spans="1:13" x14ac:dyDescent="0.25">
      <c r="A2701" s="24"/>
      <c r="B2701" s="20"/>
      <c r="C2701" s="20"/>
      <c r="D2701" s="14" t="str">
        <f>IF($C2701="","",IFERROR(INDEX(Productos!$B$5:$B$504,MATCH($C2701,Productos!$A$5:$A$504,0)),"Clave no existe"))</f>
        <v/>
      </c>
      <c r="E2701" s="14" t="str">
        <f>IF($C2701="","",IFERROR(INDEX(Productos!$D$5:$D$504,MATCH($C2701,Productos!$A$5:$A$504,0)),""))</f>
        <v/>
      </c>
      <c r="F2701" s="20"/>
      <c r="G2701" s="22" t="str">
        <f>IF($C2701="","",IFERROR(INDEX(Productos!$F$5:$F$504,MATCH($C2701,Productos!$A$5:$A$504,0)),0))</f>
        <v/>
      </c>
      <c r="H2701" s="22" t="str">
        <f t="shared" si="42"/>
        <v/>
      </c>
      <c r="I2701" s="14" t="str">
        <f>IF(OR($C2701="",$F2701=""),"",IFERROR(INDEX(Productos!$I$5:$I$504,MATCH($C2701,Productos!$A$5:$A$504,0)),0)+SUMIFS($F$5:$F2701,$C$5:$C2701,$C2701,$B$5:$B2701,"Entrada")-SUMIFS($F$5:$F2701,$C$5:$C2701,$C2701,$B$5:$B2701,"Salida"))</f>
        <v/>
      </c>
      <c r="J2701" s="20"/>
      <c r="K2701" s="20"/>
      <c r="L2701" s="20"/>
      <c r="M2701" s="14" t="str">
        <f>IF(AND($C2701&lt;&gt;"",$C2701=Kardex!$C$4),COUNTIF($C$5:$C2701,Kardex!$C$4),"")</f>
        <v/>
      </c>
    </row>
    <row r="2702" spans="1:13" x14ac:dyDescent="0.25">
      <c r="A2702" s="24"/>
      <c r="B2702" s="20"/>
      <c r="C2702" s="20"/>
      <c r="D2702" s="14" t="str">
        <f>IF($C2702="","",IFERROR(INDEX(Productos!$B$5:$B$504,MATCH($C2702,Productos!$A$5:$A$504,0)),"Clave no existe"))</f>
        <v/>
      </c>
      <c r="E2702" s="14" t="str">
        <f>IF($C2702="","",IFERROR(INDEX(Productos!$D$5:$D$504,MATCH($C2702,Productos!$A$5:$A$504,0)),""))</f>
        <v/>
      </c>
      <c r="F2702" s="20"/>
      <c r="G2702" s="22" t="str">
        <f>IF($C2702="","",IFERROR(INDEX(Productos!$F$5:$F$504,MATCH($C2702,Productos!$A$5:$A$504,0)),0))</f>
        <v/>
      </c>
      <c r="H2702" s="22" t="str">
        <f t="shared" si="42"/>
        <v/>
      </c>
      <c r="I2702" s="14" t="str">
        <f>IF(OR($C2702="",$F2702=""),"",IFERROR(INDEX(Productos!$I$5:$I$504,MATCH($C2702,Productos!$A$5:$A$504,0)),0)+SUMIFS($F$5:$F2702,$C$5:$C2702,$C2702,$B$5:$B2702,"Entrada")-SUMIFS($F$5:$F2702,$C$5:$C2702,$C2702,$B$5:$B2702,"Salida"))</f>
        <v/>
      </c>
      <c r="J2702" s="20"/>
      <c r="K2702" s="20"/>
      <c r="L2702" s="20"/>
      <c r="M2702" s="14" t="str">
        <f>IF(AND($C2702&lt;&gt;"",$C2702=Kardex!$C$4),COUNTIF($C$5:$C2702,Kardex!$C$4),"")</f>
        <v/>
      </c>
    </row>
    <row r="2703" spans="1:13" x14ac:dyDescent="0.25">
      <c r="A2703" s="24"/>
      <c r="B2703" s="20"/>
      <c r="C2703" s="20"/>
      <c r="D2703" s="14" t="str">
        <f>IF($C2703="","",IFERROR(INDEX(Productos!$B$5:$B$504,MATCH($C2703,Productos!$A$5:$A$504,0)),"Clave no existe"))</f>
        <v/>
      </c>
      <c r="E2703" s="14" t="str">
        <f>IF($C2703="","",IFERROR(INDEX(Productos!$D$5:$D$504,MATCH($C2703,Productos!$A$5:$A$504,0)),""))</f>
        <v/>
      </c>
      <c r="F2703" s="20"/>
      <c r="G2703" s="22" t="str">
        <f>IF($C2703="","",IFERROR(INDEX(Productos!$F$5:$F$504,MATCH($C2703,Productos!$A$5:$A$504,0)),0))</f>
        <v/>
      </c>
      <c r="H2703" s="22" t="str">
        <f t="shared" si="42"/>
        <v/>
      </c>
      <c r="I2703" s="14" t="str">
        <f>IF(OR($C2703="",$F2703=""),"",IFERROR(INDEX(Productos!$I$5:$I$504,MATCH($C2703,Productos!$A$5:$A$504,0)),0)+SUMIFS($F$5:$F2703,$C$5:$C2703,$C2703,$B$5:$B2703,"Entrada")-SUMIFS($F$5:$F2703,$C$5:$C2703,$C2703,$B$5:$B2703,"Salida"))</f>
        <v/>
      </c>
      <c r="J2703" s="20"/>
      <c r="K2703" s="20"/>
      <c r="L2703" s="20"/>
      <c r="M2703" s="14" t="str">
        <f>IF(AND($C2703&lt;&gt;"",$C2703=Kardex!$C$4),COUNTIF($C$5:$C2703,Kardex!$C$4),"")</f>
        <v/>
      </c>
    </row>
    <row r="2704" spans="1:13" x14ac:dyDescent="0.25">
      <c r="A2704" s="24"/>
      <c r="B2704" s="20"/>
      <c r="C2704" s="20"/>
      <c r="D2704" s="14" t="str">
        <f>IF($C2704="","",IFERROR(INDEX(Productos!$B$5:$B$504,MATCH($C2704,Productos!$A$5:$A$504,0)),"Clave no existe"))</f>
        <v/>
      </c>
      <c r="E2704" s="14" t="str">
        <f>IF($C2704="","",IFERROR(INDEX(Productos!$D$5:$D$504,MATCH($C2704,Productos!$A$5:$A$504,0)),""))</f>
        <v/>
      </c>
      <c r="F2704" s="20"/>
      <c r="G2704" s="22" t="str">
        <f>IF($C2704="","",IFERROR(INDEX(Productos!$F$5:$F$504,MATCH($C2704,Productos!$A$5:$A$504,0)),0))</f>
        <v/>
      </c>
      <c r="H2704" s="22" t="str">
        <f t="shared" si="42"/>
        <v/>
      </c>
      <c r="I2704" s="14" t="str">
        <f>IF(OR($C2704="",$F2704=""),"",IFERROR(INDEX(Productos!$I$5:$I$504,MATCH($C2704,Productos!$A$5:$A$504,0)),0)+SUMIFS($F$5:$F2704,$C$5:$C2704,$C2704,$B$5:$B2704,"Entrada")-SUMIFS($F$5:$F2704,$C$5:$C2704,$C2704,$B$5:$B2704,"Salida"))</f>
        <v/>
      </c>
      <c r="J2704" s="20"/>
      <c r="K2704" s="20"/>
      <c r="L2704" s="20"/>
      <c r="M2704" s="14" t="str">
        <f>IF(AND($C2704&lt;&gt;"",$C2704=Kardex!$C$4),COUNTIF($C$5:$C2704,Kardex!$C$4),"")</f>
        <v/>
      </c>
    </row>
    <row r="2705" spans="1:13" x14ac:dyDescent="0.25">
      <c r="A2705" s="24"/>
      <c r="B2705" s="20"/>
      <c r="C2705" s="20"/>
      <c r="D2705" s="14" t="str">
        <f>IF($C2705="","",IFERROR(INDEX(Productos!$B$5:$B$504,MATCH($C2705,Productos!$A$5:$A$504,0)),"Clave no existe"))</f>
        <v/>
      </c>
      <c r="E2705" s="14" t="str">
        <f>IF($C2705="","",IFERROR(INDEX(Productos!$D$5:$D$504,MATCH($C2705,Productos!$A$5:$A$504,0)),""))</f>
        <v/>
      </c>
      <c r="F2705" s="20"/>
      <c r="G2705" s="22" t="str">
        <f>IF($C2705="","",IFERROR(INDEX(Productos!$F$5:$F$504,MATCH($C2705,Productos!$A$5:$A$504,0)),0))</f>
        <v/>
      </c>
      <c r="H2705" s="22" t="str">
        <f t="shared" si="42"/>
        <v/>
      </c>
      <c r="I2705" s="14" t="str">
        <f>IF(OR($C2705="",$F2705=""),"",IFERROR(INDEX(Productos!$I$5:$I$504,MATCH($C2705,Productos!$A$5:$A$504,0)),0)+SUMIFS($F$5:$F2705,$C$5:$C2705,$C2705,$B$5:$B2705,"Entrada")-SUMIFS($F$5:$F2705,$C$5:$C2705,$C2705,$B$5:$B2705,"Salida"))</f>
        <v/>
      </c>
      <c r="J2705" s="20"/>
      <c r="K2705" s="20"/>
      <c r="L2705" s="20"/>
      <c r="M2705" s="14" t="str">
        <f>IF(AND($C2705&lt;&gt;"",$C2705=Kardex!$C$4),COUNTIF($C$5:$C2705,Kardex!$C$4),"")</f>
        <v/>
      </c>
    </row>
    <row r="2706" spans="1:13" x14ac:dyDescent="0.25">
      <c r="A2706" s="24"/>
      <c r="B2706" s="20"/>
      <c r="C2706" s="20"/>
      <c r="D2706" s="14" t="str">
        <f>IF($C2706="","",IFERROR(INDEX(Productos!$B$5:$B$504,MATCH($C2706,Productos!$A$5:$A$504,0)),"Clave no existe"))</f>
        <v/>
      </c>
      <c r="E2706" s="14" t="str">
        <f>IF($C2706="","",IFERROR(INDEX(Productos!$D$5:$D$504,MATCH($C2706,Productos!$A$5:$A$504,0)),""))</f>
        <v/>
      </c>
      <c r="F2706" s="20"/>
      <c r="G2706" s="22" t="str">
        <f>IF($C2706="","",IFERROR(INDEX(Productos!$F$5:$F$504,MATCH($C2706,Productos!$A$5:$A$504,0)),0))</f>
        <v/>
      </c>
      <c r="H2706" s="22" t="str">
        <f t="shared" si="42"/>
        <v/>
      </c>
      <c r="I2706" s="14" t="str">
        <f>IF(OR($C2706="",$F2706=""),"",IFERROR(INDEX(Productos!$I$5:$I$504,MATCH($C2706,Productos!$A$5:$A$504,0)),0)+SUMIFS($F$5:$F2706,$C$5:$C2706,$C2706,$B$5:$B2706,"Entrada")-SUMIFS($F$5:$F2706,$C$5:$C2706,$C2706,$B$5:$B2706,"Salida"))</f>
        <v/>
      </c>
      <c r="J2706" s="20"/>
      <c r="K2706" s="20"/>
      <c r="L2706" s="20"/>
      <c r="M2706" s="14" t="str">
        <f>IF(AND($C2706&lt;&gt;"",$C2706=Kardex!$C$4),COUNTIF($C$5:$C2706,Kardex!$C$4),"")</f>
        <v/>
      </c>
    </row>
    <row r="2707" spans="1:13" x14ac:dyDescent="0.25">
      <c r="A2707" s="24"/>
      <c r="B2707" s="20"/>
      <c r="C2707" s="20"/>
      <c r="D2707" s="14" t="str">
        <f>IF($C2707="","",IFERROR(INDEX(Productos!$B$5:$B$504,MATCH($C2707,Productos!$A$5:$A$504,0)),"Clave no existe"))</f>
        <v/>
      </c>
      <c r="E2707" s="14" t="str">
        <f>IF($C2707="","",IFERROR(INDEX(Productos!$D$5:$D$504,MATCH($C2707,Productos!$A$5:$A$504,0)),""))</f>
        <v/>
      </c>
      <c r="F2707" s="20"/>
      <c r="G2707" s="22" t="str">
        <f>IF($C2707="","",IFERROR(INDEX(Productos!$F$5:$F$504,MATCH($C2707,Productos!$A$5:$A$504,0)),0))</f>
        <v/>
      </c>
      <c r="H2707" s="22" t="str">
        <f t="shared" si="42"/>
        <v/>
      </c>
      <c r="I2707" s="14" t="str">
        <f>IF(OR($C2707="",$F2707=""),"",IFERROR(INDEX(Productos!$I$5:$I$504,MATCH($C2707,Productos!$A$5:$A$504,0)),0)+SUMIFS($F$5:$F2707,$C$5:$C2707,$C2707,$B$5:$B2707,"Entrada")-SUMIFS($F$5:$F2707,$C$5:$C2707,$C2707,$B$5:$B2707,"Salida"))</f>
        <v/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 spans="1:13" x14ac:dyDescent="0.25">
      <c r="A2708" s="24"/>
      <c r="B2708" s="20"/>
      <c r="C2708" s="20"/>
      <c r="D2708" s="14" t="str">
        <f>IF($C2708="","",IFERROR(INDEX(Productos!$B$5:$B$504,MATCH($C2708,Productos!$A$5:$A$504,0)),"Clave no existe"))</f>
        <v/>
      </c>
      <c r="E2708" s="14" t="str">
        <f>IF($C2708="","",IFERROR(INDEX(Productos!$D$5:$D$504,MATCH($C2708,Productos!$A$5:$A$504,0)),""))</f>
        <v/>
      </c>
      <c r="F2708" s="20"/>
      <c r="G2708" s="22" t="str">
        <f>IF($C2708="","",IFERROR(INDEX(Productos!$F$5:$F$504,MATCH($C2708,Productos!$A$5:$A$504,0)),0))</f>
        <v/>
      </c>
      <c r="H2708" s="22" t="str">
        <f t="shared" si="42"/>
        <v/>
      </c>
      <c r="I2708" s="14" t="str">
        <f>IF(OR($C2708="",$F2708=""),"",IFERROR(INDEX(Productos!$I$5:$I$504,MATCH($C2708,Productos!$A$5:$A$504,0)),0)+SUMIFS($F$5:$F2708,$C$5:$C2708,$C2708,$B$5:$B2708,"Entrada")-SUMIFS($F$5:$F2708,$C$5:$C2708,$C2708,$B$5:$B2708,"Salida"))</f>
        <v/>
      </c>
      <c r="J2708" s="20"/>
      <c r="K2708" s="20"/>
      <c r="L2708" s="20"/>
      <c r="M2708" s="14" t="str">
        <f>IF(AND($C2708&lt;&gt;"",$C2708=Kardex!$C$4),COUNTIF($C$5:$C2708,Kardex!$C$4),"")</f>
        <v/>
      </c>
    </row>
    <row r="2709" spans="1:13" x14ac:dyDescent="0.25">
      <c r="A2709" s="24"/>
      <c r="B2709" s="20"/>
      <c r="C2709" s="20"/>
      <c r="D2709" s="14" t="str">
        <f>IF($C2709="","",IFERROR(INDEX(Productos!$B$5:$B$504,MATCH($C2709,Productos!$A$5:$A$504,0)),"Clave no existe"))</f>
        <v/>
      </c>
      <c r="E2709" s="14" t="str">
        <f>IF($C2709="","",IFERROR(INDEX(Productos!$D$5:$D$504,MATCH($C2709,Productos!$A$5:$A$504,0)),""))</f>
        <v/>
      </c>
      <c r="F2709" s="20"/>
      <c r="G2709" s="22" t="str">
        <f>IF($C2709="","",IFERROR(INDEX(Productos!$F$5:$F$504,MATCH($C2709,Productos!$A$5:$A$504,0)),0))</f>
        <v/>
      </c>
      <c r="H2709" s="22" t="str">
        <f t="shared" si="42"/>
        <v/>
      </c>
      <c r="I2709" s="14" t="str">
        <f>IF(OR($C2709="",$F2709=""),"",IFERROR(INDEX(Productos!$I$5:$I$504,MATCH($C2709,Productos!$A$5:$A$504,0)),0)+SUMIFS($F$5:$F2709,$C$5:$C2709,$C2709,$B$5:$B2709,"Entrada")-SUMIFS($F$5:$F2709,$C$5:$C2709,$C2709,$B$5:$B2709,"Salida"))</f>
        <v/>
      </c>
      <c r="J2709" s="20"/>
      <c r="K2709" s="20"/>
      <c r="L2709" s="20"/>
      <c r="M2709" s="14" t="str">
        <f>IF(AND($C2709&lt;&gt;"",$C2709=Kardex!$C$4),COUNTIF($C$5:$C2709,Kardex!$C$4),"")</f>
        <v/>
      </c>
    </row>
    <row r="2710" spans="1:13" x14ac:dyDescent="0.25">
      <c r="A2710" s="24"/>
      <c r="B2710" s="20"/>
      <c r="C2710" s="20"/>
      <c r="D2710" s="14" t="str">
        <f>IF($C2710="","",IFERROR(INDEX(Productos!$B$5:$B$504,MATCH($C2710,Productos!$A$5:$A$504,0)),"Clave no existe"))</f>
        <v/>
      </c>
      <c r="E2710" s="14" t="str">
        <f>IF($C2710="","",IFERROR(INDEX(Productos!$D$5:$D$504,MATCH($C2710,Productos!$A$5:$A$504,0)),""))</f>
        <v/>
      </c>
      <c r="F2710" s="20"/>
      <c r="G2710" s="22" t="str">
        <f>IF($C2710="","",IFERROR(INDEX(Productos!$F$5:$F$504,MATCH($C2710,Productos!$A$5:$A$504,0)),0))</f>
        <v/>
      </c>
      <c r="H2710" s="22" t="str">
        <f t="shared" si="42"/>
        <v/>
      </c>
      <c r="I2710" s="14" t="str">
        <f>IF(OR($C2710="",$F2710=""),"",IFERROR(INDEX(Productos!$I$5:$I$504,MATCH($C2710,Productos!$A$5:$A$504,0)),0)+SUMIFS($F$5:$F2710,$C$5:$C2710,$C2710,$B$5:$B2710,"Entrada")-SUMIFS($F$5:$F2710,$C$5:$C2710,$C2710,$B$5:$B2710,"Salida"))</f>
        <v/>
      </c>
      <c r="J2710" s="20"/>
      <c r="K2710" s="20"/>
      <c r="L2710" s="20"/>
      <c r="M2710" s="14" t="str">
        <f>IF(AND($C2710&lt;&gt;"",$C2710=Kardex!$C$4),COUNTIF($C$5:$C2710,Kardex!$C$4),"")</f>
        <v/>
      </c>
    </row>
    <row r="2711" spans="1:13" x14ac:dyDescent="0.25">
      <c r="A2711" s="24"/>
      <c r="B2711" s="20"/>
      <c r="C2711" s="20"/>
      <c r="D2711" s="14" t="str">
        <f>IF($C2711="","",IFERROR(INDEX(Productos!$B$5:$B$504,MATCH($C2711,Productos!$A$5:$A$504,0)),"Clave no existe"))</f>
        <v/>
      </c>
      <c r="E2711" s="14" t="str">
        <f>IF($C2711="","",IFERROR(INDEX(Productos!$D$5:$D$504,MATCH($C2711,Productos!$A$5:$A$504,0)),""))</f>
        <v/>
      </c>
      <c r="F2711" s="20"/>
      <c r="G2711" s="22" t="str">
        <f>IF($C2711="","",IFERROR(INDEX(Productos!$F$5:$F$504,MATCH($C2711,Productos!$A$5:$A$504,0)),0))</f>
        <v/>
      </c>
      <c r="H2711" s="22" t="str">
        <f t="shared" si="42"/>
        <v/>
      </c>
      <c r="I2711" s="14" t="str">
        <f>IF(OR($C2711="",$F2711=""),"",IFERROR(INDEX(Productos!$I$5:$I$504,MATCH($C2711,Productos!$A$5:$A$504,0)),0)+SUMIFS($F$5:$F2711,$C$5:$C2711,$C2711,$B$5:$B2711,"Entrada")-SUMIFS($F$5:$F2711,$C$5:$C2711,$C2711,$B$5:$B2711,"Salida"))</f>
        <v/>
      </c>
      <c r="J2711" s="20"/>
      <c r="K2711" s="20"/>
      <c r="L2711" s="20"/>
      <c r="M2711" s="14" t="str">
        <f>IF(AND($C2711&lt;&gt;"",$C2711=Kardex!$C$4),COUNTIF($C$5:$C2711,Kardex!$C$4),"")</f>
        <v/>
      </c>
    </row>
    <row r="2712" spans="1:13" x14ac:dyDescent="0.25">
      <c r="A2712" s="24"/>
      <c r="B2712" s="20"/>
      <c r="C2712" s="20"/>
      <c r="D2712" s="14" t="str">
        <f>IF($C2712="","",IFERROR(INDEX(Productos!$B$5:$B$504,MATCH($C2712,Productos!$A$5:$A$504,0)),"Clave no existe"))</f>
        <v/>
      </c>
      <c r="E2712" s="14" t="str">
        <f>IF($C2712="","",IFERROR(INDEX(Productos!$D$5:$D$504,MATCH($C2712,Productos!$A$5:$A$504,0)),""))</f>
        <v/>
      </c>
      <c r="F2712" s="20"/>
      <c r="G2712" s="22" t="str">
        <f>IF($C2712="","",IFERROR(INDEX(Productos!$F$5:$F$504,MATCH($C2712,Productos!$A$5:$A$504,0)),0))</f>
        <v/>
      </c>
      <c r="H2712" s="22" t="str">
        <f t="shared" si="42"/>
        <v/>
      </c>
      <c r="I2712" s="14" t="str">
        <f>IF(OR($C2712="",$F2712=""),"",IFERROR(INDEX(Productos!$I$5:$I$504,MATCH($C2712,Productos!$A$5:$A$504,0)),0)+SUMIFS($F$5:$F2712,$C$5:$C2712,$C2712,$B$5:$B2712,"Entrada")-SUMIFS($F$5:$F2712,$C$5:$C2712,$C2712,$B$5:$B2712,"Salida"))</f>
        <v/>
      </c>
      <c r="J2712" s="20"/>
      <c r="K2712" s="20"/>
      <c r="L2712" s="20"/>
      <c r="M2712" s="14" t="str">
        <f>IF(AND($C2712&lt;&gt;"",$C2712=Kardex!$C$4),COUNTIF($C$5:$C2712,Kardex!$C$4),"")</f>
        <v/>
      </c>
    </row>
    <row r="2713" spans="1:13" x14ac:dyDescent="0.25">
      <c r="A2713" s="24"/>
      <c r="B2713" s="20"/>
      <c r="C2713" s="20"/>
      <c r="D2713" s="14" t="str">
        <f>IF($C2713="","",IFERROR(INDEX(Productos!$B$5:$B$504,MATCH($C2713,Productos!$A$5:$A$504,0)),"Clave no existe"))</f>
        <v/>
      </c>
      <c r="E2713" s="14" t="str">
        <f>IF($C2713="","",IFERROR(INDEX(Productos!$D$5:$D$504,MATCH($C2713,Productos!$A$5:$A$504,0)),""))</f>
        <v/>
      </c>
      <c r="F2713" s="20"/>
      <c r="G2713" s="22" t="str">
        <f>IF($C2713="","",IFERROR(INDEX(Productos!$F$5:$F$504,MATCH($C2713,Productos!$A$5:$A$504,0)),0))</f>
        <v/>
      </c>
      <c r="H2713" s="22" t="str">
        <f t="shared" si="42"/>
        <v/>
      </c>
      <c r="I2713" s="14" t="str">
        <f>IF(OR($C2713="",$F2713=""),"",IFERROR(INDEX(Productos!$I$5:$I$504,MATCH($C2713,Productos!$A$5:$A$504,0)),0)+SUMIFS($F$5:$F2713,$C$5:$C2713,$C2713,$B$5:$B2713,"Entrada")-SUMIFS($F$5:$F2713,$C$5:$C2713,$C2713,$B$5:$B2713,"Salida"))</f>
        <v/>
      </c>
      <c r="J2713" s="20"/>
      <c r="K2713" s="20"/>
      <c r="L2713" s="20"/>
      <c r="M2713" s="14" t="str">
        <f>IF(AND($C2713&lt;&gt;"",$C2713=Kardex!$C$4),COUNTIF($C$5:$C2713,Kardex!$C$4),"")</f>
        <v/>
      </c>
    </row>
    <row r="2714" spans="1:13" x14ac:dyDescent="0.25">
      <c r="A2714" s="24"/>
      <c r="B2714" s="20"/>
      <c r="C2714" s="20"/>
      <c r="D2714" s="14" t="str">
        <f>IF($C2714="","",IFERROR(INDEX(Productos!$B$5:$B$504,MATCH($C2714,Productos!$A$5:$A$504,0)),"Clave no existe"))</f>
        <v/>
      </c>
      <c r="E2714" s="14" t="str">
        <f>IF($C2714="","",IFERROR(INDEX(Productos!$D$5:$D$504,MATCH($C2714,Productos!$A$5:$A$504,0)),""))</f>
        <v/>
      </c>
      <c r="F2714" s="20"/>
      <c r="G2714" s="22" t="str">
        <f>IF($C2714="","",IFERROR(INDEX(Productos!$F$5:$F$504,MATCH($C2714,Productos!$A$5:$A$504,0)),0))</f>
        <v/>
      </c>
      <c r="H2714" s="22" t="str">
        <f t="shared" si="42"/>
        <v/>
      </c>
      <c r="I2714" s="14" t="str">
        <f>IF(OR($C2714="",$F2714=""),"",IFERROR(INDEX(Productos!$I$5:$I$504,MATCH($C2714,Productos!$A$5:$A$504,0)),0)+SUMIFS($F$5:$F2714,$C$5:$C2714,$C2714,$B$5:$B2714,"Entrada")-SUMIFS($F$5:$F2714,$C$5:$C2714,$C2714,$B$5:$B2714,"Salida"))</f>
        <v/>
      </c>
      <c r="J2714" s="20"/>
      <c r="K2714" s="20"/>
      <c r="L2714" s="20"/>
      <c r="M2714" s="14" t="str">
        <f>IF(AND($C2714&lt;&gt;"",$C2714=Kardex!$C$4),COUNTIF($C$5:$C2714,Kardex!$C$4),"")</f>
        <v/>
      </c>
    </row>
    <row r="2715" spans="1:13" x14ac:dyDescent="0.25">
      <c r="A2715" s="24"/>
      <c r="B2715" s="20"/>
      <c r="C2715" s="20"/>
      <c r="D2715" s="14" t="str">
        <f>IF($C2715="","",IFERROR(INDEX(Productos!$B$5:$B$504,MATCH($C2715,Productos!$A$5:$A$504,0)),"Clave no existe"))</f>
        <v/>
      </c>
      <c r="E2715" s="14" t="str">
        <f>IF($C2715="","",IFERROR(INDEX(Productos!$D$5:$D$504,MATCH($C2715,Productos!$A$5:$A$504,0)),""))</f>
        <v/>
      </c>
      <c r="F2715" s="20"/>
      <c r="G2715" s="22" t="str">
        <f>IF($C2715="","",IFERROR(INDEX(Productos!$F$5:$F$504,MATCH($C2715,Productos!$A$5:$A$504,0)),0))</f>
        <v/>
      </c>
      <c r="H2715" s="22" t="str">
        <f t="shared" si="42"/>
        <v/>
      </c>
      <c r="I2715" s="14" t="str">
        <f>IF(OR($C2715="",$F2715=""),"",IFERROR(INDEX(Productos!$I$5:$I$504,MATCH($C2715,Productos!$A$5:$A$504,0)),0)+SUMIFS($F$5:$F2715,$C$5:$C2715,$C2715,$B$5:$B2715,"Entrada")-SUMIFS($F$5:$F2715,$C$5:$C2715,$C2715,$B$5:$B2715,"Salida"))</f>
        <v/>
      </c>
      <c r="J2715" s="20"/>
      <c r="K2715" s="20"/>
      <c r="L2715" s="20"/>
      <c r="M2715" s="14" t="str">
        <f>IF(AND($C2715&lt;&gt;"",$C2715=Kardex!$C$4),COUNTIF($C$5:$C2715,Kardex!$C$4),"")</f>
        <v/>
      </c>
    </row>
    <row r="2716" spans="1:13" x14ac:dyDescent="0.25">
      <c r="A2716" s="24"/>
      <c r="B2716" s="20"/>
      <c r="C2716" s="20"/>
      <c r="D2716" s="14" t="str">
        <f>IF($C2716="","",IFERROR(INDEX(Productos!$B$5:$B$504,MATCH($C2716,Productos!$A$5:$A$504,0)),"Clave no existe"))</f>
        <v/>
      </c>
      <c r="E2716" s="14" t="str">
        <f>IF($C2716="","",IFERROR(INDEX(Productos!$D$5:$D$504,MATCH($C2716,Productos!$A$5:$A$504,0)),""))</f>
        <v/>
      </c>
      <c r="F2716" s="20"/>
      <c r="G2716" s="22" t="str">
        <f>IF($C2716="","",IFERROR(INDEX(Productos!$F$5:$F$504,MATCH($C2716,Productos!$A$5:$A$504,0)),0))</f>
        <v/>
      </c>
      <c r="H2716" s="22" t="str">
        <f t="shared" si="42"/>
        <v/>
      </c>
      <c r="I2716" s="14" t="str">
        <f>IF(OR($C2716="",$F2716=""),"",IFERROR(INDEX(Productos!$I$5:$I$504,MATCH($C2716,Productos!$A$5:$A$504,0)),0)+SUMIFS($F$5:$F2716,$C$5:$C2716,$C2716,$B$5:$B2716,"Entrada")-SUMIFS($F$5:$F2716,$C$5:$C2716,$C2716,$B$5:$B2716,"Salida"))</f>
        <v/>
      </c>
      <c r="J2716" s="20"/>
      <c r="K2716" s="20"/>
      <c r="L2716" s="20"/>
      <c r="M2716" s="14" t="str">
        <f>IF(AND($C2716&lt;&gt;"",$C2716=Kardex!$C$4),COUNTIF($C$5:$C2716,Kardex!$C$4),"")</f>
        <v/>
      </c>
    </row>
    <row r="2717" spans="1:13" x14ac:dyDescent="0.25">
      <c r="A2717" s="24"/>
      <c r="B2717" s="20"/>
      <c r="C2717" s="20"/>
      <c r="D2717" s="14" t="str">
        <f>IF($C2717="","",IFERROR(INDEX(Productos!$B$5:$B$504,MATCH($C2717,Productos!$A$5:$A$504,0)),"Clave no existe"))</f>
        <v/>
      </c>
      <c r="E2717" s="14" t="str">
        <f>IF($C2717="","",IFERROR(INDEX(Productos!$D$5:$D$504,MATCH($C2717,Productos!$A$5:$A$504,0)),""))</f>
        <v/>
      </c>
      <c r="F2717" s="20"/>
      <c r="G2717" s="22" t="str">
        <f>IF($C2717="","",IFERROR(INDEX(Productos!$F$5:$F$504,MATCH($C2717,Productos!$A$5:$A$504,0)),0))</f>
        <v/>
      </c>
      <c r="H2717" s="22" t="str">
        <f t="shared" si="42"/>
        <v/>
      </c>
      <c r="I2717" s="14" t="str">
        <f>IF(OR($C2717="",$F2717=""),"",IFERROR(INDEX(Productos!$I$5:$I$504,MATCH($C2717,Productos!$A$5:$A$504,0)),0)+SUMIFS($F$5:$F2717,$C$5:$C2717,$C2717,$B$5:$B2717,"Entrada")-SUMIFS($F$5:$F2717,$C$5:$C2717,$C2717,$B$5:$B2717,"Salida"))</f>
        <v/>
      </c>
      <c r="J2717" s="20"/>
      <c r="K2717" s="20"/>
      <c r="L2717" s="20"/>
      <c r="M2717" s="14" t="str">
        <f>IF(AND($C2717&lt;&gt;"",$C2717=Kardex!$C$4),COUNTIF($C$5:$C2717,Kardex!$C$4),"")</f>
        <v/>
      </c>
    </row>
    <row r="2718" spans="1:13" x14ac:dyDescent="0.25">
      <c r="A2718" s="24"/>
      <c r="B2718" s="20"/>
      <c r="C2718" s="20"/>
      <c r="D2718" s="14" t="str">
        <f>IF($C2718="","",IFERROR(INDEX(Productos!$B$5:$B$504,MATCH($C2718,Productos!$A$5:$A$504,0)),"Clave no existe"))</f>
        <v/>
      </c>
      <c r="E2718" s="14" t="str">
        <f>IF($C2718="","",IFERROR(INDEX(Productos!$D$5:$D$504,MATCH($C2718,Productos!$A$5:$A$504,0)),""))</f>
        <v/>
      </c>
      <c r="F2718" s="20"/>
      <c r="G2718" s="22" t="str">
        <f>IF($C2718="","",IFERROR(INDEX(Productos!$F$5:$F$504,MATCH($C2718,Productos!$A$5:$A$504,0)),0))</f>
        <v/>
      </c>
      <c r="H2718" s="22" t="str">
        <f t="shared" si="42"/>
        <v/>
      </c>
      <c r="I2718" s="14" t="str">
        <f>IF(OR($C2718="",$F2718=""),"",IFERROR(INDEX(Productos!$I$5:$I$504,MATCH($C2718,Productos!$A$5:$A$504,0)),0)+SUMIFS($F$5:$F2718,$C$5:$C2718,$C2718,$B$5:$B2718,"Entrada")-SUMIFS($F$5:$F2718,$C$5:$C2718,$C2718,$B$5:$B2718,"Salida"))</f>
        <v/>
      </c>
      <c r="J2718" s="20"/>
      <c r="K2718" s="20"/>
      <c r="L2718" s="20"/>
      <c r="M2718" s="14" t="str">
        <f>IF(AND($C2718&lt;&gt;"",$C2718=Kardex!$C$4),COUNTIF($C$5:$C2718,Kardex!$C$4),"")</f>
        <v/>
      </c>
    </row>
    <row r="2719" spans="1:13" x14ac:dyDescent="0.25">
      <c r="A2719" s="24"/>
      <c r="B2719" s="20"/>
      <c r="C2719" s="20"/>
      <c r="D2719" s="14" t="str">
        <f>IF($C2719="","",IFERROR(INDEX(Productos!$B$5:$B$504,MATCH($C2719,Productos!$A$5:$A$504,0)),"Clave no existe"))</f>
        <v/>
      </c>
      <c r="E2719" s="14" t="str">
        <f>IF($C2719="","",IFERROR(INDEX(Productos!$D$5:$D$504,MATCH($C2719,Productos!$A$5:$A$504,0)),""))</f>
        <v/>
      </c>
      <c r="F2719" s="20"/>
      <c r="G2719" s="22" t="str">
        <f>IF($C2719="","",IFERROR(INDEX(Productos!$F$5:$F$504,MATCH($C2719,Productos!$A$5:$A$504,0)),0))</f>
        <v/>
      </c>
      <c r="H2719" s="22" t="str">
        <f t="shared" si="42"/>
        <v/>
      </c>
      <c r="I2719" s="14" t="str">
        <f>IF(OR($C2719="",$F2719=""),"",IFERROR(INDEX(Productos!$I$5:$I$504,MATCH($C2719,Productos!$A$5:$A$504,0)),0)+SUMIFS($F$5:$F2719,$C$5:$C2719,$C2719,$B$5:$B2719,"Entrada")-SUMIFS($F$5:$F2719,$C$5:$C2719,$C2719,$B$5:$B2719,"Salida"))</f>
        <v/>
      </c>
      <c r="J2719" s="20"/>
      <c r="K2719" s="20"/>
      <c r="L2719" s="20"/>
      <c r="M2719" s="14" t="str">
        <f>IF(AND($C2719&lt;&gt;"",$C2719=Kardex!$C$4),COUNTIF($C$5:$C2719,Kardex!$C$4),"")</f>
        <v/>
      </c>
    </row>
    <row r="2720" spans="1:13" x14ac:dyDescent="0.25">
      <c r="A2720" s="24"/>
      <c r="B2720" s="20"/>
      <c r="C2720" s="20"/>
      <c r="D2720" s="14" t="str">
        <f>IF($C2720="","",IFERROR(INDEX(Productos!$B$5:$B$504,MATCH($C2720,Productos!$A$5:$A$504,0)),"Clave no existe"))</f>
        <v/>
      </c>
      <c r="E2720" s="14" t="str">
        <f>IF($C2720="","",IFERROR(INDEX(Productos!$D$5:$D$504,MATCH($C2720,Productos!$A$5:$A$504,0)),""))</f>
        <v/>
      </c>
      <c r="F2720" s="20"/>
      <c r="G2720" s="22" t="str">
        <f>IF($C2720="","",IFERROR(INDEX(Productos!$F$5:$F$504,MATCH($C2720,Productos!$A$5:$A$504,0)),0))</f>
        <v/>
      </c>
      <c r="H2720" s="22" t="str">
        <f t="shared" si="42"/>
        <v/>
      </c>
      <c r="I2720" s="14" t="str">
        <f>IF(OR($C2720="",$F2720=""),"",IFERROR(INDEX(Productos!$I$5:$I$504,MATCH($C2720,Productos!$A$5:$A$504,0)),0)+SUMIFS($F$5:$F2720,$C$5:$C2720,$C2720,$B$5:$B2720,"Entrada")-SUMIFS($F$5:$F2720,$C$5:$C2720,$C2720,$B$5:$B2720,"Salida"))</f>
        <v/>
      </c>
      <c r="J2720" s="20"/>
      <c r="K2720" s="20"/>
      <c r="L2720" s="20"/>
      <c r="M2720" s="14" t="str">
        <f>IF(AND($C2720&lt;&gt;"",$C2720=Kardex!$C$4),COUNTIF($C$5:$C2720,Kardex!$C$4),"")</f>
        <v/>
      </c>
    </row>
    <row r="2721" spans="1:13" x14ac:dyDescent="0.25">
      <c r="A2721" s="24"/>
      <c r="B2721" s="20"/>
      <c r="C2721" s="20"/>
      <c r="D2721" s="14" t="str">
        <f>IF($C2721="","",IFERROR(INDEX(Productos!$B$5:$B$504,MATCH($C2721,Productos!$A$5:$A$504,0)),"Clave no existe"))</f>
        <v/>
      </c>
      <c r="E2721" s="14" t="str">
        <f>IF($C2721="","",IFERROR(INDEX(Productos!$D$5:$D$504,MATCH($C2721,Productos!$A$5:$A$504,0)),""))</f>
        <v/>
      </c>
      <c r="F2721" s="20"/>
      <c r="G2721" s="22" t="str">
        <f>IF($C2721="","",IFERROR(INDEX(Productos!$F$5:$F$504,MATCH($C2721,Productos!$A$5:$A$504,0)),0))</f>
        <v/>
      </c>
      <c r="H2721" s="22" t="str">
        <f t="shared" si="42"/>
        <v/>
      </c>
      <c r="I2721" s="14" t="str">
        <f>IF(OR($C2721="",$F2721=""),"",IFERROR(INDEX(Productos!$I$5:$I$504,MATCH($C2721,Productos!$A$5:$A$504,0)),0)+SUMIFS($F$5:$F2721,$C$5:$C2721,$C2721,$B$5:$B2721,"Entrada")-SUMIFS($F$5:$F2721,$C$5:$C2721,$C2721,$B$5:$B2721,"Salida"))</f>
        <v/>
      </c>
      <c r="J2721" s="20"/>
      <c r="K2721" s="20"/>
      <c r="L2721" s="20"/>
      <c r="M2721" s="14" t="str">
        <f>IF(AND($C2721&lt;&gt;"",$C2721=Kardex!$C$4),COUNTIF($C$5:$C2721,Kardex!$C$4),"")</f>
        <v/>
      </c>
    </row>
    <row r="2722" spans="1:13" x14ac:dyDescent="0.25">
      <c r="A2722" s="24"/>
      <c r="B2722" s="20"/>
      <c r="C2722" s="20"/>
      <c r="D2722" s="14" t="str">
        <f>IF($C2722="","",IFERROR(INDEX(Productos!$B$5:$B$504,MATCH($C2722,Productos!$A$5:$A$504,0)),"Clave no existe"))</f>
        <v/>
      </c>
      <c r="E2722" s="14" t="str">
        <f>IF($C2722="","",IFERROR(INDEX(Productos!$D$5:$D$504,MATCH($C2722,Productos!$A$5:$A$504,0)),""))</f>
        <v/>
      </c>
      <c r="F2722" s="20"/>
      <c r="G2722" s="22" t="str">
        <f>IF($C2722="","",IFERROR(INDEX(Productos!$F$5:$F$504,MATCH($C2722,Productos!$A$5:$A$504,0)),0))</f>
        <v/>
      </c>
      <c r="H2722" s="22" t="str">
        <f t="shared" si="42"/>
        <v/>
      </c>
      <c r="I2722" s="14" t="str">
        <f>IF(OR($C2722="",$F2722=""),"",IFERROR(INDEX(Productos!$I$5:$I$504,MATCH($C2722,Productos!$A$5:$A$504,0)),0)+SUMIFS($F$5:$F2722,$C$5:$C2722,$C2722,$B$5:$B2722,"Entrada")-SUMIFS($F$5:$F2722,$C$5:$C2722,$C2722,$B$5:$B2722,"Salida"))</f>
        <v/>
      </c>
      <c r="J2722" s="20"/>
      <c r="K2722" s="20"/>
      <c r="L2722" s="20"/>
      <c r="M2722" s="14" t="str">
        <f>IF(AND($C2722&lt;&gt;"",$C2722=Kardex!$C$4),COUNTIF($C$5:$C2722,Kardex!$C$4),"")</f>
        <v/>
      </c>
    </row>
    <row r="2723" spans="1:13" x14ac:dyDescent="0.25">
      <c r="A2723" s="24"/>
      <c r="B2723" s="20"/>
      <c r="C2723" s="20"/>
      <c r="D2723" s="14" t="str">
        <f>IF($C2723="","",IFERROR(INDEX(Productos!$B$5:$B$504,MATCH($C2723,Productos!$A$5:$A$504,0)),"Clave no existe"))</f>
        <v/>
      </c>
      <c r="E2723" s="14" t="str">
        <f>IF($C2723="","",IFERROR(INDEX(Productos!$D$5:$D$504,MATCH($C2723,Productos!$A$5:$A$504,0)),""))</f>
        <v/>
      </c>
      <c r="F2723" s="20"/>
      <c r="G2723" s="22" t="str">
        <f>IF($C2723="","",IFERROR(INDEX(Productos!$F$5:$F$504,MATCH($C2723,Productos!$A$5:$A$504,0)),0))</f>
        <v/>
      </c>
      <c r="H2723" s="22" t="str">
        <f t="shared" si="42"/>
        <v/>
      </c>
      <c r="I2723" s="14" t="str">
        <f>IF(OR($C2723="",$F2723=""),"",IFERROR(INDEX(Productos!$I$5:$I$504,MATCH($C2723,Productos!$A$5:$A$504,0)),0)+SUMIFS($F$5:$F2723,$C$5:$C2723,$C2723,$B$5:$B2723,"Entrada")-SUMIFS($F$5:$F2723,$C$5:$C2723,$C2723,$B$5:$B2723,"Salida"))</f>
        <v/>
      </c>
      <c r="J2723" s="20"/>
      <c r="K2723" s="20"/>
      <c r="L2723" s="20"/>
      <c r="M2723" s="14" t="str">
        <f>IF(AND($C2723&lt;&gt;"",$C2723=Kardex!$C$4),COUNTIF($C$5:$C2723,Kardex!$C$4),"")</f>
        <v/>
      </c>
    </row>
    <row r="2724" spans="1:13" x14ac:dyDescent="0.25">
      <c r="A2724" s="24"/>
      <c r="B2724" s="20"/>
      <c r="C2724" s="20"/>
      <c r="D2724" s="14" t="str">
        <f>IF($C2724="","",IFERROR(INDEX(Productos!$B$5:$B$504,MATCH($C2724,Productos!$A$5:$A$504,0)),"Clave no existe"))</f>
        <v/>
      </c>
      <c r="E2724" s="14" t="str">
        <f>IF($C2724="","",IFERROR(INDEX(Productos!$D$5:$D$504,MATCH($C2724,Productos!$A$5:$A$504,0)),""))</f>
        <v/>
      </c>
      <c r="F2724" s="20"/>
      <c r="G2724" s="22" t="str">
        <f>IF($C2724="","",IFERROR(INDEX(Productos!$F$5:$F$504,MATCH($C2724,Productos!$A$5:$A$504,0)),0))</f>
        <v/>
      </c>
      <c r="H2724" s="22" t="str">
        <f t="shared" si="42"/>
        <v/>
      </c>
      <c r="I2724" s="14" t="str">
        <f>IF(OR($C2724="",$F2724=""),"",IFERROR(INDEX(Productos!$I$5:$I$504,MATCH($C2724,Productos!$A$5:$A$504,0)),0)+SUMIFS($F$5:$F2724,$C$5:$C2724,$C2724,$B$5:$B2724,"Entrada")-SUMIFS($F$5:$F2724,$C$5:$C2724,$C2724,$B$5:$B2724,"Salida"))</f>
        <v/>
      </c>
      <c r="J2724" s="20"/>
      <c r="K2724" s="20"/>
      <c r="L2724" s="20"/>
      <c r="M2724" s="14" t="str">
        <f>IF(AND($C2724&lt;&gt;"",$C2724=Kardex!$C$4),COUNTIF($C$5:$C2724,Kardex!$C$4),"")</f>
        <v/>
      </c>
    </row>
    <row r="2725" spans="1:13" x14ac:dyDescent="0.25">
      <c r="A2725" s="24"/>
      <c r="B2725" s="20"/>
      <c r="C2725" s="20"/>
      <c r="D2725" s="14" t="str">
        <f>IF($C2725="","",IFERROR(INDEX(Productos!$B$5:$B$504,MATCH($C2725,Productos!$A$5:$A$504,0)),"Clave no existe"))</f>
        <v/>
      </c>
      <c r="E2725" s="14" t="str">
        <f>IF($C2725="","",IFERROR(INDEX(Productos!$D$5:$D$504,MATCH($C2725,Productos!$A$5:$A$504,0)),""))</f>
        <v/>
      </c>
      <c r="F2725" s="20"/>
      <c r="G2725" s="22" t="str">
        <f>IF($C2725="","",IFERROR(INDEX(Productos!$F$5:$F$504,MATCH($C2725,Productos!$A$5:$A$504,0)),0))</f>
        <v/>
      </c>
      <c r="H2725" s="22" t="str">
        <f t="shared" si="42"/>
        <v/>
      </c>
      <c r="I2725" s="14" t="str">
        <f>IF(OR($C2725="",$F2725=""),"",IFERROR(INDEX(Productos!$I$5:$I$504,MATCH($C2725,Productos!$A$5:$A$504,0)),0)+SUMIFS($F$5:$F2725,$C$5:$C2725,$C2725,$B$5:$B2725,"Entrada")-SUMIFS($F$5:$F2725,$C$5:$C2725,$C2725,$B$5:$B2725,"Salida"))</f>
        <v/>
      </c>
      <c r="J2725" s="20"/>
      <c r="K2725" s="20"/>
      <c r="L2725" s="20"/>
      <c r="M2725" s="14" t="str">
        <f>IF(AND($C2725&lt;&gt;"",$C2725=Kardex!$C$4),COUNTIF($C$5:$C2725,Kardex!$C$4),"")</f>
        <v/>
      </c>
    </row>
    <row r="2726" spans="1:13" x14ac:dyDescent="0.25">
      <c r="A2726" s="24"/>
      <c r="B2726" s="20"/>
      <c r="C2726" s="20"/>
      <c r="D2726" s="14" t="str">
        <f>IF($C2726="","",IFERROR(INDEX(Productos!$B$5:$B$504,MATCH($C2726,Productos!$A$5:$A$504,0)),"Clave no existe"))</f>
        <v/>
      </c>
      <c r="E2726" s="14" t="str">
        <f>IF($C2726="","",IFERROR(INDEX(Productos!$D$5:$D$504,MATCH($C2726,Productos!$A$5:$A$504,0)),""))</f>
        <v/>
      </c>
      <c r="F2726" s="20"/>
      <c r="G2726" s="22" t="str">
        <f>IF($C2726="","",IFERROR(INDEX(Productos!$F$5:$F$504,MATCH($C2726,Productos!$A$5:$A$504,0)),0))</f>
        <v/>
      </c>
      <c r="H2726" s="22" t="str">
        <f t="shared" si="42"/>
        <v/>
      </c>
      <c r="I2726" s="14" t="str">
        <f>IF(OR($C2726="",$F2726=""),"",IFERROR(INDEX(Productos!$I$5:$I$504,MATCH($C2726,Productos!$A$5:$A$504,0)),0)+SUMIFS($F$5:$F2726,$C$5:$C2726,$C2726,$B$5:$B2726,"Entrada")-SUMIFS($F$5:$F2726,$C$5:$C2726,$C2726,$B$5:$B2726,"Salida"))</f>
        <v/>
      </c>
      <c r="J2726" s="20"/>
      <c r="K2726" s="20"/>
      <c r="L2726" s="20"/>
      <c r="M2726" s="14" t="str">
        <f>IF(AND($C2726&lt;&gt;"",$C2726=Kardex!$C$4),COUNTIF($C$5:$C2726,Kardex!$C$4),"")</f>
        <v/>
      </c>
    </row>
    <row r="2727" spans="1:13" x14ac:dyDescent="0.25">
      <c r="A2727" s="24"/>
      <c r="B2727" s="20"/>
      <c r="C2727" s="20"/>
      <c r="D2727" s="14" t="str">
        <f>IF($C2727="","",IFERROR(INDEX(Productos!$B$5:$B$504,MATCH($C2727,Productos!$A$5:$A$504,0)),"Clave no existe"))</f>
        <v/>
      </c>
      <c r="E2727" s="14" t="str">
        <f>IF($C2727="","",IFERROR(INDEX(Productos!$D$5:$D$504,MATCH($C2727,Productos!$A$5:$A$504,0)),""))</f>
        <v/>
      </c>
      <c r="F2727" s="20"/>
      <c r="G2727" s="22" t="str">
        <f>IF($C2727="","",IFERROR(INDEX(Productos!$F$5:$F$504,MATCH($C2727,Productos!$A$5:$A$504,0)),0))</f>
        <v/>
      </c>
      <c r="H2727" s="22" t="str">
        <f t="shared" si="42"/>
        <v/>
      </c>
      <c r="I2727" s="14" t="str">
        <f>IF(OR($C2727="",$F2727=""),"",IFERROR(INDEX(Productos!$I$5:$I$504,MATCH($C2727,Productos!$A$5:$A$504,0)),0)+SUMIFS($F$5:$F2727,$C$5:$C2727,$C2727,$B$5:$B2727,"Entrada")-SUMIFS($F$5:$F2727,$C$5:$C2727,$C2727,$B$5:$B2727,"Salida"))</f>
        <v/>
      </c>
      <c r="J2727" s="20"/>
      <c r="K2727" s="20"/>
      <c r="L2727" s="20"/>
      <c r="M2727" s="14" t="str">
        <f>IF(AND($C2727&lt;&gt;"",$C2727=Kardex!$C$4),COUNTIF($C$5:$C2727,Kardex!$C$4),"")</f>
        <v/>
      </c>
    </row>
    <row r="2728" spans="1:13" x14ac:dyDescent="0.25">
      <c r="A2728" s="24"/>
      <c r="B2728" s="20"/>
      <c r="C2728" s="20"/>
      <c r="D2728" s="14" t="str">
        <f>IF($C2728="","",IFERROR(INDEX(Productos!$B$5:$B$504,MATCH($C2728,Productos!$A$5:$A$504,0)),"Clave no existe"))</f>
        <v/>
      </c>
      <c r="E2728" s="14" t="str">
        <f>IF($C2728="","",IFERROR(INDEX(Productos!$D$5:$D$504,MATCH($C2728,Productos!$A$5:$A$504,0)),""))</f>
        <v/>
      </c>
      <c r="F2728" s="20"/>
      <c r="G2728" s="22" t="str">
        <f>IF($C2728="","",IFERROR(INDEX(Productos!$F$5:$F$504,MATCH($C2728,Productos!$A$5:$A$504,0)),0))</f>
        <v/>
      </c>
      <c r="H2728" s="22" t="str">
        <f t="shared" si="42"/>
        <v/>
      </c>
      <c r="I2728" s="14" t="str">
        <f>IF(OR($C2728="",$F2728=""),"",IFERROR(INDEX(Productos!$I$5:$I$504,MATCH($C2728,Productos!$A$5:$A$504,0)),0)+SUMIFS($F$5:$F2728,$C$5:$C2728,$C2728,$B$5:$B2728,"Entrada")-SUMIFS($F$5:$F2728,$C$5:$C2728,$C2728,$B$5:$B2728,"Salida"))</f>
        <v/>
      </c>
      <c r="J2728" s="20"/>
      <c r="K2728" s="20"/>
      <c r="L2728" s="20"/>
      <c r="M2728" s="14" t="str">
        <f>IF(AND($C2728&lt;&gt;"",$C2728=Kardex!$C$4),COUNTIF($C$5:$C2728,Kardex!$C$4),"")</f>
        <v/>
      </c>
    </row>
    <row r="2729" spans="1:13" x14ac:dyDescent="0.25">
      <c r="A2729" s="24"/>
      <c r="B2729" s="20"/>
      <c r="C2729" s="20"/>
      <c r="D2729" s="14" t="str">
        <f>IF($C2729="","",IFERROR(INDEX(Productos!$B$5:$B$504,MATCH($C2729,Productos!$A$5:$A$504,0)),"Clave no existe"))</f>
        <v/>
      </c>
      <c r="E2729" s="14" t="str">
        <f>IF($C2729="","",IFERROR(INDEX(Productos!$D$5:$D$504,MATCH($C2729,Productos!$A$5:$A$504,0)),""))</f>
        <v/>
      </c>
      <c r="F2729" s="20"/>
      <c r="G2729" s="22" t="str">
        <f>IF($C2729="","",IFERROR(INDEX(Productos!$F$5:$F$504,MATCH($C2729,Productos!$A$5:$A$504,0)),0))</f>
        <v/>
      </c>
      <c r="H2729" s="22" t="str">
        <f t="shared" si="42"/>
        <v/>
      </c>
      <c r="I2729" s="14" t="str">
        <f>IF(OR($C2729="",$F2729=""),"",IFERROR(INDEX(Productos!$I$5:$I$504,MATCH($C2729,Productos!$A$5:$A$504,0)),0)+SUMIFS($F$5:$F2729,$C$5:$C2729,$C2729,$B$5:$B2729,"Entrada")-SUMIFS($F$5:$F2729,$C$5:$C2729,$C2729,$B$5:$B2729,"Salida"))</f>
        <v/>
      </c>
      <c r="J2729" s="20"/>
      <c r="K2729" s="20"/>
      <c r="L2729" s="20"/>
      <c r="M2729" s="14" t="str">
        <f>IF(AND($C2729&lt;&gt;"",$C2729=Kardex!$C$4),COUNTIF($C$5:$C2729,Kardex!$C$4),"")</f>
        <v/>
      </c>
    </row>
    <row r="2730" spans="1:13" x14ac:dyDescent="0.25">
      <c r="A2730" s="24"/>
      <c r="B2730" s="20"/>
      <c r="C2730" s="20"/>
      <c r="D2730" s="14" t="str">
        <f>IF($C2730="","",IFERROR(INDEX(Productos!$B$5:$B$504,MATCH($C2730,Productos!$A$5:$A$504,0)),"Clave no existe"))</f>
        <v/>
      </c>
      <c r="E2730" s="14" t="str">
        <f>IF($C2730="","",IFERROR(INDEX(Productos!$D$5:$D$504,MATCH($C2730,Productos!$A$5:$A$504,0)),""))</f>
        <v/>
      </c>
      <c r="F2730" s="20"/>
      <c r="G2730" s="22" t="str">
        <f>IF($C2730="","",IFERROR(INDEX(Productos!$F$5:$F$504,MATCH($C2730,Productos!$A$5:$A$504,0)),0))</f>
        <v/>
      </c>
      <c r="H2730" s="22" t="str">
        <f t="shared" si="42"/>
        <v/>
      </c>
      <c r="I2730" s="14" t="str">
        <f>IF(OR($C2730="",$F2730=""),"",IFERROR(INDEX(Productos!$I$5:$I$504,MATCH($C2730,Productos!$A$5:$A$504,0)),0)+SUMIFS($F$5:$F2730,$C$5:$C2730,$C2730,$B$5:$B2730,"Entrada")-SUMIFS($F$5:$F2730,$C$5:$C2730,$C2730,$B$5:$B2730,"Salida"))</f>
        <v/>
      </c>
      <c r="J2730" s="20"/>
      <c r="K2730" s="20"/>
      <c r="L2730" s="20"/>
      <c r="M2730" s="14" t="str">
        <f>IF(AND($C2730&lt;&gt;"",$C2730=Kardex!$C$4),COUNTIF($C$5:$C2730,Kardex!$C$4),"")</f>
        <v/>
      </c>
    </row>
    <row r="2731" spans="1:13" x14ac:dyDescent="0.25">
      <c r="A2731" s="24"/>
      <c r="B2731" s="20"/>
      <c r="C2731" s="20"/>
      <c r="D2731" s="14" t="str">
        <f>IF($C2731="","",IFERROR(INDEX(Productos!$B$5:$B$504,MATCH($C2731,Productos!$A$5:$A$504,0)),"Clave no existe"))</f>
        <v/>
      </c>
      <c r="E2731" s="14" t="str">
        <f>IF($C2731="","",IFERROR(INDEX(Productos!$D$5:$D$504,MATCH($C2731,Productos!$A$5:$A$504,0)),""))</f>
        <v/>
      </c>
      <c r="F2731" s="20"/>
      <c r="G2731" s="22" t="str">
        <f>IF($C2731="","",IFERROR(INDEX(Productos!$F$5:$F$504,MATCH($C2731,Productos!$A$5:$A$504,0)),0))</f>
        <v/>
      </c>
      <c r="H2731" s="22" t="str">
        <f t="shared" si="42"/>
        <v/>
      </c>
      <c r="I2731" s="14" t="str">
        <f>IF(OR($C2731="",$F2731=""),"",IFERROR(INDEX(Productos!$I$5:$I$504,MATCH($C2731,Productos!$A$5:$A$504,0)),0)+SUMIFS($F$5:$F2731,$C$5:$C2731,$C2731,$B$5:$B2731,"Entrada")-SUMIFS($F$5:$F2731,$C$5:$C2731,$C2731,$B$5:$B2731,"Salida"))</f>
        <v/>
      </c>
      <c r="J2731" s="20"/>
      <c r="K2731" s="20"/>
      <c r="L2731" s="20"/>
      <c r="M2731" s="14" t="str">
        <f>IF(AND($C2731&lt;&gt;"",$C2731=Kardex!$C$4),COUNTIF($C$5:$C2731,Kardex!$C$4),"")</f>
        <v/>
      </c>
    </row>
    <row r="2732" spans="1:13" x14ac:dyDescent="0.25">
      <c r="A2732" s="24"/>
      <c r="B2732" s="20"/>
      <c r="C2732" s="20"/>
      <c r="D2732" s="14" t="str">
        <f>IF($C2732="","",IFERROR(INDEX(Productos!$B$5:$B$504,MATCH($C2732,Productos!$A$5:$A$504,0)),"Clave no existe"))</f>
        <v/>
      </c>
      <c r="E2732" s="14" t="str">
        <f>IF($C2732="","",IFERROR(INDEX(Productos!$D$5:$D$504,MATCH($C2732,Productos!$A$5:$A$504,0)),""))</f>
        <v/>
      </c>
      <c r="F2732" s="20"/>
      <c r="G2732" s="22" t="str">
        <f>IF($C2732="","",IFERROR(INDEX(Productos!$F$5:$F$504,MATCH($C2732,Productos!$A$5:$A$504,0)),0))</f>
        <v/>
      </c>
      <c r="H2732" s="22" t="str">
        <f t="shared" si="42"/>
        <v/>
      </c>
      <c r="I2732" s="14" t="str">
        <f>IF(OR($C2732="",$F2732=""),"",IFERROR(INDEX(Productos!$I$5:$I$504,MATCH($C2732,Productos!$A$5:$A$504,0)),0)+SUMIFS($F$5:$F2732,$C$5:$C2732,$C2732,$B$5:$B2732,"Entrada")-SUMIFS($F$5:$F2732,$C$5:$C2732,$C2732,$B$5:$B2732,"Salida"))</f>
        <v/>
      </c>
      <c r="J2732" s="20"/>
      <c r="K2732" s="20"/>
      <c r="L2732" s="20"/>
      <c r="M2732" s="14" t="str">
        <f>IF(AND($C2732&lt;&gt;"",$C2732=Kardex!$C$4),COUNTIF($C$5:$C2732,Kardex!$C$4),"")</f>
        <v/>
      </c>
    </row>
    <row r="2733" spans="1:13" x14ac:dyDescent="0.25">
      <c r="A2733" s="24"/>
      <c r="B2733" s="20"/>
      <c r="C2733" s="20"/>
      <c r="D2733" s="14" t="str">
        <f>IF($C2733="","",IFERROR(INDEX(Productos!$B$5:$B$504,MATCH($C2733,Productos!$A$5:$A$504,0)),"Clave no existe"))</f>
        <v/>
      </c>
      <c r="E2733" s="14" t="str">
        <f>IF($C2733="","",IFERROR(INDEX(Productos!$D$5:$D$504,MATCH($C2733,Productos!$A$5:$A$504,0)),""))</f>
        <v/>
      </c>
      <c r="F2733" s="20"/>
      <c r="G2733" s="22" t="str">
        <f>IF($C2733="","",IFERROR(INDEX(Productos!$F$5:$F$504,MATCH($C2733,Productos!$A$5:$A$504,0)),0))</f>
        <v/>
      </c>
      <c r="H2733" s="22" t="str">
        <f t="shared" si="42"/>
        <v/>
      </c>
      <c r="I2733" s="14" t="str">
        <f>IF(OR($C2733="",$F2733=""),"",IFERROR(INDEX(Productos!$I$5:$I$504,MATCH($C2733,Productos!$A$5:$A$504,0)),0)+SUMIFS($F$5:$F2733,$C$5:$C2733,$C2733,$B$5:$B2733,"Entrada")-SUMIFS($F$5:$F2733,$C$5:$C2733,$C2733,$B$5:$B2733,"Salida"))</f>
        <v/>
      </c>
      <c r="J2733" s="20"/>
      <c r="K2733" s="20"/>
      <c r="L2733" s="20"/>
      <c r="M2733" s="14" t="str">
        <f>IF(AND($C2733&lt;&gt;"",$C2733=Kardex!$C$4),COUNTIF($C$5:$C2733,Kardex!$C$4),"")</f>
        <v/>
      </c>
    </row>
    <row r="2734" spans="1:13" x14ac:dyDescent="0.25">
      <c r="A2734" s="24"/>
      <c r="B2734" s="20"/>
      <c r="C2734" s="20"/>
      <c r="D2734" s="14" t="str">
        <f>IF($C2734="","",IFERROR(INDEX(Productos!$B$5:$B$504,MATCH($C2734,Productos!$A$5:$A$504,0)),"Clave no existe"))</f>
        <v/>
      </c>
      <c r="E2734" s="14" t="str">
        <f>IF($C2734="","",IFERROR(INDEX(Productos!$D$5:$D$504,MATCH($C2734,Productos!$A$5:$A$504,0)),""))</f>
        <v/>
      </c>
      <c r="F2734" s="20"/>
      <c r="G2734" s="22" t="str">
        <f>IF($C2734="","",IFERROR(INDEX(Productos!$F$5:$F$504,MATCH($C2734,Productos!$A$5:$A$504,0)),0))</f>
        <v/>
      </c>
      <c r="H2734" s="22" t="str">
        <f t="shared" si="42"/>
        <v/>
      </c>
      <c r="I2734" s="14" t="str">
        <f>IF(OR($C2734="",$F2734=""),"",IFERROR(INDEX(Productos!$I$5:$I$504,MATCH($C2734,Productos!$A$5:$A$504,0)),0)+SUMIFS($F$5:$F2734,$C$5:$C2734,$C2734,$B$5:$B2734,"Entrada")-SUMIFS($F$5:$F2734,$C$5:$C2734,$C2734,$B$5:$B2734,"Salida"))</f>
        <v/>
      </c>
      <c r="J2734" s="20"/>
      <c r="K2734" s="20"/>
      <c r="L2734" s="20"/>
      <c r="M2734" s="14" t="str">
        <f>IF(AND($C2734&lt;&gt;"",$C2734=Kardex!$C$4),COUNTIF($C$5:$C2734,Kardex!$C$4),"")</f>
        <v/>
      </c>
    </row>
    <row r="2735" spans="1:13" x14ac:dyDescent="0.25">
      <c r="A2735" s="24"/>
      <c r="B2735" s="20"/>
      <c r="C2735" s="20"/>
      <c r="D2735" s="14" t="str">
        <f>IF($C2735="","",IFERROR(INDEX(Productos!$B$5:$B$504,MATCH($C2735,Productos!$A$5:$A$504,0)),"Clave no existe"))</f>
        <v/>
      </c>
      <c r="E2735" s="14" t="str">
        <f>IF($C2735="","",IFERROR(INDEX(Productos!$D$5:$D$504,MATCH($C2735,Productos!$A$5:$A$504,0)),""))</f>
        <v/>
      </c>
      <c r="F2735" s="20"/>
      <c r="G2735" s="22" t="str">
        <f>IF($C2735="","",IFERROR(INDEX(Productos!$F$5:$F$504,MATCH($C2735,Productos!$A$5:$A$504,0)),0))</f>
        <v/>
      </c>
      <c r="H2735" s="22" t="str">
        <f t="shared" si="42"/>
        <v/>
      </c>
      <c r="I2735" s="14" t="str">
        <f>IF(OR($C2735="",$F2735=""),"",IFERROR(INDEX(Productos!$I$5:$I$504,MATCH($C2735,Productos!$A$5:$A$504,0)),0)+SUMIFS($F$5:$F2735,$C$5:$C2735,$C2735,$B$5:$B2735,"Entrada")-SUMIFS($F$5:$F2735,$C$5:$C2735,$C2735,$B$5:$B2735,"Salida"))</f>
        <v/>
      </c>
      <c r="J2735" s="20"/>
      <c r="K2735" s="20"/>
      <c r="L2735" s="20"/>
      <c r="M2735" s="14" t="str">
        <f>IF(AND($C2735&lt;&gt;"",$C2735=Kardex!$C$4),COUNTIF($C$5:$C2735,Kardex!$C$4),"")</f>
        <v/>
      </c>
    </row>
    <row r="2736" spans="1:13" x14ac:dyDescent="0.25">
      <c r="A2736" s="24"/>
      <c r="B2736" s="20"/>
      <c r="C2736" s="20"/>
      <c r="D2736" s="14" t="str">
        <f>IF($C2736="","",IFERROR(INDEX(Productos!$B$5:$B$504,MATCH($C2736,Productos!$A$5:$A$504,0)),"Clave no existe"))</f>
        <v/>
      </c>
      <c r="E2736" s="14" t="str">
        <f>IF($C2736="","",IFERROR(INDEX(Productos!$D$5:$D$504,MATCH($C2736,Productos!$A$5:$A$504,0)),""))</f>
        <v/>
      </c>
      <c r="F2736" s="20"/>
      <c r="G2736" s="22" t="str">
        <f>IF($C2736="","",IFERROR(INDEX(Productos!$F$5:$F$504,MATCH($C2736,Productos!$A$5:$A$504,0)),0))</f>
        <v/>
      </c>
      <c r="H2736" s="22" t="str">
        <f t="shared" si="42"/>
        <v/>
      </c>
      <c r="I2736" s="14" t="str">
        <f>IF(OR($C2736="",$F2736=""),"",IFERROR(INDEX(Productos!$I$5:$I$504,MATCH($C2736,Productos!$A$5:$A$504,0)),0)+SUMIFS($F$5:$F2736,$C$5:$C2736,$C2736,$B$5:$B2736,"Entrada")-SUMIFS($F$5:$F2736,$C$5:$C2736,$C2736,$B$5:$B2736,"Salida"))</f>
        <v/>
      </c>
      <c r="J2736" s="20"/>
      <c r="K2736" s="20"/>
      <c r="L2736" s="20"/>
      <c r="M2736" s="14" t="str">
        <f>IF(AND($C2736&lt;&gt;"",$C2736=Kardex!$C$4),COUNTIF($C$5:$C2736,Kardex!$C$4),"")</f>
        <v/>
      </c>
    </row>
    <row r="2737" spans="1:13" x14ac:dyDescent="0.25">
      <c r="A2737" s="24"/>
      <c r="B2737" s="20"/>
      <c r="C2737" s="20"/>
      <c r="D2737" s="14" t="str">
        <f>IF($C2737="","",IFERROR(INDEX(Productos!$B$5:$B$504,MATCH($C2737,Productos!$A$5:$A$504,0)),"Clave no existe"))</f>
        <v/>
      </c>
      <c r="E2737" s="14" t="str">
        <f>IF($C2737="","",IFERROR(INDEX(Productos!$D$5:$D$504,MATCH($C2737,Productos!$A$5:$A$504,0)),""))</f>
        <v/>
      </c>
      <c r="F2737" s="20"/>
      <c r="G2737" s="22" t="str">
        <f>IF($C2737="","",IFERROR(INDEX(Productos!$F$5:$F$504,MATCH($C2737,Productos!$A$5:$A$504,0)),0))</f>
        <v/>
      </c>
      <c r="H2737" s="22" t="str">
        <f t="shared" si="42"/>
        <v/>
      </c>
      <c r="I2737" s="14" t="str">
        <f>IF(OR($C2737="",$F2737=""),"",IFERROR(INDEX(Productos!$I$5:$I$504,MATCH($C2737,Productos!$A$5:$A$504,0)),0)+SUMIFS($F$5:$F2737,$C$5:$C2737,$C2737,$B$5:$B2737,"Entrada")-SUMIFS($F$5:$F2737,$C$5:$C2737,$C2737,$B$5:$B2737,"Salida"))</f>
        <v/>
      </c>
      <c r="J2737" s="20"/>
      <c r="K2737" s="20"/>
      <c r="L2737" s="20"/>
      <c r="M2737" s="14" t="str">
        <f>IF(AND($C2737&lt;&gt;"",$C2737=Kardex!$C$4),COUNTIF($C$5:$C2737,Kardex!$C$4),"")</f>
        <v/>
      </c>
    </row>
    <row r="2738" spans="1:13" x14ac:dyDescent="0.25">
      <c r="A2738" s="24"/>
      <c r="B2738" s="20"/>
      <c r="C2738" s="20"/>
      <c r="D2738" s="14" t="str">
        <f>IF($C2738="","",IFERROR(INDEX(Productos!$B$5:$B$504,MATCH($C2738,Productos!$A$5:$A$504,0)),"Clave no existe"))</f>
        <v/>
      </c>
      <c r="E2738" s="14" t="str">
        <f>IF($C2738="","",IFERROR(INDEX(Productos!$D$5:$D$504,MATCH($C2738,Productos!$A$5:$A$504,0)),""))</f>
        <v/>
      </c>
      <c r="F2738" s="20"/>
      <c r="G2738" s="22" t="str">
        <f>IF($C2738="","",IFERROR(INDEX(Productos!$F$5:$F$504,MATCH($C2738,Productos!$A$5:$A$504,0)),0))</f>
        <v/>
      </c>
      <c r="H2738" s="22" t="str">
        <f t="shared" si="42"/>
        <v/>
      </c>
      <c r="I2738" s="14" t="str">
        <f>IF(OR($C2738="",$F2738=""),"",IFERROR(INDEX(Productos!$I$5:$I$504,MATCH($C2738,Productos!$A$5:$A$504,0)),0)+SUMIFS($F$5:$F2738,$C$5:$C2738,$C2738,$B$5:$B2738,"Entrada")-SUMIFS($F$5:$F2738,$C$5:$C2738,$C2738,$B$5:$B2738,"Salida"))</f>
        <v/>
      </c>
      <c r="J2738" s="20"/>
      <c r="K2738" s="20"/>
      <c r="L2738" s="20"/>
      <c r="M2738" s="14" t="str">
        <f>IF(AND($C2738&lt;&gt;"",$C2738=Kardex!$C$4),COUNTIF($C$5:$C2738,Kardex!$C$4),"")</f>
        <v/>
      </c>
    </row>
    <row r="2739" spans="1:13" x14ac:dyDescent="0.25">
      <c r="A2739" s="24"/>
      <c r="B2739" s="20"/>
      <c r="C2739" s="20"/>
      <c r="D2739" s="14" t="str">
        <f>IF($C2739="","",IFERROR(INDEX(Productos!$B$5:$B$504,MATCH($C2739,Productos!$A$5:$A$504,0)),"Clave no existe"))</f>
        <v/>
      </c>
      <c r="E2739" s="14" t="str">
        <f>IF($C2739="","",IFERROR(INDEX(Productos!$D$5:$D$504,MATCH($C2739,Productos!$A$5:$A$504,0)),""))</f>
        <v/>
      </c>
      <c r="F2739" s="20"/>
      <c r="G2739" s="22" t="str">
        <f>IF($C2739="","",IFERROR(INDEX(Productos!$F$5:$F$504,MATCH($C2739,Productos!$A$5:$A$504,0)),0))</f>
        <v/>
      </c>
      <c r="H2739" s="22" t="str">
        <f t="shared" si="42"/>
        <v/>
      </c>
      <c r="I2739" s="14" t="str">
        <f>IF(OR($C2739="",$F2739=""),"",IFERROR(INDEX(Productos!$I$5:$I$504,MATCH($C2739,Productos!$A$5:$A$504,0)),0)+SUMIFS($F$5:$F2739,$C$5:$C2739,$C2739,$B$5:$B2739,"Entrada")-SUMIFS($F$5:$F2739,$C$5:$C2739,$C2739,$B$5:$B2739,"Salida"))</f>
        <v/>
      </c>
      <c r="J2739" s="20"/>
      <c r="K2739" s="20"/>
      <c r="L2739" s="20"/>
      <c r="M2739" s="14" t="str">
        <f>IF(AND($C2739&lt;&gt;"",$C2739=Kardex!$C$4),COUNTIF($C$5:$C2739,Kardex!$C$4),"")</f>
        <v/>
      </c>
    </row>
    <row r="2740" spans="1:13" x14ac:dyDescent="0.25">
      <c r="A2740" s="24"/>
      <c r="B2740" s="20"/>
      <c r="C2740" s="20"/>
      <c r="D2740" s="14" t="str">
        <f>IF($C2740="","",IFERROR(INDEX(Productos!$B$5:$B$504,MATCH($C2740,Productos!$A$5:$A$504,0)),"Clave no existe"))</f>
        <v/>
      </c>
      <c r="E2740" s="14" t="str">
        <f>IF($C2740="","",IFERROR(INDEX(Productos!$D$5:$D$504,MATCH($C2740,Productos!$A$5:$A$504,0)),""))</f>
        <v/>
      </c>
      <c r="F2740" s="20"/>
      <c r="G2740" s="22" t="str">
        <f>IF($C2740="","",IFERROR(INDEX(Productos!$F$5:$F$504,MATCH($C2740,Productos!$A$5:$A$504,0)),0))</f>
        <v/>
      </c>
      <c r="H2740" s="22" t="str">
        <f t="shared" si="42"/>
        <v/>
      </c>
      <c r="I2740" s="14" t="str">
        <f>IF(OR($C2740="",$F2740=""),"",IFERROR(INDEX(Productos!$I$5:$I$504,MATCH($C2740,Productos!$A$5:$A$504,0)),0)+SUMIFS($F$5:$F2740,$C$5:$C2740,$C2740,$B$5:$B2740,"Entrada")-SUMIFS($F$5:$F2740,$C$5:$C2740,$C2740,$B$5:$B2740,"Salida"))</f>
        <v/>
      </c>
      <c r="J2740" s="20"/>
      <c r="K2740" s="20"/>
      <c r="L2740" s="20"/>
      <c r="M2740" s="14" t="str">
        <f>IF(AND($C2740&lt;&gt;"",$C2740=Kardex!$C$4),COUNTIF($C$5:$C2740,Kardex!$C$4),"")</f>
        <v/>
      </c>
    </row>
    <row r="2741" spans="1:13" x14ac:dyDescent="0.25">
      <c r="A2741" s="24"/>
      <c r="B2741" s="20"/>
      <c r="C2741" s="20"/>
      <c r="D2741" s="14" t="str">
        <f>IF($C2741="","",IFERROR(INDEX(Productos!$B$5:$B$504,MATCH($C2741,Productos!$A$5:$A$504,0)),"Clave no existe"))</f>
        <v/>
      </c>
      <c r="E2741" s="14" t="str">
        <f>IF($C2741="","",IFERROR(INDEX(Productos!$D$5:$D$504,MATCH($C2741,Productos!$A$5:$A$504,0)),""))</f>
        <v/>
      </c>
      <c r="F2741" s="20"/>
      <c r="G2741" s="22" t="str">
        <f>IF($C2741="","",IFERROR(INDEX(Productos!$F$5:$F$504,MATCH($C2741,Productos!$A$5:$A$504,0)),0))</f>
        <v/>
      </c>
      <c r="H2741" s="22" t="str">
        <f t="shared" si="42"/>
        <v/>
      </c>
      <c r="I2741" s="14" t="str">
        <f>IF(OR($C2741="",$F2741=""),"",IFERROR(INDEX(Productos!$I$5:$I$504,MATCH($C2741,Productos!$A$5:$A$504,0)),0)+SUMIFS($F$5:$F2741,$C$5:$C2741,$C2741,$B$5:$B2741,"Entrada")-SUMIFS($F$5:$F2741,$C$5:$C2741,$C2741,$B$5:$B2741,"Salida"))</f>
        <v/>
      </c>
      <c r="J2741" s="20"/>
      <c r="K2741" s="20"/>
      <c r="L2741" s="20"/>
      <c r="M2741" s="14" t="str">
        <f>IF(AND($C2741&lt;&gt;"",$C2741=Kardex!$C$4),COUNTIF($C$5:$C2741,Kardex!$C$4),"")</f>
        <v/>
      </c>
    </row>
    <row r="2742" spans="1:13" x14ac:dyDescent="0.25">
      <c r="A2742" s="24"/>
      <c r="B2742" s="20"/>
      <c r="C2742" s="20"/>
      <c r="D2742" s="14" t="str">
        <f>IF($C2742="","",IFERROR(INDEX(Productos!$B$5:$B$504,MATCH($C2742,Productos!$A$5:$A$504,0)),"Clave no existe"))</f>
        <v/>
      </c>
      <c r="E2742" s="14" t="str">
        <f>IF($C2742="","",IFERROR(INDEX(Productos!$D$5:$D$504,MATCH($C2742,Productos!$A$5:$A$504,0)),""))</f>
        <v/>
      </c>
      <c r="F2742" s="20"/>
      <c r="G2742" s="22" t="str">
        <f>IF($C2742="","",IFERROR(INDEX(Productos!$F$5:$F$504,MATCH($C2742,Productos!$A$5:$A$504,0)),0))</f>
        <v/>
      </c>
      <c r="H2742" s="22" t="str">
        <f t="shared" si="42"/>
        <v/>
      </c>
      <c r="I2742" s="14" t="str">
        <f>IF(OR($C2742="",$F2742=""),"",IFERROR(INDEX(Productos!$I$5:$I$504,MATCH($C2742,Productos!$A$5:$A$504,0)),0)+SUMIFS($F$5:$F2742,$C$5:$C2742,$C2742,$B$5:$B2742,"Entrada")-SUMIFS($F$5:$F2742,$C$5:$C2742,$C2742,$B$5:$B2742,"Salida"))</f>
        <v/>
      </c>
      <c r="J2742" s="20"/>
      <c r="K2742" s="20"/>
      <c r="L2742" s="20"/>
      <c r="M2742" s="14" t="str">
        <f>IF(AND($C2742&lt;&gt;"",$C2742=Kardex!$C$4),COUNTIF($C$5:$C2742,Kardex!$C$4),"")</f>
        <v/>
      </c>
    </row>
    <row r="2743" spans="1:13" x14ac:dyDescent="0.25">
      <c r="A2743" s="24"/>
      <c r="B2743" s="20"/>
      <c r="C2743" s="20"/>
      <c r="D2743" s="14" t="str">
        <f>IF($C2743="","",IFERROR(INDEX(Productos!$B$5:$B$504,MATCH($C2743,Productos!$A$5:$A$504,0)),"Clave no existe"))</f>
        <v/>
      </c>
      <c r="E2743" s="14" t="str">
        <f>IF($C2743="","",IFERROR(INDEX(Productos!$D$5:$D$504,MATCH($C2743,Productos!$A$5:$A$504,0)),""))</f>
        <v/>
      </c>
      <c r="F2743" s="20"/>
      <c r="G2743" s="22" t="str">
        <f>IF($C2743="","",IFERROR(INDEX(Productos!$F$5:$F$504,MATCH($C2743,Productos!$A$5:$A$504,0)),0))</f>
        <v/>
      </c>
      <c r="H2743" s="22" t="str">
        <f t="shared" si="42"/>
        <v/>
      </c>
      <c r="I2743" s="14" t="str">
        <f>IF(OR($C2743="",$F2743=""),"",IFERROR(INDEX(Productos!$I$5:$I$504,MATCH($C2743,Productos!$A$5:$A$504,0)),0)+SUMIFS($F$5:$F2743,$C$5:$C2743,$C2743,$B$5:$B2743,"Entrada")-SUMIFS($F$5:$F2743,$C$5:$C2743,$C2743,$B$5:$B2743,"Salida"))</f>
        <v/>
      </c>
      <c r="J2743" s="20"/>
      <c r="K2743" s="20"/>
      <c r="L2743" s="20"/>
      <c r="M2743" s="14" t="str">
        <f>IF(AND($C2743&lt;&gt;"",$C2743=Kardex!$C$4),COUNTIF($C$5:$C2743,Kardex!$C$4),"")</f>
        <v/>
      </c>
    </row>
    <row r="2744" spans="1:13" x14ac:dyDescent="0.25">
      <c r="A2744" s="24"/>
      <c r="B2744" s="20"/>
      <c r="C2744" s="20"/>
      <c r="D2744" s="14" t="str">
        <f>IF($C2744="","",IFERROR(INDEX(Productos!$B$5:$B$504,MATCH($C2744,Productos!$A$5:$A$504,0)),"Clave no existe"))</f>
        <v/>
      </c>
      <c r="E2744" s="14" t="str">
        <f>IF($C2744="","",IFERROR(INDEX(Productos!$D$5:$D$504,MATCH($C2744,Productos!$A$5:$A$504,0)),""))</f>
        <v/>
      </c>
      <c r="F2744" s="20"/>
      <c r="G2744" s="22" t="str">
        <f>IF($C2744="","",IFERROR(INDEX(Productos!$F$5:$F$504,MATCH($C2744,Productos!$A$5:$A$504,0)),0))</f>
        <v/>
      </c>
      <c r="H2744" s="22" t="str">
        <f t="shared" si="42"/>
        <v/>
      </c>
      <c r="I2744" s="14" t="str">
        <f>IF(OR($C2744="",$F2744=""),"",IFERROR(INDEX(Productos!$I$5:$I$504,MATCH($C2744,Productos!$A$5:$A$504,0)),0)+SUMIFS($F$5:$F2744,$C$5:$C2744,$C2744,$B$5:$B2744,"Entrada")-SUMIFS($F$5:$F2744,$C$5:$C2744,$C2744,$B$5:$B2744,"Salida"))</f>
        <v/>
      </c>
      <c r="J2744" s="20"/>
      <c r="K2744" s="20"/>
      <c r="L2744" s="20"/>
      <c r="M2744" s="14" t="str">
        <f>IF(AND($C2744&lt;&gt;"",$C2744=Kardex!$C$4),COUNTIF($C$5:$C2744,Kardex!$C$4),"")</f>
        <v/>
      </c>
    </row>
    <row r="2745" spans="1:13" x14ac:dyDescent="0.25">
      <c r="A2745" s="24"/>
      <c r="B2745" s="20"/>
      <c r="C2745" s="20"/>
      <c r="D2745" s="14" t="str">
        <f>IF($C2745="","",IFERROR(INDEX(Productos!$B$5:$B$504,MATCH($C2745,Productos!$A$5:$A$504,0)),"Clave no existe"))</f>
        <v/>
      </c>
      <c r="E2745" s="14" t="str">
        <f>IF($C2745="","",IFERROR(INDEX(Productos!$D$5:$D$504,MATCH($C2745,Productos!$A$5:$A$504,0)),""))</f>
        <v/>
      </c>
      <c r="F2745" s="20"/>
      <c r="G2745" s="22" t="str">
        <f>IF($C2745="","",IFERROR(INDEX(Productos!$F$5:$F$504,MATCH($C2745,Productos!$A$5:$A$504,0)),0))</f>
        <v/>
      </c>
      <c r="H2745" s="22" t="str">
        <f t="shared" si="42"/>
        <v/>
      </c>
      <c r="I2745" s="14" t="str">
        <f>IF(OR($C2745="",$F2745=""),"",IFERROR(INDEX(Productos!$I$5:$I$504,MATCH($C2745,Productos!$A$5:$A$504,0)),0)+SUMIFS($F$5:$F2745,$C$5:$C2745,$C2745,$B$5:$B2745,"Entrada")-SUMIFS($F$5:$F2745,$C$5:$C2745,$C2745,$B$5:$B2745,"Salida"))</f>
        <v/>
      </c>
      <c r="J2745" s="20"/>
      <c r="K2745" s="20"/>
      <c r="L2745" s="20"/>
      <c r="M2745" s="14" t="str">
        <f>IF(AND($C2745&lt;&gt;"",$C2745=Kardex!$C$4),COUNTIF($C$5:$C2745,Kardex!$C$4),"")</f>
        <v/>
      </c>
    </row>
    <row r="2746" spans="1:13" x14ac:dyDescent="0.25">
      <c r="A2746" s="24"/>
      <c r="B2746" s="20"/>
      <c r="C2746" s="20"/>
      <c r="D2746" s="14" t="str">
        <f>IF($C2746="","",IFERROR(INDEX(Productos!$B$5:$B$504,MATCH($C2746,Productos!$A$5:$A$504,0)),"Clave no existe"))</f>
        <v/>
      </c>
      <c r="E2746" s="14" t="str">
        <f>IF($C2746="","",IFERROR(INDEX(Productos!$D$5:$D$504,MATCH($C2746,Productos!$A$5:$A$504,0)),""))</f>
        <v/>
      </c>
      <c r="F2746" s="20"/>
      <c r="G2746" s="22" t="str">
        <f>IF($C2746="","",IFERROR(INDEX(Productos!$F$5:$F$504,MATCH($C2746,Productos!$A$5:$A$504,0)),0))</f>
        <v/>
      </c>
      <c r="H2746" s="22" t="str">
        <f t="shared" si="42"/>
        <v/>
      </c>
      <c r="I2746" s="14" t="str">
        <f>IF(OR($C2746="",$F2746=""),"",IFERROR(INDEX(Productos!$I$5:$I$504,MATCH($C2746,Productos!$A$5:$A$504,0)),0)+SUMIFS($F$5:$F2746,$C$5:$C2746,$C2746,$B$5:$B2746,"Entrada")-SUMIFS($F$5:$F2746,$C$5:$C2746,$C2746,$B$5:$B2746,"Salida"))</f>
        <v/>
      </c>
      <c r="J2746" s="20"/>
      <c r="K2746" s="20"/>
      <c r="L2746" s="20"/>
      <c r="M2746" s="14" t="str">
        <f>IF(AND($C2746&lt;&gt;"",$C2746=Kardex!$C$4),COUNTIF($C$5:$C2746,Kardex!$C$4),"")</f>
        <v/>
      </c>
    </row>
    <row r="2747" spans="1:13" x14ac:dyDescent="0.25">
      <c r="A2747" s="24"/>
      <c r="B2747" s="20"/>
      <c r="C2747" s="20"/>
      <c r="D2747" s="14" t="str">
        <f>IF($C2747="","",IFERROR(INDEX(Productos!$B$5:$B$504,MATCH($C2747,Productos!$A$5:$A$504,0)),"Clave no existe"))</f>
        <v/>
      </c>
      <c r="E2747" s="14" t="str">
        <f>IF($C2747="","",IFERROR(INDEX(Productos!$D$5:$D$504,MATCH($C2747,Productos!$A$5:$A$504,0)),""))</f>
        <v/>
      </c>
      <c r="F2747" s="20"/>
      <c r="G2747" s="22" t="str">
        <f>IF($C2747="","",IFERROR(INDEX(Productos!$F$5:$F$504,MATCH($C2747,Productos!$A$5:$A$504,0)),0))</f>
        <v/>
      </c>
      <c r="H2747" s="22" t="str">
        <f t="shared" si="42"/>
        <v/>
      </c>
      <c r="I2747" s="14" t="str">
        <f>IF(OR($C2747="",$F2747=""),"",IFERROR(INDEX(Productos!$I$5:$I$504,MATCH($C2747,Productos!$A$5:$A$504,0)),0)+SUMIFS($F$5:$F2747,$C$5:$C2747,$C2747,$B$5:$B2747,"Entrada")-SUMIFS($F$5:$F2747,$C$5:$C2747,$C2747,$B$5:$B2747,"Salida"))</f>
        <v/>
      </c>
      <c r="J2747" s="20"/>
      <c r="K2747" s="20"/>
      <c r="L2747" s="20"/>
      <c r="M2747" s="14" t="str">
        <f>IF(AND($C2747&lt;&gt;"",$C2747=Kardex!$C$4),COUNTIF($C$5:$C2747,Kardex!$C$4),"")</f>
        <v/>
      </c>
    </row>
    <row r="2748" spans="1:13" x14ac:dyDescent="0.25">
      <c r="A2748" s="24"/>
      <c r="B2748" s="20"/>
      <c r="C2748" s="20"/>
      <c r="D2748" s="14" t="str">
        <f>IF($C2748="","",IFERROR(INDEX(Productos!$B$5:$B$504,MATCH($C2748,Productos!$A$5:$A$504,0)),"Clave no existe"))</f>
        <v/>
      </c>
      <c r="E2748" s="14" t="str">
        <f>IF($C2748="","",IFERROR(INDEX(Productos!$D$5:$D$504,MATCH($C2748,Productos!$A$5:$A$504,0)),""))</f>
        <v/>
      </c>
      <c r="F2748" s="20"/>
      <c r="G2748" s="22" t="str">
        <f>IF($C2748="","",IFERROR(INDEX(Productos!$F$5:$F$504,MATCH($C2748,Productos!$A$5:$A$504,0)),0))</f>
        <v/>
      </c>
      <c r="H2748" s="22" t="str">
        <f t="shared" si="42"/>
        <v/>
      </c>
      <c r="I2748" s="14" t="str">
        <f>IF(OR($C2748="",$F2748=""),"",IFERROR(INDEX(Productos!$I$5:$I$504,MATCH($C2748,Productos!$A$5:$A$504,0)),0)+SUMIFS($F$5:$F2748,$C$5:$C2748,$C2748,$B$5:$B2748,"Entrada")-SUMIFS($F$5:$F2748,$C$5:$C2748,$C2748,$B$5:$B2748,"Salida"))</f>
        <v/>
      </c>
      <c r="J2748" s="20"/>
      <c r="K2748" s="20"/>
      <c r="L2748" s="20"/>
      <c r="M2748" s="14" t="str">
        <f>IF(AND($C2748&lt;&gt;"",$C2748=Kardex!$C$4),COUNTIF($C$5:$C2748,Kardex!$C$4),"")</f>
        <v/>
      </c>
    </row>
    <row r="2749" spans="1:13" x14ac:dyDescent="0.25">
      <c r="A2749" s="24"/>
      <c r="B2749" s="20"/>
      <c r="C2749" s="20"/>
      <c r="D2749" s="14" t="str">
        <f>IF($C2749="","",IFERROR(INDEX(Productos!$B$5:$B$504,MATCH($C2749,Productos!$A$5:$A$504,0)),"Clave no existe"))</f>
        <v/>
      </c>
      <c r="E2749" s="14" t="str">
        <f>IF($C2749="","",IFERROR(INDEX(Productos!$D$5:$D$504,MATCH($C2749,Productos!$A$5:$A$504,0)),""))</f>
        <v/>
      </c>
      <c r="F2749" s="20"/>
      <c r="G2749" s="22" t="str">
        <f>IF($C2749="","",IFERROR(INDEX(Productos!$F$5:$F$504,MATCH($C2749,Productos!$A$5:$A$504,0)),0))</f>
        <v/>
      </c>
      <c r="H2749" s="22" t="str">
        <f t="shared" si="42"/>
        <v/>
      </c>
      <c r="I2749" s="14" t="str">
        <f>IF(OR($C2749="",$F2749=""),"",IFERROR(INDEX(Productos!$I$5:$I$504,MATCH($C2749,Productos!$A$5:$A$504,0)),0)+SUMIFS($F$5:$F2749,$C$5:$C2749,$C2749,$B$5:$B2749,"Entrada")-SUMIFS($F$5:$F2749,$C$5:$C2749,$C2749,$B$5:$B2749,"Salida"))</f>
        <v/>
      </c>
      <c r="J2749" s="20"/>
      <c r="K2749" s="20"/>
      <c r="L2749" s="20"/>
      <c r="M2749" s="14" t="str">
        <f>IF(AND($C2749&lt;&gt;"",$C2749=Kardex!$C$4),COUNTIF($C$5:$C2749,Kardex!$C$4),"")</f>
        <v/>
      </c>
    </row>
    <row r="2750" spans="1:13" x14ac:dyDescent="0.25">
      <c r="A2750" s="24"/>
      <c r="B2750" s="20"/>
      <c r="C2750" s="20"/>
      <c r="D2750" s="14" t="str">
        <f>IF($C2750="","",IFERROR(INDEX(Productos!$B$5:$B$504,MATCH($C2750,Productos!$A$5:$A$504,0)),"Clave no existe"))</f>
        <v/>
      </c>
      <c r="E2750" s="14" t="str">
        <f>IF($C2750="","",IFERROR(INDEX(Productos!$D$5:$D$504,MATCH($C2750,Productos!$A$5:$A$504,0)),""))</f>
        <v/>
      </c>
      <c r="F2750" s="20"/>
      <c r="G2750" s="22" t="str">
        <f>IF($C2750="","",IFERROR(INDEX(Productos!$F$5:$F$504,MATCH($C2750,Productos!$A$5:$A$504,0)),0))</f>
        <v/>
      </c>
      <c r="H2750" s="22" t="str">
        <f t="shared" si="42"/>
        <v/>
      </c>
      <c r="I2750" s="14" t="str">
        <f>IF(OR($C2750="",$F2750=""),"",IFERROR(INDEX(Productos!$I$5:$I$504,MATCH($C2750,Productos!$A$5:$A$504,0)),0)+SUMIFS($F$5:$F2750,$C$5:$C2750,$C2750,$B$5:$B2750,"Entrada")-SUMIFS($F$5:$F2750,$C$5:$C2750,$C2750,$B$5:$B2750,"Salida"))</f>
        <v/>
      </c>
      <c r="J2750" s="20"/>
      <c r="K2750" s="20"/>
      <c r="L2750" s="20"/>
      <c r="M2750" s="14" t="str">
        <f>IF(AND($C2750&lt;&gt;"",$C2750=Kardex!$C$4),COUNTIF($C$5:$C2750,Kardex!$C$4),"")</f>
        <v/>
      </c>
    </row>
    <row r="2751" spans="1:13" x14ac:dyDescent="0.25">
      <c r="A2751" s="24"/>
      <c r="B2751" s="20"/>
      <c r="C2751" s="20"/>
      <c r="D2751" s="14" t="str">
        <f>IF($C2751="","",IFERROR(INDEX(Productos!$B$5:$B$504,MATCH($C2751,Productos!$A$5:$A$504,0)),"Clave no existe"))</f>
        <v/>
      </c>
      <c r="E2751" s="14" t="str">
        <f>IF($C2751="","",IFERROR(INDEX(Productos!$D$5:$D$504,MATCH($C2751,Productos!$A$5:$A$504,0)),""))</f>
        <v/>
      </c>
      <c r="F2751" s="20"/>
      <c r="G2751" s="22" t="str">
        <f>IF($C2751="","",IFERROR(INDEX(Productos!$F$5:$F$504,MATCH($C2751,Productos!$A$5:$A$504,0)),0))</f>
        <v/>
      </c>
      <c r="H2751" s="22" t="str">
        <f t="shared" si="42"/>
        <v/>
      </c>
      <c r="I2751" s="14" t="str">
        <f>IF(OR($C2751="",$F2751=""),"",IFERROR(INDEX(Productos!$I$5:$I$504,MATCH($C2751,Productos!$A$5:$A$504,0)),0)+SUMIFS($F$5:$F2751,$C$5:$C2751,$C2751,$B$5:$B2751,"Entrada")-SUMIFS($F$5:$F2751,$C$5:$C2751,$C2751,$B$5:$B2751,"Salida"))</f>
        <v/>
      </c>
      <c r="J2751" s="20"/>
      <c r="K2751" s="20"/>
      <c r="L2751" s="20"/>
      <c r="M2751" s="14" t="str">
        <f>IF(AND($C2751&lt;&gt;"",$C2751=Kardex!$C$4),COUNTIF($C$5:$C2751,Kardex!$C$4),"")</f>
        <v/>
      </c>
    </row>
    <row r="2752" spans="1:13" x14ac:dyDescent="0.25">
      <c r="A2752" s="24"/>
      <c r="B2752" s="20"/>
      <c r="C2752" s="20"/>
      <c r="D2752" s="14" t="str">
        <f>IF($C2752="","",IFERROR(INDEX(Productos!$B$5:$B$504,MATCH($C2752,Productos!$A$5:$A$504,0)),"Clave no existe"))</f>
        <v/>
      </c>
      <c r="E2752" s="14" t="str">
        <f>IF($C2752="","",IFERROR(INDEX(Productos!$D$5:$D$504,MATCH($C2752,Productos!$A$5:$A$504,0)),""))</f>
        <v/>
      </c>
      <c r="F2752" s="20"/>
      <c r="G2752" s="22" t="str">
        <f>IF($C2752="","",IFERROR(INDEX(Productos!$F$5:$F$504,MATCH($C2752,Productos!$A$5:$A$504,0)),0))</f>
        <v/>
      </c>
      <c r="H2752" s="22" t="str">
        <f t="shared" si="42"/>
        <v/>
      </c>
      <c r="I2752" s="14" t="str">
        <f>IF(OR($C2752="",$F2752=""),"",IFERROR(INDEX(Productos!$I$5:$I$504,MATCH($C2752,Productos!$A$5:$A$504,0)),0)+SUMIFS($F$5:$F2752,$C$5:$C2752,$C2752,$B$5:$B2752,"Entrada")-SUMIFS($F$5:$F2752,$C$5:$C2752,$C2752,$B$5:$B2752,"Salida"))</f>
        <v/>
      </c>
      <c r="J2752" s="20"/>
      <c r="K2752" s="20"/>
      <c r="L2752" s="20"/>
      <c r="M2752" s="14" t="str">
        <f>IF(AND($C2752&lt;&gt;"",$C2752=Kardex!$C$4),COUNTIF($C$5:$C2752,Kardex!$C$4),"")</f>
        <v/>
      </c>
    </row>
    <row r="2753" spans="1:13" x14ac:dyDescent="0.25">
      <c r="A2753" s="24"/>
      <c r="B2753" s="20"/>
      <c r="C2753" s="20"/>
      <c r="D2753" s="14" t="str">
        <f>IF($C2753="","",IFERROR(INDEX(Productos!$B$5:$B$504,MATCH($C2753,Productos!$A$5:$A$504,0)),"Clave no existe"))</f>
        <v/>
      </c>
      <c r="E2753" s="14" t="str">
        <f>IF($C2753="","",IFERROR(INDEX(Productos!$D$5:$D$504,MATCH($C2753,Productos!$A$5:$A$504,0)),""))</f>
        <v/>
      </c>
      <c r="F2753" s="20"/>
      <c r="G2753" s="22" t="str">
        <f>IF($C2753="","",IFERROR(INDEX(Productos!$F$5:$F$504,MATCH($C2753,Productos!$A$5:$A$504,0)),0))</f>
        <v/>
      </c>
      <c r="H2753" s="22" t="str">
        <f t="shared" si="42"/>
        <v/>
      </c>
      <c r="I2753" s="14" t="str">
        <f>IF(OR($C2753="",$F2753=""),"",IFERROR(INDEX(Productos!$I$5:$I$504,MATCH($C2753,Productos!$A$5:$A$504,0)),0)+SUMIFS($F$5:$F2753,$C$5:$C2753,$C2753,$B$5:$B2753,"Entrada")-SUMIFS($F$5:$F2753,$C$5:$C2753,$C2753,$B$5:$B2753,"Salida"))</f>
        <v/>
      </c>
      <c r="J2753" s="20"/>
      <c r="K2753" s="20"/>
      <c r="L2753" s="20"/>
      <c r="M2753" s="14" t="str">
        <f>IF(AND($C2753&lt;&gt;"",$C2753=Kardex!$C$4),COUNTIF($C$5:$C2753,Kardex!$C$4),"")</f>
        <v/>
      </c>
    </row>
    <row r="2754" spans="1:13" x14ac:dyDescent="0.25">
      <c r="A2754" s="24"/>
      <c r="B2754" s="20"/>
      <c r="C2754" s="20"/>
      <c r="D2754" s="14" t="str">
        <f>IF($C2754="","",IFERROR(INDEX(Productos!$B$5:$B$504,MATCH($C2754,Productos!$A$5:$A$504,0)),"Clave no existe"))</f>
        <v/>
      </c>
      <c r="E2754" s="14" t="str">
        <f>IF($C2754="","",IFERROR(INDEX(Productos!$D$5:$D$504,MATCH($C2754,Productos!$A$5:$A$504,0)),""))</f>
        <v/>
      </c>
      <c r="F2754" s="20"/>
      <c r="G2754" s="22" t="str">
        <f>IF($C2754="","",IFERROR(INDEX(Productos!$F$5:$F$504,MATCH($C2754,Productos!$A$5:$A$504,0)),0))</f>
        <v/>
      </c>
      <c r="H2754" s="22" t="str">
        <f t="shared" si="42"/>
        <v/>
      </c>
      <c r="I2754" s="14" t="str">
        <f>IF(OR($C2754="",$F2754=""),"",IFERROR(INDEX(Productos!$I$5:$I$504,MATCH($C2754,Productos!$A$5:$A$504,0)),0)+SUMIFS($F$5:$F2754,$C$5:$C2754,$C2754,$B$5:$B2754,"Entrada")-SUMIFS($F$5:$F2754,$C$5:$C2754,$C2754,$B$5:$B2754,"Salida"))</f>
        <v/>
      </c>
      <c r="J2754" s="20"/>
      <c r="K2754" s="20"/>
      <c r="L2754" s="20"/>
      <c r="M2754" s="14" t="str">
        <f>IF(AND($C2754&lt;&gt;"",$C2754=Kardex!$C$4),COUNTIF($C$5:$C2754,Kardex!$C$4),"")</f>
        <v/>
      </c>
    </row>
    <row r="2755" spans="1:13" x14ac:dyDescent="0.25">
      <c r="A2755" s="24"/>
      <c r="B2755" s="20"/>
      <c r="C2755" s="20"/>
      <c r="D2755" s="14" t="str">
        <f>IF($C2755="","",IFERROR(INDEX(Productos!$B$5:$B$504,MATCH($C2755,Productos!$A$5:$A$504,0)),"Clave no existe"))</f>
        <v/>
      </c>
      <c r="E2755" s="14" t="str">
        <f>IF($C2755="","",IFERROR(INDEX(Productos!$D$5:$D$504,MATCH($C2755,Productos!$A$5:$A$504,0)),""))</f>
        <v/>
      </c>
      <c r="F2755" s="20"/>
      <c r="G2755" s="22" t="str">
        <f>IF($C2755="","",IFERROR(INDEX(Productos!$F$5:$F$504,MATCH($C2755,Productos!$A$5:$A$504,0)),0))</f>
        <v/>
      </c>
      <c r="H2755" s="22" t="str">
        <f t="shared" si="42"/>
        <v/>
      </c>
      <c r="I2755" s="14" t="str">
        <f>IF(OR($C2755="",$F2755=""),"",IFERROR(INDEX(Productos!$I$5:$I$504,MATCH($C2755,Productos!$A$5:$A$504,0)),0)+SUMIFS($F$5:$F2755,$C$5:$C2755,$C2755,$B$5:$B2755,"Entrada")-SUMIFS($F$5:$F2755,$C$5:$C2755,$C2755,$B$5:$B2755,"Salida"))</f>
        <v/>
      </c>
      <c r="J2755" s="20"/>
      <c r="K2755" s="20"/>
      <c r="L2755" s="20"/>
      <c r="M2755" s="14" t="str">
        <f>IF(AND($C2755&lt;&gt;"",$C2755=Kardex!$C$4),COUNTIF($C$5:$C2755,Kardex!$C$4),"")</f>
        <v/>
      </c>
    </row>
    <row r="2756" spans="1:13" x14ac:dyDescent="0.25">
      <c r="A2756" s="24"/>
      <c r="B2756" s="20"/>
      <c r="C2756" s="20"/>
      <c r="D2756" s="14" t="str">
        <f>IF($C2756="","",IFERROR(INDEX(Productos!$B$5:$B$504,MATCH($C2756,Productos!$A$5:$A$504,0)),"Clave no existe"))</f>
        <v/>
      </c>
      <c r="E2756" s="14" t="str">
        <f>IF($C2756="","",IFERROR(INDEX(Productos!$D$5:$D$504,MATCH($C2756,Productos!$A$5:$A$504,0)),""))</f>
        <v/>
      </c>
      <c r="F2756" s="20"/>
      <c r="G2756" s="22" t="str">
        <f>IF($C2756="","",IFERROR(INDEX(Productos!$F$5:$F$504,MATCH($C2756,Productos!$A$5:$A$504,0)),0))</f>
        <v/>
      </c>
      <c r="H2756" s="22" t="str">
        <f t="shared" si="42"/>
        <v/>
      </c>
      <c r="I2756" s="14" t="str">
        <f>IF(OR($C2756="",$F2756=""),"",IFERROR(INDEX(Productos!$I$5:$I$504,MATCH($C2756,Productos!$A$5:$A$504,0)),0)+SUMIFS($F$5:$F2756,$C$5:$C2756,$C2756,$B$5:$B2756,"Entrada")-SUMIFS($F$5:$F2756,$C$5:$C2756,$C2756,$B$5:$B2756,"Salida"))</f>
        <v/>
      </c>
      <c r="J2756" s="20"/>
      <c r="K2756" s="20"/>
      <c r="L2756" s="20"/>
      <c r="M2756" s="14" t="str">
        <f>IF(AND($C2756&lt;&gt;"",$C2756=Kardex!$C$4),COUNTIF($C$5:$C2756,Kardex!$C$4),"")</f>
        <v/>
      </c>
    </row>
    <row r="2757" spans="1:13" x14ac:dyDescent="0.25">
      <c r="A2757" s="24"/>
      <c r="B2757" s="20"/>
      <c r="C2757" s="20"/>
      <c r="D2757" s="14" t="str">
        <f>IF($C2757="","",IFERROR(INDEX(Productos!$B$5:$B$504,MATCH($C2757,Productos!$A$5:$A$504,0)),"Clave no existe"))</f>
        <v/>
      </c>
      <c r="E2757" s="14" t="str">
        <f>IF($C2757="","",IFERROR(INDEX(Productos!$D$5:$D$504,MATCH($C2757,Productos!$A$5:$A$504,0)),""))</f>
        <v/>
      </c>
      <c r="F2757" s="20"/>
      <c r="G2757" s="22" t="str">
        <f>IF($C2757="","",IFERROR(INDEX(Productos!$F$5:$F$504,MATCH($C2757,Productos!$A$5:$A$504,0)),0))</f>
        <v/>
      </c>
      <c r="H2757" s="22" t="str">
        <f t="shared" ref="H2757:H2820" si="43">IF(OR($C2757="",$F2757=""),"",F2757*G2757)</f>
        <v/>
      </c>
      <c r="I2757" s="14" t="str">
        <f>IF(OR($C2757="",$F2757=""),"",IFERROR(INDEX(Productos!$I$5:$I$504,MATCH($C2757,Productos!$A$5:$A$504,0)),0)+SUMIFS($F$5:$F2757,$C$5:$C2757,$C2757,$B$5:$B2757,"Entrada")-SUMIFS($F$5:$F2757,$C$5:$C2757,$C2757,$B$5:$B2757,"Salida"))</f>
        <v/>
      </c>
      <c r="J2757" s="20"/>
      <c r="K2757" s="20"/>
      <c r="L2757" s="20"/>
      <c r="M2757" s="14" t="str">
        <f>IF(AND($C2757&lt;&gt;"",$C2757=Kardex!$C$4),COUNTIF($C$5:$C2757,Kardex!$C$4),"")</f>
        <v/>
      </c>
    </row>
    <row r="2758" spans="1:13" x14ac:dyDescent="0.25">
      <c r="A2758" s="24"/>
      <c r="B2758" s="20"/>
      <c r="C2758" s="20"/>
      <c r="D2758" s="14" t="str">
        <f>IF($C2758="","",IFERROR(INDEX(Productos!$B$5:$B$504,MATCH($C2758,Productos!$A$5:$A$504,0)),"Clave no existe"))</f>
        <v/>
      </c>
      <c r="E2758" s="14" t="str">
        <f>IF($C2758="","",IFERROR(INDEX(Productos!$D$5:$D$504,MATCH($C2758,Productos!$A$5:$A$504,0)),""))</f>
        <v/>
      </c>
      <c r="F2758" s="20"/>
      <c r="G2758" s="22" t="str">
        <f>IF($C2758="","",IFERROR(INDEX(Productos!$F$5:$F$504,MATCH($C2758,Productos!$A$5:$A$504,0)),0))</f>
        <v/>
      </c>
      <c r="H2758" s="22" t="str">
        <f t="shared" si="43"/>
        <v/>
      </c>
      <c r="I2758" s="14" t="str">
        <f>IF(OR($C2758="",$F2758=""),"",IFERROR(INDEX(Productos!$I$5:$I$504,MATCH($C2758,Productos!$A$5:$A$504,0)),0)+SUMIFS($F$5:$F2758,$C$5:$C2758,$C2758,$B$5:$B2758,"Entrada")-SUMIFS($F$5:$F2758,$C$5:$C2758,$C2758,$B$5:$B2758,"Salida"))</f>
        <v/>
      </c>
      <c r="J2758" s="20"/>
      <c r="K2758" s="20"/>
      <c r="L2758" s="20"/>
      <c r="M2758" s="14" t="str">
        <f>IF(AND($C2758&lt;&gt;"",$C2758=Kardex!$C$4),COUNTIF($C$5:$C2758,Kardex!$C$4),"")</f>
        <v/>
      </c>
    </row>
    <row r="2759" spans="1:13" x14ac:dyDescent="0.25">
      <c r="A2759" s="24"/>
      <c r="B2759" s="20"/>
      <c r="C2759" s="20"/>
      <c r="D2759" s="14" t="str">
        <f>IF($C2759="","",IFERROR(INDEX(Productos!$B$5:$B$504,MATCH($C2759,Productos!$A$5:$A$504,0)),"Clave no existe"))</f>
        <v/>
      </c>
      <c r="E2759" s="14" t="str">
        <f>IF($C2759="","",IFERROR(INDEX(Productos!$D$5:$D$504,MATCH($C2759,Productos!$A$5:$A$504,0)),""))</f>
        <v/>
      </c>
      <c r="F2759" s="20"/>
      <c r="G2759" s="22" t="str">
        <f>IF($C2759="","",IFERROR(INDEX(Productos!$F$5:$F$504,MATCH($C2759,Productos!$A$5:$A$504,0)),0))</f>
        <v/>
      </c>
      <c r="H2759" s="22" t="str">
        <f t="shared" si="43"/>
        <v/>
      </c>
      <c r="I2759" s="14" t="str">
        <f>IF(OR($C2759="",$F2759=""),"",IFERROR(INDEX(Productos!$I$5:$I$504,MATCH($C2759,Productos!$A$5:$A$504,0)),0)+SUMIFS($F$5:$F2759,$C$5:$C2759,$C2759,$B$5:$B2759,"Entrada")-SUMIFS($F$5:$F2759,$C$5:$C2759,$C2759,$B$5:$B2759,"Salida"))</f>
        <v/>
      </c>
      <c r="J2759" s="20"/>
      <c r="K2759" s="20"/>
      <c r="L2759" s="20"/>
      <c r="M2759" s="14" t="str">
        <f>IF(AND($C2759&lt;&gt;"",$C2759=Kardex!$C$4),COUNTIF($C$5:$C2759,Kardex!$C$4),"")</f>
        <v/>
      </c>
    </row>
    <row r="2760" spans="1:13" x14ac:dyDescent="0.25">
      <c r="A2760" s="24"/>
      <c r="B2760" s="20"/>
      <c r="C2760" s="20"/>
      <c r="D2760" s="14" t="str">
        <f>IF($C2760="","",IFERROR(INDEX(Productos!$B$5:$B$504,MATCH($C2760,Productos!$A$5:$A$504,0)),"Clave no existe"))</f>
        <v/>
      </c>
      <c r="E2760" s="14" t="str">
        <f>IF($C2760="","",IFERROR(INDEX(Productos!$D$5:$D$504,MATCH($C2760,Productos!$A$5:$A$504,0)),""))</f>
        <v/>
      </c>
      <c r="F2760" s="20"/>
      <c r="G2760" s="22" t="str">
        <f>IF($C2760="","",IFERROR(INDEX(Productos!$F$5:$F$504,MATCH($C2760,Productos!$A$5:$A$504,0)),0))</f>
        <v/>
      </c>
      <c r="H2760" s="22" t="str">
        <f t="shared" si="43"/>
        <v/>
      </c>
      <c r="I2760" s="14" t="str">
        <f>IF(OR($C2760="",$F2760=""),"",IFERROR(INDEX(Productos!$I$5:$I$504,MATCH($C2760,Productos!$A$5:$A$504,0)),0)+SUMIFS($F$5:$F2760,$C$5:$C2760,$C2760,$B$5:$B2760,"Entrada")-SUMIFS($F$5:$F2760,$C$5:$C2760,$C2760,$B$5:$B2760,"Salida"))</f>
        <v/>
      </c>
      <c r="J2760" s="20"/>
      <c r="K2760" s="20"/>
      <c r="L2760" s="20"/>
      <c r="M2760" s="14" t="str">
        <f>IF(AND($C2760&lt;&gt;"",$C2760=Kardex!$C$4),COUNTIF($C$5:$C2760,Kardex!$C$4),"")</f>
        <v/>
      </c>
    </row>
    <row r="2761" spans="1:13" x14ac:dyDescent="0.25">
      <c r="A2761" s="24"/>
      <c r="B2761" s="20"/>
      <c r="C2761" s="20"/>
      <c r="D2761" s="14" t="str">
        <f>IF($C2761="","",IFERROR(INDEX(Productos!$B$5:$B$504,MATCH($C2761,Productos!$A$5:$A$504,0)),"Clave no existe"))</f>
        <v/>
      </c>
      <c r="E2761" s="14" t="str">
        <f>IF($C2761="","",IFERROR(INDEX(Productos!$D$5:$D$504,MATCH($C2761,Productos!$A$5:$A$504,0)),""))</f>
        <v/>
      </c>
      <c r="F2761" s="20"/>
      <c r="G2761" s="22" t="str">
        <f>IF($C2761="","",IFERROR(INDEX(Productos!$F$5:$F$504,MATCH($C2761,Productos!$A$5:$A$504,0)),0))</f>
        <v/>
      </c>
      <c r="H2761" s="22" t="str">
        <f t="shared" si="43"/>
        <v/>
      </c>
      <c r="I2761" s="14" t="str">
        <f>IF(OR($C2761="",$F2761=""),"",IFERROR(INDEX(Productos!$I$5:$I$504,MATCH($C2761,Productos!$A$5:$A$504,0)),0)+SUMIFS($F$5:$F2761,$C$5:$C2761,$C2761,$B$5:$B2761,"Entrada")-SUMIFS($F$5:$F2761,$C$5:$C2761,$C2761,$B$5:$B2761,"Salida"))</f>
        <v/>
      </c>
      <c r="J2761" s="20"/>
      <c r="K2761" s="20"/>
      <c r="L2761" s="20"/>
      <c r="M2761" s="14" t="str">
        <f>IF(AND($C2761&lt;&gt;"",$C2761=Kardex!$C$4),COUNTIF($C$5:$C2761,Kardex!$C$4),"")</f>
        <v/>
      </c>
    </row>
    <row r="2762" spans="1:13" x14ac:dyDescent="0.25">
      <c r="A2762" s="24"/>
      <c r="B2762" s="20"/>
      <c r="C2762" s="20"/>
      <c r="D2762" s="14" t="str">
        <f>IF($C2762="","",IFERROR(INDEX(Productos!$B$5:$B$504,MATCH($C2762,Productos!$A$5:$A$504,0)),"Clave no existe"))</f>
        <v/>
      </c>
      <c r="E2762" s="14" t="str">
        <f>IF($C2762="","",IFERROR(INDEX(Productos!$D$5:$D$504,MATCH($C2762,Productos!$A$5:$A$504,0)),""))</f>
        <v/>
      </c>
      <c r="F2762" s="20"/>
      <c r="G2762" s="22" t="str">
        <f>IF($C2762="","",IFERROR(INDEX(Productos!$F$5:$F$504,MATCH($C2762,Productos!$A$5:$A$504,0)),0))</f>
        <v/>
      </c>
      <c r="H2762" s="22" t="str">
        <f t="shared" si="43"/>
        <v/>
      </c>
      <c r="I2762" s="14" t="str">
        <f>IF(OR($C2762="",$F2762=""),"",IFERROR(INDEX(Productos!$I$5:$I$504,MATCH($C2762,Productos!$A$5:$A$504,0)),0)+SUMIFS($F$5:$F2762,$C$5:$C2762,$C2762,$B$5:$B2762,"Entrada")-SUMIFS($F$5:$F2762,$C$5:$C2762,$C2762,$B$5:$B2762,"Salida"))</f>
        <v/>
      </c>
      <c r="J2762" s="20"/>
      <c r="K2762" s="20"/>
      <c r="L2762" s="20"/>
      <c r="M2762" s="14" t="str">
        <f>IF(AND($C2762&lt;&gt;"",$C2762=Kardex!$C$4),COUNTIF($C$5:$C2762,Kardex!$C$4),"")</f>
        <v/>
      </c>
    </row>
    <row r="2763" spans="1:13" x14ac:dyDescent="0.25">
      <c r="A2763" s="24"/>
      <c r="B2763" s="20"/>
      <c r="C2763" s="20"/>
      <c r="D2763" s="14" t="str">
        <f>IF($C2763="","",IFERROR(INDEX(Productos!$B$5:$B$504,MATCH($C2763,Productos!$A$5:$A$504,0)),"Clave no existe"))</f>
        <v/>
      </c>
      <c r="E2763" s="14" t="str">
        <f>IF($C2763="","",IFERROR(INDEX(Productos!$D$5:$D$504,MATCH($C2763,Productos!$A$5:$A$504,0)),""))</f>
        <v/>
      </c>
      <c r="F2763" s="20"/>
      <c r="G2763" s="22" t="str">
        <f>IF($C2763="","",IFERROR(INDEX(Productos!$F$5:$F$504,MATCH($C2763,Productos!$A$5:$A$504,0)),0))</f>
        <v/>
      </c>
      <c r="H2763" s="22" t="str">
        <f t="shared" si="43"/>
        <v/>
      </c>
      <c r="I2763" s="14" t="str">
        <f>IF(OR($C2763="",$F2763=""),"",IFERROR(INDEX(Productos!$I$5:$I$504,MATCH($C2763,Productos!$A$5:$A$504,0)),0)+SUMIFS($F$5:$F2763,$C$5:$C2763,$C2763,$B$5:$B2763,"Entrada")-SUMIFS($F$5:$F2763,$C$5:$C2763,$C2763,$B$5:$B2763,"Salida"))</f>
        <v/>
      </c>
      <c r="J2763" s="20"/>
      <c r="K2763" s="20"/>
      <c r="L2763" s="20"/>
      <c r="M2763" s="14" t="str">
        <f>IF(AND($C2763&lt;&gt;"",$C2763=Kardex!$C$4),COUNTIF($C$5:$C2763,Kardex!$C$4),"")</f>
        <v/>
      </c>
    </row>
    <row r="2764" spans="1:13" x14ac:dyDescent="0.25">
      <c r="A2764" s="24"/>
      <c r="B2764" s="20"/>
      <c r="C2764" s="20"/>
      <c r="D2764" s="14" t="str">
        <f>IF($C2764="","",IFERROR(INDEX(Productos!$B$5:$B$504,MATCH($C2764,Productos!$A$5:$A$504,0)),"Clave no existe"))</f>
        <v/>
      </c>
      <c r="E2764" s="14" t="str">
        <f>IF($C2764="","",IFERROR(INDEX(Productos!$D$5:$D$504,MATCH($C2764,Productos!$A$5:$A$504,0)),""))</f>
        <v/>
      </c>
      <c r="F2764" s="20"/>
      <c r="G2764" s="22" t="str">
        <f>IF($C2764="","",IFERROR(INDEX(Productos!$F$5:$F$504,MATCH($C2764,Productos!$A$5:$A$504,0)),0))</f>
        <v/>
      </c>
      <c r="H2764" s="22" t="str">
        <f t="shared" si="43"/>
        <v/>
      </c>
      <c r="I2764" s="14" t="str">
        <f>IF(OR($C2764="",$F2764=""),"",IFERROR(INDEX(Productos!$I$5:$I$504,MATCH($C2764,Productos!$A$5:$A$504,0)),0)+SUMIFS($F$5:$F2764,$C$5:$C2764,$C2764,$B$5:$B2764,"Entrada")-SUMIFS($F$5:$F2764,$C$5:$C2764,$C2764,$B$5:$B2764,"Salida"))</f>
        <v/>
      </c>
      <c r="J2764" s="20"/>
      <c r="K2764" s="20"/>
      <c r="L2764" s="20"/>
      <c r="M2764" s="14" t="str">
        <f>IF(AND($C2764&lt;&gt;"",$C2764=Kardex!$C$4),COUNTIF($C$5:$C2764,Kardex!$C$4),"")</f>
        <v/>
      </c>
    </row>
    <row r="2765" spans="1:13" x14ac:dyDescent="0.25">
      <c r="A2765" s="24"/>
      <c r="B2765" s="20"/>
      <c r="C2765" s="20"/>
      <c r="D2765" s="14" t="str">
        <f>IF($C2765="","",IFERROR(INDEX(Productos!$B$5:$B$504,MATCH($C2765,Productos!$A$5:$A$504,0)),"Clave no existe"))</f>
        <v/>
      </c>
      <c r="E2765" s="14" t="str">
        <f>IF($C2765="","",IFERROR(INDEX(Productos!$D$5:$D$504,MATCH($C2765,Productos!$A$5:$A$504,0)),""))</f>
        <v/>
      </c>
      <c r="F2765" s="20"/>
      <c r="G2765" s="22" t="str">
        <f>IF($C2765="","",IFERROR(INDEX(Productos!$F$5:$F$504,MATCH($C2765,Productos!$A$5:$A$504,0)),0))</f>
        <v/>
      </c>
      <c r="H2765" s="22" t="str">
        <f t="shared" si="43"/>
        <v/>
      </c>
      <c r="I2765" s="14" t="str">
        <f>IF(OR($C2765="",$F2765=""),"",IFERROR(INDEX(Productos!$I$5:$I$504,MATCH($C2765,Productos!$A$5:$A$504,0)),0)+SUMIFS($F$5:$F2765,$C$5:$C2765,$C2765,$B$5:$B2765,"Entrada")-SUMIFS($F$5:$F2765,$C$5:$C2765,$C2765,$B$5:$B2765,"Salida"))</f>
        <v/>
      </c>
      <c r="J2765" s="20"/>
      <c r="K2765" s="20"/>
      <c r="L2765" s="20"/>
      <c r="M2765" s="14" t="str">
        <f>IF(AND($C2765&lt;&gt;"",$C2765=Kardex!$C$4),COUNTIF($C$5:$C2765,Kardex!$C$4),"")</f>
        <v/>
      </c>
    </row>
    <row r="2766" spans="1:13" x14ac:dyDescent="0.25">
      <c r="A2766" s="24"/>
      <c r="B2766" s="20"/>
      <c r="C2766" s="20"/>
      <c r="D2766" s="14" t="str">
        <f>IF($C2766="","",IFERROR(INDEX(Productos!$B$5:$B$504,MATCH($C2766,Productos!$A$5:$A$504,0)),"Clave no existe"))</f>
        <v/>
      </c>
      <c r="E2766" s="14" t="str">
        <f>IF($C2766="","",IFERROR(INDEX(Productos!$D$5:$D$504,MATCH($C2766,Productos!$A$5:$A$504,0)),""))</f>
        <v/>
      </c>
      <c r="F2766" s="20"/>
      <c r="G2766" s="22" t="str">
        <f>IF($C2766="","",IFERROR(INDEX(Productos!$F$5:$F$504,MATCH($C2766,Productos!$A$5:$A$504,0)),0))</f>
        <v/>
      </c>
      <c r="H2766" s="22" t="str">
        <f t="shared" si="43"/>
        <v/>
      </c>
      <c r="I2766" s="14" t="str">
        <f>IF(OR($C2766="",$F2766=""),"",IFERROR(INDEX(Productos!$I$5:$I$504,MATCH($C2766,Productos!$A$5:$A$504,0)),0)+SUMIFS($F$5:$F2766,$C$5:$C2766,$C2766,$B$5:$B2766,"Entrada")-SUMIFS($F$5:$F2766,$C$5:$C2766,$C2766,$B$5:$B2766,"Salida"))</f>
        <v/>
      </c>
      <c r="J2766" s="20"/>
      <c r="K2766" s="20"/>
      <c r="L2766" s="20"/>
      <c r="M2766" s="14" t="str">
        <f>IF(AND($C2766&lt;&gt;"",$C2766=Kardex!$C$4),COUNTIF($C$5:$C2766,Kardex!$C$4),"")</f>
        <v/>
      </c>
    </row>
    <row r="2767" spans="1:13" x14ac:dyDescent="0.25">
      <c r="A2767" s="24"/>
      <c r="B2767" s="20"/>
      <c r="C2767" s="20"/>
      <c r="D2767" s="14" t="str">
        <f>IF($C2767="","",IFERROR(INDEX(Productos!$B$5:$B$504,MATCH($C2767,Productos!$A$5:$A$504,0)),"Clave no existe"))</f>
        <v/>
      </c>
      <c r="E2767" s="14" t="str">
        <f>IF($C2767="","",IFERROR(INDEX(Productos!$D$5:$D$504,MATCH($C2767,Productos!$A$5:$A$504,0)),""))</f>
        <v/>
      </c>
      <c r="F2767" s="20"/>
      <c r="G2767" s="22" t="str">
        <f>IF($C2767="","",IFERROR(INDEX(Productos!$F$5:$F$504,MATCH($C2767,Productos!$A$5:$A$504,0)),0))</f>
        <v/>
      </c>
      <c r="H2767" s="22" t="str">
        <f t="shared" si="43"/>
        <v/>
      </c>
      <c r="I2767" s="14" t="str">
        <f>IF(OR($C2767="",$F2767=""),"",IFERROR(INDEX(Productos!$I$5:$I$504,MATCH($C2767,Productos!$A$5:$A$504,0)),0)+SUMIFS($F$5:$F2767,$C$5:$C2767,$C2767,$B$5:$B2767,"Entrada")-SUMIFS($F$5:$F2767,$C$5:$C2767,$C2767,$B$5:$B2767,"Salida"))</f>
        <v/>
      </c>
      <c r="J2767" s="20"/>
      <c r="K2767" s="20"/>
      <c r="L2767" s="20"/>
      <c r="M2767" s="14" t="str">
        <f>IF(AND($C2767&lt;&gt;"",$C2767=Kardex!$C$4),COUNTIF($C$5:$C2767,Kardex!$C$4),"")</f>
        <v/>
      </c>
    </row>
    <row r="2768" spans="1:13" x14ac:dyDescent="0.25">
      <c r="A2768" s="24"/>
      <c r="B2768" s="20"/>
      <c r="C2768" s="20"/>
      <c r="D2768" s="14" t="str">
        <f>IF($C2768="","",IFERROR(INDEX(Productos!$B$5:$B$504,MATCH($C2768,Productos!$A$5:$A$504,0)),"Clave no existe"))</f>
        <v/>
      </c>
      <c r="E2768" s="14" t="str">
        <f>IF($C2768="","",IFERROR(INDEX(Productos!$D$5:$D$504,MATCH($C2768,Productos!$A$5:$A$504,0)),""))</f>
        <v/>
      </c>
      <c r="F2768" s="20"/>
      <c r="G2768" s="22" t="str">
        <f>IF($C2768="","",IFERROR(INDEX(Productos!$F$5:$F$504,MATCH($C2768,Productos!$A$5:$A$504,0)),0))</f>
        <v/>
      </c>
      <c r="H2768" s="22" t="str">
        <f t="shared" si="43"/>
        <v/>
      </c>
      <c r="I2768" s="14" t="str">
        <f>IF(OR($C2768="",$F2768=""),"",IFERROR(INDEX(Productos!$I$5:$I$504,MATCH($C2768,Productos!$A$5:$A$504,0)),0)+SUMIFS($F$5:$F2768,$C$5:$C2768,$C2768,$B$5:$B2768,"Entrada")-SUMIFS($F$5:$F2768,$C$5:$C2768,$C2768,$B$5:$B2768,"Salida"))</f>
        <v/>
      </c>
      <c r="J2768" s="20"/>
      <c r="K2768" s="20"/>
      <c r="L2768" s="20"/>
      <c r="M2768" s="14" t="str">
        <f>IF(AND($C2768&lt;&gt;"",$C2768=Kardex!$C$4),COUNTIF($C$5:$C2768,Kardex!$C$4),"")</f>
        <v/>
      </c>
    </row>
    <row r="2769" spans="1:13" x14ac:dyDescent="0.25">
      <c r="A2769" s="24"/>
      <c r="B2769" s="20"/>
      <c r="C2769" s="20"/>
      <c r="D2769" s="14" t="str">
        <f>IF($C2769="","",IFERROR(INDEX(Productos!$B$5:$B$504,MATCH($C2769,Productos!$A$5:$A$504,0)),"Clave no existe"))</f>
        <v/>
      </c>
      <c r="E2769" s="14" t="str">
        <f>IF($C2769="","",IFERROR(INDEX(Productos!$D$5:$D$504,MATCH($C2769,Productos!$A$5:$A$504,0)),""))</f>
        <v/>
      </c>
      <c r="F2769" s="20"/>
      <c r="G2769" s="22" t="str">
        <f>IF($C2769="","",IFERROR(INDEX(Productos!$F$5:$F$504,MATCH($C2769,Productos!$A$5:$A$504,0)),0))</f>
        <v/>
      </c>
      <c r="H2769" s="22" t="str">
        <f t="shared" si="43"/>
        <v/>
      </c>
      <c r="I2769" s="14" t="str">
        <f>IF(OR($C2769="",$F2769=""),"",IFERROR(INDEX(Productos!$I$5:$I$504,MATCH($C2769,Productos!$A$5:$A$504,0)),0)+SUMIFS($F$5:$F2769,$C$5:$C2769,$C2769,$B$5:$B2769,"Entrada")-SUMIFS($F$5:$F2769,$C$5:$C2769,$C2769,$B$5:$B2769,"Salida"))</f>
        <v/>
      </c>
      <c r="J2769" s="20"/>
      <c r="K2769" s="20"/>
      <c r="L2769" s="20"/>
      <c r="M2769" s="14" t="str">
        <f>IF(AND($C2769&lt;&gt;"",$C2769=Kardex!$C$4),COUNTIF($C$5:$C2769,Kardex!$C$4),"")</f>
        <v/>
      </c>
    </row>
    <row r="2770" spans="1:13" x14ac:dyDescent="0.25">
      <c r="A2770" s="24"/>
      <c r="B2770" s="20"/>
      <c r="C2770" s="20"/>
      <c r="D2770" s="14" t="str">
        <f>IF($C2770="","",IFERROR(INDEX(Productos!$B$5:$B$504,MATCH($C2770,Productos!$A$5:$A$504,0)),"Clave no existe"))</f>
        <v/>
      </c>
      <c r="E2770" s="14" t="str">
        <f>IF($C2770="","",IFERROR(INDEX(Productos!$D$5:$D$504,MATCH($C2770,Productos!$A$5:$A$504,0)),""))</f>
        <v/>
      </c>
      <c r="F2770" s="20"/>
      <c r="G2770" s="22" t="str">
        <f>IF($C2770="","",IFERROR(INDEX(Productos!$F$5:$F$504,MATCH($C2770,Productos!$A$5:$A$504,0)),0))</f>
        <v/>
      </c>
      <c r="H2770" s="22" t="str">
        <f t="shared" si="43"/>
        <v/>
      </c>
      <c r="I2770" s="14" t="str">
        <f>IF(OR($C2770="",$F2770=""),"",IFERROR(INDEX(Productos!$I$5:$I$504,MATCH($C2770,Productos!$A$5:$A$504,0)),0)+SUMIFS($F$5:$F2770,$C$5:$C2770,$C2770,$B$5:$B2770,"Entrada")-SUMIFS($F$5:$F2770,$C$5:$C2770,$C2770,$B$5:$B2770,"Salida"))</f>
        <v/>
      </c>
      <c r="J2770" s="20"/>
      <c r="K2770" s="20"/>
      <c r="L2770" s="20"/>
      <c r="M2770" s="14" t="str">
        <f>IF(AND($C2770&lt;&gt;"",$C2770=Kardex!$C$4),COUNTIF($C$5:$C2770,Kardex!$C$4),"")</f>
        <v/>
      </c>
    </row>
    <row r="2771" spans="1:13" x14ac:dyDescent="0.25">
      <c r="A2771" s="24"/>
      <c r="B2771" s="20"/>
      <c r="C2771" s="20"/>
      <c r="D2771" s="14" t="str">
        <f>IF($C2771="","",IFERROR(INDEX(Productos!$B$5:$B$504,MATCH($C2771,Productos!$A$5:$A$504,0)),"Clave no existe"))</f>
        <v/>
      </c>
      <c r="E2771" s="14" t="str">
        <f>IF($C2771="","",IFERROR(INDEX(Productos!$D$5:$D$504,MATCH($C2771,Productos!$A$5:$A$504,0)),""))</f>
        <v/>
      </c>
      <c r="F2771" s="20"/>
      <c r="G2771" s="22" t="str">
        <f>IF($C2771="","",IFERROR(INDEX(Productos!$F$5:$F$504,MATCH($C2771,Productos!$A$5:$A$504,0)),0))</f>
        <v/>
      </c>
      <c r="H2771" s="22" t="str">
        <f t="shared" si="43"/>
        <v/>
      </c>
      <c r="I2771" s="14" t="str">
        <f>IF(OR($C2771="",$F2771=""),"",IFERROR(INDEX(Productos!$I$5:$I$504,MATCH($C2771,Productos!$A$5:$A$504,0)),0)+SUMIFS($F$5:$F2771,$C$5:$C2771,$C2771,$B$5:$B2771,"Entrada")-SUMIFS($F$5:$F2771,$C$5:$C2771,$C2771,$B$5:$B2771,"Salida"))</f>
        <v/>
      </c>
      <c r="J2771" s="20"/>
      <c r="K2771" s="20"/>
      <c r="L2771" s="20"/>
      <c r="M2771" s="14" t="str">
        <f>IF(AND($C2771&lt;&gt;"",$C2771=Kardex!$C$4),COUNTIF($C$5:$C2771,Kardex!$C$4),"")</f>
        <v/>
      </c>
    </row>
    <row r="2772" spans="1:13" x14ac:dyDescent="0.25">
      <c r="A2772" s="24"/>
      <c r="B2772" s="20"/>
      <c r="C2772" s="20"/>
      <c r="D2772" s="14" t="str">
        <f>IF($C2772="","",IFERROR(INDEX(Productos!$B$5:$B$504,MATCH($C2772,Productos!$A$5:$A$504,0)),"Clave no existe"))</f>
        <v/>
      </c>
      <c r="E2772" s="14" t="str">
        <f>IF($C2772="","",IFERROR(INDEX(Productos!$D$5:$D$504,MATCH($C2772,Productos!$A$5:$A$504,0)),""))</f>
        <v/>
      </c>
      <c r="F2772" s="20"/>
      <c r="G2772" s="22" t="str">
        <f>IF($C2772="","",IFERROR(INDEX(Productos!$F$5:$F$504,MATCH($C2772,Productos!$A$5:$A$504,0)),0))</f>
        <v/>
      </c>
      <c r="H2772" s="22" t="str">
        <f t="shared" si="43"/>
        <v/>
      </c>
      <c r="I2772" s="14" t="str">
        <f>IF(OR($C2772="",$F2772=""),"",IFERROR(INDEX(Productos!$I$5:$I$504,MATCH($C2772,Productos!$A$5:$A$504,0)),0)+SUMIFS($F$5:$F2772,$C$5:$C2772,$C2772,$B$5:$B2772,"Entrada")-SUMIFS($F$5:$F2772,$C$5:$C2772,$C2772,$B$5:$B2772,"Salida"))</f>
        <v/>
      </c>
      <c r="J2772" s="20"/>
      <c r="K2772" s="20"/>
      <c r="L2772" s="20"/>
      <c r="M2772" s="14" t="str">
        <f>IF(AND($C2772&lt;&gt;"",$C2772=Kardex!$C$4),COUNTIF($C$5:$C2772,Kardex!$C$4),"")</f>
        <v/>
      </c>
    </row>
    <row r="2773" spans="1:13" x14ac:dyDescent="0.25">
      <c r="A2773" s="24"/>
      <c r="B2773" s="20"/>
      <c r="C2773" s="20"/>
      <c r="D2773" s="14" t="str">
        <f>IF($C2773="","",IFERROR(INDEX(Productos!$B$5:$B$504,MATCH($C2773,Productos!$A$5:$A$504,0)),"Clave no existe"))</f>
        <v/>
      </c>
      <c r="E2773" s="14" t="str">
        <f>IF($C2773="","",IFERROR(INDEX(Productos!$D$5:$D$504,MATCH($C2773,Productos!$A$5:$A$504,0)),""))</f>
        <v/>
      </c>
      <c r="F2773" s="20"/>
      <c r="G2773" s="22" t="str">
        <f>IF($C2773="","",IFERROR(INDEX(Productos!$F$5:$F$504,MATCH($C2773,Productos!$A$5:$A$504,0)),0))</f>
        <v/>
      </c>
      <c r="H2773" s="22" t="str">
        <f t="shared" si="43"/>
        <v/>
      </c>
      <c r="I2773" s="14" t="str">
        <f>IF(OR($C2773="",$F2773=""),"",IFERROR(INDEX(Productos!$I$5:$I$504,MATCH($C2773,Productos!$A$5:$A$504,0)),0)+SUMIFS($F$5:$F2773,$C$5:$C2773,$C2773,$B$5:$B2773,"Entrada")-SUMIFS($F$5:$F2773,$C$5:$C2773,$C2773,$B$5:$B2773,"Salida"))</f>
        <v/>
      </c>
      <c r="J2773" s="20"/>
      <c r="K2773" s="20"/>
      <c r="L2773" s="20"/>
      <c r="M2773" s="14" t="str">
        <f>IF(AND($C2773&lt;&gt;"",$C2773=Kardex!$C$4),COUNTIF($C$5:$C2773,Kardex!$C$4),"")</f>
        <v/>
      </c>
    </row>
    <row r="2774" spans="1:13" x14ac:dyDescent="0.25">
      <c r="A2774" s="24"/>
      <c r="B2774" s="20"/>
      <c r="C2774" s="20"/>
      <c r="D2774" s="14" t="str">
        <f>IF($C2774="","",IFERROR(INDEX(Productos!$B$5:$B$504,MATCH($C2774,Productos!$A$5:$A$504,0)),"Clave no existe"))</f>
        <v/>
      </c>
      <c r="E2774" s="14" t="str">
        <f>IF($C2774="","",IFERROR(INDEX(Productos!$D$5:$D$504,MATCH($C2774,Productos!$A$5:$A$504,0)),""))</f>
        <v/>
      </c>
      <c r="F2774" s="20"/>
      <c r="G2774" s="22" t="str">
        <f>IF($C2774="","",IFERROR(INDEX(Productos!$F$5:$F$504,MATCH($C2774,Productos!$A$5:$A$504,0)),0))</f>
        <v/>
      </c>
      <c r="H2774" s="22" t="str">
        <f t="shared" si="43"/>
        <v/>
      </c>
      <c r="I2774" s="14" t="str">
        <f>IF(OR($C2774="",$F2774=""),"",IFERROR(INDEX(Productos!$I$5:$I$504,MATCH($C2774,Productos!$A$5:$A$504,0)),0)+SUMIFS($F$5:$F2774,$C$5:$C2774,$C2774,$B$5:$B2774,"Entrada")-SUMIFS($F$5:$F2774,$C$5:$C2774,$C2774,$B$5:$B2774,"Salida"))</f>
        <v/>
      </c>
      <c r="J2774" s="20"/>
      <c r="K2774" s="20"/>
      <c r="L2774" s="20"/>
      <c r="M2774" s="14" t="str">
        <f>IF(AND($C2774&lt;&gt;"",$C2774=Kardex!$C$4),COUNTIF($C$5:$C2774,Kardex!$C$4),"")</f>
        <v/>
      </c>
    </row>
    <row r="2775" spans="1:13" x14ac:dyDescent="0.25">
      <c r="A2775" s="24"/>
      <c r="B2775" s="20"/>
      <c r="C2775" s="20"/>
      <c r="D2775" s="14" t="str">
        <f>IF($C2775="","",IFERROR(INDEX(Productos!$B$5:$B$504,MATCH($C2775,Productos!$A$5:$A$504,0)),"Clave no existe"))</f>
        <v/>
      </c>
      <c r="E2775" s="14" t="str">
        <f>IF($C2775="","",IFERROR(INDEX(Productos!$D$5:$D$504,MATCH($C2775,Productos!$A$5:$A$504,0)),""))</f>
        <v/>
      </c>
      <c r="F2775" s="20"/>
      <c r="G2775" s="22" t="str">
        <f>IF($C2775="","",IFERROR(INDEX(Productos!$F$5:$F$504,MATCH($C2775,Productos!$A$5:$A$504,0)),0))</f>
        <v/>
      </c>
      <c r="H2775" s="22" t="str">
        <f t="shared" si="43"/>
        <v/>
      </c>
      <c r="I2775" s="14" t="str">
        <f>IF(OR($C2775="",$F2775=""),"",IFERROR(INDEX(Productos!$I$5:$I$504,MATCH($C2775,Productos!$A$5:$A$504,0)),0)+SUMIFS($F$5:$F2775,$C$5:$C2775,$C2775,$B$5:$B2775,"Entrada")-SUMIFS($F$5:$F2775,$C$5:$C2775,$C2775,$B$5:$B2775,"Salida"))</f>
        <v/>
      </c>
      <c r="J2775" s="20"/>
      <c r="K2775" s="20"/>
      <c r="L2775" s="20"/>
      <c r="M2775" s="14" t="str">
        <f>IF(AND($C2775&lt;&gt;"",$C2775=Kardex!$C$4),COUNTIF($C$5:$C2775,Kardex!$C$4),"")</f>
        <v/>
      </c>
    </row>
    <row r="2776" spans="1:13" x14ac:dyDescent="0.25">
      <c r="A2776" s="24"/>
      <c r="B2776" s="20"/>
      <c r="C2776" s="20"/>
      <c r="D2776" s="14" t="str">
        <f>IF($C2776="","",IFERROR(INDEX(Productos!$B$5:$B$504,MATCH($C2776,Productos!$A$5:$A$504,0)),"Clave no existe"))</f>
        <v/>
      </c>
      <c r="E2776" s="14" t="str">
        <f>IF($C2776="","",IFERROR(INDEX(Productos!$D$5:$D$504,MATCH($C2776,Productos!$A$5:$A$504,0)),""))</f>
        <v/>
      </c>
      <c r="F2776" s="20"/>
      <c r="G2776" s="22" t="str">
        <f>IF($C2776="","",IFERROR(INDEX(Productos!$F$5:$F$504,MATCH($C2776,Productos!$A$5:$A$504,0)),0))</f>
        <v/>
      </c>
      <c r="H2776" s="22" t="str">
        <f t="shared" si="43"/>
        <v/>
      </c>
      <c r="I2776" s="14" t="str">
        <f>IF(OR($C2776="",$F2776=""),"",IFERROR(INDEX(Productos!$I$5:$I$504,MATCH($C2776,Productos!$A$5:$A$504,0)),0)+SUMIFS($F$5:$F2776,$C$5:$C2776,$C2776,$B$5:$B2776,"Entrada")-SUMIFS($F$5:$F2776,$C$5:$C2776,$C2776,$B$5:$B2776,"Salida"))</f>
        <v/>
      </c>
      <c r="J2776" s="20"/>
      <c r="K2776" s="20"/>
      <c r="L2776" s="20"/>
      <c r="M2776" s="14" t="str">
        <f>IF(AND($C2776&lt;&gt;"",$C2776=Kardex!$C$4),COUNTIF($C$5:$C2776,Kardex!$C$4),"")</f>
        <v/>
      </c>
    </row>
    <row r="2777" spans="1:13" x14ac:dyDescent="0.25">
      <c r="A2777" s="24"/>
      <c r="B2777" s="20"/>
      <c r="C2777" s="20"/>
      <c r="D2777" s="14" t="str">
        <f>IF($C2777="","",IFERROR(INDEX(Productos!$B$5:$B$504,MATCH($C2777,Productos!$A$5:$A$504,0)),"Clave no existe"))</f>
        <v/>
      </c>
      <c r="E2777" s="14" t="str">
        <f>IF($C2777="","",IFERROR(INDEX(Productos!$D$5:$D$504,MATCH($C2777,Productos!$A$5:$A$504,0)),""))</f>
        <v/>
      </c>
      <c r="F2777" s="20"/>
      <c r="G2777" s="22" t="str">
        <f>IF($C2777="","",IFERROR(INDEX(Productos!$F$5:$F$504,MATCH($C2777,Productos!$A$5:$A$504,0)),0))</f>
        <v/>
      </c>
      <c r="H2777" s="22" t="str">
        <f t="shared" si="43"/>
        <v/>
      </c>
      <c r="I2777" s="14" t="str">
        <f>IF(OR($C2777="",$F2777=""),"",IFERROR(INDEX(Productos!$I$5:$I$504,MATCH($C2777,Productos!$A$5:$A$504,0)),0)+SUMIFS($F$5:$F2777,$C$5:$C2777,$C2777,$B$5:$B2777,"Entrada")-SUMIFS($F$5:$F2777,$C$5:$C2777,$C2777,$B$5:$B2777,"Salida"))</f>
        <v/>
      </c>
      <c r="J2777" s="20"/>
      <c r="K2777" s="20"/>
      <c r="L2777" s="20"/>
      <c r="M2777" s="14" t="str">
        <f>IF(AND($C2777&lt;&gt;"",$C2777=Kardex!$C$4),COUNTIF($C$5:$C2777,Kardex!$C$4),"")</f>
        <v/>
      </c>
    </row>
    <row r="2778" spans="1:13" x14ac:dyDescent="0.25">
      <c r="A2778" s="24"/>
      <c r="B2778" s="20"/>
      <c r="C2778" s="20"/>
      <c r="D2778" s="14" t="str">
        <f>IF($C2778="","",IFERROR(INDEX(Productos!$B$5:$B$504,MATCH($C2778,Productos!$A$5:$A$504,0)),"Clave no existe"))</f>
        <v/>
      </c>
      <c r="E2778" s="14" t="str">
        <f>IF($C2778="","",IFERROR(INDEX(Productos!$D$5:$D$504,MATCH($C2778,Productos!$A$5:$A$504,0)),""))</f>
        <v/>
      </c>
      <c r="F2778" s="20"/>
      <c r="G2778" s="22" t="str">
        <f>IF($C2778="","",IFERROR(INDEX(Productos!$F$5:$F$504,MATCH($C2778,Productos!$A$5:$A$504,0)),0))</f>
        <v/>
      </c>
      <c r="H2778" s="22" t="str">
        <f t="shared" si="43"/>
        <v/>
      </c>
      <c r="I2778" s="14" t="str">
        <f>IF(OR($C2778="",$F2778=""),"",IFERROR(INDEX(Productos!$I$5:$I$504,MATCH($C2778,Productos!$A$5:$A$504,0)),0)+SUMIFS($F$5:$F2778,$C$5:$C2778,$C2778,$B$5:$B2778,"Entrada")-SUMIFS($F$5:$F2778,$C$5:$C2778,$C2778,$B$5:$B2778,"Salida"))</f>
        <v/>
      </c>
      <c r="J2778" s="20"/>
      <c r="K2778" s="20"/>
      <c r="L2778" s="20"/>
      <c r="M2778" s="14" t="str">
        <f>IF(AND($C2778&lt;&gt;"",$C2778=Kardex!$C$4),COUNTIF($C$5:$C2778,Kardex!$C$4),"")</f>
        <v/>
      </c>
    </row>
    <row r="2779" spans="1:13" x14ac:dyDescent="0.25">
      <c r="A2779" s="24"/>
      <c r="B2779" s="20"/>
      <c r="C2779" s="20"/>
      <c r="D2779" s="14" t="str">
        <f>IF($C2779="","",IFERROR(INDEX(Productos!$B$5:$B$504,MATCH($C2779,Productos!$A$5:$A$504,0)),"Clave no existe"))</f>
        <v/>
      </c>
      <c r="E2779" s="14" t="str">
        <f>IF($C2779="","",IFERROR(INDEX(Productos!$D$5:$D$504,MATCH($C2779,Productos!$A$5:$A$504,0)),""))</f>
        <v/>
      </c>
      <c r="F2779" s="20"/>
      <c r="G2779" s="22" t="str">
        <f>IF($C2779="","",IFERROR(INDEX(Productos!$F$5:$F$504,MATCH($C2779,Productos!$A$5:$A$504,0)),0))</f>
        <v/>
      </c>
      <c r="H2779" s="22" t="str">
        <f t="shared" si="43"/>
        <v/>
      </c>
      <c r="I2779" s="14" t="str">
        <f>IF(OR($C2779="",$F2779=""),"",IFERROR(INDEX(Productos!$I$5:$I$504,MATCH($C2779,Productos!$A$5:$A$504,0)),0)+SUMIFS($F$5:$F2779,$C$5:$C2779,$C2779,$B$5:$B2779,"Entrada")-SUMIFS($F$5:$F2779,$C$5:$C2779,$C2779,$B$5:$B2779,"Salida"))</f>
        <v/>
      </c>
      <c r="J2779" s="20"/>
      <c r="K2779" s="20"/>
      <c r="L2779" s="20"/>
      <c r="M2779" s="14" t="str">
        <f>IF(AND($C2779&lt;&gt;"",$C2779=Kardex!$C$4),COUNTIF($C$5:$C2779,Kardex!$C$4),"")</f>
        <v/>
      </c>
    </row>
    <row r="2780" spans="1:13" x14ac:dyDescent="0.25">
      <c r="A2780" s="24"/>
      <c r="B2780" s="20"/>
      <c r="C2780" s="20"/>
      <c r="D2780" s="14" t="str">
        <f>IF($C2780="","",IFERROR(INDEX(Productos!$B$5:$B$504,MATCH($C2780,Productos!$A$5:$A$504,0)),"Clave no existe"))</f>
        <v/>
      </c>
      <c r="E2780" s="14" t="str">
        <f>IF($C2780="","",IFERROR(INDEX(Productos!$D$5:$D$504,MATCH($C2780,Productos!$A$5:$A$504,0)),""))</f>
        <v/>
      </c>
      <c r="F2780" s="20"/>
      <c r="G2780" s="22" t="str">
        <f>IF($C2780="","",IFERROR(INDEX(Productos!$F$5:$F$504,MATCH($C2780,Productos!$A$5:$A$504,0)),0))</f>
        <v/>
      </c>
      <c r="H2780" s="22" t="str">
        <f t="shared" si="43"/>
        <v/>
      </c>
      <c r="I2780" s="14" t="str">
        <f>IF(OR($C2780="",$F2780=""),"",IFERROR(INDEX(Productos!$I$5:$I$504,MATCH($C2780,Productos!$A$5:$A$504,0)),0)+SUMIFS($F$5:$F2780,$C$5:$C2780,$C2780,$B$5:$B2780,"Entrada")-SUMIFS($F$5:$F2780,$C$5:$C2780,$C2780,$B$5:$B2780,"Salida"))</f>
        <v/>
      </c>
      <c r="J2780" s="20"/>
      <c r="K2780" s="20"/>
      <c r="L2780" s="20"/>
      <c r="M2780" s="14" t="str">
        <f>IF(AND($C2780&lt;&gt;"",$C2780=Kardex!$C$4),COUNTIF($C$5:$C2780,Kardex!$C$4),"")</f>
        <v/>
      </c>
    </row>
    <row r="2781" spans="1:13" x14ac:dyDescent="0.25">
      <c r="A2781" s="24"/>
      <c r="B2781" s="20"/>
      <c r="C2781" s="20"/>
      <c r="D2781" s="14" t="str">
        <f>IF($C2781="","",IFERROR(INDEX(Productos!$B$5:$B$504,MATCH($C2781,Productos!$A$5:$A$504,0)),"Clave no existe"))</f>
        <v/>
      </c>
      <c r="E2781" s="14" t="str">
        <f>IF($C2781="","",IFERROR(INDEX(Productos!$D$5:$D$504,MATCH($C2781,Productos!$A$5:$A$504,0)),""))</f>
        <v/>
      </c>
      <c r="F2781" s="20"/>
      <c r="G2781" s="22" t="str">
        <f>IF($C2781="","",IFERROR(INDEX(Productos!$F$5:$F$504,MATCH($C2781,Productos!$A$5:$A$504,0)),0))</f>
        <v/>
      </c>
      <c r="H2781" s="22" t="str">
        <f t="shared" si="43"/>
        <v/>
      </c>
      <c r="I2781" s="14" t="str">
        <f>IF(OR($C2781="",$F2781=""),"",IFERROR(INDEX(Productos!$I$5:$I$504,MATCH($C2781,Productos!$A$5:$A$504,0)),0)+SUMIFS($F$5:$F2781,$C$5:$C2781,$C2781,$B$5:$B2781,"Entrada")-SUMIFS($F$5:$F2781,$C$5:$C2781,$C2781,$B$5:$B2781,"Salida"))</f>
        <v/>
      </c>
      <c r="J2781" s="20"/>
      <c r="K2781" s="20"/>
      <c r="L2781" s="20"/>
      <c r="M2781" s="14" t="str">
        <f>IF(AND($C2781&lt;&gt;"",$C2781=Kardex!$C$4),COUNTIF($C$5:$C2781,Kardex!$C$4),"")</f>
        <v/>
      </c>
    </row>
    <row r="2782" spans="1:13" x14ac:dyDescent="0.25">
      <c r="A2782" s="24"/>
      <c r="B2782" s="20"/>
      <c r="C2782" s="20"/>
      <c r="D2782" s="14" t="str">
        <f>IF($C2782="","",IFERROR(INDEX(Productos!$B$5:$B$504,MATCH($C2782,Productos!$A$5:$A$504,0)),"Clave no existe"))</f>
        <v/>
      </c>
      <c r="E2782" s="14" t="str">
        <f>IF($C2782="","",IFERROR(INDEX(Productos!$D$5:$D$504,MATCH($C2782,Productos!$A$5:$A$504,0)),""))</f>
        <v/>
      </c>
      <c r="F2782" s="20"/>
      <c r="G2782" s="22" t="str">
        <f>IF($C2782="","",IFERROR(INDEX(Productos!$F$5:$F$504,MATCH($C2782,Productos!$A$5:$A$504,0)),0))</f>
        <v/>
      </c>
      <c r="H2782" s="22" t="str">
        <f t="shared" si="43"/>
        <v/>
      </c>
      <c r="I2782" s="14" t="str">
        <f>IF(OR($C2782="",$F2782=""),"",IFERROR(INDEX(Productos!$I$5:$I$504,MATCH($C2782,Productos!$A$5:$A$504,0)),0)+SUMIFS($F$5:$F2782,$C$5:$C2782,$C2782,$B$5:$B2782,"Entrada")-SUMIFS($F$5:$F2782,$C$5:$C2782,$C2782,$B$5:$B2782,"Salida"))</f>
        <v/>
      </c>
      <c r="J2782" s="20"/>
      <c r="K2782" s="20"/>
      <c r="L2782" s="20"/>
      <c r="M2782" s="14" t="str">
        <f>IF(AND($C2782&lt;&gt;"",$C2782=Kardex!$C$4),COUNTIF($C$5:$C2782,Kardex!$C$4),"")</f>
        <v/>
      </c>
    </row>
    <row r="2783" spans="1:13" x14ac:dyDescent="0.25">
      <c r="A2783" s="24"/>
      <c r="B2783" s="20"/>
      <c r="C2783" s="20"/>
      <c r="D2783" s="14" t="str">
        <f>IF($C2783="","",IFERROR(INDEX(Productos!$B$5:$B$504,MATCH($C2783,Productos!$A$5:$A$504,0)),"Clave no existe"))</f>
        <v/>
      </c>
      <c r="E2783" s="14" t="str">
        <f>IF($C2783="","",IFERROR(INDEX(Productos!$D$5:$D$504,MATCH($C2783,Productos!$A$5:$A$504,0)),""))</f>
        <v/>
      </c>
      <c r="F2783" s="20"/>
      <c r="G2783" s="22" t="str">
        <f>IF($C2783="","",IFERROR(INDEX(Productos!$F$5:$F$504,MATCH($C2783,Productos!$A$5:$A$504,0)),0))</f>
        <v/>
      </c>
      <c r="H2783" s="22" t="str">
        <f t="shared" si="43"/>
        <v/>
      </c>
      <c r="I2783" s="14" t="str">
        <f>IF(OR($C2783="",$F2783=""),"",IFERROR(INDEX(Productos!$I$5:$I$504,MATCH($C2783,Productos!$A$5:$A$504,0)),0)+SUMIFS($F$5:$F2783,$C$5:$C2783,$C2783,$B$5:$B2783,"Entrada")-SUMIFS($F$5:$F2783,$C$5:$C2783,$C2783,$B$5:$B2783,"Salida"))</f>
        <v/>
      </c>
      <c r="J2783" s="20"/>
      <c r="K2783" s="20"/>
      <c r="L2783" s="20"/>
      <c r="M2783" s="14" t="str">
        <f>IF(AND($C2783&lt;&gt;"",$C2783=Kardex!$C$4),COUNTIF($C$5:$C2783,Kardex!$C$4),"")</f>
        <v/>
      </c>
    </row>
    <row r="2784" spans="1:13" x14ac:dyDescent="0.25">
      <c r="A2784" s="24"/>
      <c r="B2784" s="20"/>
      <c r="C2784" s="20"/>
      <c r="D2784" s="14" t="str">
        <f>IF($C2784="","",IFERROR(INDEX(Productos!$B$5:$B$504,MATCH($C2784,Productos!$A$5:$A$504,0)),"Clave no existe"))</f>
        <v/>
      </c>
      <c r="E2784" s="14" t="str">
        <f>IF($C2784="","",IFERROR(INDEX(Productos!$D$5:$D$504,MATCH($C2784,Productos!$A$5:$A$504,0)),""))</f>
        <v/>
      </c>
      <c r="F2784" s="20"/>
      <c r="G2784" s="22" t="str">
        <f>IF($C2784="","",IFERROR(INDEX(Productos!$F$5:$F$504,MATCH($C2784,Productos!$A$5:$A$504,0)),0))</f>
        <v/>
      </c>
      <c r="H2784" s="22" t="str">
        <f t="shared" si="43"/>
        <v/>
      </c>
      <c r="I2784" s="14" t="str">
        <f>IF(OR($C2784="",$F2784=""),"",IFERROR(INDEX(Productos!$I$5:$I$504,MATCH($C2784,Productos!$A$5:$A$504,0)),0)+SUMIFS($F$5:$F2784,$C$5:$C2784,$C2784,$B$5:$B2784,"Entrada")-SUMIFS($F$5:$F2784,$C$5:$C2784,$C2784,$B$5:$B2784,"Salida"))</f>
        <v/>
      </c>
      <c r="J2784" s="20"/>
      <c r="K2784" s="20"/>
      <c r="L2784" s="20"/>
      <c r="M2784" s="14" t="str">
        <f>IF(AND($C2784&lt;&gt;"",$C2784=Kardex!$C$4),COUNTIF($C$5:$C2784,Kardex!$C$4),"")</f>
        <v/>
      </c>
    </row>
    <row r="2785" spans="1:13" x14ac:dyDescent="0.25">
      <c r="A2785" s="24"/>
      <c r="B2785" s="20"/>
      <c r="C2785" s="20"/>
      <c r="D2785" s="14" t="str">
        <f>IF($C2785="","",IFERROR(INDEX(Productos!$B$5:$B$504,MATCH($C2785,Productos!$A$5:$A$504,0)),"Clave no existe"))</f>
        <v/>
      </c>
      <c r="E2785" s="14" t="str">
        <f>IF($C2785="","",IFERROR(INDEX(Productos!$D$5:$D$504,MATCH($C2785,Productos!$A$5:$A$504,0)),""))</f>
        <v/>
      </c>
      <c r="F2785" s="20"/>
      <c r="G2785" s="22" t="str">
        <f>IF($C2785="","",IFERROR(INDEX(Productos!$F$5:$F$504,MATCH($C2785,Productos!$A$5:$A$504,0)),0))</f>
        <v/>
      </c>
      <c r="H2785" s="22" t="str">
        <f t="shared" si="43"/>
        <v/>
      </c>
      <c r="I2785" s="14" t="str">
        <f>IF(OR($C2785="",$F2785=""),"",IFERROR(INDEX(Productos!$I$5:$I$504,MATCH($C2785,Productos!$A$5:$A$504,0)),0)+SUMIFS($F$5:$F2785,$C$5:$C2785,$C2785,$B$5:$B2785,"Entrada")-SUMIFS($F$5:$F2785,$C$5:$C2785,$C2785,$B$5:$B2785,"Salida"))</f>
        <v/>
      </c>
      <c r="J2785" s="20"/>
      <c r="K2785" s="20"/>
      <c r="L2785" s="20"/>
      <c r="M2785" s="14" t="str">
        <f>IF(AND($C2785&lt;&gt;"",$C2785=Kardex!$C$4),COUNTIF($C$5:$C2785,Kardex!$C$4),"")</f>
        <v/>
      </c>
    </row>
    <row r="2786" spans="1:13" x14ac:dyDescent="0.25">
      <c r="A2786" s="24"/>
      <c r="B2786" s="20"/>
      <c r="C2786" s="20"/>
      <c r="D2786" s="14" t="str">
        <f>IF($C2786="","",IFERROR(INDEX(Productos!$B$5:$B$504,MATCH($C2786,Productos!$A$5:$A$504,0)),"Clave no existe"))</f>
        <v/>
      </c>
      <c r="E2786" s="14" t="str">
        <f>IF($C2786="","",IFERROR(INDEX(Productos!$D$5:$D$504,MATCH($C2786,Productos!$A$5:$A$504,0)),""))</f>
        <v/>
      </c>
      <c r="F2786" s="20"/>
      <c r="G2786" s="22" t="str">
        <f>IF($C2786="","",IFERROR(INDEX(Productos!$F$5:$F$504,MATCH($C2786,Productos!$A$5:$A$504,0)),0))</f>
        <v/>
      </c>
      <c r="H2786" s="22" t="str">
        <f t="shared" si="43"/>
        <v/>
      </c>
      <c r="I2786" s="14" t="str">
        <f>IF(OR($C2786="",$F2786=""),"",IFERROR(INDEX(Productos!$I$5:$I$504,MATCH($C2786,Productos!$A$5:$A$504,0)),0)+SUMIFS($F$5:$F2786,$C$5:$C2786,$C2786,$B$5:$B2786,"Entrada")-SUMIFS($F$5:$F2786,$C$5:$C2786,$C2786,$B$5:$B2786,"Salida"))</f>
        <v/>
      </c>
      <c r="J2786" s="20"/>
      <c r="K2786" s="20"/>
      <c r="L2786" s="20"/>
      <c r="M2786" s="14" t="str">
        <f>IF(AND($C2786&lt;&gt;"",$C2786=Kardex!$C$4),COUNTIF($C$5:$C2786,Kardex!$C$4),"")</f>
        <v/>
      </c>
    </row>
    <row r="2787" spans="1:13" x14ac:dyDescent="0.25">
      <c r="A2787" s="24"/>
      <c r="B2787" s="20"/>
      <c r="C2787" s="20"/>
      <c r="D2787" s="14" t="str">
        <f>IF($C2787="","",IFERROR(INDEX(Productos!$B$5:$B$504,MATCH($C2787,Productos!$A$5:$A$504,0)),"Clave no existe"))</f>
        <v/>
      </c>
      <c r="E2787" s="14" t="str">
        <f>IF($C2787="","",IFERROR(INDEX(Productos!$D$5:$D$504,MATCH($C2787,Productos!$A$5:$A$504,0)),""))</f>
        <v/>
      </c>
      <c r="F2787" s="20"/>
      <c r="G2787" s="22" t="str">
        <f>IF($C2787="","",IFERROR(INDEX(Productos!$F$5:$F$504,MATCH($C2787,Productos!$A$5:$A$504,0)),0))</f>
        <v/>
      </c>
      <c r="H2787" s="22" t="str">
        <f t="shared" si="43"/>
        <v/>
      </c>
      <c r="I2787" s="14" t="str">
        <f>IF(OR($C2787="",$F2787=""),"",IFERROR(INDEX(Productos!$I$5:$I$504,MATCH($C2787,Productos!$A$5:$A$504,0)),0)+SUMIFS($F$5:$F2787,$C$5:$C2787,$C2787,$B$5:$B2787,"Entrada")-SUMIFS($F$5:$F2787,$C$5:$C2787,$C2787,$B$5:$B2787,"Salida"))</f>
        <v/>
      </c>
      <c r="J2787" s="20"/>
      <c r="K2787" s="20"/>
      <c r="L2787" s="20"/>
      <c r="M2787" s="14" t="str">
        <f>IF(AND($C2787&lt;&gt;"",$C2787=Kardex!$C$4),COUNTIF($C$5:$C2787,Kardex!$C$4),"")</f>
        <v/>
      </c>
    </row>
    <row r="2788" spans="1:13" x14ac:dyDescent="0.25">
      <c r="A2788" s="24"/>
      <c r="B2788" s="20"/>
      <c r="C2788" s="20"/>
      <c r="D2788" s="14" t="str">
        <f>IF($C2788="","",IFERROR(INDEX(Productos!$B$5:$B$504,MATCH($C2788,Productos!$A$5:$A$504,0)),"Clave no existe"))</f>
        <v/>
      </c>
      <c r="E2788" s="14" t="str">
        <f>IF($C2788="","",IFERROR(INDEX(Productos!$D$5:$D$504,MATCH($C2788,Productos!$A$5:$A$504,0)),""))</f>
        <v/>
      </c>
      <c r="F2788" s="20"/>
      <c r="G2788" s="22" t="str">
        <f>IF($C2788="","",IFERROR(INDEX(Productos!$F$5:$F$504,MATCH($C2788,Productos!$A$5:$A$504,0)),0))</f>
        <v/>
      </c>
      <c r="H2788" s="22" t="str">
        <f t="shared" si="43"/>
        <v/>
      </c>
      <c r="I2788" s="14" t="str">
        <f>IF(OR($C2788="",$F2788=""),"",IFERROR(INDEX(Productos!$I$5:$I$504,MATCH($C2788,Productos!$A$5:$A$504,0)),0)+SUMIFS($F$5:$F2788,$C$5:$C2788,$C2788,$B$5:$B2788,"Entrada")-SUMIFS($F$5:$F2788,$C$5:$C2788,$C2788,$B$5:$B2788,"Salida"))</f>
        <v/>
      </c>
      <c r="J2788" s="20"/>
      <c r="K2788" s="20"/>
      <c r="L2788" s="20"/>
      <c r="M2788" s="14" t="str">
        <f>IF(AND($C2788&lt;&gt;"",$C2788=Kardex!$C$4),COUNTIF($C$5:$C2788,Kardex!$C$4),"")</f>
        <v/>
      </c>
    </row>
    <row r="2789" spans="1:13" x14ac:dyDescent="0.25">
      <c r="A2789" s="24"/>
      <c r="B2789" s="20"/>
      <c r="C2789" s="20"/>
      <c r="D2789" s="14" t="str">
        <f>IF($C2789="","",IFERROR(INDEX(Productos!$B$5:$B$504,MATCH($C2789,Productos!$A$5:$A$504,0)),"Clave no existe"))</f>
        <v/>
      </c>
      <c r="E2789" s="14" t="str">
        <f>IF($C2789="","",IFERROR(INDEX(Productos!$D$5:$D$504,MATCH($C2789,Productos!$A$5:$A$504,0)),""))</f>
        <v/>
      </c>
      <c r="F2789" s="20"/>
      <c r="G2789" s="22" t="str">
        <f>IF($C2789="","",IFERROR(INDEX(Productos!$F$5:$F$504,MATCH($C2789,Productos!$A$5:$A$504,0)),0))</f>
        <v/>
      </c>
      <c r="H2789" s="22" t="str">
        <f t="shared" si="43"/>
        <v/>
      </c>
      <c r="I2789" s="14" t="str">
        <f>IF(OR($C2789="",$F2789=""),"",IFERROR(INDEX(Productos!$I$5:$I$504,MATCH($C2789,Productos!$A$5:$A$504,0)),0)+SUMIFS($F$5:$F2789,$C$5:$C2789,$C2789,$B$5:$B2789,"Entrada")-SUMIFS($F$5:$F2789,$C$5:$C2789,$C2789,$B$5:$B2789,"Salida"))</f>
        <v/>
      </c>
      <c r="J2789" s="20"/>
      <c r="K2789" s="20"/>
      <c r="L2789" s="20"/>
      <c r="M2789" s="14" t="str">
        <f>IF(AND($C2789&lt;&gt;"",$C2789=Kardex!$C$4),COUNTIF($C$5:$C2789,Kardex!$C$4),"")</f>
        <v/>
      </c>
    </row>
    <row r="2790" spans="1:13" x14ac:dyDescent="0.25">
      <c r="A2790" s="24"/>
      <c r="B2790" s="20"/>
      <c r="C2790" s="20"/>
      <c r="D2790" s="14" t="str">
        <f>IF($C2790="","",IFERROR(INDEX(Productos!$B$5:$B$504,MATCH($C2790,Productos!$A$5:$A$504,0)),"Clave no existe"))</f>
        <v/>
      </c>
      <c r="E2790" s="14" t="str">
        <f>IF($C2790="","",IFERROR(INDEX(Productos!$D$5:$D$504,MATCH($C2790,Productos!$A$5:$A$504,0)),""))</f>
        <v/>
      </c>
      <c r="F2790" s="20"/>
      <c r="G2790" s="22" t="str">
        <f>IF($C2790="","",IFERROR(INDEX(Productos!$F$5:$F$504,MATCH($C2790,Productos!$A$5:$A$504,0)),0))</f>
        <v/>
      </c>
      <c r="H2790" s="22" t="str">
        <f t="shared" si="43"/>
        <v/>
      </c>
      <c r="I2790" s="14" t="str">
        <f>IF(OR($C2790="",$F2790=""),"",IFERROR(INDEX(Productos!$I$5:$I$504,MATCH($C2790,Productos!$A$5:$A$504,0)),0)+SUMIFS($F$5:$F2790,$C$5:$C2790,$C2790,$B$5:$B2790,"Entrada")-SUMIFS($F$5:$F2790,$C$5:$C2790,$C2790,$B$5:$B2790,"Salida"))</f>
        <v/>
      </c>
      <c r="J2790" s="20"/>
      <c r="K2790" s="20"/>
      <c r="L2790" s="20"/>
      <c r="M2790" s="14" t="str">
        <f>IF(AND($C2790&lt;&gt;"",$C2790=Kardex!$C$4),COUNTIF($C$5:$C2790,Kardex!$C$4),"")</f>
        <v/>
      </c>
    </row>
    <row r="2791" spans="1:13" x14ac:dyDescent="0.25">
      <c r="A2791" s="24"/>
      <c r="B2791" s="20"/>
      <c r="C2791" s="20"/>
      <c r="D2791" s="14" t="str">
        <f>IF($C2791="","",IFERROR(INDEX(Productos!$B$5:$B$504,MATCH($C2791,Productos!$A$5:$A$504,0)),"Clave no existe"))</f>
        <v/>
      </c>
      <c r="E2791" s="14" t="str">
        <f>IF($C2791="","",IFERROR(INDEX(Productos!$D$5:$D$504,MATCH($C2791,Productos!$A$5:$A$504,0)),""))</f>
        <v/>
      </c>
      <c r="F2791" s="20"/>
      <c r="G2791" s="22" t="str">
        <f>IF($C2791="","",IFERROR(INDEX(Productos!$F$5:$F$504,MATCH($C2791,Productos!$A$5:$A$504,0)),0))</f>
        <v/>
      </c>
      <c r="H2791" s="22" t="str">
        <f t="shared" si="43"/>
        <v/>
      </c>
      <c r="I2791" s="14" t="str">
        <f>IF(OR($C2791="",$F2791=""),"",IFERROR(INDEX(Productos!$I$5:$I$504,MATCH($C2791,Productos!$A$5:$A$504,0)),0)+SUMIFS($F$5:$F2791,$C$5:$C2791,$C2791,$B$5:$B2791,"Entrada")-SUMIFS($F$5:$F2791,$C$5:$C2791,$C2791,$B$5:$B2791,"Salida"))</f>
        <v/>
      </c>
      <c r="J2791" s="20"/>
      <c r="K2791" s="20"/>
      <c r="L2791" s="20"/>
      <c r="M2791" s="14" t="str">
        <f>IF(AND($C2791&lt;&gt;"",$C2791=Kardex!$C$4),COUNTIF($C$5:$C2791,Kardex!$C$4),"")</f>
        <v/>
      </c>
    </row>
    <row r="2792" spans="1:13" x14ac:dyDescent="0.25">
      <c r="A2792" s="24"/>
      <c r="B2792" s="20"/>
      <c r="C2792" s="20"/>
      <c r="D2792" s="14" t="str">
        <f>IF($C2792="","",IFERROR(INDEX(Productos!$B$5:$B$504,MATCH($C2792,Productos!$A$5:$A$504,0)),"Clave no existe"))</f>
        <v/>
      </c>
      <c r="E2792" s="14" t="str">
        <f>IF($C2792="","",IFERROR(INDEX(Productos!$D$5:$D$504,MATCH($C2792,Productos!$A$5:$A$504,0)),""))</f>
        <v/>
      </c>
      <c r="F2792" s="20"/>
      <c r="G2792" s="22" t="str">
        <f>IF($C2792="","",IFERROR(INDEX(Productos!$F$5:$F$504,MATCH($C2792,Productos!$A$5:$A$504,0)),0))</f>
        <v/>
      </c>
      <c r="H2792" s="22" t="str">
        <f t="shared" si="43"/>
        <v/>
      </c>
      <c r="I2792" s="14" t="str">
        <f>IF(OR($C2792="",$F2792=""),"",IFERROR(INDEX(Productos!$I$5:$I$504,MATCH($C2792,Productos!$A$5:$A$504,0)),0)+SUMIFS($F$5:$F2792,$C$5:$C2792,$C2792,$B$5:$B2792,"Entrada")-SUMIFS($F$5:$F2792,$C$5:$C2792,$C2792,$B$5:$B2792,"Salida"))</f>
        <v/>
      </c>
      <c r="J2792" s="20"/>
      <c r="K2792" s="20"/>
      <c r="L2792" s="20"/>
      <c r="M2792" s="14" t="str">
        <f>IF(AND($C2792&lt;&gt;"",$C2792=Kardex!$C$4),COUNTIF($C$5:$C2792,Kardex!$C$4),"")</f>
        <v/>
      </c>
    </row>
    <row r="2793" spans="1:13" x14ac:dyDescent="0.25">
      <c r="A2793" s="24"/>
      <c r="B2793" s="20"/>
      <c r="C2793" s="20"/>
      <c r="D2793" s="14" t="str">
        <f>IF($C2793="","",IFERROR(INDEX(Productos!$B$5:$B$504,MATCH($C2793,Productos!$A$5:$A$504,0)),"Clave no existe"))</f>
        <v/>
      </c>
      <c r="E2793" s="14" t="str">
        <f>IF($C2793="","",IFERROR(INDEX(Productos!$D$5:$D$504,MATCH($C2793,Productos!$A$5:$A$504,0)),""))</f>
        <v/>
      </c>
      <c r="F2793" s="20"/>
      <c r="G2793" s="22" t="str">
        <f>IF($C2793="","",IFERROR(INDEX(Productos!$F$5:$F$504,MATCH($C2793,Productos!$A$5:$A$504,0)),0))</f>
        <v/>
      </c>
      <c r="H2793" s="22" t="str">
        <f t="shared" si="43"/>
        <v/>
      </c>
      <c r="I2793" s="14" t="str">
        <f>IF(OR($C2793="",$F2793=""),"",IFERROR(INDEX(Productos!$I$5:$I$504,MATCH($C2793,Productos!$A$5:$A$504,0)),0)+SUMIFS($F$5:$F2793,$C$5:$C2793,$C2793,$B$5:$B2793,"Entrada")-SUMIFS($F$5:$F2793,$C$5:$C2793,$C2793,$B$5:$B2793,"Salida"))</f>
        <v/>
      </c>
      <c r="J2793" s="20"/>
      <c r="K2793" s="20"/>
      <c r="L2793" s="20"/>
      <c r="M2793" s="14" t="str">
        <f>IF(AND($C2793&lt;&gt;"",$C2793=Kardex!$C$4),COUNTIF($C$5:$C2793,Kardex!$C$4),"")</f>
        <v/>
      </c>
    </row>
    <row r="2794" spans="1:13" x14ac:dyDescent="0.25">
      <c r="A2794" s="24"/>
      <c r="B2794" s="20"/>
      <c r="C2794" s="20"/>
      <c r="D2794" s="14" t="str">
        <f>IF($C2794="","",IFERROR(INDEX(Productos!$B$5:$B$504,MATCH($C2794,Productos!$A$5:$A$504,0)),"Clave no existe"))</f>
        <v/>
      </c>
      <c r="E2794" s="14" t="str">
        <f>IF($C2794="","",IFERROR(INDEX(Productos!$D$5:$D$504,MATCH($C2794,Productos!$A$5:$A$504,0)),""))</f>
        <v/>
      </c>
      <c r="F2794" s="20"/>
      <c r="G2794" s="22" t="str">
        <f>IF($C2794="","",IFERROR(INDEX(Productos!$F$5:$F$504,MATCH($C2794,Productos!$A$5:$A$504,0)),0))</f>
        <v/>
      </c>
      <c r="H2794" s="22" t="str">
        <f t="shared" si="43"/>
        <v/>
      </c>
      <c r="I2794" s="14" t="str">
        <f>IF(OR($C2794="",$F2794=""),"",IFERROR(INDEX(Productos!$I$5:$I$504,MATCH($C2794,Productos!$A$5:$A$504,0)),0)+SUMIFS($F$5:$F2794,$C$5:$C2794,$C2794,$B$5:$B2794,"Entrada")-SUMIFS($F$5:$F2794,$C$5:$C2794,$C2794,$B$5:$B2794,"Salida"))</f>
        <v/>
      </c>
      <c r="J2794" s="20"/>
      <c r="K2794" s="20"/>
      <c r="L2794" s="20"/>
      <c r="M2794" s="14" t="str">
        <f>IF(AND($C2794&lt;&gt;"",$C2794=Kardex!$C$4),COUNTIF($C$5:$C2794,Kardex!$C$4),"")</f>
        <v/>
      </c>
    </row>
    <row r="2795" spans="1:13" x14ac:dyDescent="0.25">
      <c r="A2795" s="24"/>
      <c r="B2795" s="20"/>
      <c r="C2795" s="20"/>
      <c r="D2795" s="14" t="str">
        <f>IF($C2795="","",IFERROR(INDEX(Productos!$B$5:$B$504,MATCH($C2795,Productos!$A$5:$A$504,0)),"Clave no existe"))</f>
        <v/>
      </c>
      <c r="E2795" s="14" t="str">
        <f>IF($C2795="","",IFERROR(INDEX(Productos!$D$5:$D$504,MATCH($C2795,Productos!$A$5:$A$504,0)),""))</f>
        <v/>
      </c>
      <c r="F2795" s="20"/>
      <c r="G2795" s="22" t="str">
        <f>IF($C2795="","",IFERROR(INDEX(Productos!$F$5:$F$504,MATCH($C2795,Productos!$A$5:$A$504,0)),0))</f>
        <v/>
      </c>
      <c r="H2795" s="22" t="str">
        <f t="shared" si="43"/>
        <v/>
      </c>
      <c r="I2795" s="14" t="str">
        <f>IF(OR($C2795="",$F2795=""),"",IFERROR(INDEX(Productos!$I$5:$I$504,MATCH($C2795,Productos!$A$5:$A$504,0)),0)+SUMIFS($F$5:$F2795,$C$5:$C2795,$C2795,$B$5:$B2795,"Entrada")-SUMIFS($F$5:$F2795,$C$5:$C2795,$C2795,$B$5:$B2795,"Salida"))</f>
        <v/>
      </c>
      <c r="J2795" s="20"/>
      <c r="K2795" s="20"/>
      <c r="L2795" s="20"/>
      <c r="M2795" s="14" t="str">
        <f>IF(AND($C2795&lt;&gt;"",$C2795=Kardex!$C$4),COUNTIF($C$5:$C2795,Kardex!$C$4),"")</f>
        <v/>
      </c>
    </row>
    <row r="2796" spans="1:13" x14ac:dyDescent="0.25">
      <c r="A2796" s="24"/>
      <c r="B2796" s="20"/>
      <c r="C2796" s="20"/>
      <c r="D2796" s="14" t="str">
        <f>IF($C2796="","",IFERROR(INDEX(Productos!$B$5:$B$504,MATCH($C2796,Productos!$A$5:$A$504,0)),"Clave no existe"))</f>
        <v/>
      </c>
      <c r="E2796" s="14" t="str">
        <f>IF($C2796="","",IFERROR(INDEX(Productos!$D$5:$D$504,MATCH($C2796,Productos!$A$5:$A$504,0)),""))</f>
        <v/>
      </c>
      <c r="F2796" s="20"/>
      <c r="G2796" s="22" t="str">
        <f>IF($C2796="","",IFERROR(INDEX(Productos!$F$5:$F$504,MATCH($C2796,Productos!$A$5:$A$504,0)),0))</f>
        <v/>
      </c>
      <c r="H2796" s="22" t="str">
        <f t="shared" si="43"/>
        <v/>
      </c>
      <c r="I2796" s="14" t="str">
        <f>IF(OR($C2796="",$F2796=""),"",IFERROR(INDEX(Productos!$I$5:$I$504,MATCH($C2796,Productos!$A$5:$A$504,0)),0)+SUMIFS($F$5:$F2796,$C$5:$C2796,$C2796,$B$5:$B2796,"Entrada")-SUMIFS($F$5:$F2796,$C$5:$C2796,$C2796,$B$5:$B2796,"Salida"))</f>
        <v/>
      </c>
      <c r="J2796" s="20"/>
      <c r="K2796" s="20"/>
      <c r="L2796" s="20"/>
      <c r="M2796" s="14" t="str">
        <f>IF(AND($C2796&lt;&gt;"",$C2796=Kardex!$C$4),COUNTIF($C$5:$C2796,Kardex!$C$4),"")</f>
        <v/>
      </c>
    </row>
    <row r="2797" spans="1:13" x14ac:dyDescent="0.25">
      <c r="A2797" s="24"/>
      <c r="B2797" s="20"/>
      <c r="C2797" s="20"/>
      <c r="D2797" s="14" t="str">
        <f>IF($C2797="","",IFERROR(INDEX(Productos!$B$5:$B$504,MATCH($C2797,Productos!$A$5:$A$504,0)),"Clave no existe"))</f>
        <v/>
      </c>
      <c r="E2797" s="14" t="str">
        <f>IF($C2797="","",IFERROR(INDEX(Productos!$D$5:$D$504,MATCH($C2797,Productos!$A$5:$A$504,0)),""))</f>
        <v/>
      </c>
      <c r="F2797" s="20"/>
      <c r="G2797" s="22" t="str">
        <f>IF($C2797="","",IFERROR(INDEX(Productos!$F$5:$F$504,MATCH($C2797,Productos!$A$5:$A$504,0)),0))</f>
        <v/>
      </c>
      <c r="H2797" s="22" t="str">
        <f t="shared" si="43"/>
        <v/>
      </c>
      <c r="I2797" s="14" t="str">
        <f>IF(OR($C2797="",$F2797=""),"",IFERROR(INDEX(Productos!$I$5:$I$504,MATCH($C2797,Productos!$A$5:$A$504,0)),0)+SUMIFS($F$5:$F2797,$C$5:$C2797,$C2797,$B$5:$B2797,"Entrada")-SUMIFS($F$5:$F2797,$C$5:$C2797,$C2797,$B$5:$B2797,"Salida"))</f>
        <v/>
      </c>
      <c r="J2797" s="20"/>
      <c r="K2797" s="20"/>
      <c r="L2797" s="20"/>
      <c r="M2797" s="14" t="str">
        <f>IF(AND($C2797&lt;&gt;"",$C2797=Kardex!$C$4),COUNTIF($C$5:$C2797,Kardex!$C$4),"")</f>
        <v/>
      </c>
    </row>
    <row r="2798" spans="1:13" x14ac:dyDescent="0.25">
      <c r="A2798" s="24"/>
      <c r="B2798" s="20"/>
      <c r="C2798" s="20"/>
      <c r="D2798" s="14" t="str">
        <f>IF($C2798="","",IFERROR(INDEX(Productos!$B$5:$B$504,MATCH($C2798,Productos!$A$5:$A$504,0)),"Clave no existe"))</f>
        <v/>
      </c>
      <c r="E2798" s="14" t="str">
        <f>IF($C2798="","",IFERROR(INDEX(Productos!$D$5:$D$504,MATCH($C2798,Productos!$A$5:$A$504,0)),""))</f>
        <v/>
      </c>
      <c r="F2798" s="20"/>
      <c r="G2798" s="22" t="str">
        <f>IF($C2798="","",IFERROR(INDEX(Productos!$F$5:$F$504,MATCH($C2798,Productos!$A$5:$A$504,0)),0))</f>
        <v/>
      </c>
      <c r="H2798" s="22" t="str">
        <f t="shared" si="43"/>
        <v/>
      </c>
      <c r="I2798" s="14" t="str">
        <f>IF(OR($C2798="",$F2798=""),"",IFERROR(INDEX(Productos!$I$5:$I$504,MATCH($C2798,Productos!$A$5:$A$504,0)),0)+SUMIFS($F$5:$F2798,$C$5:$C2798,$C2798,$B$5:$B2798,"Entrada")-SUMIFS($F$5:$F2798,$C$5:$C2798,$C2798,$B$5:$B2798,"Salida"))</f>
        <v/>
      </c>
      <c r="J2798" s="20"/>
      <c r="K2798" s="20"/>
      <c r="L2798" s="20"/>
      <c r="M2798" s="14" t="str">
        <f>IF(AND($C2798&lt;&gt;"",$C2798=Kardex!$C$4),COUNTIF($C$5:$C2798,Kardex!$C$4),"")</f>
        <v/>
      </c>
    </row>
    <row r="2799" spans="1:13" x14ac:dyDescent="0.25">
      <c r="A2799" s="24"/>
      <c r="B2799" s="20"/>
      <c r="C2799" s="20"/>
      <c r="D2799" s="14" t="str">
        <f>IF($C2799="","",IFERROR(INDEX(Productos!$B$5:$B$504,MATCH($C2799,Productos!$A$5:$A$504,0)),"Clave no existe"))</f>
        <v/>
      </c>
      <c r="E2799" s="14" t="str">
        <f>IF($C2799="","",IFERROR(INDEX(Productos!$D$5:$D$504,MATCH($C2799,Productos!$A$5:$A$504,0)),""))</f>
        <v/>
      </c>
      <c r="F2799" s="20"/>
      <c r="G2799" s="22" t="str">
        <f>IF($C2799="","",IFERROR(INDEX(Productos!$F$5:$F$504,MATCH($C2799,Productos!$A$5:$A$504,0)),0))</f>
        <v/>
      </c>
      <c r="H2799" s="22" t="str">
        <f t="shared" si="43"/>
        <v/>
      </c>
      <c r="I2799" s="14" t="str">
        <f>IF(OR($C2799="",$F2799=""),"",IFERROR(INDEX(Productos!$I$5:$I$504,MATCH($C2799,Productos!$A$5:$A$504,0)),0)+SUMIFS($F$5:$F2799,$C$5:$C2799,$C2799,$B$5:$B2799,"Entrada")-SUMIFS($F$5:$F2799,$C$5:$C2799,$C2799,$B$5:$B2799,"Salida"))</f>
        <v/>
      </c>
      <c r="J2799" s="20"/>
      <c r="K2799" s="20"/>
      <c r="L2799" s="20"/>
      <c r="M2799" s="14" t="str">
        <f>IF(AND($C2799&lt;&gt;"",$C2799=Kardex!$C$4),COUNTIF($C$5:$C2799,Kardex!$C$4),"")</f>
        <v/>
      </c>
    </row>
    <row r="2800" spans="1:13" x14ac:dyDescent="0.25">
      <c r="A2800" s="24"/>
      <c r="B2800" s="20"/>
      <c r="C2800" s="20"/>
      <c r="D2800" s="14" t="str">
        <f>IF($C2800="","",IFERROR(INDEX(Productos!$B$5:$B$504,MATCH($C2800,Productos!$A$5:$A$504,0)),"Clave no existe"))</f>
        <v/>
      </c>
      <c r="E2800" s="14" t="str">
        <f>IF($C2800="","",IFERROR(INDEX(Productos!$D$5:$D$504,MATCH($C2800,Productos!$A$5:$A$504,0)),""))</f>
        <v/>
      </c>
      <c r="F2800" s="20"/>
      <c r="G2800" s="22" t="str">
        <f>IF($C2800="","",IFERROR(INDEX(Productos!$F$5:$F$504,MATCH($C2800,Productos!$A$5:$A$504,0)),0))</f>
        <v/>
      </c>
      <c r="H2800" s="22" t="str">
        <f t="shared" si="43"/>
        <v/>
      </c>
      <c r="I2800" s="14" t="str">
        <f>IF(OR($C2800="",$F2800=""),"",IFERROR(INDEX(Productos!$I$5:$I$504,MATCH($C2800,Productos!$A$5:$A$504,0)),0)+SUMIFS($F$5:$F2800,$C$5:$C2800,$C2800,$B$5:$B2800,"Entrada")-SUMIFS($F$5:$F2800,$C$5:$C2800,$C2800,$B$5:$B2800,"Salida"))</f>
        <v/>
      </c>
      <c r="J2800" s="20"/>
      <c r="K2800" s="20"/>
      <c r="L2800" s="20"/>
      <c r="M2800" s="14" t="str">
        <f>IF(AND($C2800&lt;&gt;"",$C2800=Kardex!$C$4),COUNTIF($C$5:$C2800,Kardex!$C$4),"")</f>
        <v/>
      </c>
    </row>
    <row r="2801" spans="1:13" x14ac:dyDescent="0.25">
      <c r="A2801" s="24"/>
      <c r="B2801" s="20"/>
      <c r="C2801" s="20"/>
      <c r="D2801" s="14" t="str">
        <f>IF($C2801="","",IFERROR(INDEX(Productos!$B$5:$B$504,MATCH($C2801,Productos!$A$5:$A$504,0)),"Clave no existe"))</f>
        <v/>
      </c>
      <c r="E2801" s="14" t="str">
        <f>IF($C2801="","",IFERROR(INDEX(Productos!$D$5:$D$504,MATCH($C2801,Productos!$A$5:$A$504,0)),""))</f>
        <v/>
      </c>
      <c r="F2801" s="20"/>
      <c r="G2801" s="22" t="str">
        <f>IF($C2801="","",IFERROR(INDEX(Productos!$F$5:$F$504,MATCH($C2801,Productos!$A$5:$A$504,0)),0))</f>
        <v/>
      </c>
      <c r="H2801" s="22" t="str">
        <f t="shared" si="43"/>
        <v/>
      </c>
      <c r="I2801" s="14" t="str">
        <f>IF(OR($C2801="",$F2801=""),"",IFERROR(INDEX(Productos!$I$5:$I$504,MATCH($C2801,Productos!$A$5:$A$504,0)),0)+SUMIFS($F$5:$F2801,$C$5:$C2801,$C2801,$B$5:$B2801,"Entrada")-SUMIFS($F$5:$F2801,$C$5:$C2801,$C2801,$B$5:$B2801,"Salida"))</f>
        <v/>
      </c>
      <c r="J2801" s="20"/>
      <c r="K2801" s="20"/>
      <c r="L2801" s="20"/>
      <c r="M2801" s="14" t="str">
        <f>IF(AND($C2801&lt;&gt;"",$C2801=Kardex!$C$4),COUNTIF($C$5:$C2801,Kardex!$C$4),"")</f>
        <v/>
      </c>
    </row>
    <row r="2802" spans="1:13" x14ac:dyDescent="0.25">
      <c r="A2802" s="24"/>
      <c r="B2802" s="20"/>
      <c r="C2802" s="20"/>
      <c r="D2802" s="14" t="str">
        <f>IF($C2802="","",IFERROR(INDEX(Productos!$B$5:$B$504,MATCH($C2802,Productos!$A$5:$A$504,0)),"Clave no existe"))</f>
        <v/>
      </c>
      <c r="E2802" s="14" t="str">
        <f>IF($C2802="","",IFERROR(INDEX(Productos!$D$5:$D$504,MATCH($C2802,Productos!$A$5:$A$504,0)),""))</f>
        <v/>
      </c>
      <c r="F2802" s="20"/>
      <c r="G2802" s="22" t="str">
        <f>IF($C2802="","",IFERROR(INDEX(Productos!$F$5:$F$504,MATCH($C2802,Productos!$A$5:$A$504,0)),0))</f>
        <v/>
      </c>
      <c r="H2802" s="22" t="str">
        <f t="shared" si="43"/>
        <v/>
      </c>
      <c r="I2802" s="14" t="str">
        <f>IF(OR($C2802="",$F2802=""),"",IFERROR(INDEX(Productos!$I$5:$I$504,MATCH($C2802,Productos!$A$5:$A$504,0)),0)+SUMIFS($F$5:$F2802,$C$5:$C2802,$C2802,$B$5:$B2802,"Entrada")-SUMIFS($F$5:$F2802,$C$5:$C2802,$C2802,$B$5:$B2802,"Salida"))</f>
        <v/>
      </c>
      <c r="J2802" s="20"/>
      <c r="K2802" s="20"/>
      <c r="L2802" s="20"/>
      <c r="M2802" s="14" t="str">
        <f>IF(AND($C2802&lt;&gt;"",$C2802=Kardex!$C$4),COUNTIF($C$5:$C2802,Kardex!$C$4),"")</f>
        <v/>
      </c>
    </row>
    <row r="2803" spans="1:13" x14ac:dyDescent="0.25">
      <c r="A2803" s="24"/>
      <c r="B2803" s="20"/>
      <c r="C2803" s="20"/>
      <c r="D2803" s="14" t="str">
        <f>IF($C2803="","",IFERROR(INDEX(Productos!$B$5:$B$504,MATCH($C2803,Productos!$A$5:$A$504,0)),"Clave no existe"))</f>
        <v/>
      </c>
      <c r="E2803" s="14" t="str">
        <f>IF($C2803="","",IFERROR(INDEX(Productos!$D$5:$D$504,MATCH($C2803,Productos!$A$5:$A$504,0)),""))</f>
        <v/>
      </c>
      <c r="F2803" s="20"/>
      <c r="G2803" s="22" t="str">
        <f>IF($C2803="","",IFERROR(INDEX(Productos!$F$5:$F$504,MATCH($C2803,Productos!$A$5:$A$504,0)),0))</f>
        <v/>
      </c>
      <c r="H2803" s="22" t="str">
        <f t="shared" si="43"/>
        <v/>
      </c>
      <c r="I2803" s="14" t="str">
        <f>IF(OR($C2803="",$F2803=""),"",IFERROR(INDEX(Productos!$I$5:$I$504,MATCH($C2803,Productos!$A$5:$A$504,0)),0)+SUMIFS($F$5:$F2803,$C$5:$C2803,$C2803,$B$5:$B2803,"Entrada")-SUMIFS($F$5:$F2803,$C$5:$C2803,$C2803,$B$5:$B2803,"Salida"))</f>
        <v/>
      </c>
      <c r="J2803" s="20"/>
      <c r="K2803" s="20"/>
      <c r="L2803" s="20"/>
      <c r="M2803" s="14" t="str">
        <f>IF(AND($C2803&lt;&gt;"",$C2803=Kardex!$C$4),COUNTIF($C$5:$C2803,Kardex!$C$4),"")</f>
        <v/>
      </c>
    </row>
    <row r="2804" spans="1:13" x14ac:dyDescent="0.25">
      <c r="A2804" s="24"/>
      <c r="B2804" s="20"/>
      <c r="C2804" s="20"/>
      <c r="D2804" s="14" t="str">
        <f>IF($C2804="","",IFERROR(INDEX(Productos!$B$5:$B$504,MATCH($C2804,Productos!$A$5:$A$504,0)),"Clave no existe"))</f>
        <v/>
      </c>
      <c r="E2804" s="14" t="str">
        <f>IF($C2804="","",IFERROR(INDEX(Productos!$D$5:$D$504,MATCH($C2804,Productos!$A$5:$A$504,0)),""))</f>
        <v/>
      </c>
      <c r="F2804" s="20"/>
      <c r="G2804" s="22" t="str">
        <f>IF($C2804="","",IFERROR(INDEX(Productos!$F$5:$F$504,MATCH($C2804,Productos!$A$5:$A$504,0)),0))</f>
        <v/>
      </c>
      <c r="H2804" s="22" t="str">
        <f t="shared" si="43"/>
        <v/>
      </c>
      <c r="I2804" s="14" t="str">
        <f>IF(OR($C2804="",$F2804=""),"",IFERROR(INDEX(Productos!$I$5:$I$504,MATCH($C2804,Productos!$A$5:$A$504,0)),0)+SUMIFS($F$5:$F2804,$C$5:$C2804,$C2804,$B$5:$B2804,"Entrada")-SUMIFS($F$5:$F2804,$C$5:$C2804,$C2804,$B$5:$B2804,"Salida"))</f>
        <v/>
      </c>
      <c r="J2804" s="20"/>
      <c r="K2804" s="20"/>
      <c r="L2804" s="20"/>
      <c r="M2804" s="14" t="str">
        <f>IF(AND($C2804&lt;&gt;"",$C2804=Kardex!$C$4),COUNTIF($C$5:$C2804,Kardex!$C$4),"")</f>
        <v/>
      </c>
    </row>
    <row r="2805" spans="1:13" x14ac:dyDescent="0.25">
      <c r="A2805" s="24"/>
      <c r="B2805" s="20"/>
      <c r="C2805" s="20"/>
      <c r="D2805" s="14" t="str">
        <f>IF($C2805="","",IFERROR(INDEX(Productos!$B$5:$B$504,MATCH($C2805,Productos!$A$5:$A$504,0)),"Clave no existe"))</f>
        <v/>
      </c>
      <c r="E2805" s="14" t="str">
        <f>IF($C2805="","",IFERROR(INDEX(Productos!$D$5:$D$504,MATCH($C2805,Productos!$A$5:$A$504,0)),""))</f>
        <v/>
      </c>
      <c r="F2805" s="20"/>
      <c r="G2805" s="22" t="str">
        <f>IF($C2805="","",IFERROR(INDEX(Productos!$F$5:$F$504,MATCH($C2805,Productos!$A$5:$A$504,0)),0))</f>
        <v/>
      </c>
      <c r="H2805" s="22" t="str">
        <f t="shared" si="43"/>
        <v/>
      </c>
      <c r="I2805" s="14" t="str">
        <f>IF(OR($C2805="",$F2805=""),"",IFERROR(INDEX(Productos!$I$5:$I$504,MATCH($C2805,Productos!$A$5:$A$504,0)),0)+SUMIFS($F$5:$F2805,$C$5:$C2805,$C2805,$B$5:$B2805,"Entrada")-SUMIFS($F$5:$F2805,$C$5:$C2805,$C2805,$B$5:$B2805,"Salida"))</f>
        <v/>
      </c>
      <c r="J2805" s="20"/>
      <c r="K2805" s="20"/>
      <c r="L2805" s="20"/>
      <c r="M2805" s="14" t="str">
        <f>IF(AND($C2805&lt;&gt;"",$C2805=Kardex!$C$4),COUNTIF($C$5:$C2805,Kardex!$C$4),"")</f>
        <v/>
      </c>
    </row>
    <row r="2806" spans="1:13" x14ac:dyDescent="0.25">
      <c r="A2806" s="24"/>
      <c r="B2806" s="20"/>
      <c r="C2806" s="20"/>
      <c r="D2806" s="14" t="str">
        <f>IF($C2806="","",IFERROR(INDEX(Productos!$B$5:$B$504,MATCH($C2806,Productos!$A$5:$A$504,0)),"Clave no existe"))</f>
        <v/>
      </c>
      <c r="E2806" s="14" t="str">
        <f>IF($C2806="","",IFERROR(INDEX(Productos!$D$5:$D$504,MATCH($C2806,Productos!$A$5:$A$504,0)),""))</f>
        <v/>
      </c>
      <c r="F2806" s="20"/>
      <c r="G2806" s="22" t="str">
        <f>IF($C2806="","",IFERROR(INDEX(Productos!$F$5:$F$504,MATCH($C2806,Productos!$A$5:$A$504,0)),0))</f>
        <v/>
      </c>
      <c r="H2806" s="22" t="str">
        <f t="shared" si="43"/>
        <v/>
      </c>
      <c r="I2806" s="14" t="str">
        <f>IF(OR($C2806="",$F2806=""),"",IFERROR(INDEX(Productos!$I$5:$I$504,MATCH($C2806,Productos!$A$5:$A$504,0)),0)+SUMIFS($F$5:$F2806,$C$5:$C2806,$C2806,$B$5:$B2806,"Entrada")-SUMIFS($F$5:$F2806,$C$5:$C2806,$C2806,$B$5:$B2806,"Salida"))</f>
        <v/>
      </c>
      <c r="J2806" s="20"/>
      <c r="K2806" s="20"/>
      <c r="L2806" s="20"/>
      <c r="M2806" s="14" t="str">
        <f>IF(AND($C2806&lt;&gt;"",$C2806=Kardex!$C$4),COUNTIF($C$5:$C2806,Kardex!$C$4),"")</f>
        <v/>
      </c>
    </row>
    <row r="2807" spans="1:13" x14ac:dyDescent="0.25">
      <c r="A2807" s="24"/>
      <c r="B2807" s="20"/>
      <c r="C2807" s="20"/>
      <c r="D2807" s="14" t="str">
        <f>IF($C2807="","",IFERROR(INDEX(Productos!$B$5:$B$504,MATCH($C2807,Productos!$A$5:$A$504,0)),"Clave no existe"))</f>
        <v/>
      </c>
      <c r="E2807" s="14" t="str">
        <f>IF($C2807="","",IFERROR(INDEX(Productos!$D$5:$D$504,MATCH($C2807,Productos!$A$5:$A$504,0)),""))</f>
        <v/>
      </c>
      <c r="F2807" s="20"/>
      <c r="G2807" s="22" t="str">
        <f>IF($C2807="","",IFERROR(INDEX(Productos!$F$5:$F$504,MATCH($C2807,Productos!$A$5:$A$504,0)),0))</f>
        <v/>
      </c>
      <c r="H2807" s="22" t="str">
        <f t="shared" si="43"/>
        <v/>
      </c>
      <c r="I2807" s="14" t="str">
        <f>IF(OR($C2807="",$F2807=""),"",IFERROR(INDEX(Productos!$I$5:$I$504,MATCH($C2807,Productos!$A$5:$A$504,0)),0)+SUMIFS($F$5:$F2807,$C$5:$C2807,$C2807,$B$5:$B2807,"Entrada")-SUMIFS($F$5:$F2807,$C$5:$C2807,$C2807,$B$5:$B2807,"Salida"))</f>
        <v/>
      </c>
      <c r="J2807" s="20"/>
      <c r="K2807" s="20"/>
      <c r="L2807" s="20"/>
      <c r="M2807" s="14" t="str">
        <f>IF(AND($C2807&lt;&gt;"",$C2807=Kardex!$C$4),COUNTIF($C$5:$C2807,Kardex!$C$4),"")</f>
        <v/>
      </c>
    </row>
    <row r="2808" spans="1:13" x14ac:dyDescent="0.25">
      <c r="A2808" s="24"/>
      <c r="B2808" s="20"/>
      <c r="C2808" s="20"/>
      <c r="D2808" s="14" t="str">
        <f>IF($C2808="","",IFERROR(INDEX(Productos!$B$5:$B$504,MATCH($C2808,Productos!$A$5:$A$504,0)),"Clave no existe"))</f>
        <v/>
      </c>
      <c r="E2808" s="14" t="str">
        <f>IF($C2808="","",IFERROR(INDEX(Productos!$D$5:$D$504,MATCH($C2808,Productos!$A$5:$A$504,0)),""))</f>
        <v/>
      </c>
      <c r="F2808" s="20"/>
      <c r="G2808" s="22" t="str">
        <f>IF($C2808="","",IFERROR(INDEX(Productos!$F$5:$F$504,MATCH($C2808,Productos!$A$5:$A$504,0)),0))</f>
        <v/>
      </c>
      <c r="H2808" s="22" t="str">
        <f t="shared" si="43"/>
        <v/>
      </c>
      <c r="I2808" s="14" t="str">
        <f>IF(OR($C2808="",$F2808=""),"",IFERROR(INDEX(Productos!$I$5:$I$504,MATCH($C2808,Productos!$A$5:$A$504,0)),0)+SUMIFS($F$5:$F2808,$C$5:$C2808,$C2808,$B$5:$B2808,"Entrada")-SUMIFS($F$5:$F2808,$C$5:$C2808,$C2808,$B$5:$B2808,"Salida"))</f>
        <v/>
      </c>
      <c r="J2808" s="20"/>
      <c r="K2808" s="20"/>
      <c r="L2808" s="20"/>
      <c r="M2808" s="14" t="str">
        <f>IF(AND($C2808&lt;&gt;"",$C2808=Kardex!$C$4),COUNTIF($C$5:$C2808,Kardex!$C$4),"")</f>
        <v/>
      </c>
    </row>
    <row r="2809" spans="1:13" x14ac:dyDescent="0.25">
      <c r="A2809" s="24"/>
      <c r="B2809" s="20"/>
      <c r="C2809" s="20"/>
      <c r="D2809" s="14" t="str">
        <f>IF($C2809="","",IFERROR(INDEX(Productos!$B$5:$B$504,MATCH($C2809,Productos!$A$5:$A$504,0)),"Clave no existe"))</f>
        <v/>
      </c>
      <c r="E2809" s="14" t="str">
        <f>IF($C2809="","",IFERROR(INDEX(Productos!$D$5:$D$504,MATCH($C2809,Productos!$A$5:$A$504,0)),""))</f>
        <v/>
      </c>
      <c r="F2809" s="20"/>
      <c r="G2809" s="22" t="str">
        <f>IF($C2809="","",IFERROR(INDEX(Productos!$F$5:$F$504,MATCH($C2809,Productos!$A$5:$A$504,0)),0))</f>
        <v/>
      </c>
      <c r="H2809" s="22" t="str">
        <f t="shared" si="43"/>
        <v/>
      </c>
      <c r="I2809" s="14" t="str">
        <f>IF(OR($C2809="",$F2809=""),"",IFERROR(INDEX(Productos!$I$5:$I$504,MATCH($C2809,Productos!$A$5:$A$504,0)),0)+SUMIFS($F$5:$F2809,$C$5:$C2809,$C2809,$B$5:$B2809,"Entrada")-SUMIFS($F$5:$F2809,$C$5:$C2809,$C2809,$B$5:$B2809,"Salida"))</f>
        <v/>
      </c>
      <c r="J2809" s="20"/>
      <c r="K2809" s="20"/>
      <c r="L2809" s="20"/>
      <c r="M2809" s="14" t="str">
        <f>IF(AND($C2809&lt;&gt;"",$C2809=Kardex!$C$4),COUNTIF($C$5:$C2809,Kardex!$C$4),"")</f>
        <v/>
      </c>
    </row>
    <row r="2810" spans="1:13" x14ac:dyDescent="0.25">
      <c r="A2810" s="24"/>
      <c r="B2810" s="20"/>
      <c r="C2810" s="20"/>
      <c r="D2810" s="14" t="str">
        <f>IF($C2810="","",IFERROR(INDEX(Productos!$B$5:$B$504,MATCH($C2810,Productos!$A$5:$A$504,0)),"Clave no existe"))</f>
        <v/>
      </c>
      <c r="E2810" s="14" t="str">
        <f>IF($C2810="","",IFERROR(INDEX(Productos!$D$5:$D$504,MATCH($C2810,Productos!$A$5:$A$504,0)),""))</f>
        <v/>
      </c>
      <c r="F2810" s="20"/>
      <c r="G2810" s="22" t="str">
        <f>IF($C2810="","",IFERROR(INDEX(Productos!$F$5:$F$504,MATCH($C2810,Productos!$A$5:$A$504,0)),0))</f>
        <v/>
      </c>
      <c r="H2810" s="22" t="str">
        <f t="shared" si="43"/>
        <v/>
      </c>
      <c r="I2810" s="14" t="str">
        <f>IF(OR($C2810="",$F2810=""),"",IFERROR(INDEX(Productos!$I$5:$I$504,MATCH($C2810,Productos!$A$5:$A$504,0)),0)+SUMIFS($F$5:$F2810,$C$5:$C2810,$C2810,$B$5:$B2810,"Entrada")-SUMIFS($F$5:$F2810,$C$5:$C2810,$C2810,$B$5:$B2810,"Salida"))</f>
        <v/>
      </c>
      <c r="J2810" s="20"/>
      <c r="K2810" s="20"/>
      <c r="L2810" s="20"/>
      <c r="M2810" s="14" t="str">
        <f>IF(AND($C2810&lt;&gt;"",$C2810=Kardex!$C$4),COUNTIF($C$5:$C2810,Kardex!$C$4),"")</f>
        <v/>
      </c>
    </row>
    <row r="2811" spans="1:13" x14ac:dyDescent="0.25">
      <c r="A2811" s="24"/>
      <c r="B2811" s="20"/>
      <c r="C2811" s="20"/>
      <c r="D2811" s="14" t="str">
        <f>IF($C2811="","",IFERROR(INDEX(Productos!$B$5:$B$504,MATCH($C2811,Productos!$A$5:$A$504,0)),"Clave no existe"))</f>
        <v/>
      </c>
      <c r="E2811" s="14" t="str">
        <f>IF($C2811="","",IFERROR(INDEX(Productos!$D$5:$D$504,MATCH($C2811,Productos!$A$5:$A$504,0)),""))</f>
        <v/>
      </c>
      <c r="F2811" s="20"/>
      <c r="G2811" s="22" t="str">
        <f>IF($C2811="","",IFERROR(INDEX(Productos!$F$5:$F$504,MATCH($C2811,Productos!$A$5:$A$504,0)),0))</f>
        <v/>
      </c>
      <c r="H2811" s="22" t="str">
        <f t="shared" si="43"/>
        <v/>
      </c>
      <c r="I2811" s="14" t="str">
        <f>IF(OR($C2811="",$F2811=""),"",IFERROR(INDEX(Productos!$I$5:$I$504,MATCH($C2811,Productos!$A$5:$A$504,0)),0)+SUMIFS($F$5:$F2811,$C$5:$C2811,$C2811,$B$5:$B2811,"Entrada")-SUMIFS($F$5:$F2811,$C$5:$C2811,$C2811,$B$5:$B2811,"Salida"))</f>
        <v/>
      </c>
      <c r="J2811" s="20"/>
      <c r="K2811" s="20"/>
      <c r="L2811" s="20"/>
      <c r="M2811" s="14" t="str">
        <f>IF(AND($C2811&lt;&gt;"",$C2811=Kardex!$C$4),COUNTIF($C$5:$C2811,Kardex!$C$4),"")</f>
        <v/>
      </c>
    </row>
    <row r="2812" spans="1:13" x14ac:dyDescent="0.25">
      <c r="A2812" s="24"/>
      <c r="B2812" s="20"/>
      <c r="C2812" s="20"/>
      <c r="D2812" s="14" t="str">
        <f>IF($C2812="","",IFERROR(INDEX(Productos!$B$5:$B$504,MATCH($C2812,Productos!$A$5:$A$504,0)),"Clave no existe"))</f>
        <v/>
      </c>
      <c r="E2812" s="14" t="str">
        <f>IF($C2812="","",IFERROR(INDEX(Productos!$D$5:$D$504,MATCH($C2812,Productos!$A$5:$A$504,0)),""))</f>
        <v/>
      </c>
      <c r="F2812" s="20"/>
      <c r="G2812" s="22" t="str">
        <f>IF($C2812="","",IFERROR(INDEX(Productos!$F$5:$F$504,MATCH($C2812,Productos!$A$5:$A$504,0)),0))</f>
        <v/>
      </c>
      <c r="H2812" s="22" t="str">
        <f t="shared" si="43"/>
        <v/>
      </c>
      <c r="I2812" s="14" t="str">
        <f>IF(OR($C2812="",$F2812=""),"",IFERROR(INDEX(Productos!$I$5:$I$504,MATCH($C2812,Productos!$A$5:$A$504,0)),0)+SUMIFS($F$5:$F2812,$C$5:$C2812,$C2812,$B$5:$B2812,"Entrada")-SUMIFS($F$5:$F2812,$C$5:$C2812,$C2812,$B$5:$B2812,"Salida"))</f>
        <v/>
      </c>
      <c r="J2812" s="20"/>
      <c r="K2812" s="20"/>
      <c r="L2812" s="20"/>
      <c r="M2812" s="14" t="str">
        <f>IF(AND($C2812&lt;&gt;"",$C2812=Kardex!$C$4),COUNTIF($C$5:$C2812,Kardex!$C$4),"")</f>
        <v/>
      </c>
    </row>
    <row r="2813" spans="1:13" x14ac:dyDescent="0.25">
      <c r="A2813" s="24"/>
      <c r="B2813" s="20"/>
      <c r="C2813" s="20"/>
      <c r="D2813" s="14" t="str">
        <f>IF($C2813="","",IFERROR(INDEX(Productos!$B$5:$B$504,MATCH($C2813,Productos!$A$5:$A$504,0)),"Clave no existe"))</f>
        <v/>
      </c>
      <c r="E2813" s="14" t="str">
        <f>IF($C2813="","",IFERROR(INDEX(Productos!$D$5:$D$504,MATCH($C2813,Productos!$A$5:$A$504,0)),""))</f>
        <v/>
      </c>
      <c r="F2813" s="20"/>
      <c r="G2813" s="22" t="str">
        <f>IF($C2813="","",IFERROR(INDEX(Productos!$F$5:$F$504,MATCH($C2813,Productos!$A$5:$A$504,0)),0))</f>
        <v/>
      </c>
      <c r="H2813" s="22" t="str">
        <f t="shared" si="43"/>
        <v/>
      </c>
      <c r="I2813" s="14" t="str">
        <f>IF(OR($C2813="",$F2813=""),"",IFERROR(INDEX(Productos!$I$5:$I$504,MATCH($C2813,Productos!$A$5:$A$504,0)),0)+SUMIFS($F$5:$F2813,$C$5:$C2813,$C2813,$B$5:$B2813,"Entrada")-SUMIFS($F$5:$F2813,$C$5:$C2813,$C2813,$B$5:$B2813,"Salida"))</f>
        <v/>
      </c>
      <c r="J2813" s="20"/>
      <c r="K2813" s="20"/>
      <c r="L2813" s="20"/>
      <c r="M2813" s="14" t="str">
        <f>IF(AND($C2813&lt;&gt;"",$C2813=Kardex!$C$4),COUNTIF($C$5:$C2813,Kardex!$C$4),"")</f>
        <v/>
      </c>
    </row>
    <row r="2814" spans="1:13" x14ac:dyDescent="0.25">
      <c r="A2814" s="24"/>
      <c r="B2814" s="20"/>
      <c r="C2814" s="20"/>
      <c r="D2814" s="14" t="str">
        <f>IF($C2814="","",IFERROR(INDEX(Productos!$B$5:$B$504,MATCH($C2814,Productos!$A$5:$A$504,0)),"Clave no existe"))</f>
        <v/>
      </c>
      <c r="E2814" s="14" t="str">
        <f>IF($C2814="","",IFERROR(INDEX(Productos!$D$5:$D$504,MATCH($C2814,Productos!$A$5:$A$504,0)),""))</f>
        <v/>
      </c>
      <c r="F2814" s="20"/>
      <c r="G2814" s="22" t="str">
        <f>IF($C2814="","",IFERROR(INDEX(Productos!$F$5:$F$504,MATCH($C2814,Productos!$A$5:$A$504,0)),0))</f>
        <v/>
      </c>
      <c r="H2814" s="22" t="str">
        <f t="shared" si="43"/>
        <v/>
      </c>
      <c r="I2814" s="14" t="str">
        <f>IF(OR($C2814="",$F2814=""),"",IFERROR(INDEX(Productos!$I$5:$I$504,MATCH($C2814,Productos!$A$5:$A$504,0)),0)+SUMIFS($F$5:$F2814,$C$5:$C2814,$C2814,$B$5:$B2814,"Entrada")-SUMIFS($F$5:$F2814,$C$5:$C2814,$C2814,$B$5:$B2814,"Salida"))</f>
        <v/>
      </c>
      <c r="J2814" s="20"/>
      <c r="K2814" s="20"/>
      <c r="L2814" s="20"/>
      <c r="M2814" s="14" t="str">
        <f>IF(AND($C2814&lt;&gt;"",$C2814=Kardex!$C$4),COUNTIF($C$5:$C2814,Kardex!$C$4),"")</f>
        <v/>
      </c>
    </row>
    <row r="2815" spans="1:13" x14ac:dyDescent="0.25">
      <c r="A2815" s="24"/>
      <c r="B2815" s="20"/>
      <c r="C2815" s="20"/>
      <c r="D2815" s="14" t="str">
        <f>IF($C2815="","",IFERROR(INDEX(Productos!$B$5:$B$504,MATCH($C2815,Productos!$A$5:$A$504,0)),"Clave no existe"))</f>
        <v/>
      </c>
      <c r="E2815" s="14" t="str">
        <f>IF($C2815="","",IFERROR(INDEX(Productos!$D$5:$D$504,MATCH($C2815,Productos!$A$5:$A$504,0)),""))</f>
        <v/>
      </c>
      <c r="F2815" s="20"/>
      <c r="G2815" s="22" t="str">
        <f>IF($C2815="","",IFERROR(INDEX(Productos!$F$5:$F$504,MATCH($C2815,Productos!$A$5:$A$504,0)),0))</f>
        <v/>
      </c>
      <c r="H2815" s="22" t="str">
        <f t="shared" si="43"/>
        <v/>
      </c>
      <c r="I2815" s="14" t="str">
        <f>IF(OR($C2815="",$F2815=""),"",IFERROR(INDEX(Productos!$I$5:$I$504,MATCH($C2815,Productos!$A$5:$A$504,0)),0)+SUMIFS($F$5:$F2815,$C$5:$C2815,$C2815,$B$5:$B2815,"Entrada")-SUMIFS($F$5:$F2815,$C$5:$C2815,$C2815,$B$5:$B2815,"Salida"))</f>
        <v/>
      </c>
      <c r="J2815" s="20"/>
      <c r="K2815" s="20"/>
      <c r="L2815" s="20"/>
      <c r="M2815" s="14" t="str">
        <f>IF(AND($C2815&lt;&gt;"",$C2815=Kardex!$C$4),COUNTIF($C$5:$C2815,Kardex!$C$4),"")</f>
        <v/>
      </c>
    </row>
    <row r="2816" spans="1:13" x14ac:dyDescent="0.25">
      <c r="A2816" s="24"/>
      <c r="B2816" s="20"/>
      <c r="C2816" s="20"/>
      <c r="D2816" s="14" t="str">
        <f>IF($C2816="","",IFERROR(INDEX(Productos!$B$5:$B$504,MATCH($C2816,Productos!$A$5:$A$504,0)),"Clave no existe"))</f>
        <v/>
      </c>
      <c r="E2816" s="14" t="str">
        <f>IF($C2816="","",IFERROR(INDEX(Productos!$D$5:$D$504,MATCH($C2816,Productos!$A$5:$A$504,0)),""))</f>
        <v/>
      </c>
      <c r="F2816" s="20"/>
      <c r="G2816" s="22" t="str">
        <f>IF($C2816="","",IFERROR(INDEX(Productos!$F$5:$F$504,MATCH($C2816,Productos!$A$5:$A$504,0)),0))</f>
        <v/>
      </c>
      <c r="H2816" s="22" t="str">
        <f t="shared" si="43"/>
        <v/>
      </c>
      <c r="I2816" s="14" t="str">
        <f>IF(OR($C2816="",$F2816=""),"",IFERROR(INDEX(Productos!$I$5:$I$504,MATCH($C2816,Productos!$A$5:$A$504,0)),0)+SUMIFS($F$5:$F2816,$C$5:$C2816,$C2816,$B$5:$B2816,"Entrada")-SUMIFS($F$5:$F2816,$C$5:$C2816,$C2816,$B$5:$B2816,"Salida"))</f>
        <v/>
      </c>
      <c r="J2816" s="20"/>
      <c r="K2816" s="20"/>
      <c r="L2816" s="20"/>
      <c r="M2816" s="14" t="str">
        <f>IF(AND($C2816&lt;&gt;"",$C2816=Kardex!$C$4),COUNTIF($C$5:$C2816,Kardex!$C$4),"")</f>
        <v/>
      </c>
    </row>
    <row r="2817" spans="1:13" x14ac:dyDescent="0.25">
      <c r="A2817" s="24"/>
      <c r="B2817" s="20"/>
      <c r="C2817" s="20"/>
      <c r="D2817" s="14" t="str">
        <f>IF($C2817="","",IFERROR(INDEX(Productos!$B$5:$B$504,MATCH($C2817,Productos!$A$5:$A$504,0)),"Clave no existe"))</f>
        <v/>
      </c>
      <c r="E2817" s="14" t="str">
        <f>IF($C2817="","",IFERROR(INDEX(Productos!$D$5:$D$504,MATCH($C2817,Productos!$A$5:$A$504,0)),""))</f>
        <v/>
      </c>
      <c r="F2817" s="20"/>
      <c r="G2817" s="22" t="str">
        <f>IF($C2817="","",IFERROR(INDEX(Productos!$F$5:$F$504,MATCH($C2817,Productos!$A$5:$A$504,0)),0))</f>
        <v/>
      </c>
      <c r="H2817" s="22" t="str">
        <f t="shared" si="43"/>
        <v/>
      </c>
      <c r="I2817" s="14" t="str">
        <f>IF(OR($C2817="",$F2817=""),"",IFERROR(INDEX(Productos!$I$5:$I$504,MATCH($C2817,Productos!$A$5:$A$504,0)),0)+SUMIFS($F$5:$F2817,$C$5:$C2817,$C2817,$B$5:$B2817,"Entrada")-SUMIFS($F$5:$F2817,$C$5:$C2817,$C2817,$B$5:$B2817,"Salida"))</f>
        <v/>
      </c>
      <c r="J2817" s="20"/>
      <c r="K2817" s="20"/>
      <c r="L2817" s="20"/>
      <c r="M2817" s="14" t="str">
        <f>IF(AND($C2817&lt;&gt;"",$C2817=Kardex!$C$4),COUNTIF($C$5:$C2817,Kardex!$C$4),"")</f>
        <v/>
      </c>
    </row>
    <row r="2818" spans="1:13" x14ac:dyDescent="0.25">
      <c r="A2818" s="24"/>
      <c r="B2818" s="20"/>
      <c r="C2818" s="20"/>
      <c r="D2818" s="14" t="str">
        <f>IF($C2818="","",IFERROR(INDEX(Productos!$B$5:$B$504,MATCH($C2818,Productos!$A$5:$A$504,0)),"Clave no existe"))</f>
        <v/>
      </c>
      <c r="E2818" s="14" t="str">
        <f>IF($C2818="","",IFERROR(INDEX(Productos!$D$5:$D$504,MATCH($C2818,Productos!$A$5:$A$504,0)),""))</f>
        <v/>
      </c>
      <c r="F2818" s="20"/>
      <c r="G2818" s="22" t="str">
        <f>IF($C2818="","",IFERROR(INDEX(Productos!$F$5:$F$504,MATCH($C2818,Productos!$A$5:$A$504,0)),0))</f>
        <v/>
      </c>
      <c r="H2818" s="22" t="str">
        <f t="shared" si="43"/>
        <v/>
      </c>
      <c r="I2818" s="14" t="str">
        <f>IF(OR($C2818="",$F2818=""),"",IFERROR(INDEX(Productos!$I$5:$I$504,MATCH($C2818,Productos!$A$5:$A$504,0)),0)+SUMIFS($F$5:$F2818,$C$5:$C2818,$C2818,$B$5:$B2818,"Entrada")-SUMIFS($F$5:$F2818,$C$5:$C2818,$C2818,$B$5:$B2818,"Salida"))</f>
        <v/>
      </c>
      <c r="J2818" s="20"/>
      <c r="K2818" s="20"/>
      <c r="L2818" s="20"/>
      <c r="M2818" s="14" t="str">
        <f>IF(AND($C2818&lt;&gt;"",$C2818=Kardex!$C$4),COUNTIF($C$5:$C2818,Kardex!$C$4),"")</f>
        <v/>
      </c>
    </row>
    <row r="2819" spans="1:13" x14ac:dyDescent="0.25">
      <c r="A2819" s="24"/>
      <c r="B2819" s="20"/>
      <c r="C2819" s="20"/>
      <c r="D2819" s="14" t="str">
        <f>IF($C2819="","",IFERROR(INDEX(Productos!$B$5:$B$504,MATCH($C2819,Productos!$A$5:$A$504,0)),"Clave no existe"))</f>
        <v/>
      </c>
      <c r="E2819" s="14" t="str">
        <f>IF($C2819="","",IFERROR(INDEX(Productos!$D$5:$D$504,MATCH($C2819,Productos!$A$5:$A$504,0)),""))</f>
        <v/>
      </c>
      <c r="F2819" s="20"/>
      <c r="G2819" s="22" t="str">
        <f>IF($C2819="","",IFERROR(INDEX(Productos!$F$5:$F$504,MATCH($C2819,Productos!$A$5:$A$504,0)),0))</f>
        <v/>
      </c>
      <c r="H2819" s="22" t="str">
        <f t="shared" si="43"/>
        <v/>
      </c>
      <c r="I2819" s="14" t="str">
        <f>IF(OR($C2819="",$F2819=""),"",IFERROR(INDEX(Productos!$I$5:$I$504,MATCH($C2819,Productos!$A$5:$A$504,0)),0)+SUMIFS($F$5:$F2819,$C$5:$C2819,$C2819,$B$5:$B2819,"Entrada")-SUMIFS($F$5:$F2819,$C$5:$C2819,$C2819,$B$5:$B2819,"Salida"))</f>
        <v/>
      </c>
      <c r="J2819" s="20"/>
      <c r="K2819" s="20"/>
      <c r="L2819" s="20"/>
      <c r="M2819" s="14" t="str">
        <f>IF(AND($C2819&lt;&gt;"",$C2819=Kardex!$C$4),COUNTIF($C$5:$C2819,Kardex!$C$4),"")</f>
        <v/>
      </c>
    </row>
    <row r="2820" spans="1:13" x14ac:dyDescent="0.25">
      <c r="A2820" s="24"/>
      <c r="B2820" s="20"/>
      <c r="C2820" s="20"/>
      <c r="D2820" s="14" t="str">
        <f>IF($C2820="","",IFERROR(INDEX(Productos!$B$5:$B$504,MATCH($C2820,Productos!$A$5:$A$504,0)),"Clave no existe"))</f>
        <v/>
      </c>
      <c r="E2820" s="14" t="str">
        <f>IF($C2820="","",IFERROR(INDEX(Productos!$D$5:$D$504,MATCH($C2820,Productos!$A$5:$A$504,0)),""))</f>
        <v/>
      </c>
      <c r="F2820" s="20"/>
      <c r="G2820" s="22" t="str">
        <f>IF($C2820="","",IFERROR(INDEX(Productos!$F$5:$F$504,MATCH($C2820,Productos!$A$5:$A$504,0)),0))</f>
        <v/>
      </c>
      <c r="H2820" s="22" t="str">
        <f t="shared" si="43"/>
        <v/>
      </c>
      <c r="I2820" s="14" t="str">
        <f>IF(OR($C2820="",$F2820=""),"",IFERROR(INDEX(Productos!$I$5:$I$504,MATCH($C2820,Productos!$A$5:$A$504,0)),0)+SUMIFS($F$5:$F2820,$C$5:$C2820,$C2820,$B$5:$B2820,"Entrada")-SUMIFS($F$5:$F2820,$C$5:$C2820,$C2820,$B$5:$B2820,"Salida"))</f>
        <v/>
      </c>
      <c r="J2820" s="20"/>
      <c r="K2820" s="20"/>
      <c r="L2820" s="20"/>
      <c r="M2820" s="14" t="str">
        <f>IF(AND($C2820&lt;&gt;"",$C2820=Kardex!$C$4),COUNTIF($C$5:$C2820,Kardex!$C$4),"")</f>
        <v/>
      </c>
    </row>
    <row r="2821" spans="1:13" x14ac:dyDescent="0.25">
      <c r="A2821" s="24"/>
      <c r="B2821" s="20"/>
      <c r="C2821" s="20"/>
      <c r="D2821" s="14" t="str">
        <f>IF($C2821="","",IFERROR(INDEX(Productos!$B$5:$B$504,MATCH($C2821,Productos!$A$5:$A$504,0)),"Clave no existe"))</f>
        <v/>
      </c>
      <c r="E2821" s="14" t="str">
        <f>IF($C2821="","",IFERROR(INDEX(Productos!$D$5:$D$504,MATCH($C2821,Productos!$A$5:$A$504,0)),""))</f>
        <v/>
      </c>
      <c r="F2821" s="20"/>
      <c r="G2821" s="22" t="str">
        <f>IF($C2821="","",IFERROR(INDEX(Productos!$F$5:$F$504,MATCH($C2821,Productos!$A$5:$A$504,0)),0))</f>
        <v/>
      </c>
      <c r="H2821" s="22" t="str">
        <f t="shared" ref="H2821:H2884" si="44">IF(OR($C2821="",$F2821=""),"",F2821*G2821)</f>
        <v/>
      </c>
      <c r="I2821" s="14" t="str">
        <f>IF(OR($C2821="",$F2821=""),"",IFERROR(INDEX(Productos!$I$5:$I$504,MATCH($C2821,Productos!$A$5:$A$504,0)),0)+SUMIFS($F$5:$F2821,$C$5:$C2821,$C2821,$B$5:$B2821,"Entrada")-SUMIFS($F$5:$F2821,$C$5:$C2821,$C2821,$B$5:$B2821,"Salida"))</f>
        <v/>
      </c>
      <c r="J2821" s="20"/>
      <c r="K2821" s="20"/>
      <c r="L2821" s="20"/>
      <c r="M2821" s="14" t="str">
        <f>IF(AND($C2821&lt;&gt;"",$C2821=Kardex!$C$4),COUNTIF($C$5:$C2821,Kardex!$C$4),"")</f>
        <v/>
      </c>
    </row>
    <row r="2822" spans="1:13" x14ac:dyDescent="0.25">
      <c r="A2822" s="24"/>
      <c r="B2822" s="20"/>
      <c r="C2822" s="20"/>
      <c r="D2822" s="14" t="str">
        <f>IF($C2822="","",IFERROR(INDEX(Productos!$B$5:$B$504,MATCH($C2822,Productos!$A$5:$A$504,0)),"Clave no existe"))</f>
        <v/>
      </c>
      <c r="E2822" s="14" t="str">
        <f>IF($C2822="","",IFERROR(INDEX(Productos!$D$5:$D$504,MATCH($C2822,Productos!$A$5:$A$504,0)),""))</f>
        <v/>
      </c>
      <c r="F2822" s="20"/>
      <c r="G2822" s="22" t="str">
        <f>IF($C2822="","",IFERROR(INDEX(Productos!$F$5:$F$504,MATCH($C2822,Productos!$A$5:$A$504,0)),0))</f>
        <v/>
      </c>
      <c r="H2822" s="22" t="str">
        <f t="shared" si="44"/>
        <v/>
      </c>
      <c r="I2822" s="14" t="str">
        <f>IF(OR($C2822="",$F2822=""),"",IFERROR(INDEX(Productos!$I$5:$I$504,MATCH($C2822,Productos!$A$5:$A$504,0)),0)+SUMIFS($F$5:$F2822,$C$5:$C2822,$C2822,$B$5:$B2822,"Entrada")-SUMIFS($F$5:$F2822,$C$5:$C2822,$C2822,$B$5:$B2822,"Salida"))</f>
        <v/>
      </c>
      <c r="J2822" s="20"/>
      <c r="K2822" s="20"/>
      <c r="L2822" s="20"/>
      <c r="M2822" s="14" t="str">
        <f>IF(AND($C2822&lt;&gt;"",$C2822=Kardex!$C$4),COUNTIF($C$5:$C2822,Kardex!$C$4),"")</f>
        <v/>
      </c>
    </row>
    <row r="2823" spans="1:13" x14ac:dyDescent="0.25">
      <c r="A2823" s="24"/>
      <c r="B2823" s="20"/>
      <c r="C2823" s="20"/>
      <c r="D2823" s="14" t="str">
        <f>IF($C2823="","",IFERROR(INDEX(Productos!$B$5:$B$504,MATCH($C2823,Productos!$A$5:$A$504,0)),"Clave no existe"))</f>
        <v/>
      </c>
      <c r="E2823" s="14" t="str">
        <f>IF($C2823="","",IFERROR(INDEX(Productos!$D$5:$D$504,MATCH($C2823,Productos!$A$5:$A$504,0)),""))</f>
        <v/>
      </c>
      <c r="F2823" s="20"/>
      <c r="G2823" s="22" t="str">
        <f>IF($C2823="","",IFERROR(INDEX(Productos!$F$5:$F$504,MATCH($C2823,Productos!$A$5:$A$504,0)),0))</f>
        <v/>
      </c>
      <c r="H2823" s="22" t="str">
        <f t="shared" si="44"/>
        <v/>
      </c>
      <c r="I2823" s="14" t="str">
        <f>IF(OR($C2823="",$F2823=""),"",IFERROR(INDEX(Productos!$I$5:$I$504,MATCH($C2823,Productos!$A$5:$A$504,0)),0)+SUMIFS($F$5:$F2823,$C$5:$C2823,$C2823,$B$5:$B2823,"Entrada")-SUMIFS($F$5:$F2823,$C$5:$C2823,$C2823,$B$5:$B2823,"Salida"))</f>
        <v/>
      </c>
      <c r="J2823" s="20"/>
      <c r="K2823" s="20"/>
      <c r="L2823" s="20"/>
      <c r="M2823" s="14" t="str">
        <f>IF(AND($C2823&lt;&gt;"",$C2823=Kardex!$C$4),COUNTIF($C$5:$C2823,Kardex!$C$4),"")</f>
        <v/>
      </c>
    </row>
    <row r="2824" spans="1:13" x14ac:dyDescent="0.25">
      <c r="A2824" s="24"/>
      <c r="B2824" s="20"/>
      <c r="C2824" s="20"/>
      <c r="D2824" s="14" t="str">
        <f>IF($C2824="","",IFERROR(INDEX(Productos!$B$5:$B$504,MATCH($C2824,Productos!$A$5:$A$504,0)),"Clave no existe"))</f>
        <v/>
      </c>
      <c r="E2824" s="14" t="str">
        <f>IF($C2824="","",IFERROR(INDEX(Productos!$D$5:$D$504,MATCH($C2824,Productos!$A$5:$A$504,0)),""))</f>
        <v/>
      </c>
      <c r="F2824" s="20"/>
      <c r="G2824" s="22" t="str">
        <f>IF($C2824="","",IFERROR(INDEX(Productos!$F$5:$F$504,MATCH($C2824,Productos!$A$5:$A$504,0)),0))</f>
        <v/>
      </c>
      <c r="H2824" s="22" t="str">
        <f t="shared" si="44"/>
        <v/>
      </c>
      <c r="I2824" s="14" t="str">
        <f>IF(OR($C2824="",$F2824=""),"",IFERROR(INDEX(Productos!$I$5:$I$504,MATCH($C2824,Productos!$A$5:$A$504,0)),0)+SUMIFS($F$5:$F2824,$C$5:$C2824,$C2824,$B$5:$B2824,"Entrada")-SUMIFS($F$5:$F2824,$C$5:$C2824,$C2824,$B$5:$B2824,"Salida"))</f>
        <v/>
      </c>
      <c r="J2824" s="20"/>
      <c r="K2824" s="20"/>
      <c r="L2824" s="20"/>
      <c r="M2824" s="14" t="str">
        <f>IF(AND($C2824&lt;&gt;"",$C2824=Kardex!$C$4),COUNTIF($C$5:$C2824,Kardex!$C$4),"")</f>
        <v/>
      </c>
    </row>
    <row r="2825" spans="1:13" x14ac:dyDescent="0.25">
      <c r="A2825" s="24"/>
      <c r="B2825" s="20"/>
      <c r="C2825" s="20"/>
      <c r="D2825" s="14" t="str">
        <f>IF($C2825="","",IFERROR(INDEX(Productos!$B$5:$B$504,MATCH($C2825,Productos!$A$5:$A$504,0)),"Clave no existe"))</f>
        <v/>
      </c>
      <c r="E2825" s="14" t="str">
        <f>IF($C2825="","",IFERROR(INDEX(Productos!$D$5:$D$504,MATCH($C2825,Productos!$A$5:$A$504,0)),""))</f>
        <v/>
      </c>
      <c r="F2825" s="20"/>
      <c r="G2825" s="22" t="str">
        <f>IF($C2825="","",IFERROR(INDEX(Productos!$F$5:$F$504,MATCH($C2825,Productos!$A$5:$A$504,0)),0))</f>
        <v/>
      </c>
      <c r="H2825" s="22" t="str">
        <f t="shared" si="44"/>
        <v/>
      </c>
      <c r="I2825" s="14" t="str">
        <f>IF(OR($C2825="",$F2825=""),"",IFERROR(INDEX(Productos!$I$5:$I$504,MATCH($C2825,Productos!$A$5:$A$504,0)),0)+SUMIFS($F$5:$F2825,$C$5:$C2825,$C2825,$B$5:$B2825,"Entrada")-SUMIFS($F$5:$F2825,$C$5:$C2825,$C2825,$B$5:$B2825,"Salida"))</f>
        <v/>
      </c>
      <c r="J2825" s="20"/>
      <c r="K2825" s="20"/>
      <c r="L2825" s="20"/>
      <c r="M2825" s="14" t="str">
        <f>IF(AND($C2825&lt;&gt;"",$C2825=Kardex!$C$4),COUNTIF($C$5:$C2825,Kardex!$C$4),"")</f>
        <v/>
      </c>
    </row>
    <row r="2826" spans="1:13" x14ac:dyDescent="0.25">
      <c r="A2826" s="24"/>
      <c r="B2826" s="20"/>
      <c r="C2826" s="20"/>
      <c r="D2826" s="14" t="str">
        <f>IF($C2826="","",IFERROR(INDEX(Productos!$B$5:$B$504,MATCH($C2826,Productos!$A$5:$A$504,0)),"Clave no existe"))</f>
        <v/>
      </c>
      <c r="E2826" s="14" t="str">
        <f>IF($C2826="","",IFERROR(INDEX(Productos!$D$5:$D$504,MATCH($C2826,Productos!$A$5:$A$504,0)),""))</f>
        <v/>
      </c>
      <c r="F2826" s="20"/>
      <c r="G2826" s="22" t="str">
        <f>IF($C2826="","",IFERROR(INDEX(Productos!$F$5:$F$504,MATCH($C2826,Productos!$A$5:$A$504,0)),0))</f>
        <v/>
      </c>
      <c r="H2826" s="22" t="str">
        <f t="shared" si="44"/>
        <v/>
      </c>
      <c r="I2826" s="14" t="str">
        <f>IF(OR($C2826="",$F2826=""),"",IFERROR(INDEX(Productos!$I$5:$I$504,MATCH($C2826,Productos!$A$5:$A$504,0)),0)+SUMIFS($F$5:$F2826,$C$5:$C2826,$C2826,$B$5:$B2826,"Entrada")-SUMIFS($F$5:$F2826,$C$5:$C2826,$C2826,$B$5:$B2826,"Salida"))</f>
        <v/>
      </c>
      <c r="J2826" s="20"/>
      <c r="K2826" s="20"/>
      <c r="L2826" s="20"/>
      <c r="M2826" s="14" t="str">
        <f>IF(AND($C2826&lt;&gt;"",$C2826=Kardex!$C$4),COUNTIF($C$5:$C2826,Kardex!$C$4),"")</f>
        <v/>
      </c>
    </row>
    <row r="2827" spans="1:13" x14ac:dyDescent="0.25">
      <c r="A2827" s="24"/>
      <c r="B2827" s="20"/>
      <c r="C2827" s="20"/>
      <c r="D2827" s="14" t="str">
        <f>IF($C2827="","",IFERROR(INDEX(Productos!$B$5:$B$504,MATCH($C2827,Productos!$A$5:$A$504,0)),"Clave no existe"))</f>
        <v/>
      </c>
      <c r="E2827" s="14" t="str">
        <f>IF($C2827="","",IFERROR(INDEX(Productos!$D$5:$D$504,MATCH($C2827,Productos!$A$5:$A$504,0)),""))</f>
        <v/>
      </c>
      <c r="F2827" s="20"/>
      <c r="G2827" s="22" t="str">
        <f>IF($C2827="","",IFERROR(INDEX(Productos!$F$5:$F$504,MATCH($C2827,Productos!$A$5:$A$504,0)),0))</f>
        <v/>
      </c>
      <c r="H2827" s="22" t="str">
        <f t="shared" si="44"/>
        <v/>
      </c>
      <c r="I2827" s="14" t="str">
        <f>IF(OR($C2827="",$F2827=""),"",IFERROR(INDEX(Productos!$I$5:$I$504,MATCH($C2827,Productos!$A$5:$A$504,0)),0)+SUMIFS($F$5:$F2827,$C$5:$C2827,$C2827,$B$5:$B2827,"Entrada")-SUMIFS($F$5:$F2827,$C$5:$C2827,$C2827,$B$5:$B2827,"Salida"))</f>
        <v/>
      </c>
      <c r="J2827" s="20"/>
      <c r="K2827" s="20"/>
      <c r="L2827" s="20"/>
      <c r="M2827" s="14" t="str">
        <f>IF(AND($C2827&lt;&gt;"",$C2827=Kardex!$C$4),COUNTIF($C$5:$C2827,Kardex!$C$4),"")</f>
        <v/>
      </c>
    </row>
    <row r="2828" spans="1:13" x14ac:dyDescent="0.25">
      <c r="A2828" s="24"/>
      <c r="B2828" s="20"/>
      <c r="C2828" s="20"/>
      <c r="D2828" s="14" t="str">
        <f>IF($C2828="","",IFERROR(INDEX(Productos!$B$5:$B$504,MATCH($C2828,Productos!$A$5:$A$504,0)),"Clave no existe"))</f>
        <v/>
      </c>
      <c r="E2828" s="14" t="str">
        <f>IF($C2828="","",IFERROR(INDEX(Productos!$D$5:$D$504,MATCH($C2828,Productos!$A$5:$A$504,0)),""))</f>
        <v/>
      </c>
      <c r="F2828" s="20"/>
      <c r="G2828" s="22" t="str">
        <f>IF($C2828="","",IFERROR(INDEX(Productos!$F$5:$F$504,MATCH($C2828,Productos!$A$5:$A$504,0)),0))</f>
        <v/>
      </c>
      <c r="H2828" s="22" t="str">
        <f t="shared" si="44"/>
        <v/>
      </c>
      <c r="I2828" s="14" t="str">
        <f>IF(OR($C2828="",$F2828=""),"",IFERROR(INDEX(Productos!$I$5:$I$504,MATCH($C2828,Productos!$A$5:$A$504,0)),0)+SUMIFS($F$5:$F2828,$C$5:$C2828,$C2828,$B$5:$B2828,"Entrada")-SUMIFS($F$5:$F2828,$C$5:$C2828,$C2828,$B$5:$B2828,"Salida"))</f>
        <v/>
      </c>
      <c r="J2828" s="20"/>
      <c r="K2828" s="20"/>
      <c r="L2828" s="20"/>
      <c r="M2828" s="14" t="str">
        <f>IF(AND($C2828&lt;&gt;"",$C2828=Kardex!$C$4),COUNTIF($C$5:$C2828,Kardex!$C$4),"")</f>
        <v/>
      </c>
    </row>
    <row r="2829" spans="1:13" x14ac:dyDescent="0.25">
      <c r="A2829" s="24"/>
      <c r="B2829" s="20"/>
      <c r="C2829" s="20"/>
      <c r="D2829" s="14" t="str">
        <f>IF($C2829="","",IFERROR(INDEX(Productos!$B$5:$B$504,MATCH($C2829,Productos!$A$5:$A$504,0)),"Clave no existe"))</f>
        <v/>
      </c>
      <c r="E2829" s="14" t="str">
        <f>IF($C2829="","",IFERROR(INDEX(Productos!$D$5:$D$504,MATCH($C2829,Productos!$A$5:$A$504,0)),""))</f>
        <v/>
      </c>
      <c r="F2829" s="20"/>
      <c r="G2829" s="22" t="str">
        <f>IF($C2829="","",IFERROR(INDEX(Productos!$F$5:$F$504,MATCH($C2829,Productos!$A$5:$A$504,0)),0))</f>
        <v/>
      </c>
      <c r="H2829" s="22" t="str">
        <f t="shared" si="44"/>
        <v/>
      </c>
      <c r="I2829" s="14" t="str">
        <f>IF(OR($C2829="",$F2829=""),"",IFERROR(INDEX(Productos!$I$5:$I$504,MATCH($C2829,Productos!$A$5:$A$504,0)),0)+SUMIFS($F$5:$F2829,$C$5:$C2829,$C2829,$B$5:$B2829,"Entrada")-SUMIFS($F$5:$F2829,$C$5:$C2829,$C2829,$B$5:$B2829,"Salida"))</f>
        <v/>
      </c>
      <c r="J2829" s="20"/>
      <c r="K2829" s="20"/>
      <c r="L2829" s="20"/>
      <c r="M2829" s="14" t="str">
        <f>IF(AND($C2829&lt;&gt;"",$C2829=Kardex!$C$4),COUNTIF($C$5:$C2829,Kardex!$C$4),"")</f>
        <v/>
      </c>
    </row>
    <row r="2830" spans="1:13" x14ac:dyDescent="0.25">
      <c r="A2830" s="24"/>
      <c r="B2830" s="20"/>
      <c r="C2830" s="20"/>
      <c r="D2830" s="14" t="str">
        <f>IF($C2830="","",IFERROR(INDEX(Productos!$B$5:$B$504,MATCH($C2830,Productos!$A$5:$A$504,0)),"Clave no existe"))</f>
        <v/>
      </c>
      <c r="E2830" s="14" t="str">
        <f>IF($C2830="","",IFERROR(INDEX(Productos!$D$5:$D$504,MATCH($C2830,Productos!$A$5:$A$504,0)),""))</f>
        <v/>
      </c>
      <c r="F2830" s="20"/>
      <c r="G2830" s="22" t="str">
        <f>IF($C2830="","",IFERROR(INDEX(Productos!$F$5:$F$504,MATCH($C2830,Productos!$A$5:$A$504,0)),0))</f>
        <v/>
      </c>
      <c r="H2830" s="22" t="str">
        <f t="shared" si="44"/>
        <v/>
      </c>
      <c r="I2830" s="14" t="str">
        <f>IF(OR($C2830="",$F2830=""),"",IFERROR(INDEX(Productos!$I$5:$I$504,MATCH($C2830,Productos!$A$5:$A$504,0)),0)+SUMIFS($F$5:$F2830,$C$5:$C2830,$C2830,$B$5:$B2830,"Entrada")-SUMIFS($F$5:$F2830,$C$5:$C2830,$C2830,$B$5:$B2830,"Salida"))</f>
        <v/>
      </c>
      <c r="J2830" s="20"/>
      <c r="K2830" s="20"/>
      <c r="L2830" s="20"/>
      <c r="M2830" s="14" t="str">
        <f>IF(AND($C2830&lt;&gt;"",$C2830=Kardex!$C$4),COUNTIF($C$5:$C2830,Kardex!$C$4),"")</f>
        <v/>
      </c>
    </row>
    <row r="2831" spans="1:13" x14ac:dyDescent="0.25">
      <c r="A2831" s="24"/>
      <c r="B2831" s="20"/>
      <c r="C2831" s="20"/>
      <c r="D2831" s="14" t="str">
        <f>IF($C2831="","",IFERROR(INDEX(Productos!$B$5:$B$504,MATCH($C2831,Productos!$A$5:$A$504,0)),"Clave no existe"))</f>
        <v/>
      </c>
      <c r="E2831" s="14" t="str">
        <f>IF($C2831="","",IFERROR(INDEX(Productos!$D$5:$D$504,MATCH($C2831,Productos!$A$5:$A$504,0)),""))</f>
        <v/>
      </c>
      <c r="F2831" s="20"/>
      <c r="G2831" s="22" t="str">
        <f>IF($C2831="","",IFERROR(INDEX(Productos!$F$5:$F$504,MATCH($C2831,Productos!$A$5:$A$504,0)),0))</f>
        <v/>
      </c>
      <c r="H2831" s="22" t="str">
        <f t="shared" si="44"/>
        <v/>
      </c>
      <c r="I2831" s="14" t="str">
        <f>IF(OR($C2831="",$F2831=""),"",IFERROR(INDEX(Productos!$I$5:$I$504,MATCH($C2831,Productos!$A$5:$A$504,0)),0)+SUMIFS($F$5:$F2831,$C$5:$C2831,$C2831,$B$5:$B2831,"Entrada")-SUMIFS($F$5:$F2831,$C$5:$C2831,$C2831,$B$5:$B2831,"Salida"))</f>
        <v/>
      </c>
      <c r="J2831" s="20"/>
      <c r="K2831" s="20"/>
      <c r="L2831" s="20"/>
      <c r="M2831" s="14" t="str">
        <f>IF(AND($C2831&lt;&gt;"",$C2831=Kardex!$C$4),COUNTIF($C$5:$C2831,Kardex!$C$4),"")</f>
        <v/>
      </c>
    </row>
    <row r="2832" spans="1:13" x14ac:dyDescent="0.25">
      <c r="A2832" s="24"/>
      <c r="B2832" s="20"/>
      <c r="C2832" s="20"/>
      <c r="D2832" s="14" t="str">
        <f>IF($C2832="","",IFERROR(INDEX(Productos!$B$5:$B$504,MATCH($C2832,Productos!$A$5:$A$504,0)),"Clave no existe"))</f>
        <v/>
      </c>
      <c r="E2832" s="14" t="str">
        <f>IF($C2832="","",IFERROR(INDEX(Productos!$D$5:$D$504,MATCH($C2832,Productos!$A$5:$A$504,0)),""))</f>
        <v/>
      </c>
      <c r="F2832" s="20"/>
      <c r="G2832" s="22" t="str">
        <f>IF($C2832="","",IFERROR(INDEX(Productos!$F$5:$F$504,MATCH($C2832,Productos!$A$5:$A$504,0)),0))</f>
        <v/>
      </c>
      <c r="H2832" s="22" t="str">
        <f t="shared" si="44"/>
        <v/>
      </c>
      <c r="I2832" s="14" t="str">
        <f>IF(OR($C2832="",$F2832=""),"",IFERROR(INDEX(Productos!$I$5:$I$504,MATCH($C2832,Productos!$A$5:$A$504,0)),0)+SUMIFS($F$5:$F2832,$C$5:$C2832,$C2832,$B$5:$B2832,"Entrada")-SUMIFS($F$5:$F2832,$C$5:$C2832,$C2832,$B$5:$B2832,"Salida"))</f>
        <v/>
      </c>
      <c r="J2832" s="20"/>
      <c r="K2832" s="20"/>
      <c r="L2832" s="20"/>
      <c r="M2832" s="14" t="str">
        <f>IF(AND($C2832&lt;&gt;"",$C2832=Kardex!$C$4),COUNTIF($C$5:$C2832,Kardex!$C$4),"")</f>
        <v/>
      </c>
    </row>
    <row r="2833" spans="1:13" x14ac:dyDescent="0.25">
      <c r="A2833" s="24"/>
      <c r="B2833" s="20"/>
      <c r="C2833" s="20"/>
      <c r="D2833" s="14" t="str">
        <f>IF($C2833="","",IFERROR(INDEX(Productos!$B$5:$B$504,MATCH($C2833,Productos!$A$5:$A$504,0)),"Clave no existe"))</f>
        <v/>
      </c>
      <c r="E2833" s="14" t="str">
        <f>IF($C2833="","",IFERROR(INDEX(Productos!$D$5:$D$504,MATCH($C2833,Productos!$A$5:$A$504,0)),""))</f>
        <v/>
      </c>
      <c r="F2833" s="20"/>
      <c r="G2833" s="22" t="str">
        <f>IF($C2833="","",IFERROR(INDEX(Productos!$F$5:$F$504,MATCH($C2833,Productos!$A$5:$A$504,0)),0))</f>
        <v/>
      </c>
      <c r="H2833" s="22" t="str">
        <f t="shared" si="44"/>
        <v/>
      </c>
      <c r="I2833" s="14" t="str">
        <f>IF(OR($C2833="",$F2833=""),"",IFERROR(INDEX(Productos!$I$5:$I$504,MATCH($C2833,Productos!$A$5:$A$504,0)),0)+SUMIFS($F$5:$F2833,$C$5:$C2833,$C2833,$B$5:$B2833,"Entrada")-SUMIFS($F$5:$F2833,$C$5:$C2833,$C2833,$B$5:$B2833,"Salida"))</f>
        <v/>
      </c>
      <c r="J2833" s="20"/>
      <c r="K2833" s="20"/>
      <c r="L2833" s="20"/>
      <c r="M2833" s="14" t="str">
        <f>IF(AND($C2833&lt;&gt;"",$C2833=Kardex!$C$4),COUNTIF($C$5:$C2833,Kardex!$C$4),"")</f>
        <v/>
      </c>
    </row>
    <row r="2834" spans="1:13" x14ac:dyDescent="0.25">
      <c r="A2834" s="24"/>
      <c r="B2834" s="20"/>
      <c r="C2834" s="20"/>
      <c r="D2834" s="14" t="str">
        <f>IF($C2834="","",IFERROR(INDEX(Productos!$B$5:$B$504,MATCH($C2834,Productos!$A$5:$A$504,0)),"Clave no existe"))</f>
        <v/>
      </c>
      <c r="E2834" s="14" t="str">
        <f>IF($C2834="","",IFERROR(INDEX(Productos!$D$5:$D$504,MATCH($C2834,Productos!$A$5:$A$504,0)),""))</f>
        <v/>
      </c>
      <c r="F2834" s="20"/>
      <c r="G2834" s="22" t="str">
        <f>IF($C2834="","",IFERROR(INDEX(Productos!$F$5:$F$504,MATCH($C2834,Productos!$A$5:$A$504,0)),0))</f>
        <v/>
      </c>
      <c r="H2834" s="22" t="str">
        <f t="shared" si="44"/>
        <v/>
      </c>
      <c r="I2834" s="14" t="str">
        <f>IF(OR($C2834="",$F2834=""),"",IFERROR(INDEX(Productos!$I$5:$I$504,MATCH($C2834,Productos!$A$5:$A$504,0)),0)+SUMIFS($F$5:$F2834,$C$5:$C2834,$C2834,$B$5:$B2834,"Entrada")-SUMIFS($F$5:$F2834,$C$5:$C2834,$C2834,$B$5:$B2834,"Salida"))</f>
        <v/>
      </c>
      <c r="J2834" s="20"/>
      <c r="K2834" s="20"/>
      <c r="L2834" s="20"/>
      <c r="M2834" s="14" t="str">
        <f>IF(AND($C2834&lt;&gt;"",$C2834=Kardex!$C$4),COUNTIF($C$5:$C2834,Kardex!$C$4),"")</f>
        <v/>
      </c>
    </row>
    <row r="2835" spans="1:13" x14ac:dyDescent="0.25">
      <c r="A2835" s="24"/>
      <c r="B2835" s="20"/>
      <c r="C2835" s="20"/>
      <c r="D2835" s="14" t="str">
        <f>IF($C2835="","",IFERROR(INDEX(Productos!$B$5:$B$504,MATCH($C2835,Productos!$A$5:$A$504,0)),"Clave no existe"))</f>
        <v/>
      </c>
      <c r="E2835" s="14" t="str">
        <f>IF($C2835="","",IFERROR(INDEX(Productos!$D$5:$D$504,MATCH($C2835,Productos!$A$5:$A$504,0)),""))</f>
        <v/>
      </c>
      <c r="F2835" s="20"/>
      <c r="G2835" s="22" t="str">
        <f>IF($C2835="","",IFERROR(INDEX(Productos!$F$5:$F$504,MATCH($C2835,Productos!$A$5:$A$504,0)),0))</f>
        <v/>
      </c>
      <c r="H2835" s="22" t="str">
        <f t="shared" si="44"/>
        <v/>
      </c>
      <c r="I2835" s="14" t="str">
        <f>IF(OR($C2835="",$F2835=""),"",IFERROR(INDEX(Productos!$I$5:$I$504,MATCH($C2835,Productos!$A$5:$A$504,0)),0)+SUMIFS($F$5:$F2835,$C$5:$C2835,$C2835,$B$5:$B2835,"Entrada")-SUMIFS($F$5:$F2835,$C$5:$C2835,$C2835,$B$5:$B2835,"Salida"))</f>
        <v/>
      </c>
      <c r="J2835" s="20"/>
      <c r="K2835" s="20"/>
      <c r="L2835" s="20"/>
      <c r="M2835" s="14" t="str">
        <f>IF(AND($C2835&lt;&gt;"",$C2835=Kardex!$C$4),COUNTIF($C$5:$C2835,Kardex!$C$4),"")</f>
        <v/>
      </c>
    </row>
    <row r="2836" spans="1:13" x14ac:dyDescent="0.25">
      <c r="A2836" s="24"/>
      <c r="B2836" s="20"/>
      <c r="C2836" s="20"/>
      <c r="D2836" s="14" t="str">
        <f>IF($C2836="","",IFERROR(INDEX(Productos!$B$5:$B$504,MATCH($C2836,Productos!$A$5:$A$504,0)),"Clave no existe"))</f>
        <v/>
      </c>
      <c r="E2836" s="14" t="str">
        <f>IF($C2836="","",IFERROR(INDEX(Productos!$D$5:$D$504,MATCH($C2836,Productos!$A$5:$A$504,0)),""))</f>
        <v/>
      </c>
      <c r="F2836" s="20"/>
      <c r="G2836" s="22" t="str">
        <f>IF($C2836="","",IFERROR(INDEX(Productos!$F$5:$F$504,MATCH($C2836,Productos!$A$5:$A$504,0)),0))</f>
        <v/>
      </c>
      <c r="H2836" s="22" t="str">
        <f t="shared" si="44"/>
        <v/>
      </c>
      <c r="I2836" s="14" t="str">
        <f>IF(OR($C2836="",$F2836=""),"",IFERROR(INDEX(Productos!$I$5:$I$504,MATCH($C2836,Productos!$A$5:$A$504,0)),0)+SUMIFS($F$5:$F2836,$C$5:$C2836,$C2836,$B$5:$B2836,"Entrada")-SUMIFS($F$5:$F2836,$C$5:$C2836,$C2836,$B$5:$B2836,"Salida"))</f>
        <v/>
      </c>
      <c r="J2836" s="20"/>
      <c r="K2836" s="20"/>
      <c r="L2836" s="20"/>
      <c r="M2836" s="14" t="str">
        <f>IF(AND($C2836&lt;&gt;"",$C2836=Kardex!$C$4),COUNTIF($C$5:$C2836,Kardex!$C$4),"")</f>
        <v/>
      </c>
    </row>
    <row r="2837" spans="1:13" x14ac:dyDescent="0.25">
      <c r="A2837" s="24"/>
      <c r="B2837" s="20"/>
      <c r="C2837" s="20"/>
      <c r="D2837" s="14" t="str">
        <f>IF($C2837="","",IFERROR(INDEX(Productos!$B$5:$B$504,MATCH($C2837,Productos!$A$5:$A$504,0)),"Clave no existe"))</f>
        <v/>
      </c>
      <c r="E2837" s="14" t="str">
        <f>IF($C2837="","",IFERROR(INDEX(Productos!$D$5:$D$504,MATCH($C2837,Productos!$A$5:$A$504,0)),""))</f>
        <v/>
      </c>
      <c r="F2837" s="20"/>
      <c r="G2837" s="22" t="str">
        <f>IF($C2837="","",IFERROR(INDEX(Productos!$F$5:$F$504,MATCH($C2837,Productos!$A$5:$A$504,0)),0))</f>
        <v/>
      </c>
      <c r="H2837" s="22" t="str">
        <f t="shared" si="44"/>
        <v/>
      </c>
      <c r="I2837" s="14" t="str">
        <f>IF(OR($C2837="",$F2837=""),"",IFERROR(INDEX(Productos!$I$5:$I$504,MATCH($C2837,Productos!$A$5:$A$504,0)),0)+SUMIFS($F$5:$F2837,$C$5:$C2837,$C2837,$B$5:$B2837,"Entrada")-SUMIFS($F$5:$F2837,$C$5:$C2837,$C2837,$B$5:$B2837,"Salida"))</f>
        <v/>
      </c>
      <c r="J2837" s="20"/>
      <c r="K2837" s="20"/>
      <c r="L2837" s="20"/>
      <c r="M2837" s="14" t="str">
        <f>IF(AND($C2837&lt;&gt;"",$C2837=Kardex!$C$4),COUNTIF($C$5:$C2837,Kardex!$C$4),"")</f>
        <v/>
      </c>
    </row>
    <row r="2838" spans="1:13" x14ac:dyDescent="0.25">
      <c r="A2838" s="24"/>
      <c r="B2838" s="20"/>
      <c r="C2838" s="20"/>
      <c r="D2838" s="14" t="str">
        <f>IF($C2838="","",IFERROR(INDEX(Productos!$B$5:$B$504,MATCH($C2838,Productos!$A$5:$A$504,0)),"Clave no existe"))</f>
        <v/>
      </c>
      <c r="E2838" s="14" t="str">
        <f>IF($C2838="","",IFERROR(INDEX(Productos!$D$5:$D$504,MATCH($C2838,Productos!$A$5:$A$504,0)),""))</f>
        <v/>
      </c>
      <c r="F2838" s="20"/>
      <c r="G2838" s="22" t="str">
        <f>IF($C2838="","",IFERROR(INDEX(Productos!$F$5:$F$504,MATCH($C2838,Productos!$A$5:$A$504,0)),0))</f>
        <v/>
      </c>
      <c r="H2838" s="22" t="str">
        <f t="shared" si="44"/>
        <v/>
      </c>
      <c r="I2838" s="14" t="str">
        <f>IF(OR($C2838="",$F2838=""),"",IFERROR(INDEX(Productos!$I$5:$I$504,MATCH($C2838,Productos!$A$5:$A$504,0)),0)+SUMIFS($F$5:$F2838,$C$5:$C2838,$C2838,$B$5:$B2838,"Entrada")-SUMIFS($F$5:$F2838,$C$5:$C2838,$C2838,$B$5:$B2838,"Salida"))</f>
        <v/>
      </c>
      <c r="J2838" s="20"/>
      <c r="K2838" s="20"/>
      <c r="L2838" s="20"/>
      <c r="M2838" s="14" t="str">
        <f>IF(AND($C2838&lt;&gt;"",$C2838=Kardex!$C$4),COUNTIF($C$5:$C2838,Kardex!$C$4),"")</f>
        <v/>
      </c>
    </row>
    <row r="2839" spans="1:13" x14ac:dyDescent="0.25">
      <c r="A2839" s="24"/>
      <c r="B2839" s="20"/>
      <c r="C2839" s="20"/>
      <c r="D2839" s="14" t="str">
        <f>IF($C2839="","",IFERROR(INDEX(Productos!$B$5:$B$504,MATCH($C2839,Productos!$A$5:$A$504,0)),"Clave no existe"))</f>
        <v/>
      </c>
      <c r="E2839" s="14" t="str">
        <f>IF($C2839="","",IFERROR(INDEX(Productos!$D$5:$D$504,MATCH($C2839,Productos!$A$5:$A$504,0)),""))</f>
        <v/>
      </c>
      <c r="F2839" s="20"/>
      <c r="G2839" s="22" t="str">
        <f>IF($C2839="","",IFERROR(INDEX(Productos!$F$5:$F$504,MATCH($C2839,Productos!$A$5:$A$504,0)),0))</f>
        <v/>
      </c>
      <c r="H2839" s="22" t="str">
        <f t="shared" si="44"/>
        <v/>
      </c>
      <c r="I2839" s="14" t="str">
        <f>IF(OR($C2839="",$F2839=""),"",IFERROR(INDEX(Productos!$I$5:$I$504,MATCH($C2839,Productos!$A$5:$A$504,0)),0)+SUMIFS($F$5:$F2839,$C$5:$C2839,$C2839,$B$5:$B2839,"Entrada")-SUMIFS($F$5:$F2839,$C$5:$C2839,$C2839,$B$5:$B2839,"Salida"))</f>
        <v/>
      </c>
      <c r="J2839" s="20"/>
      <c r="K2839" s="20"/>
      <c r="L2839" s="20"/>
      <c r="M2839" s="14" t="str">
        <f>IF(AND($C2839&lt;&gt;"",$C2839=Kardex!$C$4),COUNTIF($C$5:$C2839,Kardex!$C$4),"")</f>
        <v/>
      </c>
    </row>
    <row r="2840" spans="1:13" x14ac:dyDescent="0.25">
      <c r="A2840" s="24"/>
      <c r="B2840" s="20"/>
      <c r="C2840" s="20"/>
      <c r="D2840" s="14" t="str">
        <f>IF($C2840="","",IFERROR(INDEX(Productos!$B$5:$B$504,MATCH($C2840,Productos!$A$5:$A$504,0)),"Clave no existe"))</f>
        <v/>
      </c>
      <c r="E2840" s="14" t="str">
        <f>IF($C2840="","",IFERROR(INDEX(Productos!$D$5:$D$504,MATCH($C2840,Productos!$A$5:$A$504,0)),""))</f>
        <v/>
      </c>
      <c r="F2840" s="20"/>
      <c r="G2840" s="22" t="str">
        <f>IF($C2840="","",IFERROR(INDEX(Productos!$F$5:$F$504,MATCH($C2840,Productos!$A$5:$A$504,0)),0))</f>
        <v/>
      </c>
      <c r="H2840" s="22" t="str">
        <f t="shared" si="44"/>
        <v/>
      </c>
      <c r="I2840" s="14" t="str">
        <f>IF(OR($C2840="",$F2840=""),"",IFERROR(INDEX(Productos!$I$5:$I$504,MATCH($C2840,Productos!$A$5:$A$504,0)),0)+SUMIFS($F$5:$F2840,$C$5:$C2840,$C2840,$B$5:$B2840,"Entrada")-SUMIFS($F$5:$F2840,$C$5:$C2840,$C2840,$B$5:$B2840,"Salida"))</f>
        <v/>
      </c>
      <c r="J2840" s="20"/>
      <c r="K2840" s="20"/>
      <c r="L2840" s="20"/>
      <c r="M2840" s="14" t="str">
        <f>IF(AND($C2840&lt;&gt;"",$C2840=Kardex!$C$4),COUNTIF($C$5:$C2840,Kardex!$C$4),"")</f>
        <v/>
      </c>
    </row>
    <row r="2841" spans="1:13" x14ac:dyDescent="0.25">
      <c r="A2841" s="24"/>
      <c r="B2841" s="20"/>
      <c r="C2841" s="20"/>
      <c r="D2841" s="14" t="str">
        <f>IF($C2841="","",IFERROR(INDEX(Productos!$B$5:$B$504,MATCH($C2841,Productos!$A$5:$A$504,0)),"Clave no existe"))</f>
        <v/>
      </c>
      <c r="E2841" s="14" t="str">
        <f>IF($C2841="","",IFERROR(INDEX(Productos!$D$5:$D$504,MATCH($C2841,Productos!$A$5:$A$504,0)),""))</f>
        <v/>
      </c>
      <c r="F2841" s="20"/>
      <c r="G2841" s="22" t="str">
        <f>IF($C2841="","",IFERROR(INDEX(Productos!$F$5:$F$504,MATCH($C2841,Productos!$A$5:$A$504,0)),0))</f>
        <v/>
      </c>
      <c r="H2841" s="22" t="str">
        <f t="shared" si="44"/>
        <v/>
      </c>
      <c r="I2841" s="14" t="str">
        <f>IF(OR($C2841="",$F2841=""),"",IFERROR(INDEX(Productos!$I$5:$I$504,MATCH($C2841,Productos!$A$5:$A$504,0)),0)+SUMIFS($F$5:$F2841,$C$5:$C2841,$C2841,$B$5:$B2841,"Entrada")-SUMIFS($F$5:$F2841,$C$5:$C2841,$C2841,$B$5:$B2841,"Salida"))</f>
        <v/>
      </c>
      <c r="J2841" s="20"/>
      <c r="K2841" s="20"/>
      <c r="L2841" s="20"/>
      <c r="M2841" s="14" t="str">
        <f>IF(AND($C2841&lt;&gt;"",$C2841=Kardex!$C$4),COUNTIF($C$5:$C2841,Kardex!$C$4),"")</f>
        <v/>
      </c>
    </row>
    <row r="2842" spans="1:13" x14ac:dyDescent="0.25">
      <c r="A2842" s="24"/>
      <c r="B2842" s="20"/>
      <c r="C2842" s="20"/>
      <c r="D2842" s="14" t="str">
        <f>IF($C2842="","",IFERROR(INDEX(Productos!$B$5:$B$504,MATCH($C2842,Productos!$A$5:$A$504,0)),"Clave no existe"))</f>
        <v/>
      </c>
      <c r="E2842" s="14" t="str">
        <f>IF($C2842="","",IFERROR(INDEX(Productos!$D$5:$D$504,MATCH($C2842,Productos!$A$5:$A$504,0)),""))</f>
        <v/>
      </c>
      <c r="F2842" s="20"/>
      <c r="G2842" s="22" t="str">
        <f>IF($C2842="","",IFERROR(INDEX(Productos!$F$5:$F$504,MATCH($C2842,Productos!$A$5:$A$504,0)),0))</f>
        <v/>
      </c>
      <c r="H2842" s="22" t="str">
        <f t="shared" si="44"/>
        <v/>
      </c>
      <c r="I2842" s="14" t="str">
        <f>IF(OR($C2842="",$F2842=""),"",IFERROR(INDEX(Productos!$I$5:$I$504,MATCH($C2842,Productos!$A$5:$A$504,0)),0)+SUMIFS($F$5:$F2842,$C$5:$C2842,$C2842,$B$5:$B2842,"Entrada")-SUMIFS($F$5:$F2842,$C$5:$C2842,$C2842,$B$5:$B2842,"Salida"))</f>
        <v/>
      </c>
      <c r="J2842" s="20"/>
      <c r="K2842" s="20"/>
      <c r="L2842" s="20"/>
      <c r="M2842" s="14" t="str">
        <f>IF(AND($C2842&lt;&gt;"",$C2842=Kardex!$C$4),COUNTIF($C$5:$C2842,Kardex!$C$4),"")</f>
        <v/>
      </c>
    </row>
    <row r="2843" spans="1:13" x14ac:dyDescent="0.25">
      <c r="A2843" s="24"/>
      <c r="B2843" s="20"/>
      <c r="C2843" s="20"/>
      <c r="D2843" s="14" t="str">
        <f>IF($C2843="","",IFERROR(INDEX(Productos!$B$5:$B$504,MATCH($C2843,Productos!$A$5:$A$504,0)),"Clave no existe"))</f>
        <v/>
      </c>
      <c r="E2843" s="14" t="str">
        <f>IF($C2843="","",IFERROR(INDEX(Productos!$D$5:$D$504,MATCH($C2843,Productos!$A$5:$A$504,0)),""))</f>
        <v/>
      </c>
      <c r="F2843" s="20"/>
      <c r="G2843" s="22" t="str">
        <f>IF($C2843="","",IFERROR(INDEX(Productos!$F$5:$F$504,MATCH($C2843,Productos!$A$5:$A$504,0)),0))</f>
        <v/>
      </c>
      <c r="H2843" s="22" t="str">
        <f t="shared" si="44"/>
        <v/>
      </c>
      <c r="I2843" s="14" t="str">
        <f>IF(OR($C2843="",$F2843=""),"",IFERROR(INDEX(Productos!$I$5:$I$504,MATCH($C2843,Productos!$A$5:$A$504,0)),0)+SUMIFS($F$5:$F2843,$C$5:$C2843,$C2843,$B$5:$B2843,"Entrada")-SUMIFS($F$5:$F2843,$C$5:$C2843,$C2843,$B$5:$B2843,"Salida"))</f>
        <v/>
      </c>
      <c r="J2843" s="20"/>
      <c r="K2843" s="20"/>
      <c r="L2843" s="20"/>
      <c r="M2843" s="14" t="str">
        <f>IF(AND($C2843&lt;&gt;"",$C2843=Kardex!$C$4),COUNTIF($C$5:$C2843,Kardex!$C$4),"")</f>
        <v/>
      </c>
    </row>
    <row r="2844" spans="1:13" x14ac:dyDescent="0.25">
      <c r="A2844" s="24"/>
      <c r="B2844" s="20"/>
      <c r="C2844" s="20"/>
      <c r="D2844" s="14" t="str">
        <f>IF($C2844="","",IFERROR(INDEX(Productos!$B$5:$B$504,MATCH($C2844,Productos!$A$5:$A$504,0)),"Clave no existe"))</f>
        <v/>
      </c>
      <c r="E2844" s="14" t="str">
        <f>IF($C2844="","",IFERROR(INDEX(Productos!$D$5:$D$504,MATCH($C2844,Productos!$A$5:$A$504,0)),""))</f>
        <v/>
      </c>
      <c r="F2844" s="20"/>
      <c r="G2844" s="22" t="str">
        <f>IF($C2844="","",IFERROR(INDEX(Productos!$F$5:$F$504,MATCH($C2844,Productos!$A$5:$A$504,0)),0))</f>
        <v/>
      </c>
      <c r="H2844" s="22" t="str">
        <f t="shared" si="44"/>
        <v/>
      </c>
      <c r="I2844" s="14" t="str">
        <f>IF(OR($C2844="",$F2844=""),"",IFERROR(INDEX(Productos!$I$5:$I$504,MATCH($C2844,Productos!$A$5:$A$504,0)),0)+SUMIFS($F$5:$F2844,$C$5:$C2844,$C2844,$B$5:$B2844,"Entrada")-SUMIFS($F$5:$F2844,$C$5:$C2844,$C2844,$B$5:$B2844,"Salida"))</f>
        <v/>
      </c>
      <c r="J2844" s="20"/>
      <c r="K2844" s="20"/>
      <c r="L2844" s="20"/>
      <c r="M2844" s="14" t="str">
        <f>IF(AND($C2844&lt;&gt;"",$C2844=Kardex!$C$4),COUNTIF($C$5:$C2844,Kardex!$C$4),"")</f>
        <v/>
      </c>
    </row>
    <row r="2845" spans="1:13" x14ac:dyDescent="0.25">
      <c r="A2845" s="24"/>
      <c r="B2845" s="20"/>
      <c r="C2845" s="20"/>
      <c r="D2845" s="14" t="str">
        <f>IF($C2845="","",IFERROR(INDEX(Productos!$B$5:$B$504,MATCH($C2845,Productos!$A$5:$A$504,0)),"Clave no existe"))</f>
        <v/>
      </c>
      <c r="E2845" s="14" t="str">
        <f>IF($C2845="","",IFERROR(INDEX(Productos!$D$5:$D$504,MATCH($C2845,Productos!$A$5:$A$504,0)),""))</f>
        <v/>
      </c>
      <c r="F2845" s="20"/>
      <c r="G2845" s="22" t="str">
        <f>IF($C2845="","",IFERROR(INDEX(Productos!$F$5:$F$504,MATCH($C2845,Productos!$A$5:$A$504,0)),0))</f>
        <v/>
      </c>
      <c r="H2845" s="22" t="str">
        <f t="shared" si="44"/>
        <v/>
      </c>
      <c r="I2845" s="14" t="str">
        <f>IF(OR($C2845="",$F2845=""),"",IFERROR(INDEX(Productos!$I$5:$I$504,MATCH($C2845,Productos!$A$5:$A$504,0)),0)+SUMIFS($F$5:$F2845,$C$5:$C2845,$C2845,$B$5:$B2845,"Entrada")-SUMIFS($F$5:$F2845,$C$5:$C2845,$C2845,$B$5:$B2845,"Salida"))</f>
        <v/>
      </c>
      <c r="J2845" s="20"/>
      <c r="K2845" s="20"/>
      <c r="L2845" s="20"/>
      <c r="M2845" s="14" t="str">
        <f>IF(AND($C2845&lt;&gt;"",$C2845=Kardex!$C$4),COUNTIF($C$5:$C2845,Kardex!$C$4),"")</f>
        <v/>
      </c>
    </row>
    <row r="2846" spans="1:13" x14ac:dyDescent="0.25">
      <c r="A2846" s="24"/>
      <c r="B2846" s="20"/>
      <c r="C2846" s="20"/>
      <c r="D2846" s="14" t="str">
        <f>IF($C2846="","",IFERROR(INDEX(Productos!$B$5:$B$504,MATCH($C2846,Productos!$A$5:$A$504,0)),"Clave no existe"))</f>
        <v/>
      </c>
      <c r="E2846" s="14" t="str">
        <f>IF($C2846="","",IFERROR(INDEX(Productos!$D$5:$D$504,MATCH($C2846,Productos!$A$5:$A$504,0)),""))</f>
        <v/>
      </c>
      <c r="F2846" s="20"/>
      <c r="G2846" s="22" t="str">
        <f>IF($C2846="","",IFERROR(INDEX(Productos!$F$5:$F$504,MATCH($C2846,Productos!$A$5:$A$504,0)),0))</f>
        <v/>
      </c>
      <c r="H2846" s="22" t="str">
        <f t="shared" si="44"/>
        <v/>
      </c>
      <c r="I2846" s="14" t="str">
        <f>IF(OR($C2846="",$F2846=""),"",IFERROR(INDEX(Productos!$I$5:$I$504,MATCH($C2846,Productos!$A$5:$A$504,0)),0)+SUMIFS($F$5:$F2846,$C$5:$C2846,$C2846,$B$5:$B2846,"Entrada")-SUMIFS($F$5:$F2846,$C$5:$C2846,$C2846,$B$5:$B2846,"Salida"))</f>
        <v/>
      </c>
      <c r="J2846" s="20"/>
      <c r="K2846" s="20"/>
      <c r="L2846" s="20"/>
      <c r="M2846" s="14" t="str">
        <f>IF(AND($C2846&lt;&gt;"",$C2846=Kardex!$C$4),COUNTIF($C$5:$C2846,Kardex!$C$4),"")</f>
        <v/>
      </c>
    </row>
    <row r="2847" spans="1:13" x14ac:dyDescent="0.25">
      <c r="A2847" s="24"/>
      <c r="B2847" s="20"/>
      <c r="C2847" s="20"/>
      <c r="D2847" s="14" t="str">
        <f>IF($C2847="","",IFERROR(INDEX(Productos!$B$5:$B$504,MATCH($C2847,Productos!$A$5:$A$504,0)),"Clave no existe"))</f>
        <v/>
      </c>
      <c r="E2847" s="14" t="str">
        <f>IF($C2847="","",IFERROR(INDEX(Productos!$D$5:$D$504,MATCH($C2847,Productos!$A$5:$A$504,0)),""))</f>
        <v/>
      </c>
      <c r="F2847" s="20"/>
      <c r="G2847" s="22" t="str">
        <f>IF($C2847="","",IFERROR(INDEX(Productos!$F$5:$F$504,MATCH($C2847,Productos!$A$5:$A$504,0)),0))</f>
        <v/>
      </c>
      <c r="H2847" s="22" t="str">
        <f t="shared" si="44"/>
        <v/>
      </c>
      <c r="I2847" s="14" t="str">
        <f>IF(OR($C2847="",$F2847=""),"",IFERROR(INDEX(Productos!$I$5:$I$504,MATCH($C2847,Productos!$A$5:$A$504,0)),0)+SUMIFS($F$5:$F2847,$C$5:$C2847,$C2847,$B$5:$B2847,"Entrada")-SUMIFS($F$5:$F2847,$C$5:$C2847,$C2847,$B$5:$B2847,"Salida"))</f>
        <v/>
      </c>
      <c r="J2847" s="20"/>
      <c r="K2847" s="20"/>
      <c r="L2847" s="20"/>
      <c r="M2847" s="14" t="str">
        <f>IF(AND($C2847&lt;&gt;"",$C2847=Kardex!$C$4),COUNTIF($C$5:$C2847,Kardex!$C$4),"")</f>
        <v/>
      </c>
    </row>
    <row r="2848" spans="1:13" x14ac:dyDescent="0.25">
      <c r="A2848" s="24"/>
      <c r="B2848" s="20"/>
      <c r="C2848" s="20"/>
      <c r="D2848" s="14" t="str">
        <f>IF($C2848="","",IFERROR(INDEX(Productos!$B$5:$B$504,MATCH($C2848,Productos!$A$5:$A$504,0)),"Clave no existe"))</f>
        <v/>
      </c>
      <c r="E2848" s="14" t="str">
        <f>IF($C2848="","",IFERROR(INDEX(Productos!$D$5:$D$504,MATCH($C2848,Productos!$A$5:$A$504,0)),""))</f>
        <v/>
      </c>
      <c r="F2848" s="20"/>
      <c r="G2848" s="22" t="str">
        <f>IF($C2848="","",IFERROR(INDEX(Productos!$F$5:$F$504,MATCH($C2848,Productos!$A$5:$A$504,0)),0))</f>
        <v/>
      </c>
      <c r="H2848" s="22" t="str">
        <f t="shared" si="44"/>
        <v/>
      </c>
      <c r="I2848" s="14" t="str">
        <f>IF(OR($C2848="",$F2848=""),"",IFERROR(INDEX(Productos!$I$5:$I$504,MATCH($C2848,Productos!$A$5:$A$504,0)),0)+SUMIFS($F$5:$F2848,$C$5:$C2848,$C2848,$B$5:$B2848,"Entrada")-SUMIFS($F$5:$F2848,$C$5:$C2848,$C2848,$B$5:$B2848,"Salida"))</f>
        <v/>
      </c>
      <c r="J2848" s="20"/>
      <c r="K2848" s="20"/>
      <c r="L2848" s="20"/>
      <c r="M2848" s="14" t="str">
        <f>IF(AND($C2848&lt;&gt;"",$C2848=Kardex!$C$4),COUNTIF($C$5:$C2848,Kardex!$C$4),"")</f>
        <v/>
      </c>
    </row>
    <row r="2849" spans="1:13" x14ac:dyDescent="0.25">
      <c r="A2849" s="24"/>
      <c r="B2849" s="20"/>
      <c r="C2849" s="20"/>
      <c r="D2849" s="14" t="str">
        <f>IF($C2849="","",IFERROR(INDEX(Productos!$B$5:$B$504,MATCH($C2849,Productos!$A$5:$A$504,0)),"Clave no existe"))</f>
        <v/>
      </c>
      <c r="E2849" s="14" t="str">
        <f>IF($C2849="","",IFERROR(INDEX(Productos!$D$5:$D$504,MATCH($C2849,Productos!$A$5:$A$504,0)),""))</f>
        <v/>
      </c>
      <c r="F2849" s="20"/>
      <c r="G2849" s="22" t="str">
        <f>IF($C2849="","",IFERROR(INDEX(Productos!$F$5:$F$504,MATCH($C2849,Productos!$A$5:$A$504,0)),0))</f>
        <v/>
      </c>
      <c r="H2849" s="22" t="str">
        <f t="shared" si="44"/>
        <v/>
      </c>
      <c r="I2849" s="14" t="str">
        <f>IF(OR($C2849="",$F2849=""),"",IFERROR(INDEX(Productos!$I$5:$I$504,MATCH($C2849,Productos!$A$5:$A$504,0)),0)+SUMIFS($F$5:$F2849,$C$5:$C2849,$C2849,$B$5:$B2849,"Entrada")-SUMIFS($F$5:$F2849,$C$5:$C2849,$C2849,$B$5:$B2849,"Salida"))</f>
        <v/>
      </c>
      <c r="J2849" s="20"/>
      <c r="K2849" s="20"/>
      <c r="L2849" s="20"/>
      <c r="M2849" s="14" t="str">
        <f>IF(AND($C2849&lt;&gt;"",$C2849=Kardex!$C$4),COUNTIF($C$5:$C2849,Kardex!$C$4),"")</f>
        <v/>
      </c>
    </row>
    <row r="2850" spans="1:13" x14ac:dyDescent="0.25">
      <c r="A2850" s="24"/>
      <c r="B2850" s="20"/>
      <c r="C2850" s="20"/>
      <c r="D2850" s="14" t="str">
        <f>IF($C2850="","",IFERROR(INDEX(Productos!$B$5:$B$504,MATCH($C2850,Productos!$A$5:$A$504,0)),"Clave no existe"))</f>
        <v/>
      </c>
      <c r="E2850" s="14" t="str">
        <f>IF($C2850="","",IFERROR(INDEX(Productos!$D$5:$D$504,MATCH($C2850,Productos!$A$5:$A$504,0)),""))</f>
        <v/>
      </c>
      <c r="F2850" s="20"/>
      <c r="G2850" s="22" t="str">
        <f>IF($C2850="","",IFERROR(INDEX(Productos!$F$5:$F$504,MATCH($C2850,Productos!$A$5:$A$504,0)),0))</f>
        <v/>
      </c>
      <c r="H2850" s="22" t="str">
        <f t="shared" si="44"/>
        <v/>
      </c>
      <c r="I2850" s="14" t="str">
        <f>IF(OR($C2850="",$F2850=""),"",IFERROR(INDEX(Productos!$I$5:$I$504,MATCH($C2850,Productos!$A$5:$A$504,0)),0)+SUMIFS($F$5:$F2850,$C$5:$C2850,$C2850,$B$5:$B2850,"Entrada")-SUMIFS($F$5:$F2850,$C$5:$C2850,$C2850,$B$5:$B2850,"Salida"))</f>
        <v/>
      </c>
      <c r="J2850" s="20"/>
      <c r="K2850" s="20"/>
      <c r="L2850" s="20"/>
      <c r="M2850" s="14" t="str">
        <f>IF(AND($C2850&lt;&gt;"",$C2850=Kardex!$C$4),COUNTIF($C$5:$C2850,Kardex!$C$4),"")</f>
        <v/>
      </c>
    </row>
    <row r="2851" spans="1:13" x14ac:dyDescent="0.25">
      <c r="A2851" s="24"/>
      <c r="B2851" s="20"/>
      <c r="C2851" s="20"/>
      <c r="D2851" s="14" t="str">
        <f>IF($C2851="","",IFERROR(INDEX(Productos!$B$5:$B$504,MATCH($C2851,Productos!$A$5:$A$504,0)),"Clave no existe"))</f>
        <v/>
      </c>
      <c r="E2851" s="14" t="str">
        <f>IF($C2851="","",IFERROR(INDEX(Productos!$D$5:$D$504,MATCH($C2851,Productos!$A$5:$A$504,0)),""))</f>
        <v/>
      </c>
      <c r="F2851" s="20"/>
      <c r="G2851" s="22" t="str">
        <f>IF($C2851="","",IFERROR(INDEX(Productos!$F$5:$F$504,MATCH($C2851,Productos!$A$5:$A$504,0)),0))</f>
        <v/>
      </c>
      <c r="H2851" s="22" t="str">
        <f t="shared" si="44"/>
        <v/>
      </c>
      <c r="I2851" s="14" t="str">
        <f>IF(OR($C2851="",$F2851=""),"",IFERROR(INDEX(Productos!$I$5:$I$504,MATCH($C2851,Productos!$A$5:$A$504,0)),0)+SUMIFS($F$5:$F2851,$C$5:$C2851,$C2851,$B$5:$B2851,"Entrada")-SUMIFS($F$5:$F2851,$C$5:$C2851,$C2851,$B$5:$B2851,"Salida"))</f>
        <v/>
      </c>
      <c r="J2851" s="20"/>
      <c r="K2851" s="20"/>
      <c r="L2851" s="20"/>
      <c r="M2851" s="14" t="str">
        <f>IF(AND($C2851&lt;&gt;"",$C2851=Kardex!$C$4),COUNTIF($C$5:$C2851,Kardex!$C$4),"")</f>
        <v/>
      </c>
    </row>
    <row r="2852" spans="1:13" x14ac:dyDescent="0.25">
      <c r="A2852" s="24"/>
      <c r="B2852" s="20"/>
      <c r="C2852" s="20"/>
      <c r="D2852" s="14" t="str">
        <f>IF($C2852="","",IFERROR(INDEX(Productos!$B$5:$B$504,MATCH($C2852,Productos!$A$5:$A$504,0)),"Clave no existe"))</f>
        <v/>
      </c>
      <c r="E2852" s="14" t="str">
        <f>IF($C2852="","",IFERROR(INDEX(Productos!$D$5:$D$504,MATCH($C2852,Productos!$A$5:$A$504,0)),""))</f>
        <v/>
      </c>
      <c r="F2852" s="20"/>
      <c r="G2852" s="22" t="str">
        <f>IF($C2852="","",IFERROR(INDEX(Productos!$F$5:$F$504,MATCH($C2852,Productos!$A$5:$A$504,0)),0))</f>
        <v/>
      </c>
      <c r="H2852" s="22" t="str">
        <f t="shared" si="44"/>
        <v/>
      </c>
      <c r="I2852" s="14" t="str">
        <f>IF(OR($C2852="",$F2852=""),"",IFERROR(INDEX(Productos!$I$5:$I$504,MATCH($C2852,Productos!$A$5:$A$504,0)),0)+SUMIFS($F$5:$F2852,$C$5:$C2852,$C2852,$B$5:$B2852,"Entrada")-SUMIFS($F$5:$F2852,$C$5:$C2852,$C2852,$B$5:$B2852,"Salida"))</f>
        <v/>
      </c>
      <c r="J2852" s="20"/>
      <c r="K2852" s="20"/>
      <c r="L2852" s="20"/>
      <c r="M2852" s="14" t="str">
        <f>IF(AND($C2852&lt;&gt;"",$C2852=Kardex!$C$4),COUNTIF($C$5:$C2852,Kardex!$C$4),"")</f>
        <v/>
      </c>
    </row>
    <row r="2853" spans="1:13" x14ac:dyDescent="0.25">
      <c r="A2853" s="24"/>
      <c r="B2853" s="20"/>
      <c r="C2853" s="20"/>
      <c r="D2853" s="14" t="str">
        <f>IF($C2853="","",IFERROR(INDEX(Productos!$B$5:$B$504,MATCH($C2853,Productos!$A$5:$A$504,0)),"Clave no existe"))</f>
        <v/>
      </c>
      <c r="E2853" s="14" t="str">
        <f>IF($C2853="","",IFERROR(INDEX(Productos!$D$5:$D$504,MATCH($C2853,Productos!$A$5:$A$504,0)),""))</f>
        <v/>
      </c>
      <c r="F2853" s="20"/>
      <c r="G2853" s="22" t="str">
        <f>IF($C2853="","",IFERROR(INDEX(Productos!$F$5:$F$504,MATCH($C2853,Productos!$A$5:$A$504,0)),0))</f>
        <v/>
      </c>
      <c r="H2853" s="22" t="str">
        <f t="shared" si="44"/>
        <v/>
      </c>
      <c r="I2853" s="14" t="str">
        <f>IF(OR($C2853="",$F2853=""),"",IFERROR(INDEX(Productos!$I$5:$I$504,MATCH($C2853,Productos!$A$5:$A$504,0)),0)+SUMIFS($F$5:$F2853,$C$5:$C2853,$C2853,$B$5:$B2853,"Entrada")-SUMIFS($F$5:$F2853,$C$5:$C2853,$C2853,$B$5:$B2853,"Salida"))</f>
        <v/>
      </c>
      <c r="J2853" s="20"/>
      <c r="K2853" s="20"/>
      <c r="L2853" s="20"/>
      <c r="M2853" s="14" t="str">
        <f>IF(AND($C2853&lt;&gt;"",$C2853=Kardex!$C$4),COUNTIF($C$5:$C2853,Kardex!$C$4),"")</f>
        <v/>
      </c>
    </row>
    <row r="2854" spans="1:13" x14ac:dyDescent="0.25">
      <c r="A2854" s="24"/>
      <c r="B2854" s="20"/>
      <c r="C2854" s="20"/>
      <c r="D2854" s="14" t="str">
        <f>IF($C2854="","",IFERROR(INDEX(Productos!$B$5:$B$504,MATCH($C2854,Productos!$A$5:$A$504,0)),"Clave no existe"))</f>
        <v/>
      </c>
      <c r="E2854" s="14" t="str">
        <f>IF($C2854="","",IFERROR(INDEX(Productos!$D$5:$D$504,MATCH($C2854,Productos!$A$5:$A$504,0)),""))</f>
        <v/>
      </c>
      <c r="F2854" s="20"/>
      <c r="G2854" s="22" t="str">
        <f>IF($C2854="","",IFERROR(INDEX(Productos!$F$5:$F$504,MATCH($C2854,Productos!$A$5:$A$504,0)),0))</f>
        <v/>
      </c>
      <c r="H2854" s="22" t="str">
        <f t="shared" si="44"/>
        <v/>
      </c>
      <c r="I2854" s="14" t="str">
        <f>IF(OR($C2854="",$F2854=""),"",IFERROR(INDEX(Productos!$I$5:$I$504,MATCH($C2854,Productos!$A$5:$A$504,0)),0)+SUMIFS($F$5:$F2854,$C$5:$C2854,$C2854,$B$5:$B2854,"Entrada")-SUMIFS($F$5:$F2854,$C$5:$C2854,$C2854,$B$5:$B2854,"Salida"))</f>
        <v/>
      </c>
      <c r="J2854" s="20"/>
      <c r="K2854" s="20"/>
      <c r="L2854" s="20"/>
      <c r="M2854" s="14" t="str">
        <f>IF(AND($C2854&lt;&gt;"",$C2854=Kardex!$C$4),COUNTIF($C$5:$C2854,Kardex!$C$4),"")</f>
        <v/>
      </c>
    </row>
    <row r="2855" spans="1:13" x14ac:dyDescent="0.25">
      <c r="A2855" s="24"/>
      <c r="B2855" s="20"/>
      <c r="C2855" s="20"/>
      <c r="D2855" s="14" t="str">
        <f>IF($C2855="","",IFERROR(INDEX(Productos!$B$5:$B$504,MATCH($C2855,Productos!$A$5:$A$504,0)),"Clave no existe"))</f>
        <v/>
      </c>
      <c r="E2855" s="14" t="str">
        <f>IF($C2855="","",IFERROR(INDEX(Productos!$D$5:$D$504,MATCH($C2855,Productos!$A$5:$A$504,0)),""))</f>
        <v/>
      </c>
      <c r="F2855" s="20"/>
      <c r="G2855" s="22" t="str">
        <f>IF($C2855="","",IFERROR(INDEX(Productos!$F$5:$F$504,MATCH($C2855,Productos!$A$5:$A$504,0)),0))</f>
        <v/>
      </c>
      <c r="H2855" s="22" t="str">
        <f t="shared" si="44"/>
        <v/>
      </c>
      <c r="I2855" s="14" t="str">
        <f>IF(OR($C2855="",$F2855=""),"",IFERROR(INDEX(Productos!$I$5:$I$504,MATCH($C2855,Productos!$A$5:$A$504,0)),0)+SUMIFS($F$5:$F2855,$C$5:$C2855,$C2855,$B$5:$B2855,"Entrada")-SUMIFS($F$5:$F2855,$C$5:$C2855,$C2855,$B$5:$B2855,"Salida"))</f>
        <v/>
      </c>
      <c r="J2855" s="20"/>
      <c r="K2855" s="20"/>
      <c r="L2855" s="20"/>
      <c r="M2855" s="14" t="str">
        <f>IF(AND($C2855&lt;&gt;"",$C2855=Kardex!$C$4),COUNTIF($C$5:$C2855,Kardex!$C$4),"")</f>
        <v/>
      </c>
    </row>
    <row r="2856" spans="1:13" x14ac:dyDescent="0.25">
      <c r="A2856" s="24"/>
      <c r="B2856" s="20"/>
      <c r="C2856" s="20"/>
      <c r="D2856" s="14" t="str">
        <f>IF($C2856="","",IFERROR(INDEX(Productos!$B$5:$B$504,MATCH($C2856,Productos!$A$5:$A$504,0)),"Clave no existe"))</f>
        <v/>
      </c>
      <c r="E2856" s="14" t="str">
        <f>IF($C2856="","",IFERROR(INDEX(Productos!$D$5:$D$504,MATCH($C2856,Productos!$A$5:$A$504,0)),""))</f>
        <v/>
      </c>
      <c r="F2856" s="20"/>
      <c r="G2856" s="22" t="str">
        <f>IF($C2856="","",IFERROR(INDEX(Productos!$F$5:$F$504,MATCH($C2856,Productos!$A$5:$A$504,0)),0))</f>
        <v/>
      </c>
      <c r="H2856" s="22" t="str">
        <f t="shared" si="44"/>
        <v/>
      </c>
      <c r="I2856" s="14" t="str">
        <f>IF(OR($C2856="",$F2856=""),"",IFERROR(INDEX(Productos!$I$5:$I$504,MATCH($C2856,Productos!$A$5:$A$504,0)),0)+SUMIFS($F$5:$F2856,$C$5:$C2856,$C2856,$B$5:$B2856,"Entrada")-SUMIFS($F$5:$F2856,$C$5:$C2856,$C2856,$B$5:$B2856,"Salida"))</f>
        <v/>
      </c>
      <c r="J2856" s="20"/>
      <c r="K2856" s="20"/>
      <c r="L2856" s="20"/>
      <c r="M2856" s="14" t="str">
        <f>IF(AND($C2856&lt;&gt;"",$C2856=Kardex!$C$4),COUNTIF($C$5:$C2856,Kardex!$C$4),"")</f>
        <v/>
      </c>
    </row>
    <row r="2857" spans="1:13" x14ac:dyDescent="0.25">
      <c r="A2857" s="24"/>
      <c r="B2857" s="20"/>
      <c r="C2857" s="20"/>
      <c r="D2857" s="14" t="str">
        <f>IF($C2857="","",IFERROR(INDEX(Productos!$B$5:$B$504,MATCH($C2857,Productos!$A$5:$A$504,0)),"Clave no existe"))</f>
        <v/>
      </c>
      <c r="E2857" s="14" t="str">
        <f>IF($C2857="","",IFERROR(INDEX(Productos!$D$5:$D$504,MATCH($C2857,Productos!$A$5:$A$504,0)),""))</f>
        <v/>
      </c>
      <c r="F2857" s="20"/>
      <c r="G2857" s="22" t="str">
        <f>IF($C2857="","",IFERROR(INDEX(Productos!$F$5:$F$504,MATCH($C2857,Productos!$A$5:$A$504,0)),0))</f>
        <v/>
      </c>
      <c r="H2857" s="22" t="str">
        <f t="shared" si="44"/>
        <v/>
      </c>
      <c r="I2857" s="14" t="str">
        <f>IF(OR($C2857="",$F2857=""),"",IFERROR(INDEX(Productos!$I$5:$I$504,MATCH($C2857,Productos!$A$5:$A$504,0)),0)+SUMIFS($F$5:$F2857,$C$5:$C2857,$C2857,$B$5:$B2857,"Entrada")-SUMIFS($F$5:$F2857,$C$5:$C2857,$C2857,$B$5:$B2857,"Salida"))</f>
        <v/>
      </c>
      <c r="J2857" s="20"/>
      <c r="K2857" s="20"/>
      <c r="L2857" s="20"/>
      <c r="M2857" s="14" t="str">
        <f>IF(AND($C2857&lt;&gt;"",$C2857=Kardex!$C$4),COUNTIF($C$5:$C2857,Kardex!$C$4),"")</f>
        <v/>
      </c>
    </row>
    <row r="2858" spans="1:13" x14ac:dyDescent="0.25">
      <c r="A2858" s="24"/>
      <c r="B2858" s="20"/>
      <c r="C2858" s="20"/>
      <c r="D2858" s="14" t="str">
        <f>IF($C2858="","",IFERROR(INDEX(Productos!$B$5:$B$504,MATCH($C2858,Productos!$A$5:$A$504,0)),"Clave no existe"))</f>
        <v/>
      </c>
      <c r="E2858" s="14" t="str">
        <f>IF($C2858="","",IFERROR(INDEX(Productos!$D$5:$D$504,MATCH($C2858,Productos!$A$5:$A$504,0)),""))</f>
        <v/>
      </c>
      <c r="F2858" s="20"/>
      <c r="G2858" s="22" t="str">
        <f>IF($C2858="","",IFERROR(INDEX(Productos!$F$5:$F$504,MATCH($C2858,Productos!$A$5:$A$504,0)),0))</f>
        <v/>
      </c>
      <c r="H2858" s="22" t="str">
        <f t="shared" si="44"/>
        <v/>
      </c>
      <c r="I2858" s="14" t="str">
        <f>IF(OR($C2858="",$F2858=""),"",IFERROR(INDEX(Productos!$I$5:$I$504,MATCH($C2858,Productos!$A$5:$A$504,0)),0)+SUMIFS($F$5:$F2858,$C$5:$C2858,$C2858,$B$5:$B2858,"Entrada")-SUMIFS($F$5:$F2858,$C$5:$C2858,$C2858,$B$5:$B2858,"Salida"))</f>
        <v/>
      </c>
      <c r="J2858" s="20"/>
      <c r="K2858" s="20"/>
      <c r="L2858" s="20"/>
      <c r="M2858" s="14" t="str">
        <f>IF(AND($C2858&lt;&gt;"",$C2858=Kardex!$C$4),COUNTIF($C$5:$C2858,Kardex!$C$4),"")</f>
        <v/>
      </c>
    </row>
    <row r="2859" spans="1:13" x14ac:dyDescent="0.25">
      <c r="A2859" s="24"/>
      <c r="B2859" s="20"/>
      <c r="C2859" s="20"/>
      <c r="D2859" s="14" t="str">
        <f>IF($C2859="","",IFERROR(INDEX(Productos!$B$5:$B$504,MATCH($C2859,Productos!$A$5:$A$504,0)),"Clave no existe"))</f>
        <v/>
      </c>
      <c r="E2859" s="14" t="str">
        <f>IF($C2859="","",IFERROR(INDEX(Productos!$D$5:$D$504,MATCH($C2859,Productos!$A$5:$A$504,0)),""))</f>
        <v/>
      </c>
      <c r="F2859" s="20"/>
      <c r="G2859" s="22" t="str">
        <f>IF($C2859="","",IFERROR(INDEX(Productos!$F$5:$F$504,MATCH($C2859,Productos!$A$5:$A$504,0)),0))</f>
        <v/>
      </c>
      <c r="H2859" s="22" t="str">
        <f t="shared" si="44"/>
        <v/>
      </c>
      <c r="I2859" s="14" t="str">
        <f>IF(OR($C2859="",$F2859=""),"",IFERROR(INDEX(Productos!$I$5:$I$504,MATCH($C2859,Productos!$A$5:$A$504,0)),0)+SUMIFS($F$5:$F2859,$C$5:$C2859,$C2859,$B$5:$B2859,"Entrada")-SUMIFS($F$5:$F2859,$C$5:$C2859,$C2859,$B$5:$B2859,"Salida"))</f>
        <v/>
      </c>
      <c r="J2859" s="20"/>
      <c r="K2859" s="20"/>
      <c r="L2859" s="20"/>
      <c r="M2859" s="14" t="str">
        <f>IF(AND($C2859&lt;&gt;"",$C2859=Kardex!$C$4),COUNTIF($C$5:$C2859,Kardex!$C$4),"")</f>
        <v/>
      </c>
    </row>
    <row r="2860" spans="1:13" x14ac:dyDescent="0.25">
      <c r="A2860" s="24"/>
      <c r="B2860" s="20"/>
      <c r="C2860" s="20"/>
      <c r="D2860" s="14" t="str">
        <f>IF($C2860="","",IFERROR(INDEX(Productos!$B$5:$B$504,MATCH($C2860,Productos!$A$5:$A$504,0)),"Clave no existe"))</f>
        <v/>
      </c>
      <c r="E2860" s="14" t="str">
        <f>IF($C2860="","",IFERROR(INDEX(Productos!$D$5:$D$504,MATCH($C2860,Productos!$A$5:$A$504,0)),""))</f>
        <v/>
      </c>
      <c r="F2860" s="20"/>
      <c r="G2860" s="22" t="str">
        <f>IF($C2860="","",IFERROR(INDEX(Productos!$F$5:$F$504,MATCH($C2860,Productos!$A$5:$A$504,0)),0))</f>
        <v/>
      </c>
      <c r="H2860" s="22" t="str">
        <f t="shared" si="44"/>
        <v/>
      </c>
      <c r="I2860" s="14" t="str">
        <f>IF(OR($C2860="",$F2860=""),"",IFERROR(INDEX(Productos!$I$5:$I$504,MATCH($C2860,Productos!$A$5:$A$504,0)),0)+SUMIFS($F$5:$F2860,$C$5:$C2860,$C2860,$B$5:$B2860,"Entrada")-SUMIFS($F$5:$F2860,$C$5:$C2860,$C2860,$B$5:$B2860,"Salida"))</f>
        <v/>
      </c>
      <c r="J2860" s="20"/>
      <c r="K2860" s="20"/>
      <c r="L2860" s="20"/>
      <c r="M2860" s="14" t="str">
        <f>IF(AND($C2860&lt;&gt;"",$C2860=Kardex!$C$4),COUNTIF($C$5:$C2860,Kardex!$C$4),"")</f>
        <v/>
      </c>
    </row>
    <row r="2861" spans="1:13" x14ac:dyDescent="0.25">
      <c r="A2861" s="24"/>
      <c r="B2861" s="20"/>
      <c r="C2861" s="20"/>
      <c r="D2861" s="14" t="str">
        <f>IF($C2861="","",IFERROR(INDEX(Productos!$B$5:$B$504,MATCH($C2861,Productos!$A$5:$A$504,0)),"Clave no existe"))</f>
        <v/>
      </c>
      <c r="E2861" s="14" t="str">
        <f>IF($C2861="","",IFERROR(INDEX(Productos!$D$5:$D$504,MATCH($C2861,Productos!$A$5:$A$504,0)),""))</f>
        <v/>
      </c>
      <c r="F2861" s="20"/>
      <c r="G2861" s="22" t="str">
        <f>IF($C2861="","",IFERROR(INDEX(Productos!$F$5:$F$504,MATCH($C2861,Productos!$A$5:$A$504,0)),0))</f>
        <v/>
      </c>
      <c r="H2861" s="22" t="str">
        <f t="shared" si="44"/>
        <v/>
      </c>
      <c r="I2861" s="14" t="str">
        <f>IF(OR($C2861="",$F2861=""),"",IFERROR(INDEX(Productos!$I$5:$I$504,MATCH($C2861,Productos!$A$5:$A$504,0)),0)+SUMIFS($F$5:$F2861,$C$5:$C2861,$C2861,$B$5:$B2861,"Entrada")-SUMIFS($F$5:$F2861,$C$5:$C2861,$C2861,$B$5:$B2861,"Salida"))</f>
        <v/>
      </c>
      <c r="J2861" s="20"/>
      <c r="K2861" s="20"/>
      <c r="L2861" s="20"/>
      <c r="M2861" s="14" t="str">
        <f>IF(AND($C2861&lt;&gt;"",$C2861=Kardex!$C$4),COUNTIF($C$5:$C2861,Kardex!$C$4),"")</f>
        <v/>
      </c>
    </row>
    <row r="2862" spans="1:13" x14ac:dyDescent="0.25">
      <c r="A2862" s="24"/>
      <c r="B2862" s="20"/>
      <c r="C2862" s="20"/>
      <c r="D2862" s="14" t="str">
        <f>IF($C2862="","",IFERROR(INDEX(Productos!$B$5:$B$504,MATCH($C2862,Productos!$A$5:$A$504,0)),"Clave no existe"))</f>
        <v/>
      </c>
      <c r="E2862" s="14" t="str">
        <f>IF($C2862="","",IFERROR(INDEX(Productos!$D$5:$D$504,MATCH($C2862,Productos!$A$5:$A$504,0)),""))</f>
        <v/>
      </c>
      <c r="F2862" s="20"/>
      <c r="G2862" s="22" t="str">
        <f>IF($C2862="","",IFERROR(INDEX(Productos!$F$5:$F$504,MATCH($C2862,Productos!$A$5:$A$504,0)),0))</f>
        <v/>
      </c>
      <c r="H2862" s="22" t="str">
        <f t="shared" si="44"/>
        <v/>
      </c>
      <c r="I2862" s="14" t="str">
        <f>IF(OR($C2862="",$F2862=""),"",IFERROR(INDEX(Productos!$I$5:$I$504,MATCH($C2862,Productos!$A$5:$A$504,0)),0)+SUMIFS($F$5:$F2862,$C$5:$C2862,$C2862,$B$5:$B2862,"Entrada")-SUMIFS($F$5:$F2862,$C$5:$C2862,$C2862,$B$5:$B2862,"Salida"))</f>
        <v/>
      </c>
      <c r="J2862" s="20"/>
      <c r="K2862" s="20"/>
      <c r="L2862" s="20"/>
      <c r="M2862" s="14" t="str">
        <f>IF(AND($C2862&lt;&gt;"",$C2862=Kardex!$C$4),COUNTIF($C$5:$C2862,Kardex!$C$4),"")</f>
        <v/>
      </c>
    </row>
    <row r="2863" spans="1:13" x14ac:dyDescent="0.25">
      <c r="A2863" s="24"/>
      <c r="B2863" s="20"/>
      <c r="C2863" s="20"/>
      <c r="D2863" s="14" t="str">
        <f>IF($C2863="","",IFERROR(INDEX(Productos!$B$5:$B$504,MATCH($C2863,Productos!$A$5:$A$504,0)),"Clave no existe"))</f>
        <v/>
      </c>
      <c r="E2863" s="14" t="str">
        <f>IF($C2863="","",IFERROR(INDEX(Productos!$D$5:$D$504,MATCH($C2863,Productos!$A$5:$A$504,0)),""))</f>
        <v/>
      </c>
      <c r="F2863" s="20"/>
      <c r="G2863" s="22" t="str">
        <f>IF($C2863="","",IFERROR(INDEX(Productos!$F$5:$F$504,MATCH($C2863,Productos!$A$5:$A$504,0)),0))</f>
        <v/>
      </c>
      <c r="H2863" s="22" t="str">
        <f t="shared" si="44"/>
        <v/>
      </c>
      <c r="I2863" s="14" t="str">
        <f>IF(OR($C2863="",$F2863=""),"",IFERROR(INDEX(Productos!$I$5:$I$504,MATCH($C2863,Productos!$A$5:$A$504,0)),0)+SUMIFS($F$5:$F2863,$C$5:$C2863,$C2863,$B$5:$B2863,"Entrada")-SUMIFS($F$5:$F2863,$C$5:$C2863,$C2863,$B$5:$B2863,"Salida"))</f>
        <v/>
      </c>
      <c r="J2863" s="20"/>
      <c r="K2863" s="20"/>
      <c r="L2863" s="20"/>
      <c r="M2863" s="14" t="str">
        <f>IF(AND($C2863&lt;&gt;"",$C2863=Kardex!$C$4),COUNTIF($C$5:$C2863,Kardex!$C$4),"")</f>
        <v/>
      </c>
    </row>
    <row r="2864" spans="1:13" x14ac:dyDescent="0.25">
      <c r="A2864" s="24"/>
      <c r="B2864" s="20"/>
      <c r="C2864" s="20"/>
      <c r="D2864" s="14" t="str">
        <f>IF($C2864="","",IFERROR(INDEX(Productos!$B$5:$B$504,MATCH($C2864,Productos!$A$5:$A$504,0)),"Clave no existe"))</f>
        <v/>
      </c>
      <c r="E2864" s="14" t="str">
        <f>IF($C2864="","",IFERROR(INDEX(Productos!$D$5:$D$504,MATCH($C2864,Productos!$A$5:$A$504,0)),""))</f>
        <v/>
      </c>
      <c r="F2864" s="20"/>
      <c r="G2864" s="22" t="str">
        <f>IF($C2864="","",IFERROR(INDEX(Productos!$F$5:$F$504,MATCH($C2864,Productos!$A$5:$A$504,0)),0))</f>
        <v/>
      </c>
      <c r="H2864" s="22" t="str">
        <f t="shared" si="44"/>
        <v/>
      </c>
      <c r="I2864" s="14" t="str">
        <f>IF(OR($C2864="",$F2864=""),"",IFERROR(INDEX(Productos!$I$5:$I$504,MATCH($C2864,Productos!$A$5:$A$504,0)),0)+SUMIFS($F$5:$F2864,$C$5:$C2864,$C2864,$B$5:$B2864,"Entrada")-SUMIFS($F$5:$F2864,$C$5:$C2864,$C2864,$B$5:$B2864,"Salida"))</f>
        <v/>
      </c>
      <c r="J2864" s="20"/>
      <c r="K2864" s="20"/>
      <c r="L2864" s="20"/>
      <c r="M2864" s="14" t="str">
        <f>IF(AND($C2864&lt;&gt;"",$C2864=Kardex!$C$4),COUNTIF($C$5:$C2864,Kardex!$C$4),"")</f>
        <v/>
      </c>
    </row>
    <row r="2865" spans="1:13" x14ac:dyDescent="0.25">
      <c r="A2865" s="24"/>
      <c r="B2865" s="20"/>
      <c r="C2865" s="20"/>
      <c r="D2865" s="14" t="str">
        <f>IF($C2865="","",IFERROR(INDEX(Productos!$B$5:$B$504,MATCH($C2865,Productos!$A$5:$A$504,0)),"Clave no existe"))</f>
        <v/>
      </c>
      <c r="E2865" s="14" t="str">
        <f>IF($C2865="","",IFERROR(INDEX(Productos!$D$5:$D$504,MATCH($C2865,Productos!$A$5:$A$504,0)),""))</f>
        <v/>
      </c>
      <c r="F2865" s="20"/>
      <c r="G2865" s="22" t="str">
        <f>IF($C2865="","",IFERROR(INDEX(Productos!$F$5:$F$504,MATCH($C2865,Productos!$A$5:$A$504,0)),0))</f>
        <v/>
      </c>
      <c r="H2865" s="22" t="str">
        <f t="shared" si="44"/>
        <v/>
      </c>
      <c r="I2865" s="14" t="str">
        <f>IF(OR($C2865="",$F2865=""),"",IFERROR(INDEX(Productos!$I$5:$I$504,MATCH($C2865,Productos!$A$5:$A$504,0)),0)+SUMIFS($F$5:$F2865,$C$5:$C2865,$C2865,$B$5:$B2865,"Entrada")-SUMIFS($F$5:$F2865,$C$5:$C2865,$C2865,$B$5:$B2865,"Salida"))</f>
        <v/>
      </c>
      <c r="J2865" s="20"/>
      <c r="K2865" s="20"/>
      <c r="L2865" s="20"/>
      <c r="M2865" s="14" t="str">
        <f>IF(AND($C2865&lt;&gt;"",$C2865=Kardex!$C$4),COUNTIF($C$5:$C2865,Kardex!$C$4),"")</f>
        <v/>
      </c>
    </row>
    <row r="2866" spans="1:13" x14ac:dyDescent="0.25">
      <c r="A2866" s="24"/>
      <c r="B2866" s="20"/>
      <c r="C2866" s="20"/>
      <c r="D2866" s="14" t="str">
        <f>IF($C2866="","",IFERROR(INDEX(Productos!$B$5:$B$504,MATCH($C2866,Productos!$A$5:$A$504,0)),"Clave no existe"))</f>
        <v/>
      </c>
      <c r="E2866" s="14" t="str">
        <f>IF($C2866="","",IFERROR(INDEX(Productos!$D$5:$D$504,MATCH($C2866,Productos!$A$5:$A$504,0)),""))</f>
        <v/>
      </c>
      <c r="F2866" s="20"/>
      <c r="G2866" s="22" t="str">
        <f>IF($C2866="","",IFERROR(INDEX(Productos!$F$5:$F$504,MATCH($C2866,Productos!$A$5:$A$504,0)),0))</f>
        <v/>
      </c>
      <c r="H2866" s="22" t="str">
        <f t="shared" si="44"/>
        <v/>
      </c>
      <c r="I2866" s="14" t="str">
        <f>IF(OR($C2866="",$F2866=""),"",IFERROR(INDEX(Productos!$I$5:$I$504,MATCH($C2866,Productos!$A$5:$A$504,0)),0)+SUMIFS($F$5:$F2866,$C$5:$C2866,$C2866,$B$5:$B2866,"Entrada")-SUMIFS($F$5:$F2866,$C$5:$C2866,$C2866,$B$5:$B2866,"Salida"))</f>
        <v/>
      </c>
      <c r="J2866" s="20"/>
      <c r="K2866" s="20"/>
      <c r="L2866" s="20"/>
      <c r="M2866" s="14" t="str">
        <f>IF(AND($C2866&lt;&gt;"",$C2866=Kardex!$C$4),COUNTIF($C$5:$C2866,Kardex!$C$4),"")</f>
        <v/>
      </c>
    </row>
    <row r="2867" spans="1:13" x14ac:dyDescent="0.25">
      <c r="A2867" s="24"/>
      <c r="B2867" s="20"/>
      <c r="C2867" s="20"/>
      <c r="D2867" s="14" t="str">
        <f>IF($C2867="","",IFERROR(INDEX(Productos!$B$5:$B$504,MATCH($C2867,Productos!$A$5:$A$504,0)),"Clave no existe"))</f>
        <v/>
      </c>
      <c r="E2867" s="14" t="str">
        <f>IF($C2867="","",IFERROR(INDEX(Productos!$D$5:$D$504,MATCH($C2867,Productos!$A$5:$A$504,0)),""))</f>
        <v/>
      </c>
      <c r="F2867" s="20"/>
      <c r="G2867" s="22" t="str">
        <f>IF($C2867="","",IFERROR(INDEX(Productos!$F$5:$F$504,MATCH($C2867,Productos!$A$5:$A$504,0)),0))</f>
        <v/>
      </c>
      <c r="H2867" s="22" t="str">
        <f t="shared" si="44"/>
        <v/>
      </c>
      <c r="I2867" s="14" t="str">
        <f>IF(OR($C2867="",$F2867=""),"",IFERROR(INDEX(Productos!$I$5:$I$504,MATCH($C2867,Productos!$A$5:$A$504,0)),0)+SUMIFS($F$5:$F2867,$C$5:$C2867,$C2867,$B$5:$B2867,"Entrada")-SUMIFS($F$5:$F2867,$C$5:$C2867,$C2867,$B$5:$B2867,"Salida"))</f>
        <v/>
      </c>
      <c r="J2867" s="20"/>
      <c r="K2867" s="20"/>
      <c r="L2867" s="20"/>
      <c r="M2867" s="14" t="str">
        <f>IF(AND($C2867&lt;&gt;"",$C2867=Kardex!$C$4),COUNTIF($C$5:$C2867,Kardex!$C$4),"")</f>
        <v/>
      </c>
    </row>
    <row r="2868" spans="1:13" x14ac:dyDescent="0.25">
      <c r="A2868" s="24"/>
      <c r="B2868" s="20"/>
      <c r="C2868" s="20"/>
      <c r="D2868" s="14" t="str">
        <f>IF($C2868="","",IFERROR(INDEX(Productos!$B$5:$B$504,MATCH($C2868,Productos!$A$5:$A$504,0)),"Clave no existe"))</f>
        <v/>
      </c>
      <c r="E2868" s="14" t="str">
        <f>IF($C2868="","",IFERROR(INDEX(Productos!$D$5:$D$504,MATCH($C2868,Productos!$A$5:$A$504,0)),""))</f>
        <v/>
      </c>
      <c r="F2868" s="20"/>
      <c r="G2868" s="22" t="str">
        <f>IF($C2868="","",IFERROR(INDEX(Productos!$F$5:$F$504,MATCH($C2868,Productos!$A$5:$A$504,0)),0))</f>
        <v/>
      </c>
      <c r="H2868" s="22" t="str">
        <f t="shared" si="44"/>
        <v/>
      </c>
      <c r="I2868" s="14" t="str">
        <f>IF(OR($C2868="",$F2868=""),"",IFERROR(INDEX(Productos!$I$5:$I$504,MATCH($C2868,Productos!$A$5:$A$504,0)),0)+SUMIFS($F$5:$F2868,$C$5:$C2868,$C2868,$B$5:$B2868,"Entrada")-SUMIFS($F$5:$F2868,$C$5:$C2868,$C2868,$B$5:$B2868,"Salida"))</f>
        <v/>
      </c>
      <c r="J2868" s="20"/>
      <c r="K2868" s="20"/>
      <c r="L2868" s="20"/>
      <c r="M2868" s="14" t="str">
        <f>IF(AND($C2868&lt;&gt;"",$C2868=Kardex!$C$4),COUNTIF($C$5:$C2868,Kardex!$C$4),"")</f>
        <v/>
      </c>
    </row>
    <row r="2869" spans="1:13" x14ac:dyDescent="0.25">
      <c r="A2869" s="24"/>
      <c r="B2869" s="20"/>
      <c r="C2869" s="20"/>
      <c r="D2869" s="14" t="str">
        <f>IF($C2869="","",IFERROR(INDEX(Productos!$B$5:$B$504,MATCH($C2869,Productos!$A$5:$A$504,0)),"Clave no existe"))</f>
        <v/>
      </c>
      <c r="E2869" s="14" t="str">
        <f>IF($C2869="","",IFERROR(INDEX(Productos!$D$5:$D$504,MATCH($C2869,Productos!$A$5:$A$504,0)),""))</f>
        <v/>
      </c>
      <c r="F2869" s="20"/>
      <c r="G2869" s="22" t="str">
        <f>IF($C2869="","",IFERROR(INDEX(Productos!$F$5:$F$504,MATCH($C2869,Productos!$A$5:$A$504,0)),0))</f>
        <v/>
      </c>
      <c r="H2869" s="22" t="str">
        <f t="shared" si="44"/>
        <v/>
      </c>
      <c r="I2869" s="14" t="str">
        <f>IF(OR($C2869="",$F2869=""),"",IFERROR(INDEX(Productos!$I$5:$I$504,MATCH($C2869,Productos!$A$5:$A$504,0)),0)+SUMIFS($F$5:$F2869,$C$5:$C2869,$C2869,$B$5:$B2869,"Entrada")-SUMIFS($F$5:$F2869,$C$5:$C2869,$C2869,$B$5:$B2869,"Salida"))</f>
        <v/>
      </c>
      <c r="J2869" s="20"/>
      <c r="K2869" s="20"/>
      <c r="L2869" s="20"/>
      <c r="M2869" s="14" t="str">
        <f>IF(AND($C2869&lt;&gt;"",$C2869=Kardex!$C$4),COUNTIF($C$5:$C2869,Kardex!$C$4),"")</f>
        <v/>
      </c>
    </row>
    <row r="2870" spans="1:13" x14ac:dyDescent="0.25">
      <c r="A2870" s="24"/>
      <c r="B2870" s="20"/>
      <c r="C2870" s="20"/>
      <c r="D2870" s="14" t="str">
        <f>IF($C2870="","",IFERROR(INDEX(Productos!$B$5:$B$504,MATCH($C2870,Productos!$A$5:$A$504,0)),"Clave no existe"))</f>
        <v/>
      </c>
      <c r="E2870" s="14" t="str">
        <f>IF($C2870="","",IFERROR(INDEX(Productos!$D$5:$D$504,MATCH($C2870,Productos!$A$5:$A$504,0)),""))</f>
        <v/>
      </c>
      <c r="F2870" s="20"/>
      <c r="G2870" s="22" t="str">
        <f>IF($C2870="","",IFERROR(INDEX(Productos!$F$5:$F$504,MATCH($C2870,Productos!$A$5:$A$504,0)),0))</f>
        <v/>
      </c>
      <c r="H2870" s="22" t="str">
        <f t="shared" si="44"/>
        <v/>
      </c>
      <c r="I2870" s="14" t="str">
        <f>IF(OR($C2870="",$F2870=""),"",IFERROR(INDEX(Productos!$I$5:$I$504,MATCH($C2870,Productos!$A$5:$A$504,0)),0)+SUMIFS($F$5:$F2870,$C$5:$C2870,$C2870,$B$5:$B2870,"Entrada")-SUMIFS($F$5:$F2870,$C$5:$C2870,$C2870,$B$5:$B2870,"Salida"))</f>
        <v/>
      </c>
      <c r="J2870" s="20"/>
      <c r="K2870" s="20"/>
      <c r="L2870" s="20"/>
      <c r="M2870" s="14" t="str">
        <f>IF(AND($C2870&lt;&gt;"",$C2870=Kardex!$C$4),COUNTIF($C$5:$C2870,Kardex!$C$4),"")</f>
        <v/>
      </c>
    </row>
    <row r="2871" spans="1:13" x14ac:dyDescent="0.25">
      <c r="A2871" s="24"/>
      <c r="B2871" s="20"/>
      <c r="C2871" s="20"/>
      <c r="D2871" s="14" t="str">
        <f>IF($C2871="","",IFERROR(INDEX(Productos!$B$5:$B$504,MATCH($C2871,Productos!$A$5:$A$504,0)),"Clave no existe"))</f>
        <v/>
      </c>
      <c r="E2871" s="14" t="str">
        <f>IF($C2871="","",IFERROR(INDEX(Productos!$D$5:$D$504,MATCH($C2871,Productos!$A$5:$A$504,0)),""))</f>
        <v/>
      </c>
      <c r="F2871" s="20"/>
      <c r="G2871" s="22" t="str">
        <f>IF($C2871="","",IFERROR(INDEX(Productos!$F$5:$F$504,MATCH($C2871,Productos!$A$5:$A$504,0)),0))</f>
        <v/>
      </c>
      <c r="H2871" s="22" t="str">
        <f t="shared" si="44"/>
        <v/>
      </c>
      <c r="I2871" s="14" t="str">
        <f>IF(OR($C2871="",$F2871=""),"",IFERROR(INDEX(Productos!$I$5:$I$504,MATCH($C2871,Productos!$A$5:$A$504,0)),0)+SUMIFS($F$5:$F2871,$C$5:$C2871,$C2871,$B$5:$B2871,"Entrada")-SUMIFS($F$5:$F2871,$C$5:$C2871,$C2871,$B$5:$B2871,"Salida"))</f>
        <v/>
      </c>
      <c r="J2871" s="20"/>
      <c r="K2871" s="20"/>
      <c r="L2871" s="20"/>
      <c r="M2871" s="14" t="str">
        <f>IF(AND($C2871&lt;&gt;"",$C2871=Kardex!$C$4),COUNTIF($C$5:$C2871,Kardex!$C$4),"")</f>
        <v/>
      </c>
    </row>
    <row r="2872" spans="1:13" x14ac:dyDescent="0.25">
      <c r="A2872" s="24"/>
      <c r="B2872" s="20"/>
      <c r="C2872" s="20"/>
      <c r="D2872" s="14" t="str">
        <f>IF($C2872="","",IFERROR(INDEX(Productos!$B$5:$B$504,MATCH($C2872,Productos!$A$5:$A$504,0)),"Clave no existe"))</f>
        <v/>
      </c>
      <c r="E2872" s="14" t="str">
        <f>IF($C2872="","",IFERROR(INDEX(Productos!$D$5:$D$504,MATCH($C2872,Productos!$A$5:$A$504,0)),""))</f>
        <v/>
      </c>
      <c r="F2872" s="20"/>
      <c r="G2872" s="22" t="str">
        <f>IF($C2872="","",IFERROR(INDEX(Productos!$F$5:$F$504,MATCH($C2872,Productos!$A$5:$A$504,0)),0))</f>
        <v/>
      </c>
      <c r="H2872" s="22" t="str">
        <f t="shared" si="44"/>
        <v/>
      </c>
      <c r="I2872" s="14" t="str">
        <f>IF(OR($C2872="",$F2872=""),"",IFERROR(INDEX(Productos!$I$5:$I$504,MATCH($C2872,Productos!$A$5:$A$504,0)),0)+SUMIFS($F$5:$F2872,$C$5:$C2872,$C2872,$B$5:$B2872,"Entrada")-SUMIFS($F$5:$F2872,$C$5:$C2872,$C2872,$B$5:$B2872,"Salida"))</f>
        <v/>
      </c>
      <c r="J2872" s="20"/>
      <c r="K2872" s="20"/>
      <c r="L2872" s="20"/>
      <c r="M2872" s="14" t="str">
        <f>IF(AND($C2872&lt;&gt;"",$C2872=Kardex!$C$4),COUNTIF($C$5:$C2872,Kardex!$C$4),"")</f>
        <v/>
      </c>
    </row>
    <row r="2873" spans="1:13" x14ac:dyDescent="0.25">
      <c r="A2873" s="24"/>
      <c r="B2873" s="20"/>
      <c r="C2873" s="20"/>
      <c r="D2873" s="14" t="str">
        <f>IF($C2873="","",IFERROR(INDEX(Productos!$B$5:$B$504,MATCH($C2873,Productos!$A$5:$A$504,0)),"Clave no existe"))</f>
        <v/>
      </c>
      <c r="E2873" s="14" t="str">
        <f>IF($C2873="","",IFERROR(INDEX(Productos!$D$5:$D$504,MATCH($C2873,Productos!$A$5:$A$504,0)),""))</f>
        <v/>
      </c>
      <c r="F2873" s="20"/>
      <c r="G2873" s="22" t="str">
        <f>IF($C2873="","",IFERROR(INDEX(Productos!$F$5:$F$504,MATCH($C2873,Productos!$A$5:$A$504,0)),0))</f>
        <v/>
      </c>
      <c r="H2873" s="22" t="str">
        <f t="shared" si="44"/>
        <v/>
      </c>
      <c r="I2873" s="14" t="str">
        <f>IF(OR($C2873="",$F2873=""),"",IFERROR(INDEX(Productos!$I$5:$I$504,MATCH($C2873,Productos!$A$5:$A$504,0)),0)+SUMIFS($F$5:$F2873,$C$5:$C2873,$C2873,$B$5:$B2873,"Entrada")-SUMIFS($F$5:$F2873,$C$5:$C2873,$C2873,$B$5:$B2873,"Salida"))</f>
        <v/>
      </c>
      <c r="J2873" s="20"/>
      <c r="K2873" s="20"/>
      <c r="L2873" s="20"/>
      <c r="M2873" s="14" t="str">
        <f>IF(AND($C2873&lt;&gt;"",$C2873=Kardex!$C$4),COUNTIF($C$5:$C2873,Kardex!$C$4),"")</f>
        <v/>
      </c>
    </row>
    <row r="2874" spans="1:13" x14ac:dyDescent="0.25">
      <c r="A2874" s="24"/>
      <c r="B2874" s="20"/>
      <c r="C2874" s="20"/>
      <c r="D2874" s="14" t="str">
        <f>IF($C2874="","",IFERROR(INDEX(Productos!$B$5:$B$504,MATCH($C2874,Productos!$A$5:$A$504,0)),"Clave no existe"))</f>
        <v/>
      </c>
      <c r="E2874" s="14" t="str">
        <f>IF($C2874="","",IFERROR(INDEX(Productos!$D$5:$D$504,MATCH($C2874,Productos!$A$5:$A$504,0)),""))</f>
        <v/>
      </c>
      <c r="F2874" s="20"/>
      <c r="G2874" s="22" t="str">
        <f>IF($C2874="","",IFERROR(INDEX(Productos!$F$5:$F$504,MATCH($C2874,Productos!$A$5:$A$504,0)),0))</f>
        <v/>
      </c>
      <c r="H2874" s="22" t="str">
        <f t="shared" si="44"/>
        <v/>
      </c>
      <c r="I2874" s="14" t="str">
        <f>IF(OR($C2874="",$F2874=""),"",IFERROR(INDEX(Productos!$I$5:$I$504,MATCH($C2874,Productos!$A$5:$A$504,0)),0)+SUMIFS($F$5:$F2874,$C$5:$C2874,$C2874,$B$5:$B2874,"Entrada")-SUMIFS($F$5:$F2874,$C$5:$C2874,$C2874,$B$5:$B2874,"Salida"))</f>
        <v/>
      </c>
      <c r="J2874" s="20"/>
      <c r="K2874" s="20"/>
      <c r="L2874" s="20"/>
      <c r="M2874" s="14" t="str">
        <f>IF(AND($C2874&lt;&gt;"",$C2874=Kardex!$C$4),COUNTIF($C$5:$C2874,Kardex!$C$4),"")</f>
        <v/>
      </c>
    </row>
    <row r="2875" spans="1:13" x14ac:dyDescent="0.25">
      <c r="A2875" s="24"/>
      <c r="B2875" s="20"/>
      <c r="C2875" s="20"/>
      <c r="D2875" s="14" t="str">
        <f>IF($C2875="","",IFERROR(INDEX(Productos!$B$5:$B$504,MATCH($C2875,Productos!$A$5:$A$504,0)),"Clave no existe"))</f>
        <v/>
      </c>
      <c r="E2875" s="14" t="str">
        <f>IF($C2875="","",IFERROR(INDEX(Productos!$D$5:$D$504,MATCH($C2875,Productos!$A$5:$A$504,0)),""))</f>
        <v/>
      </c>
      <c r="F2875" s="20"/>
      <c r="G2875" s="22" t="str">
        <f>IF($C2875="","",IFERROR(INDEX(Productos!$F$5:$F$504,MATCH($C2875,Productos!$A$5:$A$504,0)),0))</f>
        <v/>
      </c>
      <c r="H2875" s="22" t="str">
        <f t="shared" si="44"/>
        <v/>
      </c>
      <c r="I2875" s="14" t="str">
        <f>IF(OR($C2875="",$F2875=""),"",IFERROR(INDEX(Productos!$I$5:$I$504,MATCH($C2875,Productos!$A$5:$A$504,0)),0)+SUMIFS($F$5:$F2875,$C$5:$C2875,$C2875,$B$5:$B2875,"Entrada")-SUMIFS($F$5:$F2875,$C$5:$C2875,$C2875,$B$5:$B2875,"Salida"))</f>
        <v/>
      </c>
      <c r="J2875" s="20"/>
      <c r="K2875" s="20"/>
      <c r="L2875" s="20"/>
      <c r="M2875" s="14" t="str">
        <f>IF(AND($C2875&lt;&gt;"",$C2875=Kardex!$C$4),COUNTIF($C$5:$C2875,Kardex!$C$4),"")</f>
        <v/>
      </c>
    </row>
    <row r="2876" spans="1:13" x14ac:dyDescent="0.25">
      <c r="A2876" s="24"/>
      <c r="B2876" s="20"/>
      <c r="C2876" s="20"/>
      <c r="D2876" s="14" t="str">
        <f>IF($C2876="","",IFERROR(INDEX(Productos!$B$5:$B$504,MATCH($C2876,Productos!$A$5:$A$504,0)),"Clave no existe"))</f>
        <v/>
      </c>
      <c r="E2876" s="14" t="str">
        <f>IF($C2876="","",IFERROR(INDEX(Productos!$D$5:$D$504,MATCH($C2876,Productos!$A$5:$A$504,0)),""))</f>
        <v/>
      </c>
      <c r="F2876" s="20"/>
      <c r="G2876" s="22" t="str">
        <f>IF($C2876="","",IFERROR(INDEX(Productos!$F$5:$F$504,MATCH($C2876,Productos!$A$5:$A$504,0)),0))</f>
        <v/>
      </c>
      <c r="H2876" s="22" t="str">
        <f t="shared" si="44"/>
        <v/>
      </c>
      <c r="I2876" s="14" t="str">
        <f>IF(OR($C2876="",$F2876=""),"",IFERROR(INDEX(Productos!$I$5:$I$504,MATCH($C2876,Productos!$A$5:$A$504,0)),0)+SUMIFS($F$5:$F2876,$C$5:$C2876,$C2876,$B$5:$B2876,"Entrada")-SUMIFS($F$5:$F2876,$C$5:$C2876,$C2876,$B$5:$B2876,"Salida"))</f>
        <v/>
      </c>
      <c r="J2876" s="20"/>
      <c r="K2876" s="20"/>
      <c r="L2876" s="20"/>
      <c r="M2876" s="14" t="str">
        <f>IF(AND($C2876&lt;&gt;"",$C2876=Kardex!$C$4),COUNTIF($C$5:$C2876,Kardex!$C$4),"")</f>
        <v/>
      </c>
    </row>
    <row r="2877" spans="1:13" x14ac:dyDescent="0.25">
      <c r="A2877" s="24"/>
      <c r="B2877" s="20"/>
      <c r="C2877" s="20"/>
      <c r="D2877" s="14" t="str">
        <f>IF($C2877="","",IFERROR(INDEX(Productos!$B$5:$B$504,MATCH($C2877,Productos!$A$5:$A$504,0)),"Clave no existe"))</f>
        <v/>
      </c>
      <c r="E2877" s="14" t="str">
        <f>IF($C2877="","",IFERROR(INDEX(Productos!$D$5:$D$504,MATCH($C2877,Productos!$A$5:$A$504,0)),""))</f>
        <v/>
      </c>
      <c r="F2877" s="20"/>
      <c r="G2877" s="22" t="str">
        <f>IF($C2877="","",IFERROR(INDEX(Productos!$F$5:$F$504,MATCH($C2877,Productos!$A$5:$A$504,0)),0))</f>
        <v/>
      </c>
      <c r="H2877" s="22" t="str">
        <f t="shared" si="44"/>
        <v/>
      </c>
      <c r="I2877" s="14" t="str">
        <f>IF(OR($C2877="",$F2877=""),"",IFERROR(INDEX(Productos!$I$5:$I$504,MATCH($C2877,Productos!$A$5:$A$504,0)),0)+SUMIFS($F$5:$F2877,$C$5:$C2877,$C2877,$B$5:$B2877,"Entrada")-SUMIFS($F$5:$F2877,$C$5:$C2877,$C2877,$B$5:$B2877,"Salida"))</f>
        <v/>
      </c>
      <c r="J2877" s="20"/>
      <c r="K2877" s="20"/>
      <c r="L2877" s="20"/>
      <c r="M2877" s="14" t="str">
        <f>IF(AND($C2877&lt;&gt;"",$C2877=Kardex!$C$4),COUNTIF($C$5:$C2877,Kardex!$C$4),"")</f>
        <v/>
      </c>
    </row>
    <row r="2878" spans="1:13" x14ac:dyDescent="0.25">
      <c r="A2878" s="24"/>
      <c r="B2878" s="20"/>
      <c r="C2878" s="20"/>
      <c r="D2878" s="14" t="str">
        <f>IF($C2878="","",IFERROR(INDEX(Productos!$B$5:$B$504,MATCH($C2878,Productos!$A$5:$A$504,0)),"Clave no existe"))</f>
        <v/>
      </c>
      <c r="E2878" s="14" t="str">
        <f>IF($C2878="","",IFERROR(INDEX(Productos!$D$5:$D$504,MATCH($C2878,Productos!$A$5:$A$504,0)),""))</f>
        <v/>
      </c>
      <c r="F2878" s="20"/>
      <c r="G2878" s="22" t="str">
        <f>IF($C2878="","",IFERROR(INDEX(Productos!$F$5:$F$504,MATCH($C2878,Productos!$A$5:$A$504,0)),0))</f>
        <v/>
      </c>
      <c r="H2878" s="22" t="str">
        <f t="shared" si="44"/>
        <v/>
      </c>
      <c r="I2878" s="14" t="str">
        <f>IF(OR($C2878="",$F2878=""),"",IFERROR(INDEX(Productos!$I$5:$I$504,MATCH($C2878,Productos!$A$5:$A$504,0)),0)+SUMIFS($F$5:$F2878,$C$5:$C2878,$C2878,$B$5:$B2878,"Entrada")-SUMIFS($F$5:$F2878,$C$5:$C2878,$C2878,$B$5:$B2878,"Salida"))</f>
        <v/>
      </c>
      <c r="J2878" s="20"/>
      <c r="K2878" s="20"/>
      <c r="L2878" s="20"/>
      <c r="M2878" s="14" t="str">
        <f>IF(AND($C2878&lt;&gt;"",$C2878=Kardex!$C$4),COUNTIF($C$5:$C2878,Kardex!$C$4),"")</f>
        <v/>
      </c>
    </row>
    <row r="2879" spans="1:13" x14ac:dyDescent="0.25">
      <c r="A2879" s="24"/>
      <c r="B2879" s="20"/>
      <c r="C2879" s="20"/>
      <c r="D2879" s="14" t="str">
        <f>IF($C2879="","",IFERROR(INDEX(Productos!$B$5:$B$504,MATCH($C2879,Productos!$A$5:$A$504,0)),"Clave no existe"))</f>
        <v/>
      </c>
      <c r="E2879" s="14" t="str">
        <f>IF($C2879="","",IFERROR(INDEX(Productos!$D$5:$D$504,MATCH($C2879,Productos!$A$5:$A$504,0)),""))</f>
        <v/>
      </c>
      <c r="F2879" s="20"/>
      <c r="G2879" s="22" t="str">
        <f>IF($C2879="","",IFERROR(INDEX(Productos!$F$5:$F$504,MATCH($C2879,Productos!$A$5:$A$504,0)),0))</f>
        <v/>
      </c>
      <c r="H2879" s="22" t="str">
        <f t="shared" si="44"/>
        <v/>
      </c>
      <c r="I2879" s="14" t="str">
        <f>IF(OR($C2879="",$F2879=""),"",IFERROR(INDEX(Productos!$I$5:$I$504,MATCH($C2879,Productos!$A$5:$A$504,0)),0)+SUMIFS($F$5:$F2879,$C$5:$C2879,$C2879,$B$5:$B2879,"Entrada")-SUMIFS($F$5:$F2879,$C$5:$C2879,$C2879,$B$5:$B2879,"Salida"))</f>
        <v/>
      </c>
      <c r="J2879" s="20"/>
      <c r="K2879" s="20"/>
      <c r="L2879" s="20"/>
      <c r="M2879" s="14" t="str">
        <f>IF(AND($C2879&lt;&gt;"",$C2879=Kardex!$C$4),COUNTIF($C$5:$C2879,Kardex!$C$4),"")</f>
        <v/>
      </c>
    </row>
    <row r="2880" spans="1:13" x14ac:dyDescent="0.25">
      <c r="A2880" s="24"/>
      <c r="B2880" s="20"/>
      <c r="C2880" s="20"/>
      <c r="D2880" s="14" t="str">
        <f>IF($C2880="","",IFERROR(INDEX(Productos!$B$5:$B$504,MATCH($C2880,Productos!$A$5:$A$504,0)),"Clave no existe"))</f>
        <v/>
      </c>
      <c r="E2880" s="14" t="str">
        <f>IF($C2880="","",IFERROR(INDEX(Productos!$D$5:$D$504,MATCH($C2880,Productos!$A$5:$A$504,0)),""))</f>
        <v/>
      </c>
      <c r="F2880" s="20"/>
      <c r="G2880" s="22" t="str">
        <f>IF($C2880="","",IFERROR(INDEX(Productos!$F$5:$F$504,MATCH($C2880,Productos!$A$5:$A$504,0)),0))</f>
        <v/>
      </c>
      <c r="H2880" s="22" t="str">
        <f t="shared" si="44"/>
        <v/>
      </c>
      <c r="I2880" s="14" t="str">
        <f>IF(OR($C2880="",$F2880=""),"",IFERROR(INDEX(Productos!$I$5:$I$504,MATCH($C2880,Productos!$A$5:$A$504,0)),0)+SUMIFS($F$5:$F2880,$C$5:$C2880,$C2880,$B$5:$B2880,"Entrada")-SUMIFS($F$5:$F2880,$C$5:$C2880,$C2880,$B$5:$B2880,"Salida"))</f>
        <v/>
      </c>
      <c r="J2880" s="20"/>
      <c r="K2880" s="20"/>
      <c r="L2880" s="20"/>
      <c r="M2880" s="14" t="str">
        <f>IF(AND($C2880&lt;&gt;"",$C2880=Kardex!$C$4),COUNTIF($C$5:$C2880,Kardex!$C$4),"")</f>
        <v/>
      </c>
    </row>
    <row r="2881" spans="1:13" x14ac:dyDescent="0.25">
      <c r="A2881" s="24"/>
      <c r="B2881" s="20"/>
      <c r="C2881" s="20"/>
      <c r="D2881" s="14" t="str">
        <f>IF($C2881="","",IFERROR(INDEX(Productos!$B$5:$B$504,MATCH($C2881,Productos!$A$5:$A$504,0)),"Clave no existe"))</f>
        <v/>
      </c>
      <c r="E2881" s="14" t="str">
        <f>IF($C2881="","",IFERROR(INDEX(Productos!$D$5:$D$504,MATCH($C2881,Productos!$A$5:$A$504,0)),""))</f>
        <v/>
      </c>
      <c r="F2881" s="20"/>
      <c r="G2881" s="22" t="str">
        <f>IF($C2881="","",IFERROR(INDEX(Productos!$F$5:$F$504,MATCH($C2881,Productos!$A$5:$A$504,0)),0))</f>
        <v/>
      </c>
      <c r="H2881" s="22" t="str">
        <f t="shared" si="44"/>
        <v/>
      </c>
      <c r="I2881" s="14" t="str">
        <f>IF(OR($C2881="",$F2881=""),"",IFERROR(INDEX(Productos!$I$5:$I$504,MATCH($C2881,Productos!$A$5:$A$504,0)),0)+SUMIFS($F$5:$F2881,$C$5:$C2881,$C2881,$B$5:$B2881,"Entrada")-SUMIFS($F$5:$F2881,$C$5:$C2881,$C2881,$B$5:$B2881,"Salida"))</f>
        <v/>
      </c>
      <c r="J2881" s="20"/>
      <c r="K2881" s="20"/>
      <c r="L2881" s="20"/>
      <c r="M2881" s="14" t="str">
        <f>IF(AND($C2881&lt;&gt;"",$C2881=Kardex!$C$4),COUNTIF($C$5:$C2881,Kardex!$C$4),"")</f>
        <v/>
      </c>
    </row>
    <row r="2882" spans="1:13" x14ac:dyDescent="0.25">
      <c r="A2882" s="24"/>
      <c r="B2882" s="20"/>
      <c r="C2882" s="20"/>
      <c r="D2882" s="14" t="str">
        <f>IF($C2882="","",IFERROR(INDEX(Productos!$B$5:$B$504,MATCH($C2882,Productos!$A$5:$A$504,0)),"Clave no existe"))</f>
        <v/>
      </c>
      <c r="E2882" s="14" t="str">
        <f>IF($C2882="","",IFERROR(INDEX(Productos!$D$5:$D$504,MATCH($C2882,Productos!$A$5:$A$504,0)),""))</f>
        <v/>
      </c>
      <c r="F2882" s="20"/>
      <c r="G2882" s="22" t="str">
        <f>IF($C2882="","",IFERROR(INDEX(Productos!$F$5:$F$504,MATCH($C2882,Productos!$A$5:$A$504,0)),0))</f>
        <v/>
      </c>
      <c r="H2882" s="22" t="str">
        <f t="shared" si="44"/>
        <v/>
      </c>
      <c r="I2882" s="14" t="str">
        <f>IF(OR($C2882="",$F2882=""),"",IFERROR(INDEX(Productos!$I$5:$I$504,MATCH($C2882,Productos!$A$5:$A$504,0)),0)+SUMIFS($F$5:$F2882,$C$5:$C2882,$C2882,$B$5:$B2882,"Entrada")-SUMIFS($F$5:$F2882,$C$5:$C2882,$C2882,$B$5:$B2882,"Salida"))</f>
        <v/>
      </c>
      <c r="J2882" s="20"/>
      <c r="K2882" s="20"/>
      <c r="L2882" s="20"/>
      <c r="M2882" s="14" t="str">
        <f>IF(AND($C2882&lt;&gt;"",$C2882=Kardex!$C$4),COUNTIF($C$5:$C2882,Kardex!$C$4),"")</f>
        <v/>
      </c>
    </row>
    <row r="2883" spans="1:13" x14ac:dyDescent="0.25">
      <c r="A2883" s="24"/>
      <c r="B2883" s="20"/>
      <c r="C2883" s="20"/>
      <c r="D2883" s="14" t="str">
        <f>IF($C2883="","",IFERROR(INDEX(Productos!$B$5:$B$504,MATCH($C2883,Productos!$A$5:$A$504,0)),"Clave no existe"))</f>
        <v/>
      </c>
      <c r="E2883" s="14" t="str">
        <f>IF($C2883="","",IFERROR(INDEX(Productos!$D$5:$D$504,MATCH($C2883,Productos!$A$5:$A$504,0)),""))</f>
        <v/>
      </c>
      <c r="F2883" s="20"/>
      <c r="G2883" s="22" t="str">
        <f>IF($C2883="","",IFERROR(INDEX(Productos!$F$5:$F$504,MATCH($C2883,Productos!$A$5:$A$504,0)),0))</f>
        <v/>
      </c>
      <c r="H2883" s="22" t="str">
        <f t="shared" si="44"/>
        <v/>
      </c>
      <c r="I2883" s="14" t="str">
        <f>IF(OR($C2883="",$F2883=""),"",IFERROR(INDEX(Productos!$I$5:$I$504,MATCH($C2883,Productos!$A$5:$A$504,0)),0)+SUMIFS($F$5:$F2883,$C$5:$C2883,$C2883,$B$5:$B2883,"Entrada")-SUMIFS($F$5:$F2883,$C$5:$C2883,$C2883,$B$5:$B2883,"Salida"))</f>
        <v/>
      </c>
      <c r="J2883" s="20"/>
      <c r="K2883" s="20"/>
      <c r="L2883" s="20"/>
      <c r="M2883" s="14" t="str">
        <f>IF(AND($C2883&lt;&gt;"",$C2883=Kardex!$C$4),COUNTIF($C$5:$C2883,Kardex!$C$4),"")</f>
        <v/>
      </c>
    </row>
    <row r="2884" spans="1:13" x14ac:dyDescent="0.25">
      <c r="A2884" s="24"/>
      <c r="B2884" s="20"/>
      <c r="C2884" s="20"/>
      <c r="D2884" s="14" t="str">
        <f>IF($C2884="","",IFERROR(INDEX(Productos!$B$5:$B$504,MATCH($C2884,Productos!$A$5:$A$504,0)),"Clave no existe"))</f>
        <v/>
      </c>
      <c r="E2884" s="14" t="str">
        <f>IF($C2884="","",IFERROR(INDEX(Productos!$D$5:$D$504,MATCH($C2884,Productos!$A$5:$A$504,0)),""))</f>
        <v/>
      </c>
      <c r="F2884" s="20"/>
      <c r="G2884" s="22" t="str">
        <f>IF($C2884="","",IFERROR(INDEX(Productos!$F$5:$F$504,MATCH($C2884,Productos!$A$5:$A$504,0)),0))</f>
        <v/>
      </c>
      <c r="H2884" s="22" t="str">
        <f t="shared" si="44"/>
        <v/>
      </c>
      <c r="I2884" s="14" t="str">
        <f>IF(OR($C2884="",$F2884=""),"",IFERROR(INDEX(Productos!$I$5:$I$504,MATCH($C2884,Productos!$A$5:$A$504,0)),0)+SUMIFS($F$5:$F2884,$C$5:$C2884,$C2884,$B$5:$B2884,"Entrada")-SUMIFS($F$5:$F2884,$C$5:$C2884,$C2884,$B$5:$B2884,"Salida"))</f>
        <v/>
      </c>
      <c r="J2884" s="20"/>
      <c r="K2884" s="20"/>
      <c r="L2884" s="20"/>
      <c r="M2884" s="14" t="str">
        <f>IF(AND($C2884&lt;&gt;"",$C2884=Kardex!$C$4),COUNTIF($C$5:$C2884,Kardex!$C$4),"")</f>
        <v/>
      </c>
    </row>
    <row r="2885" spans="1:13" x14ac:dyDescent="0.25">
      <c r="A2885" s="24"/>
      <c r="B2885" s="20"/>
      <c r="C2885" s="20"/>
      <c r="D2885" s="14" t="str">
        <f>IF($C2885="","",IFERROR(INDEX(Productos!$B$5:$B$504,MATCH($C2885,Productos!$A$5:$A$504,0)),"Clave no existe"))</f>
        <v/>
      </c>
      <c r="E2885" s="14" t="str">
        <f>IF($C2885="","",IFERROR(INDEX(Productos!$D$5:$D$504,MATCH($C2885,Productos!$A$5:$A$504,0)),""))</f>
        <v/>
      </c>
      <c r="F2885" s="20"/>
      <c r="G2885" s="22" t="str">
        <f>IF($C2885="","",IFERROR(INDEX(Productos!$F$5:$F$504,MATCH($C2885,Productos!$A$5:$A$504,0)),0))</f>
        <v/>
      </c>
      <c r="H2885" s="22" t="str">
        <f t="shared" ref="H2885:H2948" si="45">IF(OR($C2885="",$F2885=""),"",F2885*G2885)</f>
        <v/>
      </c>
      <c r="I2885" s="14" t="str">
        <f>IF(OR($C2885="",$F2885=""),"",IFERROR(INDEX(Productos!$I$5:$I$504,MATCH($C2885,Productos!$A$5:$A$504,0)),0)+SUMIFS($F$5:$F2885,$C$5:$C2885,$C2885,$B$5:$B2885,"Entrada")-SUMIFS($F$5:$F2885,$C$5:$C2885,$C2885,$B$5:$B2885,"Salida"))</f>
        <v/>
      </c>
      <c r="J2885" s="20"/>
      <c r="K2885" s="20"/>
      <c r="L2885" s="20"/>
      <c r="M2885" s="14" t="str">
        <f>IF(AND($C2885&lt;&gt;"",$C2885=Kardex!$C$4),COUNTIF($C$5:$C2885,Kardex!$C$4),"")</f>
        <v/>
      </c>
    </row>
    <row r="2886" spans="1:13" x14ac:dyDescent="0.25">
      <c r="A2886" s="24"/>
      <c r="B2886" s="20"/>
      <c r="C2886" s="20"/>
      <c r="D2886" s="14" t="str">
        <f>IF($C2886="","",IFERROR(INDEX(Productos!$B$5:$B$504,MATCH($C2886,Productos!$A$5:$A$504,0)),"Clave no existe"))</f>
        <v/>
      </c>
      <c r="E2886" s="14" t="str">
        <f>IF($C2886="","",IFERROR(INDEX(Productos!$D$5:$D$504,MATCH($C2886,Productos!$A$5:$A$504,0)),""))</f>
        <v/>
      </c>
      <c r="F2886" s="20"/>
      <c r="G2886" s="22" t="str">
        <f>IF($C2886="","",IFERROR(INDEX(Productos!$F$5:$F$504,MATCH($C2886,Productos!$A$5:$A$504,0)),0))</f>
        <v/>
      </c>
      <c r="H2886" s="22" t="str">
        <f t="shared" si="45"/>
        <v/>
      </c>
      <c r="I2886" s="14" t="str">
        <f>IF(OR($C2886="",$F2886=""),"",IFERROR(INDEX(Productos!$I$5:$I$504,MATCH($C2886,Productos!$A$5:$A$504,0)),0)+SUMIFS($F$5:$F2886,$C$5:$C2886,$C2886,$B$5:$B2886,"Entrada")-SUMIFS($F$5:$F2886,$C$5:$C2886,$C2886,$B$5:$B2886,"Salida"))</f>
        <v/>
      </c>
      <c r="J2886" s="20"/>
      <c r="K2886" s="20"/>
      <c r="L2886" s="20"/>
      <c r="M2886" s="14" t="str">
        <f>IF(AND($C2886&lt;&gt;"",$C2886=Kardex!$C$4),COUNTIF($C$5:$C2886,Kardex!$C$4),"")</f>
        <v/>
      </c>
    </row>
    <row r="2887" spans="1:13" x14ac:dyDescent="0.25">
      <c r="A2887" s="24"/>
      <c r="B2887" s="20"/>
      <c r="C2887" s="20"/>
      <c r="D2887" s="14" t="str">
        <f>IF($C2887="","",IFERROR(INDEX(Productos!$B$5:$B$504,MATCH($C2887,Productos!$A$5:$A$504,0)),"Clave no existe"))</f>
        <v/>
      </c>
      <c r="E2887" s="14" t="str">
        <f>IF($C2887="","",IFERROR(INDEX(Productos!$D$5:$D$504,MATCH($C2887,Productos!$A$5:$A$504,0)),""))</f>
        <v/>
      </c>
      <c r="F2887" s="20"/>
      <c r="G2887" s="22" t="str">
        <f>IF($C2887="","",IFERROR(INDEX(Productos!$F$5:$F$504,MATCH($C2887,Productos!$A$5:$A$504,0)),0))</f>
        <v/>
      </c>
      <c r="H2887" s="22" t="str">
        <f t="shared" si="45"/>
        <v/>
      </c>
      <c r="I2887" s="14" t="str">
        <f>IF(OR($C2887="",$F2887=""),"",IFERROR(INDEX(Productos!$I$5:$I$504,MATCH($C2887,Productos!$A$5:$A$504,0)),0)+SUMIFS($F$5:$F2887,$C$5:$C2887,$C2887,$B$5:$B2887,"Entrada")-SUMIFS($F$5:$F2887,$C$5:$C2887,$C2887,$B$5:$B2887,"Salida"))</f>
        <v/>
      </c>
      <c r="J2887" s="20"/>
      <c r="K2887" s="20"/>
      <c r="L2887" s="20"/>
      <c r="M2887" s="14" t="str">
        <f>IF(AND($C2887&lt;&gt;"",$C2887=Kardex!$C$4),COUNTIF($C$5:$C2887,Kardex!$C$4),"")</f>
        <v/>
      </c>
    </row>
    <row r="2888" spans="1:13" x14ac:dyDescent="0.25">
      <c r="A2888" s="24"/>
      <c r="B2888" s="20"/>
      <c r="C2888" s="20"/>
      <c r="D2888" s="14" t="str">
        <f>IF($C2888="","",IFERROR(INDEX(Productos!$B$5:$B$504,MATCH($C2888,Productos!$A$5:$A$504,0)),"Clave no existe"))</f>
        <v/>
      </c>
      <c r="E2888" s="14" t="str">
        <f>IF($C2888="","",IFERROR(INDEX(Productos!$D$5:$D$504,MATCH($C2888,Productos!$A$5:$A$504,0)),""))</f>
        <v/>
      </c>
      <c r="F2888" s="20"/>
      <c r="G2888" s="22" t="str">
        <f>IF($C2888="","",IFERROR(INDEX(Productos!$F$5:$F$504,MATCH($C2888,Productos!$A$5:$A$504,0)),0))</f>
        <v/>
      </c>
      <c r="H2888" s="22" t="str">
        <f t="shared" si="45"/>
        <v/>
      </c>
      <c r="I2888" s="14" t="str">
        <f>IF(OR($C2888="",$F2888=""),"",IFERROR(INDEX(Productos!$I$5:$I$504,MATCH($C2888,Productos!$A$5:$A$504,0)),0)+SUMIFS($F$5:$F2888,$C$5:$C2888,$C2888,$B$5:$B2888,"Entrada")-SUMIFS($F$5:$F2888,$C$5:$C2888,$C2888,$B$5:$B2888,"Salida"))</f>
        <v/>
      </c>
      <c r="J2888" s="20"/>
      <c r="K2888" s="20"/>
      <c r="L2888" s="20"/>
      <c r="M2888" s="14" t="str">
        <f>IF(AND($C2888&lt;&gt;"",$C2888=Kardex!$C$4),COUNTIF($C$5:$C2888,Kardex!$C$4),"")</f>
        <v/>
      </c>
    </row>
    <row r="2889" spans="1:13" x14ac:dyDescent="0.25">
      <c r="A2889" s="24"/>
      <c r="B2889" s="20"/>
      <c r="C2889" s="20"/>
      <c r="D2889" s="14" t="str">
        <f>IF($C2889="","",IFERROR(INDEX(Productos!$B$5:$B$504,MATCH($C2889,Productos!$A$5:$A$504,0)),"Clave no existe"))</f>
        <v/>
      </c>
      <c r="E2889" s="14" t="str">
        <f>IF($C2889="","",IFERROR(INDEX(Productos!$D$5:$D$504,MATCH($C2889,Productos!$A$5:$A$504,0)),""))</f>
        <v/>
      </c>
      <c r="F2889" s="20"/>
      <c r="G2889" s="22" t="str">
        <f>IF($C2889="","",IFERROR(INDEX(Productos!$F$5:$F$504,MATCH($C2889,Productos!$A$5:$A$504,0)),0))</f>
        <v/>
      </c>
      <c r="H2889" s="22" t="str">
        <f t="shared" si="45"/>
        <v/>
      </c>
      <c r="I2889" s="14" t="str">
        <f>IF(OR($C2889="",$F2889=""),"",IFERROR(INDEX(Productos!$I$5:$I$504,MATCH($C2889,Productos!$A$5:$A$504,0)),0)+SUMIFS($F$5:$F2889,$C$5:$C2889,$C2889,$B$5:$B2889,"Entrada")-SUMIFS($F$5:$F2889,$C$5:$C2889,$C2889,$B$5:$B2889,"Salida"))</f>
        <v/>
      </c>
      <c r="J2889" s="20"/>
      <c r="K2889" s="20"/>
      <c r="L2889" s="20"/>
      <c r="M2889" s="14" t="str">
        <f>IF(AND($C2889&lt;&gt;"",$C2889=Kardex!$C$4),COUNTIF($C$5:$C2889,Kardex!$C$4),"")</f>
        <v/>
      </c>
    </row>
    <row r="2890" spans="1:13" x14ac:dyDescent="0.25">
      <c r="A2890" s="24"/>
      <c r="B2890" s="20"/>
      <c r="C2890" s="20"/>
      <c r="D2890" s="14" t="str">
        <f>IF($C2890="","",IFERROR(INDEX(Productos!$B$5:$B$504,MATCH($C2890,Productos!$A$5:$A$504,0)),"Clave no existe"))</f>
        <v/>
      </c>
      <c r="E2890" s="14" t="str">
        <f>IF($C2890="","",IFERROR(INDEX(Productos!$D$5:$D$504,MATCH($C2890,Productos!$A$5:$A$504,0)),""))</f>
        <v/>
      </c>
      <c r="F2890" s="20"/>
      <c r="G2890" s="22" t="str">
        <f>IF($C2890="","",IFERROR(INDEX(Productos!$F$5:$F$504,MATCH($C2890,Productos!$A$5:$A$504,0)),0))</f>
        <v/>
      </c>
      <c r="H2890" s="22" t="str">
        <f t="shared" si="45"/>
        <v/>
      </c>
      <c r="I2890" s="14" t="str">
        <f>IF(OR($C2890="",$F2890=""),"",IFERROR(INDEX(Productos!$I$5:$I$504,MATCH($C2890,Productos!$A$5:$A$504,0)),0)+SUMIFS($F$5:$F2890,$C$5:$C2890,$C2890,$B$5:$B2890,"Entrada")-SUMIFS($F$5:$F2890,$C$5:$C2890,$C2890,$B$5:$B2890,"Salida"))</f>
        <v/>
      </c>
      <c r="J2890" s="20"/>
      <c r="K2890" s="20"/>
      <c r="L2890" s="20"/>
      <c r="M2890" s="14" t="str">
        <f>IF(AND($C2890&lt;&gt;"",$C2890=Kardex!$C$4),COUNTIF($C$5:$C2890,Kardex!$C$4),"")</f>
        <v/>
      </c>
    </row>
    <row r="2891" spans="1:13" x14ac:dyDescent="0.25">
      <c r="A2891" s="24"/>
      <c r="B2891" s="20"/>
      <c r="C2891" s="20"/>
      <c r="D2891" s="14" t="str">
        <f>IF($C2891="","",IFERROR(INDEX(Productos!$B$5:$B$504,MATCH($C2891,Productos!$A$5:$A$504,0)),"Clave no existe"))</f>
        <v/>
      </c>
      <c r="E2891" s="14" t="str">
        <f>IF($C2891="","",IFERROR(INDEX(Productos!$D$5:$D$504,MATCH($C2891,Productos!$A$5:$A$504,0)),""))</f>
        <v/>
      </c>
      <c r="F2891" s="20"/>
      <c r="G2891" s="22" t="str">
        <f>IF($C2891="","",IFERROR(INDEX(Productos!$F$5:$F$504,MATCH($C2891,Productos!$A$5:$A$504,0)),0))</f>
        <v/>
      </c>
      <c r="H2891" s="22" t="str">
        <f t="shared" si="45"/>
        <v/>
      </c>
      <c r="I2891" s="14" t="str">
        <f>IF(OR($C2891="",$F2891=""),"",IFERROR(INDEX(Productos!$I$5:$I$504,MATCH($C2891,Productos!$A$5:$A$504,0)),0)+SUMIFS($F$5:$F2891,$C$5:$C2891,$C2891,$B$5:$B2891,"Entrada")-SUMIFS($F$5:$F2891,$C$5:$C2891,$C2891,$B$5:$B2891,"Salida"))</f>
        <v/>
      </c>
      <c r="J2891" s="20"/>
      <c r="K2891" s="20"/>
      <c r="L2891" s="20"/>
      <c r="M2891" s="14" t="str">
        <f>IF(AND($C2891&lt;&gt;"",$C2891=Kardex!$C$4),COUNTIF($C$5:$C2891,Kardex!$C$4),"")</f>
        <v/>
      </c>
    </row>
    <row r="2892" spans="1:13" x14ac:dyDescent="0.25">
      <c r="A2892" s="24"/>
      <c r="B2892" s="20"/>
      <c r="C2892" s="20"/>
      <c r="D2892" s="14" t="str">
        <f>IF($C2892="","",IFERROR(INDEX(Productos!$B$5:$B$504,MATCH($C2892,Productos!$A$5:$A$504,0)),"Clave no existe"))</f>
        <v/>
      </c>
      <c r="E2892" s="14" t="str">
        <f>IF($C2892="","",IFERROR(INDEX(Productos!$D$5:$D$504,MATCH($C2892,Productos!$A$5:$A$504,0)),""))</f>
        <v/>
      </c>
      <c r="F2892" s="20"/>
      <c r="G2892" s="22" t="str">
        <f>IF($C2892="","",IFERROR(INDEX(Productos!$F$5:$F$504,MATCH($C2892,Productos!$A$5:$A$504,0)),0))</f>
        <v/>
      </c>
      <c r="H2892" s="22" t="str">
        <f t="shared" si="45"/>
        <v/>
      </c>
      <c r="I2892" s="14" t="str">
        <f>IF(OR($C2892="",$F2892=""),"",IFERROR(INDEX(Productos!$I$5:$I$504,MATCH($C2892,Productos!$A$5:$A$504,0)),0)+SUMIFS($F$5:$F2892,$C$5:$C2892,$C2892,$B$5:$B2892,"Entrada")-SUMIFS($F$5:$F2892,$C$5:$C2892,$C2892,$B$5:$B2892,"Salida"))</f>
        <v/>
      </c>
      <c r="J2892" s="20"/>
      <c r="K2892" s="20"/>
      <c r="L2892" s="20"/>
      <c r="M2892" s="14" t="str">
        <f>IF(AND($C2892&lt;&gt;"",$C2892=Kardex!$C$4),COUNTIF($C$5:$C2892,Kardex!$C$4),"")</f>
        <v/>
      </c>
    </row>
    <row r="2893" spans="1:13" x14ac:dyDescent="0.25">
      <c r="A2893" s="24"/>
      <c r="B2893" s="20"/>
      <c r="C2893" s="20"/>
      <c r="D2893" s="14" t="str">
        <f>IF($C2893="","",IFERROR(INDEX(Productos!$B$5:$B$504,MATCH($C2893,Productos!$A$5:$A$504,0)),"Clave no existe"))</f>
        <v/>
      </c>
      <c r="E2893" s="14" t="str">
        <f>IF($C2893="","",IFERROR(INDEX(Productos!$D$5:$D$504,MATCH($C2893,Productos!$A$5:$A$504,0)),""))</f>
        <v/>
      </c>
      <c r="F2893" s="20"/>
      <c r="G2893" s="22" t="str">
        <f>IF($C2893="","",IFERROR(INDEX(Productos!$F$5:$F$504,MATCH($C2893,Productos!$A$5:$A$504,0)),0))</f>
        <v/>
      </c>
      <c r="H2893" s="22" t="str">
        <f t="shared" si="45"/>
        <v/>
      </c>
      <c r="I2893" s="14" t="str">
        <f>IF(OR($C2893="",$F2893=""),"",IFERROR(INDEX(Productos!$I$5:$I$504,MATCH($C2893,Productos!$A$5:$A$504,0)),0)+SUMIFS($F$5:$F2893,$C$5:$C2893,$C2893,$B$5:$B2893,"Entrada")-SUMIFS($F$5:$F2893,$C$5:$C2893,$C2893,$B$5:$B2893,"Salida"))</f>
        <v/>
      </c>
      <c r="J2893" s="20"/>
      <c r="K2893" s="20"/>
      <c r="L2893" s="20"/>
      <c r="M2893" s="14" t="str">
        <f>IF(AND($C2893&lt;&gt;"",$C2893=Kardex!$C$4),COUNTIF($C$5:$C2893,Kardex!$C$4),"")</f>
        <v/>
      </c>
    </row>
    <row r="2894" spans="1:13" x14ac:dyDescent="0.25">
      <c r="A2894" s="24"/>
      <c r="B2894" s="20"/>
      <c r="C2894" s="20"/>
      <c r="D2894" s="14" t="str">
        <f>IF($C2894="","",IFERROR(INDEX(Productos!$B$5:$B$504,MATCH($C2894,Productos!$A$5:$A$504,0)),"Clave no existe"))</f>
        <v/>
      </c>
      <c r="E2894" s="14" t="str">
        <f>IF($C2894="","",IFERROR(INDEX(Productos!$D$5:$D$504,MATCH($C2894,Productos!$A$5:$A$504,0)),""))</f>
        <v/>
      </c>
      <c r="F2894" s="20"/>
      <c r="G2894" s="22" t="str">
        <f>IF($C2894="","",IFERROR(INDEX(Productos!$F$5:$F$504,MATCH($C2894,Productos!$A$5:$A$504,0)),0))</f>
        <v/>
      </c>
      <c r="H2894" s="22" t="str">
        <f t="shared" si="45"/>
        <v/>
      </c>
      <c r="I2894" s="14" t="str">
        <f>IF(OR($C2894="",$F2894=""),"",IFERROR(INDEX(Productos!$I$5:$I$504,MATCH($C2894,Productos!$A$5:$A$504,0)),0)+SUMIFS($F$5:$F2894,$C$5:$C2894,$C2894,$B$5:$B2894,"Entrada")-SUMIFS($F$5:$F2894,$C$5:$C2894,$C2894,$B$5:$B2894,"Salida"))</f>
        <v/>
      </c>
      <c r="J2894" s="20"/>
      <c r="K2894" s="20"/>
      <c r="L2894" s="20"/>
      <c r="M2894" s="14" t="str">
        <f>IF(AND($C2894&lt;&gt;"",$C2894=Kardex!$C$4),COUNTIF($C$5:$C2894,Kardex!$C$4),"")</f>
        <v/>
      </c>
    </row>
    <row r="2895" spans="1:13" x14ac:dyDescent="0.25">
      <c r="A2895" s="24"/>
      <c r="B2895" s="20"/>
      <c r="C2895" s="20"/>
      <c r="D2895" s="14" t="str">
        <f>IF($C2895="","",IFERROR(INDEX(Productos!$B$5:$B$504,MATCH($C2895,Productos!$A$5:$A$504,0)),"Clave no existe"))</f>
        <v/>
      </c>
      <c r="E2895" s="14" t="str">
        <f>IF($C2895="","",IFERROR(INDEX(Productos!$D$5:$D$504,MATCH($C2895,Productos!$A$5:$A$504,0)),""))</f>
        <v/>
      </c>
      <c r="F2895" s="20"/>
      <c r="G2895" s="22" t="str">
        <f>IF($C2895="","",IFERROR(INDEX(Productos!$F$5:$F$504,MATCH($C2895,Productos!$A$5:$A$504,0)),0))</f>
        <v/>
      </c>
      <c r="H2895" s="22" t="str">
        <f t="shared" si="45"/>
        <v/>
      </c>
      <c r="I2895" s="14" t="str">
        <f>IF(OR($C2895="",$F2895=""),"",IFERROR(INDEX(Productos!$I$5:$I$504,MATCH($C2895,Productos!$A$5:$A$504,0)),0)+SUMIFS($F$5:$F2895,$C$5:$C2895,$C2895,$B$5:$B2895,"Entrada")-SUMIFS($F$5:$F2895,$C$5:$C2895,$C2895,$B$5:$B2895,"Salida"))</f>
        <v/>
      </c>
      <c r="J2895" s="20"/>
      <c r="K2895" s="20"/>
      <c r="L2895" s="20"/>
      <c r="M2895" s="14" t="str">
        <f>IF(AND($C2895&lt;&gt;"",$C2895=Kardex!$C$4),COUNTIF($C$5:$C2895,Kardex!$C$4),"")</f>
        <v/>
      </c>
    </row>
    <row r="2896" spans="1:13" x14ac:dyDescent="0.25">
      <c r="A2896" s="24"/>
      <c r="B2896" s="20"/>
      <c r="C2896" s="20"/>
      <c r="D2896" s="14" t="str">
        <f>IF($C2896="","",IFERROR(INDEX(Productos!$B$5:$B$504,MATCH($C2896,Productos!$A$5:$A$504,0)),"Clave no existe"))</f>
        <v/>
      </c>
      <c r="E2896" s="14" t="str">
        <f>IF($C2896="","",IFERROR(INDEX(Productos!$D$5:$D$504,MATCH($C2896,Productos!$A$5:$A$504,0)),""))</f>
        <v/>
      </c>
      <c r="F2896" s="20"/>
      <c r="G2896" s="22" t="str">
        <f>IF($C2896="","",IFERROR(INDEX(Productos!$F$5:$F$504,MATCH($C2896,Productos!$A$5:$A$504,0)),0))</f>
        <v/>
      </c>
      <c r="H2896" s="22" t="str">
        <f t="shared" si="45"/>
        <v/>
      </c>
      <c r="I2896" s="14" t="str">
        <f>IF(OR($C2896="",$F2896=""),"",IFERROR(INDEX(Productos!$I$5:$I$504,MATCH($C2896,Productos!$A$5:$A$504,0)),0)+SUMIFS($F$5:$F2896,$C$5:$C2896,$C2896,$B$5:$B2896,"Entrada")-SUMIFS($F$5:$F2896,$C$5:$C2896,$C2896,$B$5:$B2896,"Salida"))</f>
        <v/>
      </c>
      <c r="J2896" s="20"/>
      <c r="K2896" s="20"/>
      <c r="L2896" s="20"/>
      <c r="M2896" s="14" t="str">
        <f>IF(AND($C2896&lt;&gt;"",$C2896=Kardex!$C$4),COUNTIF($C$5:$C2896,Kardex!$C$4),"")</f>
        <v/>
      </c>
    </row>
    <row r="2897" spans="1:13" x14ac:dyDescent="0.25">
      <c r="A2897" s="24"/>
      <c r="B2897" s="20"/>
      <c r="C2897" s="20"/>
      <c r="D2897" s="14" t="str">
        <f>IF($C2897="","",IFERROR(INDEX(Productos!$B$5:$B$504,MATCH($C2897,Productos!$A$5:$A$504,0)),"Clave no existe"))</f>
        <v/>
      </c>
      <c r="E2897" s="14" t="str">
        <f>IF($C2897="","",IFERROR(INDEX(Productos!$D$5:$D$504,MATCH($C2897,Productos!$A$5:$A$504,0)),""))</f>
        <v/>
      </c>
      <c r="F2897" s="20"/>
      <c r="G2897" s="22" t="str">
        <f>IF($C2897="","",IFERROR(INDEX(Productos!$F$5:$F$504,MATCH($C2897,Productos!$A$5:$A$504,0)),0))</f>
        <v/>
      </c>
      <c r="H2897" s="22" t="str">
        <f t="shared" si="45"/>
        <v/>
      </c>
      <c r="I2897" s="14" t="str">
        <f>IF(OR($C2897="",$F2897=""),"",IFERROR(INDEX(Productos!$I$5:$I$504,MATCH($C2897,Productos!$A$5:$A$504,0)),0)+SUMIFS($F$5:$F2897,$C$5:$C2897,$C2897,$B$5:$B2897,"Entrada")-SUMIFS($F$5:$F2897,$C$5:$C2897,$C2897,$B$5:$B2897,"Salida"))</f>
        <v/>
      </c>
      <c r="J2897" s="20"/>
      <c r="K2897" s="20"/>
      <c r="L2897" s="20"/>
      <c r="M2897" s="14" t="str">
        <f>IF(AND($C2897&lt;&gt;"",$C2897=Kardex!$C$4),COUNTIF($C$5:$C2897,Kardex!$C$4),"")</f>
        <v/>
      </c>
    </row>
    <row r="2898" spans="1:13" x14ac:dyDescent="0.25">
      <c r="A2898" s="24"/>
      <c r="B2898" s="20"/>
      <c r="C2898" s="20"/>
      <c r="D2898" s="14" t="str">
        <f>IF($C2898="","",IFERROR(INDEX(Productos!$B$5:$B$504,MATCH($C2898,Productos!$A$5:$A$504,0)),"Clave no existe"))</f>
        <v/>
      </c>
      <c r="E2898" s="14" t="str">
        <f>IF($C2898="","",IFERROR(INDEX(Productos!$D$5:$D$504,MATCH($C2898,Productos!$A$5:$A$504,0)),""))</f>
        <v/>
      </c>
      <c r="F2898" s="20"/>
      <c r="G2898" s="22" t="str">
        <f>IF($C2898="","",IFERROR(INDEX(Productos!$F$5:$F$504,MATCH($C2898,Productos!$A$5:$A$504,0)),0))</f>
        <v/>
      </c>
      <c r="H2898" s="22" t="str">
        <f t="shared" si="45"/>
        <v/>
      </c>
      <c r="I2898" s="14" t="str">
        <f>IF(OR($C2898="",$F2898=""),"",IFERROR(INDEX(Productos!$I$5:$I$504,MATCH($C2898,Productos!$A$5:$A$504,0)),0)+SUMIFS($F$5:$F2898,$C$5:$C2898,$C2898,$B$5:$B2898,"Entrada")-SUMIFS($F$5:$F2898,$C$5:$C2898,$C2898,$B$5:$B2898,"Salida"))</f>
        <v/>
      </c>
      <c r="J2898" s="20"/>
      <c r="K2898" s="20"/>
      <c r="L2898" s="20"/>
      <c r="M2898" s="14" t="str">
        <f>IF(AND($C2898&lt;&gt;"",$C2898=Kardex!$C$4),COUNTIF($C$5:$C2898,Kardex!$C$4),"")</f>
        <v/>
      </c>
    </row>
    <row r="2899" spans="1:13" x14ac:dyDescent="0.25">
      <c r="A2899" s="24"/>
      <c r="B2899" s="20"/>
      <c r="C2899" s="20"/>
      <c r="D2899" s="14" t="str">
        <f>IF($C2899="","",IFERROR(INDEX(Productos!$B$5:$B$504,MATCH($C2899,Productos!$A$5:$A$504,0)),"Clave no existe"))</f>
        <v/>
      </c>
      <c r="E2899" s="14" t="str">
        <f>IF($C2899="","",IFERROR(INDEX(Productos!$D$5:$D$504,MATCH($C2899,Productos!$A$5:$A$504,0)),""))</f>
        <v/>
      </c>
      <c r="F2899" s="20"/>
      <c r="G2899" s="22" t="str">
        <f>IF($C2899="","",IFERROR(INDEX(Productos!$F$5:$F$504,MATCH($C2899,Productos!$A$5:$A$504,0)),0))</f>
        <v/>
      </c>
      <c r="H2899" s="22" t="str">
        <f t="shared" si="45"/>
        <v/>
      </c>
      <c r="I2899" s="14" t="str">
        <f>IF(OR($C2899="",$F2899=""),"",IFERROR(INDEX(Productos!$I$5:$I$504,MATCH($C2899,Productos!$A$5:$A$504,0)),0)+SUMIFS($F$5:$F2899,$C$5:$C2899,$C2899,$B$5:$B2899,"Entrada")-SUMIFS($F$5:$F2899,$C$5:$C2899,$C2899,$B$5:$B2899,"Salida"))</f>
        <v/>
      </c>
      <c r="J2899" s="20"/>
      <c r="K2899" s="20"/>
      <c r="L2899" s="20"/>
      <c r="M2899" s="14" t="str">
        <f>IF(AND($C2899&lt;&gt;"",$C2899=Kardex!$C$4),COUNTIF($C$5:$C2899,Kardex!$C$4),"")</f>
        <v/>
      </c>
    </row>
    <row r="2900" spans="1:13" x14ac:dyDescent="0.25">
      <c r="A2900" s="24"/>
      <c r="B2900" s="20"/>
      <c r="C2900" s="20"/>
      <c r="D2900" s="14" t="str">
        <f>IF($C2900="","",IFERROR(INDEX(Productos!$B$5:$B$504,MATCH($C2900,Productos!$A$5:$A$504,0)),"Clave no existe"))</f>
        <v/>
      </c>
      <c r="E2900" s="14" t="str">
        <f>IF($C2900="","",IFERROR(INDEX(Productos!$D$5:$D$504,MATCH($C2900,Productos!$A$5:$A$504,0)),""))</f>
        <v/>
      </c>
      <c r="F2900" s="20"/>
      <c r="G2900" s="22" t="str">
        <f>IF($C2900="","",IFERROR(INDEX(Productos!$F$5:$F$504,MATCH($C2900,Productos!$A$5:$A$504,0)),0))</f>
        <v/>
      </c>
      <c r="H2900" s="22" t="str">
        <f t="shared" si="45"/>
        <v/>
      </c>
      <c r="I2900" s="14" t="str">
        <f>IF(OR($C2900="",$F2900=""),"",IFERROR(INDEX(Productos!$I$5:$I$504,MATCH($C2900,Productos!$A$5:$A$504,0)),0)+SUMIFS($F$5:$F2900,$C$5:$C2900,$C2900,$B$5:$B2900,"Entrada")-SUMIFS($F$5:$F2900,$C$5:$C2900,$C2900,$B$5:$B2900,"Salida"))</f>
        <v/>
      </c>
      <c r="J2900" s="20"/>
      <c r="K2900" s="20"/>
      <c r="L2900" s="20"/>
      <c r="M2900" s="14" t="str">
        <f>IF(AND($C2900&lt;&gt;"",$C2900=Kardex!$C$4),COUNTIF($C$5:$C2900,Kardex!$C$4),"")</f>
        <v/>
      </c>
    </row>
    <row r="2901" spans="1:13" x14ac:dyDescent="0.25">
      <c r="A2901" s="24"/>
      <c r="B2901" s="20"/>
      <c r="C2901" s="20"/>
      <c r="D2901" s="14" t="str">
        <f>IF($C2901="","",IFERROR(INDEX(Productos!$B$5:$B$504,MATCH($C2901,Productos!$A$5:$A$504,0)),"Clave no existe"))</f>
        <v/>
      </c>
      <c r="E2901" s="14" t="str">
        <f>IF($C2901="","",IFERROR(INDEX(Productos!$D$5:$D$504,MATCH($C2901,Productos!$A$5:$A$504,0)),""))</f>
        <v/>
      </c>
      <c r="F2901" s="20"/>
      <c r="G2901" s="22" t="str">
        <f>IF($C2901="","",IFERROR(INDEX(Productos!$F$5:$F$504,MATCH($C2901,Productos!$A$5:$A$504,0)),0))</f>
        <v/>
      </c>
      <c r="H2901" s="22" t="str">
        <f t="shared" si="45"/>
        <v/>
      </c>
      <c r="I2901" s="14" t="str">
        <f>IF(OR($C2901="",$F2901=""),"",IFERROR(INDEX(Productos!$I$5:$I$504,MATCH($C2901,Productos!$A$5:$A$504,0)),0)+SUMIFS($F$5:$F2901,$C$5:$C2901,$C2901,$B$5:$B2901,"Entrada")-SUMIFS($F$5:$F2901,$C$5:$C2901,$C2901,$B$5:$B2901,"Salida"))</f>
        <v/>
      </c>
      <c r="J2901" s="20"/>
      <c r="K2901" s="20"/>
      <c r="L2901" s="20"/>
      <c r="M2901" s="14" t="str">
        <f>IF(AND($C2901&lt;&gt;"",$C2901=Kardex!$C$4),COUNTIF($C$5:$C2901,Kardex!$C$4),"")</f>
        <v/>
      </c>
    </row>
    <row r="2902" spans="1:13" x14ac:dyDescent="0.25">
      <c r="A2902" s="24"/>
      <c r="B2902" s="20"/>
      <c r="C2902" s="20"/>
      <c r="D2902" s="14" t="str">
        <f>IF($C2902="","",IFERROR(INDEX(Productos!$B$5:$B$504,MATCH($C2902,Productos!$A$5:$A$504,0)),"Clave no existe"))</f>
        <v/>
      </c>
      <c r="E2902" s="14" t="str">
        <f>IF($C2902="","",IFERROR(INDEX(Productos!$D$5:$D$504,MATCH($C2902,Productos!$A$5:$A$504,0)),""))</f>
        <v/>
      </c>
      <c r="F2902" s="20"/>
      <c r="G2902" s="22" t="str">
        <f>IF($C2902="","",IFERROR(INDEX(Productos!$F$5:$F$504,MATCH($C2902,Productos!$A$5:$A$504,0)),0))</f>
        <v/>
      </c>
      <c r="H2902" s="22" t="str">
        <f t="shared" si="45"/>
        <v/>
      </c>
      <c r="I2902" s="14" t="str">
        <f>IF(OR($C2902="",$F2902=""),"",IFERROR(INDEX(Productos!$I$5:$I$504,MATCH($C2902,Productos!$A$5:$A$504,0)),0)+SUMIFS($F$5:$F2902,$C$5:$C2902,$C2902,$B$5:$B2902,"Entrada")-SUMIFS($F$5:$F2902,$C$5:$C2902,$C2902,$B$5:$B2902,"Salida"))</f>
        <v/>
      </c>
      <c r="J2902" s="20"/>
      <c r="K2902" s="20"/>
      <c r="L2902" s="20"/>
      <c r="M2902" s="14" t="str">
        <f>IF(AND($C2902&lt;&gt;"",$C2902=Kardex!$C$4),COUNTIF($C$5:$C2902,Kardex!$C$4),"")</f>
        <v/>
      </c>
    </row>
    <row r="2903" spans="1:13" x14ac:dyDescent="0.25">
      <c r="A2903" s="24"/>
      <c r="B2903" s="20"/>
      <c r="C2903" s="20"/>
      <c r="D2903" s="14" t="str">
        <f>IF($C2903="","",IFERROR(INDEX(Productos!$B$5:$B$504,MATCH($C2903,Productos!$A$5:$A$504,0)),"Clave no existe"))</f>
        <v/>
      </c>
      <c r="E2903" s="14" t="str">
        <f>IF($C2903="","",IFERROR(INDEX(Productos!$D$5:$D$504,MATCH($C2903,Productos!$A$5:$A$504,0)),""))</f>
        <v/>
      </c>
      <c r="F2903" s="20"/>
      <c r="G2903" s="22" t="str">
        <f>IF($C2903="","",IFERROR(INDEX(Productos!$F$5:$F$504,MATCH($C2903,Productos!$A$5:$A$504,0)),0))</f>
        <v/>
      </c>
      <c r="H2903" s="22" t="str">
        <f t="shared" si="45"/>
        <v/>
      </c>
      <c r="I2903" s="14" t="str">
        <f>IF(OR($C2903="",$F2903=""),"",IFERROR(INDEX(Productos!$I$5:$I$504,MATCH($C2903,Productos!$A$5:$A$504,0)),0)+SUMIFS($F$5:$F2903,$C$5:$C2903,$C2903,$B$5:$B2903,"Entrada")-SUMIFS($F$5:$F2903,$C$5:$C2903,$C2903,$B$5:$B2903,"Salida"))</f>
        <v/>
      </c>
      <c r="J2903" s="20"/>
      <c r="K2903" s="20"/>
      <c r="L2903" s="20"/>
      <c r="M2903" s="14" t="str">
        <f>IF(AND($C2903&lt;&gt;"",$C2903=Kardex!$C$4),COUNTIF($C$5:$C2903,Kardex!$C$4),"")</f>
        <v/>
      </c>
    </row>
    <row r="2904" spans="1:13" x14ac:dyDescent="0.25">
      <c r="A2904" s="24"/>
      <c r="B2904" s="20"/>
      <c r="C2904" s="20"/>
      <c r="D2904" s="14" t="str">
        <f>IF($C2904="","",IFERROR(INDEX(Productos!$B$5:$B$504,MATCH($C2904,Productos!$A$5:$A$504,0)),"Clave no existe"))</f>
        <v/>
      </c>
      <c r="E2904" s="14" t="str">
        <f>IF($C2904="","",IFERROR(INDEX(Productos!$D$5:$D$504,MATCH($C2904,Productos!$A$5:$A$504,0)),""))</f>
        <v/>
      </c>
      <c r="F2904" s="20"/>
      <c r="G2904" s="22" t="str">
        <f>IF($C2904="","",IFERROR(INDEX(Productos!$F$5:$F$504,MATCH($C2904,Productos!$A$5:$A$504,0)),0))</f>
        <v/>
      </c>
      <c r="H2904" s="22" t="str">
        <f t="shared" si="45"/>
        <v/>
      </c>
      <c r="I2904" s="14" t="str">
        <f>IF(OR($C2904="",$F2904=""),"",IFERROR(INDEX(Productos!$I$5:$I$504,MATCH($C2904,Productos!$A$5:$A$504,0)),0)+SUMIFS($F$5:$F2904,$C$5:$C2904,$C2904,$B$5:$B2904,"Entrada")-SUMIFS($F$5:$F2904,$C$5:$C2904,$C2904,$B$5:$B2904,"Salida"))</f>
        <v/>
      </c>
      <c r="J2904" s="20"/>
      <c r="K2904" s="20"/>
      <c r="L2904" s="20"/>
      <c r="M2904" s="14" t="str">
        <f>IF(AND($C2904&lt;&gt;"",$C2904=Kardex!$C$4),COUNTIF($C$5:$C2904,Kardex!$C$4),"")</f>
        <v/>
      </c>
    </row>
    <row r="2905" spans="1:13" x14ac:dyDescent="0.25">
      <c r="A2905" s="24"/>
      <c r="B2905" s="20"/>
      <c r="C2905" s="20"/>
      <c r="D2905" s="14" t="str">
        <f>IF($C2905="","",IFERROR(INDEX(Productos!$B$5:$B$504,MATCH($C2905,Productos!$A$5:$A$504,0)),"Clave no existe"))</f>
        <v/>
      </c>
      <c r="E2905" s="14" t="str">
        <f>IF($C2905="","",IFERROR(INDEX(Productos!$D$5:$D$504,MATCH($C2905,Productos!$A$5:$A$504,0)),""))</f>
        <v/>
      </c>
      <c r="F2905" s="20"/>
      <c r="G2905" s="22" t="str">
        <f>IF($C2905="","",IFERROR(INDEX(Productos!$F$5:$F$504,MATCH($C2905,Productos!$A$5:$A$504,0)),0))</f>
        <v/>
      </c>
      <c r="H2905" s="22" t="str">
        <f t="shared" si="45"/>
        <v/>
      </c>
      <c r="I2905" s="14" t="str">
        <f>IF(OR($C2905="",$F2905=""),"",IFERROR(INDEX(Productos!$I$5:$I$504,MATCH($C2905,Productos!$A$5:$A$504,0)),0)+SUMIFS($F$5:$F2905,$C$5:$C2905,$C2905,$B$5:$B2905,"Entrada")-SUMIFS($F$5:$F2905,$C$5:$C2905,$C2905,$B$5:$B2905,"Salida"))</f>
        <v/>
      </c>
      <c r="J2905" s="20"/>
      <c r="K2905" s="20"/>
      <c r="L2905" s="20"/>
      <c r="M2905" s="14" t="str">
        <f>IF(AND($C2905&lt;&gt;"",$C2905=Kardex!$C$4),COUNTIF($C$5:$C2905,Kardex!$C$4),"")</f>
        <v/>
      </c>
    </row>
    <row r="2906" spans="1:13" x14ac:dyDescent="0.25">
      <c r="A2906" s="24"/>
      <c r="B2906" s="20"/>
      <c r="C2906" s="20"/>
      <c r="D2906" s="14" t="str">
        <f>IF($C2906="","",IFERROR(INDEX(Productos!$B$5:$B$504,MATCH($C2906,Productos!$A$5:$A$504,0)),"Clave no existe"))</f>
        <v/>
      </c>
      <c r="E2906" s="14" t="str">
        <f>IF($C2906="","",IFERROR(INDEX(Productos!$D$5:$D$504,MATCH($C2906,Productos!$A$5:$A$504,0)),""))</f>
        <v/>
      </c>
      <c r="F2906" s="20"/>
      <c r="G2906" s="22" t="str">
        <f>IF($C2906="","",IFERROR(INDEX(Productos!$F$5:$F$504,MATCH($C2906,Productos!$A$5:$A$504,0)),0))</f>
        <v/>
      </c>
      <c r="H2906" s="22" t="str">
        <f t="shared" si="45"/>
        <v/>
      </c>
      <c r="I2906" s="14" t="str">
        <f>IF(OR($C2906="",$F2906=""),"",IFERROR(INDEX(Productos!$I$5:$I$504,MATCH($C2906,Productos!$A$5:$A$504,0)),0)+SUMIFS($F$5:$F2906,$C$5:$C2906,$C2906,$B$5:$B2906,"Entrada")-SUMIFS($F$5:$F2906,$C$5:$C2906,$C2906,$B$5:$B2906,"Salida"))</f>
        <v/>
      </c>
      <c r="J2906" s="20"/>
      <c r="K2906" s="20"/>
      <c r="L2906" s="20"/>
      <c r="M2906" s="14" t="str">
        <f>IF(AND($C2906&lt;&gt;"",$C2906=Kardex!$C$4),COUNTIF($C$5:$C2906,Kardex!$C$4),"")</f>
        <v/>
      </c>
    </row>
    <row r="2907" spans="1:13" x14ac:dyDescent="0.25">
      <c r="A2907" s="24"/>
      <c r="B2907" s="20"/>
      <c r="C2907" s="20"/>
      <c r="D2907" s="14" t="str">
        <f>IF($C2907="","",IFERROR(INDEX(Productos!$B$5:$B$504,MATCH($C2907,Productos!$A$5:$A$504,0)),"Clave no existe"))</f>
        <v/>
      </c>
      <c r="E2907" s="14" t="str">
        <f>IF($C2907="","",IFERROR(INDEX(Productos!$D$5:$D$504,MATCH($C2907,Productos!$A$5:$A$504,0)),""))</f>
        <v/>
      </c>
      <c r="F2907" s="20"/>
      <c r="G2907" s="22" t="str">
        <f>IF($C2907="","",IFERROR(INDEX(Productos!$F$5:$F$504,MATCH($C2907,Productos!$A$5:$A$504,0)),0))</f>
        <v/>
      </c>
      <c r="H2907" s="22" t="str">
        <f t="shared" si="45"/>
        <v/>
      </c>
      <c r="I2907" s="14" t="str">
        <f>IF(OR($C2907="",$F2907=""),"",IFERROR(INDEX(Productos!$I$5:$I$504,MATCH($C2907,Productos!$A$5:$A$504,0)),0)+SUMIFS($F$5:$F2907,$C$5:$C2907,$C2907,$B$5:$B2907,"Entrada")-SUMIFS($F$5:$F2907,$C$5:$C2907,$C2907,$B$5:$B2907,"Salida"))</f>
        <v/>
      </c>
      <c r="J2907" s="20"/>
      <c r="K2907" s="20"/>
      <c r="L2907" s="20"/>
      <c r="M2907" s="14" t="str">
        <f>IF(AND($C2907&lt;&gt;"",$C2907=Kardex!$C$4),COUNTIF($C$5:$C2907,Kardex!$C$4),"")</f>
        <v/>
      </c>
    </row>
    <row r="2908" spans="1:13" x14ac:dyDescent="0.25">
      <c r="A2908" s="24"/>
      <c r="B2908" s="20"/>
      <c r="C2908" s="20"/>
      <c r="D2908" s="14" t="str">
        <f>IF($C2908="","",IFERROR(INDEX(Productos!$B$5:$B$504,MATCH($C2908,Productos!$A$5:$A$504,0)),"Clave no existe"))</f>
        <v/>
      </c>
      <c r="E2908" s="14" t="str">
        <f>IF($C2908="","",IFERROR(INDEX(Productos!$D$5:$D$504,MATCH($C2908,Productos!$A$5:$A$504,0)),""))</f>
        <v/>
      </c>
      <c r="F2908" s="20"/>
      <c r="G2908" s="22" t="str">
        <f>IF($C2908="","",IFERROR(INDEX(Productos!$F$5:$F$504,MATCH($C2908,Productos!$A$5:$A$504,0)),0))</f>
        <v/>
      </c>
      <c r="H2908" s="22" t="str">
        <f t="shared" si="45"/>
        <v/>
      </c>
      <c r="I2908" s="14" t="str">
        <f>IF(OR($C2908="",$F2908=""),"",IFERROR(INDEX(Productos!$I$5:$I$504,MATCH($C2908,Productos!$A$5:$A$504,0)),0)+SUMIFS($F$5:$F2908,$C$5:$C2908,$C2908,$B$5:$B2908,"Entrada")-SUMIFS($F$5:$F2908,$C$5:$C2908,$C2908,$B$5:$B2908,"Salida"))</f>
        <v/>
      </c>
      <c r="J2908" s="20"/>
      <c r="K2908" s="20"/>
      <c r="L2908" s="20"/>
      <c r="M2908" s="14" t="str">
        <f>IF(AND($C2908&lt;&gt;"",$C2908=Kardex!$C$4),COUNTIF($C$5:$C2908,Kardex!$C$4),"")</f>
        <v/>
      </c>
    </row>
    <row r="2909" spans="1:13" x14ac:dyDescent="0.25">
      <c r="A2909" s="24"/>
      <c r="B2909" s="20"/>
      <c r="C2909" s="20"/>
      <c r="D2909" s="14" t="str">
        <f>IF($C2909="","",IFERROR(INDEX(Productos!$B$5:$B$504,MATCH($C2909,Productos!$A$5:$A$504,0)),"Clave no existe"))</f>
        <v/>
      </c>
      <c r="E2909" s="14" t="str">
        <f>IF($C2909="","",IFERROR(INDEX(Productos!$D$5:$D$504,MATCH($C2909,Productos!$A$5:$A$504,0)),""))</f>
        <v/>
      </c>
      <c r="F2909" s="20"/>
      <c r="G2909" s="22" t="str">
        <f>IF($C2909="","",IFERROR(INDEX(Productos!$F$5:$F$504,MATCH($C2909,Productos!$A$5:$A$504,0)),0))</f>
        <v/>
      </c>
      <c r="H2909" s="22" t="str">
        <f t="shared" si="45"/>
        <v/>
      </c>
      <c r="I2909" s="14" t="str">
        <f>IF(OR($C2909="",$F2909=""),"",IFERROR(INDEX(Productos!$I$5:$I$504,MATCH($C2909,Productos!$A$5:$A$504,0)),0)+SUMIFS($F$5:$F2909,$C$5:$C2909,$C2909,$B$5:$B2909,"Entrada")-SUMIFS($F$5:$F2909,$C$5:$C2909,$C2909,$B$5:$B2909,"Salida"))</f>
        <v/>
      </c>
      <c r="J2909" s="20"/>
      <c r="K2909" s="20"/>
      <c r="L2909" s="20"/>
      <c r="M2909" s="14" t="str">
        <f>IF(AND($C2909&lt;&gt;"",$C2909=Kardex!$C$4),COUNTIF($C$5:$C2909,Kardex!$C$4),"")</f>
        <v/>
      </c>
    </row>
    <row r="2910" spans="1:13" x14ac:dyDescent="0.25">
      <c r="A2910" s="24"/>
      <c r="B2910" s="20"/>
      <c r="C2910" s="20"/>
      <c r="D2910" s="14" t="str">
        <f>IF($C2910="","",IFERROR(INDEX(Productos!$B$5:$B$504,MATCH($C2910,Productos!$A$5:$A$504,0)),"Clave no existe"))</f>
        <v/>
      </c>
      <c r="E2910" s="14" t="str">
        <f>IF($C2910="","",IFERROR(INDEX(Productos!$D$5:$D$504,MATCH($C2910,Productos!$A$5:$A$504,0)),""))</f>
        <v/>
      </c>
      <c r="F2910" s="20"/>
      <c r="G2910" s="22" t="str">
        <f>IF($C2910="","",IFERROR(INDEX(Productos!$F$5:$F$504,MATCH($C2910,Productos!$A$5:$A$504,0)),0))</f>
        <v/>
      </c>
      <c r="H2910" s="22" t="str">
        <f t="shared" si="45"/>
        <v/>
      </c>
      <c r="I2910" s="14" t="str">
        <f>IF(OR($C2910="",$F2910=""),"",IFERROR(INDEX(Productos!$I$5:$I$504,MATCH($C2910,Productos!$A$5:$A$504,0)),0)+SUMIFS($F$5:$F2910,$C$5:$C2910,$C2910,$B$5:$B2910,"Entrada")-SUMIFS($F$5:$F2910,$C$5:$C2910,$C2910,$B$5:$B2910,"Salida"))</f>
        <v/>
      </c>
      <c r="J2910" s="20"/>
      <c r="K2910" s="20"/>
      <c r="L2910" s="20"/>
      <c r="M2910" s="14" t="str">
        <f>IF(AND($C2910&lt;&gt;"",$C2910=Kardex!$C$4),COUNTIF($C$5:$C2910,Kardex!$C$4),"")</f>
        <v/>
      </c>
    </row>
    <row r="2911" spans="1:13" x14ac:dyDescent="0.25">
      <c r="A2911" s="24"/>
      <c r="B2911" s="20"/>
      <c r="C2911" s="20"/>
      <c r="D2911" s="14" t="str">
        <f>IF($C2911="","",IFERROR(INDEX(Productos!$B$5:$B$504,MATCH($C2911,Productos!$A$5:$A$504,0)),"Clave no existe"))</f>
        <v/>
      </c>
      <c r="E2911" s="14" t="str">
        <f>IF($C2911="","",IFERROR(INDEX(Productos!$D$5:$D$504,MATCH($C2911,Productos!$A$5:$A$504,0)),""))</f>
        <v/>
      </c>
      <c r="F2911" s="20"/>
      <c r="G2911" s="22" t="str">
        <f>IF($C2911="","",IFERROR(INDEX(Productos!$F$5:$F$504,MATCH($C2911,Productos!$A$5:$A$504,0)),0))</f>
        <v/>
      </c>
      <c r="H2911" s="22" t="str">
        <f t="shared" si="45"/>
        <v/>
      </c>
      <c r="I2911" s="14" t="str">
        <f>IF(OR($C2911="",$F2911=""),"",IFERROR(INDEX(Productos!$I$5:$I$504,MATCH($C2911,Productos!$A$5:$A$504,0)),0)+SUMIFS($F$5:$F2911,$C$5:$C2911,$C2911,$B$5:$B2911,"Entrada")-SUMIFS($F$5:$F2911,$C$5:$C2911,$C2911,$B$5:$B2911,"Salida"))</f>
        <v/>
      </c>
      <c r="J2911" s="20"/>
      <c r="K2911" s="20"/>
      <c r="L2911" s="20"/>
      <c r="M2911" s="14" t="str">
        <f>IF(AND($C2911&lt;&gt;"",$C2911=Kardex!$C$4),COUNTIF($C$5:$C2911,Kardex!$C$4),"")</f>
        <v/>
      </c>
    </row>
    <row r="2912" spans="1:13" x14ac:dyDescent="0.25">
      <c r="A2912" s="24"/>
      <c r="B2912" s="20"/>
      <c r="C2912" s="20"/>
      <c r="D2912" s="14" t="str">
        <f>IF($C2912="","",IFERROR(INDEX(Productos!$B$5:$B$504,MATCH($C2912,Productos!$A$5:$A$504,0)),"Clave no existe"))</f>
        <v/>
      </c>
      <c r="E2912" s="14" t="str">
        <f>IF($C2912="","",IFERROR(INDEX(Productos!$D$5:$D$504,MATCH($C2912,Productos!$A$5:$A$504,0)),""))</f>
        <v/>
      </c>
      <c r="F2912" s="20"/>
      <c r="G2912" s="22" t="str">
        <f>IF($C2912="","",IFERROR(INDEX(Productos!$F$5:$F$504,MATCH($C2912,Productos!$A$5:$A$504,0)),0))</f>
        <v/>
      </c>
      <c r="H2912" s="22" t="str">
        <f t="shared" si="45"/>
        <v/>
      </c>
      <c r="I2912" s="14" t="str">
        <f>IF(OR($C2912="",$F2912=""),"",IFERROR(INDEX(Productos!$I$5:$I$504,MATCH($C2912,Productos!$A$5:$A$504,0)),0)+SUMIFS($F$5:$F2912,$C$5:$C2912,$C2912,$B$5:$B2912,"Entrada")-SUMIFS($F$5:$F2912,$C$5:$C2912,$C2912,$B$5:$B2912,"Salida"))</f>
        <v/>
      </c>
      <c r="J2912" s="20"/>
      <c r="K2912" s="20"/>
      <c r="L2912" s="20"/>
      <c r="M2912" s="14" t="str">
        <f>IF(AND($C2912&lt;&gt;"",$C2912=Kardex!$C$4),COUNTIF($C$5:$C2912,Kardex!$C$4),"")</f>
        <v/>
      </c>
    </row>
    <row r="2913" spans="1:13" x14ac:dyDescent="0.25">
      <c r="A2913" s="24"/>
      <c r="B2913" s="20"/>
      <c r="C2913" s="20"/>
      <c r="D2913" s="14" t="str">
        <f>IF($C2913="","",IFERROR(INDEX(Productos!$B$5:$B$504,MATCH($C2913,Productos!$A$5:$A$504,0)),"Clave no existe"))</f>
        <v/>
      </c>
      <c r="E2913" s="14" t="str">
        <f>IF($C2913="","",IFERROR(INDEX(Productos!$D$5:$D$504,MATCH($C2913,Productos!$A$5:$A$504,0)),""))</f>
        <v/>
      </c>
      <c r="F2913" s="20"/>
      <c r="G2913" s="22" t="str">
        <f>IF($C2913="","",IFERROR(INDEX(Productos!$F$5:$F$504,MATCH($C2913,Productos!$A$5:$A$504,0)),0))</f>
        <v/>
      </c>
      <c r="H2913" s="22" t="str">
        <f t="shared" si="45"/>
        <v/>
      </c>
      <c r="I2913" s="14" t="str">
        <f>IF(OR($C2913="",$F2913=""),"",IFERROR(INDEX(Productos!$I$5:$I$504,MATCH($C2913,Productos!$A$5:$A$504,0)),0)+SUMIFS($F$5:$F2913,$C$5:$C2913,$C2913,$B$5:$B2913,"Entrada")-SUMIFS($F$5:$F2913,$C$5:$C2913,$C2913,$B$5:$B2913,"Salida"))</f>
        <v/>
      </c>
      <c r="J2913" s="20"/>
      <c r="K2913" s="20"/>
      <c r="L2913" s="20"/>
      <c r="M2913" s="14" t="str">
        <f>IF(AND($C2913&lt;&gt;"",$C2913=Kardex!$C$4),COUNTIF($C$5:$C2913,Kardex!$C$4),"")</f>
        <v/>
      </c>
    </row>
    <row r="2914" spans="1:13" x14ac:dyDescent="0.25">
      <c r="A2914" s="24"/>
      <c r="B2914" s="20"/>
      <c r="C2914" s="20"/>
      <c r="D2914" s="14" t="str">
        <f>IF($C2914="","",IFERROR(INDEX(Productos!$B$5:$B$504,MATCH($C2914,Productos!$A$5:$A$504,0)),"Clave no existe"))</f>
        <v/>
      </c>
      <c r="E2914" s="14" t="str">
        <f>IF($C2914="","",IFERROR(INDEX(Productos!$D$5:$D$504,MATCH($C2914,Productos!$A$5:$A$504,0)),""))</f>
        <v/>
      </c>
      <c r="F2914" s="20"/>
      <c r="G2914" s="22" t="str">
        <f>IF($C2914="","",IFERROR(INDEX(Productos!$F$5:$F$504,MATCH($C2914,Productos!$A$5:$A$504,0)),0))</f>
        <v/>
      </c>
      <c r="H2914" s="22" t="str">
        <f t="shared" si="45"/>
        <v/>
      </c>
      <c r="I2914" s="14" t="str">
        <f>IF(OR($C2914="",$F2914=""),"",IFERROR(INDEX(Productos!$I$5:$I$504,MATCH($C2914,Productos!$A$5:$A$504,0)),0)+SUMIFS($F$5:$F2914,$C$5:$C2914,$C2914,$B$5:$B2914,"Entrada")-SUMIFS($F$5:$F2914,$C$5:$C2914,$C2914,$B$5:$B2914,"Salida"))</f>
        <v/>
      </c>
      <c r="J2914" s="20"/>
      <c r="K2914" s="20"/>
      <c r="L2914" s="20"/>
      <c r="M2914" s="14" t="str">
        <f>IF(AND($C2914&lt;&gt;"",$C2914=Kardex!$C$4),COUNTIF($C$5:$C2914,Kardex!$C$4),"")</f>
        <v/>
      </c>
    </row>
    <row r="2915" spans="1:13" x14ac:dyDescent="0.25">
      <c r="A2915" s="24"/>
      <c r="B2915" s="20"/>
      <c r="C2915" s="20"/>
      <c r="D2915" s="14" t="str">
        <f>IF($C2915="","",IFERROR(INDEX(Productos!$B$5:$B$504,MATCH($C2915,Productos!$A$5:$A$504,0)),"Clave no existe"))</f>
        <v/>
      </c>
      <c r="E2915" s="14" t="str">
        <f>IF($C2915="","",IFERROR(INDEX(Productos!$D$5:$D$504,MATCH($C2915,Productos!$A$5:$A$504,0)),""))</f>
        <v/>
      </c>
      <c r="F2915" s="20"/>
      <c r="G2915" s="22" t="str">
        <f>IF($C2915="","",IFERROR(INDEX(Productos!$F$5:$F$504,MATCH($C2915,Productos!$A$5:$A$504,0)),0))</f>
        <v/>
      </c>
      <c r="H2915" s="22" t="str">
        <f t="shared" si="45"/>
        <v/>
      </c>
      <c r="I2915" s="14" t="str">
        <f>IF(OR($C2915="",$F2915=""),"",IFERROR(INDEX(Productos!$I$5:$I$504,MATCH($C2915,Productos!$A$5:$A$504,0)),0)+SUMIFS($F$5:$F2915,$C$5:$C2915,$C2915,$B$5:$B2915,"Entrada")-SUMIFS($F$5:$F2915,$C$5:$C2915,$C2915,$B$5:$B2915,"Salida"))</f>
        <v/>
      </c>
      <c r="J2915" s="20"/>
      <c r="K2915" s="20"/>
      <c r="L2915" s="20"/>
      <c r="M2915" s="14" t="str">
        <f>IF(AND($C2915&lt;&gt;"",$C2915=Kardex!$C$4),COUNTIF($C$5:$C2915,Kardex!$C$4),"")</f>
        <v/>
      </c>
    </row>
    <row r="2916" spans="1:13" x14ac:dyDescent="0.25">
      <c r="A2916" s="24"/>
      <c r="B2916" s="20"/>
      <c r="C2916" s="20"/>
      <c r="D2916" s="14" t="str">
        <f>IF($C2916="","",IFERROR(INDEX(Productos!$B$5:$B$504,MATCH($C2916,Productos!$A$5:$A$504,0)),"Clave no existe"))</f>
        <v/>
      </c>
      <c r="E2916" s="14" t="str">
        <f>IF($C2916="","",IFERROR(INDEX(Productos!$D$5:$D$504,MATCH($C2916,Productos!$A$5:$A$504,0)),""))</f>
        <v/>
      </c>
      <c r="F2916" s="20"/>
      <c r="G2916" s="22" t="str">
        <f>IF($C2916="","",IFERROR(INDEX(Productos!$F$5:$F$504,MATCH($C2916,Productos!$A$5:$A$504,0)),0))</f>
        <v/>
      </c>
      <c r="H2916" s="22" t="str">
        <f t="shared" si="45"/>
        <v/>
      </c>
      <c r="I2916" s="14" t="str">
        <f>IF(OR($C2916="",$F2916=""),"",IFERROR(INDEX(Productos!$I$5:$I$504,MATCH($C2916,Productos!$A$5:$A$504,0)),0)+SUMIFS($F$5:$F2916,$C$5:$C2916,$C2916,$B$5:$B2916,"Entrada")-SUMIFS($F$5:$F2916,$C$5:$C2916,$C2916,$B$5:$B2916,"Salida"))</f>
        <v/>
      </c>
      <c r="J2916" s="20"/>
      <c r="K2916" s="20"/>
      <c r="L2916" s="20"/>
      <c r="M2916" s="14" t="str">
        <f>IF(AND($C2916&lt;&gt;"",$C2916=Kardex!$C$4),COUNTIF($C$5:$C2916,Kardex!$C$4),"")</f>
        <v/>
      </c>
    </row>
    <row r="2917" spans="1:13" x14ac:dyDescent="0.25">
      <c r="A2917" s="24"/>
      <c r="B2917" s="20"/>
      <c r="C2917" s="20"/>
      <c r="D2917" s="14" t="str">
        <f>IF($C2917="","",IFERROR(INDEX(Productos!$B$5:$B$504,MATCH($C2917,Productos!$A$5:$A$504,0)),"Clave no existe"))</f>
        <v/>
      </c>
      <c r="E2917" s="14" t="str">
        <f>IF($C2917="","",IFERROR(INDEX(Productos!$D$5:$D$504,MATCH($C2917,Productos!$A$5:$A$504,0)),""))</f>
        <v/>
      </c>
      <c r="F2917" s="20"/>
      <c r="G2917" s="22" t="str">
        <f>IF($C2917="","",IFERROR(INDEX(Productos!$F$5:$F$504,MATCH($C2917,Productos!$A$5:$A$504,0)),0))</f>
        <v/>
      </c>
      <c r="H2917" s="22" t="str">
        <f t="shared" si="45"/>
        <v/>
      </c>
      <c r="I2917" s="14" t="str">
        <f>IF(OR($C2917="",$F2917=""),"",IFERROR(INDEX(Productos!$I$5:$I$504,MATCH($C2917,Productos!$A$5:$A$504,0)),0)+SUMIFS($F$5:$F2917,$C$5:$C2917,$C2917,$B$5:$B2917,"Entrada")-SUMIFS($F$5:$F2917,$C$5:$C2917,$C2917,$B$5:$B2917,"Salida"))</f>
        <v/>
      </c>
      <c r="J2917" s="20"/>
      <c r="K2917" s="20"/>
      <c r="L2917" s="20"/>
      <c r="M2917" s="14" t="str">
        <f>IF(AND($C2917&lt;&gt;"",$C2917=Kardex!$C$4),COUNTIF($C$5:$C2917,Kardex!$C$4),"")</f>
        <v/>
      </c>
    </row>
    <row r="2918" spans="1:13" x14ac:dyDescent="0.25">
      <c r="A2918" s="24"/>
      <c r="B2918" s="20"/>
      <c r="C2918" s="20"/>
      <c r="D2918" s="14" t="str">
        <f>IF($C2918="","",IFERROR(INDEX(Productos!$B$5:$B$504,MATCH($C2918,Productos!$A$5:$A$504,0)),"Clave no existe"))</f>
        <v/>
      </c>
      <c r="E2918" s="14" t="str">
        <f>IF($C2918="","",IFERROR(INDEX(Productos!$D$5:$D$504,MATCH($C2918,Productos!$A$5:$A$504,0)),""))</f>
        <v/>
      </c>
      <c r="F2918" s="20"/>
      <c r="G2918" s="22" t="str">
        <f>IF($C2918="","",IFERROR(INDEX(Productos!$F$5:$F$504,MATCH($C2918,Productos!$A$5:$A$504,0)),0))</f>
        <v/>
      </c>
      <c r="H2918" s="22" t="str">
        <f t="shared" si="45"/>
        <v/>
      </c>
      <c r="I2918" s="14" t="str">
        <f>IF(OR($C2918="",$F2918=""),"",IFERROR(INDEX(Productos!$I$5:$I$504,MATCH($C2918,Productos!$A$5:$A$504,0)),0)+SUMIFS($F$5:$F2918,$C$5:$C2918,$C2918,$B$5:$B2918,"Entrada")-SUMIFS($F$5:$F2918,$C$5:$C2918,$C2918,$B$5:$B2918,"Salida"))</f>
        <v/>
      </c>
      <c r="J2918" s="20"/>
      <c r="K2918" s="20"/>
      <c r="L2918" s="20"/>
      <c r="M2918" s="14" t="str">
        <f>IF(AND($C2918&lt;&gt;"",$C2918=Kardex!$C$4),COUNTIF($C$5:$C2918,Kardex!$C$4),"")</f>
        <v/>
      </c>
    </row>
    <row r="2919" spans="1:13" x14ac:dyDescent="0.25">
      <c r="A2919" s="24"/>
      <c r="B2919" s="20"/>
      <c r="C2919" s="20"/>
      <c r="D2919" s="14" t="str">
        <f>IF($C2919="","",IFERROR(INDEX(Productos!$B$5:$B$504,MATCH($C2919,Productos!$A$5:$A$504,0)),"Clave no existe"))</f>
        <v/>
      </c>
      <c r="E2919" s="14" t="str">
        <f>IF($C2919="","",IFERROR(INDEX(Productos!$D$5:$D$504,MATCH($C2919,Productos!$A$5:$A$504,0)),""))</f>
        <v/>
      </c>
      <c r="F2919" s="20"/>
      <c r="G2919" s="22" t="str">
        <f>IF($C2919="","",IFERROR(INDEX(Productos!$F$5:$F$504,MATCH($C2919,Productos!$A$5:$A$504,0)),0))</f>
        <v/>
      </c>
      <c r="H2919" s="22" t="str">
        <f t="shared" si="45"/>
        <v/>
      </c>
      <c r="I2919" s="14" t="str">
        <f>IF(OR($C2919="",$F2919=""),"",IFERROR(INDEX(Productos!$I$5:$I$504,MATCH($C2919,Productos!$A$5:$A$504,0)),0)+SUMIFS($F$5:$F2919,$C$5:$C2919,$C2919,$B$5:$B2919,"Entrada")-SUMIFS($F$5:$F2919,$C$5:$C2919,$C2919,$B$5:$B2919,"Salida"))</f>
        <v/>
      </c>
      <c r="J2919" s="20"/>
      <c r="K2919" s="20"/>
      <c r="L2919" s="20"/>
      <c r="M2919" s="14" t="str">
        <f>IF(AND($C2919&lt;&gt;"",$C2919=Kardex!$C$4),COUNTIF($C$5:$C2919,Kardex!$C$4),"")</f>
        <v/>
      </c>
    </row>
    <row r="2920" spans="1:13" x14ac:dyDescent="0.25">
      <c r="A2920" s="24"/>
      <c r="B2920" s="20"/>
      <c r="C2920" s="20"/>
      <c r="D2920" s="14" t="str">
        <f>IF($C2920="","",IFERROR(INDEX(Productos!$B$5:$B$504,MATCH($C2920,Productos!$A$5:$A$504,0)),"Clave no existe"))</f>
        <v/>
      </c>
      <c r="E2920" s="14" t="str">
        <f>IF($C2920="","",IFERROR(INDEX(Productos!$D$5:$D$504,MATCH($C2920,Productos!$A$5:$A$504,0)),""))</f>
        <v/>
      </c>
      <c r="F2920" s="20"/>
      <c r="G2920" s="22" t="str">
        <f>IF($C2920="","",IFERROR(INDEX(Productos!$F$5:$F$504,MATCH($C2920,Productos!$A$5:$A$504,0)),0))</f>
        <v/>
      </c>
      <c r="H2920" s="22" t="str">
        <f t="shared" si="45"/>
        <v/>
      </c>
      <c r="I2920" s="14" t="str">
        <f>IF(OR($C2920="",$F2920=""),"",IFERROR(INDEX(Productos!$I$5:$I$504,MATCH($C2920,Productos!$A$5:$A$504,0)),0)+SUMIFS($F$5:$F2920,$C$5:$C2920,$C2920,$B$5:$B2920,"Entrada")-SUMIFS($F$5:$F2920,$C$5:$C2920,$C2920,$B$5:$B2920,"Salida"))</f>
        <v/>
      </c>
      <c r="J2920" s="20"/>
      <c r="K2920" s="20"/>
      <c r="L2920" s="20"/>
      <c r="M2920" s="14" t="str">
        <f>IF(AND($C2920&lt;&gt;"",$C2920=Kardex!$C$4),COUNTIF($C$5:$C2920,Kardex!$C$4),"")</f>
        <v/>
      </c>
    </row>
    <row r="2921" spans="1:13" x14ac:dyDescent="0.25">
      <c r="A2921" s="24"/>
      <c r="B2921" s="20"/>
      <c r="C2921" s="20"/>
      <c r="D2921" s="14" t="str">
        <f>IF($C2921="","",IFERROR(INDEX(Productos!$B$5:$B$504,MATCH($C2921,Productos!$A$5:$A$504,0)),"Clave no existe"))</f>
        <v/>
      </c>
      <c r="E2921" s="14" t="str">
        <f>IF($C2921="","",IFERROR(INDEX(Productos!$D$5:$D$504,MATCH($C2921,Productos!$A$5:$A$504,0)),""))</f>
        <v/>
      </c>
      <c r="F2921" s="20"/>
      <c r="G2921" s="22" t="str">
        <f>IF($C2921="","",IFERROR(INDEX(Productos!$F$5:$F$504,MATCH($C2921,Productos!$A$5:$A$504,0)),0))</f>
        <v/>
      </c>
      <c r="H2921" s="22" t="str">
        <f t="shared" si="45"/>
        <v/>
      </c>
      <c r="I2921" s="14" t="str">
        <f>IF(OR($C2921="",$F2921=""),"",IFERROR(INDEX(Productos!$I$5:$I$504,MATCH($C2921,Productos!$A$5:$A$504,0)),0)+SUMIFS($F$5:$F2921,$C$5:$C2921,$C2921,$B$5:$B2921,"Entrada")-SUMIFS($F$5:$F2921,$C$5:$C2921,$C2921,$B$5:$B2921,"Salida"))</f>
        <v/>
      </c>
      <c r="J2921" s="20"/>
      <c r="K2921" s="20"/>
      <c r="L2921" s="20"/>
      <c r="M2921" s="14" t="str">
        <f>IF(AND($C2921&lt;&gt;"",$C2921=Kardex!$C$4),COUNTIF($C$5:$C2921,Kardex!$C$4),"")</f>
        <v/>
      </c>
    </row>
    <row r="2922" spans="1:13" x14ac:dyDescent="0.25">
      <c r="A2922" s="24"/>
      <c r="B2922" s="20"/>
      <c r="C2922" s="20"/>
      <c r="D2922" s="14" t="str">
        <f>IF($C2922="","",IFERROR(INDEX(Productos!$B$5:$B$504,MATCH($C2922,Productos!$A$5:$A$504,0)),"Clave no existe"))</f>
        <v/>
      </c>
      <c r="E2922" s="14" t="str">
        <f>IF($C2922="","",IFERROR(INDEX(Productos!$D$5:$D$504,MATCH($C2922,Productos!$A$5:$A$504,0)),""))</f>
        <v/>
      </c>
      <c r="F2922" s="20"/>
      <c r="G2922" s="22" t="str">
        <f>IF($C2922="","",IFERROR(INDEX(Productos!$F$5:$F$504,MATCH($C2922,Productos!$A$5:$A$504,0)),0))</f>
        <v/>
      </c>
      <c r="H2922" s="22" t="str">
        <f t="shared" si="45"/>
        <v/>
      </c>
      <c r="I2922" s="14" t="str">
        <f>IF(OR($C2922="",$F2922=""),"",IFERROR(INDEX(Productos!$I$5:$I$504,MATCH($C2922,Productos!$A$5:$A$504,0)),0)+SUMIFS($F$5:$F2922,$C$5:$C2922,$C2922,$B$5:$B2922,"Entrada")-SUMIFS($F$5:$F2922,$C$5:$C2922,$C2922,$B$5:$B2922,"Salida"))</f>
        <v/>
      </c>
      <c r="J2922" s="20"/>
      <c r="K2922" s="20"/>
      <c r="L2922" s="20"/>
      <c r="M2922" s="14" t="str">
        <f>IF(AND($C2922&lt;&gt;"",$C2922=Kardex!$C$4),COUNTIF($C$5:$C2922,Kardex!$C$4),"")</f>
        <v/>
      </c>
    </row>
    <row r="2923" spans="1:13" x14ac:dyDescent="0.25">
      <c r="A2923" s="24"/>
      <c r="B2923" s="20"/>
      <c r="C2923" s="20"/>
      <c r="D2923" s="14" t="str">
        <f>IF($C2923="","",IFERROR(INDEX(Productos!$B$5:$B$504,MATCH($C2923,Productos!$A$5:$A$504,0)),"Clave no existe"))</f>
        <v/>
      </c>
      <c r="E2923" s="14" t="str">
        <f>IF($C2923="","",IFERROR(INDEX(Productos!$D$5:$D$504,MATCH($C2923,Productos!$A$5:$A$504,0)),""))</f>
        <v/>
      </c>
      <c r="F2923" s="20"/>
      <c r="G2923" s="22" t="str">
        <f>IF($C2923="","",IFERROR(INDEX(Productos!$F$5:$F$504,MATCH($C2923,Productos!$A$5:$A$504,0)),0))</f>
        <v/>
      </c>
      <c r="H2923" s="22" t="str">
        <f t="shared" si="45"/>
        <v/>
      </c>
      <c r="I2923" s="14" t="str">
        <f>IF(OR($C2923="",$F2923=""),"",IFERROR(INDEX(Productos!$I$5:$I$504,MATCH($C2923,Productos!$A$5:$A$504,0)),0)+SUMIFS($F$5:$F2923,$C$5:$C2923,$C2923,$B$5:$B2923,"Entrada")-SUMIFS($F$5:$F2923,$C$5:$C2923,$C2923,$B$5:$B2923,"Salida"))</f>
        <v/>
      </c>
      <c r="J2923" s="20"/>
      <c r="K2923" s="20"/>
      <c r="L2923" s="20"/>
      <c r="M2923" s="14" t="str">
        <f>IF(AND($C2923&lt;&gt;"",$C2923=Kardex!$C$4),COUNTIF($C$5:$C2923,Kardex!$C$4),"")</f>
        <v/>
      </c>
    </row>
    <row r="2924" spans="1:13" x14ac:dyDescent="0.25">
      <c r="A2924" s="24"/>
      <c r="B2924" s="20"/>
      <c r="C2924" s="20"/>
      <c r="D2924" s="14" t="str">
        <f>IF($C2924="","",IFERROR(INDEX(Productos!$B$5:$B$504,MATCH($C2924,Productos!$A$5:$A$504,0)),"Clave no existe"))</f>
        <v/>
      </c>
      <c r="E2924" s="14" t="str">
        <f>IF($C2924="","",IFERROR(INDEX(Productos!$D$5:$D$504,MATCH($C2924,Productos!$A$5:$A$504,0)),""))</f>
        <v/>
      </c>
      <c r="F2924" s="20"/>
      <c r="G2924" s="22" t="str">
        <f>IF($C2924="","",IFERROR(INDEX(Productos!$F$5:$F$504,MATCH($C2924,Productos!$A$5:$A$504,0)),0))</f>
        <v/>
      </c>
      <c r="H2924" s="22" t="str">
        <f t="shared" si="45"/>
        <v/>
      </c>
      <c r="I2924" s="14" t="str">
        <f>IF(OR($C2924="",$F2924=""),"",IFERROR(INDEX(Productos!$I$5:$I$504,MATCH($C2924,Productos!$A$5:$A$504,0)),0)+SUMIFS($F$5:$F2924,$C$5:$C2924,$C2924,$B$5:$B2924,"Entrada")-SUMIFS($F$5:$F2924,$C$5:$C2924,$C2924,$B$5:$B2924,"Salida"))</f>
        <v/>
      </c>
      <c r="J2924" s="20"/>
      <c r="K2924" s="20"/>
      <c r="L2924" s="20"/>
      <c r="M2924" s="14" t="str">
        <f>IF(AND($C2924&lt;&gt;"",$C2924=Kardex!$C$4),COUNTIF($C$5:$C2924,Kardex!$C$4),"")</f>
        <v/>
      </c>
    </row>
    <row r="2925" spans="1:13" x14ac:dyDescent="0.25">
      <c r="A2925" s="24"/>
      <c r="B2925" s="20"/>
      <c r="C2925" s="20"/>
      <c r="D2925" s="14" t="str">
        <f>IF($C2925="","",IFERROR(INDEX(Productos!$B$5:$B$504,MATCH($C2925,Productos!$A$5:$A$504,0)),"Clave no existe"))</f>
        <v/>
      </c>
      <c r="E2925" s="14" t="str">
        <f>IF($C2925="","",IFERROR(INDEX(Productos!$D$5:$D$504,MATCH($C2925,Productos!$A$5:$A$504,0)),""))</f>
        <v/>
      </c>
      <c r="F2925" s="20"/>
      <c r="G2925" s="22" t="str">
        <f>IF($C2925="","",IFERROR(INDEX(Productos!$F$5:$F$504,MATCH($C2925,Productos!$A$5:$A$504,0)),0))</f>
        <v/>
      </c>
      <c r="H2925" s="22" t="str">
        <f t="shared" si="45"/>
        <v/>
      </c>
      <c r="I2925" s="14" t="str">
        <f>IF(OR($C2925="",$F2925=""),"",IFERROR(INDEX(Productos!$I$5:$I$504,MATCH($C2925,Productos!$A$5:$A$504,0)),0)+SUMIFS($F$5:$F2925,$C$5:$C2925,$C2925,$B$5:$B2925,"Entrada")-SUMIFS($F$5:$F2925,$C$5:$C2925,$C2925,$B$5:$B2925,"Salida"))</f>
        <v/>
      </c>
      <c r="J2925" s="20"/>
      <c r="K2925" s="20"/>
      <c r="L2925" s="20"/>
      <c r="M2925" s="14" t="str">
        <f>IF(AND($C2925&lt;&gt;"",$C2925=Kardex!$C$4),COUNTIF($C$5:$C2925,Kardex!$C$4),"")</f>
        <v/>
      </c>
    </row>
    <row r="2926" spans="1:13" x14ac:dyDescent="0.25">
      <c r="A2926" s="24"/>
      <c r="B2926" s="20"/>
      <c r="C2926" s="20"/>
      <c r="D2926" s="14" t="str">
        <f>IF($C2926="","",IFERROR(INDEX(Productos!$B$5:$B$504,MATCH($C2926,Productos!$A$5:$A$504,0)),"Clave no existe"))</f>
        <v/>
      </c>
      <c r="E2926" s="14" t="str">
        <f>IF($C2926="","",IFERROR(INDEX(Productos!$D$5:$D$504,MATCH($C2926,Productos!$A$5:$A$504,0)),""))</f>
        <v/>
      </c>
      <c r="F2926" s="20"/>
      <c r="G2926" s="22" t="str">
        <f>IF($C2926="","",IFERROR(INDEX(Productos!$F$5:$F$504,MATCH($C2926,Productos!$A$5:$A$504,0)),0))</f>
        <v/>
      </c>
      <c r="H2926" s="22" t="str">
        <f t="shared" si="45"/>
        <v/>
      </c>
      <c r="I2926" s="14" t="str">
        <f>IF(OR($C2926="",$F2926=""),"",IFERROR(INDEX(Productos!$I$5:$I$504,MATCH($C2926,Productos!$A$5:$A$504,0)),0)+SUMIFS($F$5:$F2926,$C$5:$C2926,$C2926,$B$5:$B2926,"Entrada")-SUMIFS($F$5:$F2926,$C$5:$C2926,$C2926,$B$5:$B2926,"Salida"))</f>
        <v/>
      </c>
      <c r="J2926" s="20"/>
      <c r="K2926" s="20"/>
      <c r="L2926" s="20"/>
      <c r="M2926" s="14" t="str">
        <f>IF(AND($C2926&lt;&gt;"",$C2926=Kardex!$C$4),COUNTIF($C$5:$C2926,Kardex!$C$4),"")</f>
        <v/>
      </c>
    </row>
    <row r="2927" spans="1:13" x14ac:dyDescent="0.25">
      <c r="A2927" s="24"/>
      <c r="B2927" s="20"/>
      <c r="C2927" s="20"/>
      <c r="D2927" s="14" t="str">
        <f>IF($C2927="","",IFERROR(INDEX(Productos!$B$5:$B$504,MATCH($C2927,Productos!$A$5:$A$504,0)),"Clave no existe"))</f>
        <v/>
      </c>
      <c r="E2927" s="14" t="str">
        <f>IF($C2927="","",IFERROR(INDEX(Productos!$D$5:$D$504,MATCH($C2927,Productos!$A$5:$A$504,0)),""))</f>
        <v/>
      </c>
      <c r="F2927" s="20"/>
      <c r="G2927" s="22" t="str">
        <f>IF($C2927="","",IFERROR(INDEX(Productos!$F$5:$F$504,MATCH($C2927,Productos!$A$5:$A$504,0)),0))</f>
        <v/>
      </c>
      <c r="H2927" s="22" t="str">
        <f t="shared" si="45"/>
        <v/>
      </c>
      <c r="I2927" s="14" t="str">
        <f>IF(OR($C2927="",$F2927=""),"",IFERROR(INDEX(Productos!$I$5:$I$504,MATCH($C2927,Productos!$A$5:$A$504,0)),0)+SUMIFS($F$5:$F2927,$C$5:$C2927,$C2927,$B$5:$B2927,"Entrada")-SUMIFS($F$5:$F2927,$C$5:$C2927,$C2927,$B$5:$B2927,"Salida"))</f>
        <v/>
      </c>
      <c r="J2927" s="20"/>
      <c r="K2927" s="20"/>
      <c r="L2927" s="20"/>
      <c r="M2927" s="14" t="str">
        <f>IF(AND($C2927&lt;&gt;"",$C2927=Kardex!$C$4),COUNTIF($C$5:$C2927,Kardex!$C$4),"")</f>
        <v/>
      </c>
    </row>
    <row r="2928" spans="1:13" x14ac:dyDescent="0.25">
      <c r="A2928" s="24"/>
      <c r="B2928" s="20"/>
      <c r="C2928" s="20"/>
      <c r="D2928" s="14" t="str">
        <f>IF($C2928="","",IFERROR(INDEX(Productos!$B$5:$B$504,MATCH($C2928,Productos!$A$5:$A$504,0)),"Clave no existe"))</f>
        <v/>
      </c>
      <c r="E2928" s="14" t="str">
        <f>IF($C2928="","",IFERROR(INDEX(Productos!$D$5:$D$504,MATCH($C2928,Productos!$A$5:$A$504,0)),""))</f>
        <v/>
      </c>
      <c r="F2928" s="20"/>
      <c r="G2928" s="22" t="str">
        <f>IF($C2928="","",IFERROR(INDEX(Productos!$F$5:$F$504,MATCH($C2928,Productos!$A$5:$A$504,0)),0))</f>
        <v/>
      </c>
      <c r="H2928" s="22" t="str">
        <f t="shared" si="45"/>
        <v/>
      </c>
      <c r="I2928" s="14" t="str">
        <f>IF(OR($C2928="",$F2928=""),"",IFERROR(INDEX(Productos!$I$5:$I$504,MATCH($C2928,Productos!$A$5:$A$504,0)),0)+SUMIFS($F$5:$F2928,$C$5:$C2928,$C2928,$B$5:$B2928,"Entrada")-SUMIFS($F$5:$F2928,$C$5:$C2928,$C2928,$B$5:$B2928,"Salida"))</f>
        <v/>
      </c>
      <c r="J2928" s="20"/>
      <c r="K2928" s="20"/>
      <c r="L2928" s="20"/>
      <c r="M2928" s="14" t="str">
        <f>IF(AND($C2928&lt;&gt;"",$C2928=Kardex!$C$4),COUNTIF($C$5:$C2928,Kardex!$C$4),"")</f>
        <v/>
      </c>
    </row>
    <row r="2929" spans="1:13" x14ac:dyDescent="0.25">
      <c r="A2929" s="24"/>
      <c r="B2929" s="20"/>
      <c r="C2929" s="20"/>
      <c r="D2929" s="14" t="str">
        <f>IF($C2929="","",IFERROR(INDEX(Productos!$B$5:$B$504,MATCH($C2929,Productos!$A$5:$A$504,0)),"Clave no existe"))</f>
        <v/>
      </c>
      <c r="E2929" s="14" t="str">
        <f>IF($C2929="","",IFERROR(INDEX(Productos!$D$5:$D$504,MATCH($C2929,Productos!$A$5:$A$504,0)),""))</f>
        <v/>
      </c>
      <c r="F2929" s="20"/>
      <c r="G2929" s="22" t="str">
        <f>IF($C2929="","",IFERROR(INDEX(Productos!$F$5:$F$504,MATCH($C2929,Productos!$A$5:$A$504,0)),0))</f>
        <v/>
      </c>
      <c r="H2929" s="22" t="str">
        <f t="shared" si="45"/>
        <v/>
      </c>
      <c r="I2929" s="14" t="str">
        <f>IF(OR($C2929="",$F2929=""),"",IFERROR(INDEX(Productos!$I$5:$I$504,MATCH($C2929,Productos!$A$5:$A$504,0)),0)+SUMIFS($F$5:$F2929,$C$5:$C2929,$C2929,$B$5:$B2929,"Entrada")-SUMIFS($F$5:$F2929,$C$5:$C2929,$C2929,$B$5:$B2929,"Salida"))</f>
        <v/>
      </c>
      <c r="J2929" s="20"/>
      <c r="K2929" s="20"/>
      <c r="L2929" s="20"/>
      <c r="M2929" s="14" t="str">
        <f>IF(AND($C2929&lt;&gt;"",$C2929=Kardex!$C$4),COUNTIF($C$5:$C2929,Kardex!$C$4),"")</f>
        <v/>
      </c>
    </row>
    <row r="2930" spans="1:13" x14ac:dyDescent="0.25">
      <c r="A2930" s="24"/>
      <c r="B2930" s="20"/>
      <c r="C2930" s="20"/>
      <c r="D2930" s="14" t="str">
        <f>IF($C2930="","",IFERROR(INDEX(Productos!$B$5:$B$504,MATCH($C2930,Productos!$A$5:$A$504,0)),"Clave no existe"))</f>
        <v/>
      </c>
      <c r="E2930" s="14" t="str">
        <f>IF($C2930="","",IFERROR(INDEX(Productos!$D$5:$D$504,MATCH($C2930,Productos!$A$5:$A$504,0)),""))</f>
        <v/>
      </c>
      <c r="F2930" s="20"/>
      <c r="G2930" s="22" t="str">
        <f>IF($C2930="","",IFERROR(INDEX(Productos!$F$5:$F$504,MATCH($C2930,Productos!$A$5:$A$504,0)),0))</f>
        <v/>
      </c>
      <c r="H2930" s="22" t="str">
        <f t="shared" si="45"/>
        <v/>
      </c>
      <c r="I2930" s="14" t="str">
        <f>IF(OR($C2930="",$F2930=""),"",IFERROR(INDEX(Productos!$I$5:$I$504,MATCH($C2930,Productos!$A$5:$A$504,0)),0)+SUMIFS($F$5:$F2930,$C$5:$C2930,$C2930,$B$5:$B2930,"Entrada")-SUMIFS($F$5:$F2930,$C$5:$C2930,$C2930,$B$5:$B2930,"Salida"))</f>
        <v/>
      </c>
      <c r="J2930" s="20"/>
      <c r="K2930" s="20"/>
      <c r="L2930" s="20"/>
      <c r="M2930" s="14" t="str">
        <f>IF(AND($C2930&lt;&gt;"",$C2930=Kardex!$C$4),COUNTIF($C$5:$C2930,Kardex!$C$4),"")</f>
        <v/>
      </c>
    </row>
    <row r="2931" spans="1:13" x14ac:dyDescent="0.25">
      <c r="A2931" s="24"/>
      <c r="B2931" s="20"/>
      <c r="C2931" s="20"/>
      <c r="D2931" s="14" t="str">
        <f>IF($C2931="","",IFERROR(INDEX(Productos!$B$5:$B$504,MATCH($C2931,Productos!$A$5:$A$504,0)),"Clave no existe"))</f>
        <v/>
      </c>
      <c r="E2931" s="14" t="str">
        <f>IF($C2931="","",IFERROR(INDEX(Productos!$D$5:$D$504,MATCH($C2931,Productos!$A$5:$A$504,0)),""))</f>
        <v/>
      </c>
      <c r="F2931" s="20"/>
      <c r="G2931" s="22" t="str">
        <f>IF($C2931="","",IFERROR(INDEX(Productos!$F$5:$F$504,MATCH($C2931,Productos!$A$5:$A$504,0)),0))</f>
        <v/>
      </c>
      <c r="H2931" s="22" t="str">
        <f t="shared" si="45"/>
        <v/>
      </c>
      <c r="I2931" s="14" t="str">
        <f>IF(OR($C2931="",$F2931=""),"",IFERROR(INDEX(Productos!$I$5:$I$504,MATCH($C2931,Productos!$A$5:$A$504,0)),0)+SUMIFS($F$5:$F2931,$C$5:$C2931,$C2931,$B$5:$B2931,"Entrada")-SUMIFS($F$5:$F2931,$C$5:$C2931,$C2931,$B$5:$B2931,"Salida"))</f>
        <v/>
      </c>
      <c r="J2931" s="20"/>
      <c r="K2931" s="20"/>
      <c r="L2931" s="20"/>
      <c r="M2931" s="14" t="str">
        <f>IF(AND($C2931&lt;&gt;"",$C2931=Kardex!$C$4),COUNTIF($C$5:$C2931,Kardex!$C$4),"")</f>
        <v/>
      </c>
    </row>
    <row r="2932" spans="1:13" x14ac:dyDescent="0.25">
      <c r="A2932" s="24"/>
      <c r="B2932" s="20"/>
      <c r="C2932" s="20"/>
      <c r="D2932" s="14" t="str">
        <f>IF($C2932="","",IFERROR(INDEX(Productos!$B$5:$B$504,MATCH($C2932,Productos!$A$5:$A$504,0)),"Clave no existe"))</f>
        <v/>
      </c>
      <c r="E2932" s="14" t="str">
        <f>IF($C2932="","",IFERROR(INDEX(Productos!$D$5:$D$504,MATCH($C2932,Productos!$A$5:$A$504,0)),""))</f>
        <v/>
      </c>
      <c r="F2932" s="20"/>
      <c r="G2932" s="22" t="str">
        <f>IF($C2932="","",IFERROR(INDEX(Productos!$F$5:$F$504,MATCH($C2932,Productos!$A$5:$A$504,0)),0))</f>
        <v/>
      </c>
      <c r="H2932" s="22" t="str">
        <f t="shared" si="45"/>
        <v/>
      </c>
      <c r="I2932" s="14" t="str">
        <f>IF(OR($C2932="",$F2932=""),"",IFERROR(INDEX(Productos!$I$5:$I$504,MATCH($C2932,Productos!$A$5:$A$504,0)),0)+SUMIFS($F$5:$F2932,$C$5:$C2932,$C2932,$B$5:$B2932,"Entrada")-SUMIFS($F$5:$F2932,$C$5:$C2932,$C2932,$B$5:$B2932,"Salida"))</f>
        <v/>
      </c>
      <c r="J2932" s="20"/>
      <c r="K2932" s="20"/>
      <c r="L2932" s="20"/>
      <c r="M2932" s="14" t="str">
        <f>IF(AND($C2932&lt;&gt;"",$C2932=Kardex!$C$4),COUNTIF($C$5:$C2932,Kardex!$C$4),"")</f>
        <v/>
      </c>
    </row>
    <row r="2933" spans="1:13" x14ac:dyDescent="0.25">
      <c r="A2933" s="24"/>
      <c r="B2933" s="20"/>
      <c r="C2933" s="20"/>
      <c r="D2933" s="14" t="str">
        <f>IF($C2933="","",IFERROR(INDEX(Productos!$B$5:$B$504,MATCH($C2933,Productos!$A$5:$A$504,0)),"Clave no existe"))</f>
        <v/>
      </c>
      <c r="E2933" s="14" t="str">
        <f>IF($C2933="","",IFERROR(INDEX(Productos!$D$5:$D$504,MATCH($C2933,Productos!$A$5:$A$504,0)),""))</f>
        <v/>
      </c>
      <c r="F2933" s="20"/>
      <c r="G2933" s="22" t="str">
        <f>IF($C2933="","",IFERROR(INDEX(Productos!$F$5:$F$504,MATCH($C2933,Productos!$A$5:$A$504,0)),0))</f>
        <v/>
      </c>
      <c r="H2933" s="22" t="str">
        <f t="shared" si="45"/>
        <v/>
      </c>
      <c r="I2933" s="14" t="str">
        <f>IF(OR($C2933="",$F2933=""),"",IFERROR(INDEX(Productos!$I$5:$I$504,MATCH($C2933,Productos!$A$5:$A$504,0)),0)+SUMIFS($F$5:$F2933,$C$5:$C2933,$C2933,$B$5:$B2933,"Entrada")-SUMIFS($F$5:$F2933,$C$5:$C2933,$C2933,$B$5:$B2933,"Salida"))</f>
        <v/>
      </c>
      <c r="J2933" s="20"/>
      <c r="K2933" s="20"/>
      <c r="L2933" s="20"/>
      <c r="M2933" s="14" t="str">
        <f>IF(AND($C2933&lt;&gt;"",$C2933=Kardex!$C$4),COUNTIF($C$5:$C2933,Kardex!$C$4),"")</f>
        <v/>
      </c>
    </row>
    <row r="2934" spans="1:13" x14ac:dyDescent="0.25">
      <c r="A2934" s="24"/>
      <c r="B2934" s="20"/>
      <c r="C2934" s="20"/>
      <c r="D2934" s="14" t="str">
        <f>IF($C2934="","",IFERROR(INDEX(Productos!$B$5:$B$504,MATCH($C2934,Productos!$A$5:$A$504,0)),"Clave no existe"))</f>
        <v/>
      </c>
      <c r="E2934" s="14" t="str">
        <f>IF($C2934="","",IFERROR(INDEX(Productos!$D$5:$D$504,MATCH($C2934,Productos!$A$5:$A$504,0)),""))</f>
        <v/>
      </c>
      <c r="F2934" s="20"/>
      <c r="G2934" s="22" t="str">
        <f>IF($C2934="","",IFERROR(INDEX(Productos!$F$5:$F$504,MATCH($C2934,Productos!$A$5:$A$504,0)),0))</f>
        <v/>
      </c>
      <c r="H2934" s="22" t="str">
        <f t="shared" si="45"/>
        <v/>
      </c>
      <c r="I2934" s="14" t="str">
        <f>IF(OR($C2934="",$F2934=""),"",IFERROR(INDEX(Productos!$I$5:$I$504,MATCH($C2934,Productos!$A$5:$A$504,0)),0)+SUMIFS($F$5:$F2934,$C$5:$C2934,$C2934,$B$5:$B2934,"Entrada")-SUMIFS($F$5:$F2934,$C$5:$C2934,$C2934,$B$5:$B2934,"Salida"))</f>
        <v/>
      </c>
      <c r="J2934" s="20"/>
      <c r="K2934" s="20"/>
      <c r="L2934" s="20"/>
      <c r="M2934" s="14" t="str">
        <f>IF(AND($C2934&lt;&gt;"",$C2934=Kardex!$C$4),COUNTIF($C$5:$C2934,Kardex!$C$4),"")</f>
        <v/>
      </c>
    </row>
    <row r="2935" spans="1:13" x14ac:dyDescent="0.25">
      <c r="A2935" s="24"/>
      <c r="B2935" s="20"/>
      <c r="C2935" s="20"/>
      <c r="D2935" s="14" t="str">
        <f>IF($C2935="","",IFERROR(INDEX(Productos!$B$5:$B$504,MATCH($C2935,Productos!$A$5:$A$504,0)),"Clave no existe"))</f>
        <v/>
      </c>
      <c r="E2935" s="14" t="str">
        <f>IF($C2935="","",IFERROR(INDEX(Productos!$D$5:$D$504,MATCH($C2935,Productos!$A$5:$A$504,0)),""))</f>
        <v/>
      </c>
      <c r="F2935" s="20"/>
      <c r="G2935" s="22" t="str">
        <f>IF($C2935="","",IFERROR(INDEX(Productos!$F$5:$F$504,MATCH($C2935,Productos!$A$5:$A$504,0)),0))</f>
        <v/>
      </c>
      <c r="H2935" s="22" t="str">
        <f t="shared" si="45"/>
        <v/>
      </c>
      <c r="I2935" s="14" t="str">
        <f>IF(OR($C2935="",$F2935=""),"",IFERROR(INDEX(Productos!$I$5:$I$504,MATCH($C2935,Productos!$A$5:$A$504,0)),0)+SUMIFS($F$5:$F2935,$C$5:$C2935,$C2935,$B$5:$B2935,"Entrada")-SUMIFS($F$5:$F2935,$C$5:$C2935,$C2935,$B$5:$B2935,"Salida"))</f>
        <v/>
      </c>
      <c r="J2935" s="20"/>
      <c r="K2935" s="20"/>
      <c r="L2935" s="20"/>
      <c r="M2935" s="14" t="str">
        <f>IF(AND($C2935&lt;&gt;"",$C2935=Kardex!$C$4),COUNTIF($C$5:$C2935,Kardex!$C$4),"")</f>
        <v/>
      </c>
    </row>
    <row r="2936" spans="1:13" x14ac:dyDescent="0.25">
      <c r="A2936" s="24"/>
      <c r="B2936" s="20"/>
      <c r="C2936" s="20"/>
      <c r="D2936" s="14" t="str">
        <f>IF($C2936="","",IFERROR(INDEX(Productos!$B$5:$B$504,MATCH($C2936,Productos!$A$5:$A$504,0)),"Clave no existe"))</f>
        <v/>
      </c>
      <c r="E2936" s="14" t="str">
        <f>IF($C2936="","",IFERROR(INDEX(Productos!$D$5:$D$504,MATCH($C2936,Productos!$A$5:$A$504,0)),""))</f>
        <v/>
      </c>
      <c r="F2936" s="20"/>
      <c r="G2936" s="22" t="str">
        <f>IF($C2936="","",IFERROR(INDEX(Productos!$F$5:$F$504,MATCH($C2936,Productos!$A$5:$A$504,0)),0))</f>
        <v/>
      </c>
      <c r="H2936" s="22" t="str">
        <f t="shared" si="45"/>
        <v/>
      </c>
      <c r="I2936" s="14" t="str">
        <f>IF(OR($C2936="",$F2936=""),"",IFERROR(INDEX(Productos!$I$5:$I$504,MATCH($C2936,Productos!$A$5:$A$504,0)),0)+SUMIFS($F$5:$F2936,$C$5:$C2936,$C2936,$B$5:$B2936,"Entrada")-SUMIFS($F$5:$F2936,$C$5:$C2936,$C2936,$B$5:$B2936,"Salida"))</f>
        <v/>
      </c>
      <c r="J2936" s="20"/>
      <c r="K2936" s="20"/>
      <c r="L2936" s="20"/>
      <c r="M2936" s="14" t="str">
        <f>IF(AND($C2936&lt;&gt;"",$C2936=Kardex!$C$4),COUNTIF($C$5:$C2936,Kardex!$C$4),"")</f>
        <v/>
      </c>
    </row>
    <row r="2937" spans="1:13" x14ac:dyDescent="0.25">
      <c r="A2937" s="24"/>
      <c r="B2937" s="20"/>
      <c r="C2937" s="20"/>
      <c r="D2937" s="14" t="str">
        <f>IF($C2937="","",IFERROR(INDEX(Productos!$B$5:$B$504,MATCH($C2937,Productos!$A$5:$A$504,0)),"Clave no existe"))</f>
        <v/>
      </c>
      <c r="E2937" s="14" t="str">
        <f>IF($C2937="","",IFERROR(INDEX(Productos!$D$5:$D$504,MATCH($C2937,Productos!$A$5:$A$504,0)),""))</f>
        <v/>
      </c>
      <c r="F2937" s="20"/>
      <c r="G2937" s="22" t="str">
        <f>IF($C2937="","",IFERROR(INDEX(Productos!$F$5:$F$504,MATCH($C2937,Productos!$A$5:$A$504,0)),0))</f>
        <v/>
      </c>
      <c r="H2937" s="22" t="str">
        <f t="shared" si="45"/>
        <v/>
      </c>
      <c r="I2937" s="14" t="str">
        <f>IF(OR($C2937="",$F2937=""),"",IFERROR(INDEX(Productos!$I$5:$I$504,MATCH($C2937,Productos!$A$5:$A$504,0)),0)+SUMIFS($F$5:$F2937,$C$5:$C2937,$C2937,$B$5:$B2937,"Entrada")-SUMIFS($F$5:$F2937,$C$5:$C2937,$C2937,$B$5:$B2937,"Salida"))</f>
        <v/>
      </c>
      <c r="J2937" s="20"/>
      <c r="K2937" s="20"/>
      <c r="L2937" s="20"/>
      <c r="M2937" s="14" t="str">
        <f>IF(AND($C2937&lt;&gt;"",$C2937=Kardex!$C$4),COUNTIF($C$5:$C2937,Kardex!$C$4),"")</f>
        <v/>
      </c>
    </row>
    <row r="2938" spans="1:13" x14ac:dyDescent="0.25">
      <c r="A2938" s="24"/>
      <c r="B2938" s="20"/>
      <c r="C2938" s="20"/>
      <c r="D2938" s="14" t="str">
        <f>IF($C2938="","",IFERROR(INDEX(Productos!$B$5:$B$504,MATCH($C2938,Productos!$A$5:$A$504,0)),"Clave no existe"))</f>
        <v/>
      </c>
      <c r="E2938" s="14" t="str">
        <f>IF($C2938="","",IFERROR(INDEX(Productos!$D$5:$D$504,MATCH($C2938,Productos!$A$5:$A$504,0)),""))</f>
        <v/>
      </c>
      <c r="F2938" s="20"/>
      <c r="G2938" s="22" t="str">
        <f>IF($C2938="","",IFERROR(INDEX(Productos!$F$5:$F$504,MATCH($C2938,Productos!$A$5:$A$504,0)),0))</f>
        <v/>
      </c>
      <c r="H2938" s="22" t="str">
        <f t="shared" si="45"/>
        <v/>
      </c>
      <c r="I2938" s="14" t="str">
        <f>IF(OR($C2938="",$F2938=""),"",IFERROR(INDEX(Productos!$I$5:$I$504,MATCH($C2938,Productos!$A$5:$A$504,0)),0)+SUMIFS($F$5:$F2938,$C$5:$C2938,$C2938,$B$5:$B2938,"Entrada")-SUMIFS($F$5:$F2938,$C$5:$C2938,$C2938,$B$5:$B2938,"Salida"))</f>
        <v/>
      </c>
      <c r="J2938" s="20"/>
      <c r="K2938" s="20"/>
      <c r="L2938" s="20"/>
      <c r="M2938" s="14" t="str">
        <f>IF(AND($C2938&lt;&gt;"",$C2938=Kardex!$C$4),COUNTIF($C$5:$C2938,Kardex!$C$4),"")</f>
        <v/>
      </c>
    </row>
    <row r="2939" spans="1:13" x14ac:dyDescent="0.25">
      <c r="A2939" s="24"/>
      <c r="B2939" s="20"/>
      <c r="C2939" s="20"/>
      <c r="D2939" s="14" t="str">
        <f>IF($C2939="","",IFERROR(INDEX(Productos!$B$5:$B$504,MATCH($C2939,Productos!$A$5:$A$504,0)),"Clave no existe"))</f>
        <v/>
      </c>
      <c r="E2939" s="14" t="str">
        <f>IF($C2939="","",IFERROR(INDEX(Productos!$D$5:$D$504,MATCH($C2939,Productos!$A$5:$A$504,0)),""))</f>
        <v/>
      </c>
      <c r="F2939" s="20"/>
      <c r="G2939" s="22" t="str">
        <f>IF($C2939="","",IFERROR(INDEX(Productos!$F$5:$F$504,MATCH($C2939,Productos!$A$5:$A$504,0)),0))</f>
        <v/>
      </c>
      <c r="H2939" s="22" t="str">
        <f t="shared" si="45"/>
        <v/>
      </c>
      <c r="I2939" s="14" t="str">
        <f>IF(OR($C2939="",$F2939=""),"",IFERROR(INDEX(Productos!$I$5:$I$504,MATCH($C2939,Productos!$A$5:$A$504,0)),0)+SUMIFS($F$5:$F2939,$C$5:$C2939,$C2939,$B$5:$B2939,"Entrada")-SUMIFS($F$5:$F2939,$C$5:$C2939,$C2939,$B$5:$B2939,"Salida"))</f>
        <v/>
      </c>
      <c r="J2939" s="20"/>
      <c r="K2939" s="20"/>
      <c r="L2939" s="20"/>
      <c r="M2939" s="14" t="str">
        <f>IF(AND($C2939&lt;&gt;"",$C2939=Kardex!$C$4),COUNTIF($C$5:$C2939,Kardex!$C$4),"")</f>
        <v/>
      </c>
    </row>
    <row r="2940" spans="1:13" x14ac:dyDescent="0.25">
      <c r="A2940" s="24"/>
      <c r="B2940" s="20"/>
      <c r="C2940" s="20"/>
      <c r="D2940" s="14" t="str">
        <f>IF($C2940="","",IFERROR(INDEX(Productos!$B$5:$B$504,MATCH($C2940,Productos!$A$5:$A$504,0)),"Clave no existe"))</f>
        <v/>
      </c>
      <c r="E2940" s="14" t="str">
        <f>IF($C2940="","",IFERROR(INDEX(Productos!$D$5:$D$504,MATCH($C2940,Productos!$A$5:$A$504,0)),""))</f>
        <v/>
      </c>
      <c r="F2940" s="20"/>
      <c r="G2940" s="22" t="str">
        <f>IF($C2940="","",IFERROR(INDEX(Productos!$F$5:$F$504,MATCH($C2940,Productos!$A$5:$A$504,0)),0))</f>
        <v/>
      </c>
      <c r="H2940" s="22" t="str">
        <f t="shared" si="45"/>
        <v/>
      </c>
      <c r="I2940" s="14" t="str">
        <f>IF(OR($C2940="",$F2940=""),"",IFERROR(INDEX(Productos!$I$5:$I$504,MATCH($C2940,Productos!$A$5:$A$504,0)),0)+SUMIFS($F$5:$F2940,$C$5:$C2940,$C2940,$B$5:$B2940,"Entrada")-SUMIFS($F$5:$F2940,$C$5:$C2940,$C2940,$B$5:$B2940,"Salida"))</f>
        <v/>
      </c>
      <c r="J2940" s="20"/>
      <c r="K2940" s="20"/>
      <c r="L2940" s="20"/>
      <c r="M2940" s="14" t="str">
        <f>IF(AND($C2940&lt;&gt;"",$C2940=Kardex!$C$4),COUNTIF($C$5:$C2940,Kardex!$C$4),"")</f>
        <v/>
      </c>
    </row>
    <row r="2941" spans="1:13" x14ac:dyDescent="0.25">
      <c r="A2941" s="24"/>
      <c r="B2941" s="20"/>
      <c r="C2941" s="20"/>
      <c r="D2941" s="14" t="str">
        <f>IF($C2941="","",IFERROR(INDEX(Productos!$B$5:$B$504,MATCH($C2941,Productos!$A$5:$A$504,0)),"Clave no existe"))</f>
        <v/>
      </c>
      <c r="E2941" s="14" t="str">
        <f>IF($C2941="","",IFERROR(INDEX(Productos!$D$5:$D$504,MATCH($C2941,Productos!$A$5:$A$504,0)),""))</f>
        <v/>
      </c>
      <c r="F2941" s="20"/>
      <c r="G2941" s="22" t="str">
        <f>IF($C2941="","",IFERROR(INDEX(Productos!$F$5:$F$504,MATCH($C2941,Productos!$A$5:$A$504,0)),0))</f>
        <v/>
      </c>
      <c r="H2941" s="22" t="str">
        <f t="shared" si="45"/>
        <v/>
      </c>
      <c r="I2941" s="14" t="str">
        <f>IF(OR($C2941="",$F2941=""),"",IFERROR(INDEX(Productos!$I$5:$I$504,MATCH($C2941,Productos!$A$5:$A$504,0)),0)+SUMIFS($F$5:$F2941,$C$5:$C2941,$C2941,$B$5:$B2941,"Entrada")-SUMIFS($F$5:$F2941,$C$5:$C2941,$C2941,$B$5:$B2941,"Salida"))</f>
        <v/>
      </c>
      <c r="J2941" s="20"/>
      <c r="K2941" s="20"/>
      <c r="L2941" s="20"/>
      <c r="M2941" s="14" t="str">
        <f>IF(AND($C2941&lt;&gt;"",$C2941=Kardex!$C$4),COUNTIF($C$5:$C2941,Kardex!$C$4),"")</f>
        <v/>
      </c>
    </row>
    <row r="2942" spans="1:13" x14ac:dyDescent="0.25">
      <c r="A2942" s="24"/>
      <c r="B2942" s="20"/>
      <c r="C2942" s="20"/>
      <c r="D2942" s="14" t="str">
        <f>IF($C2942="","",IFERROR(INDEX(Productos!$B$5:$B$504,MATCH($C2942,Productos!$A$5:$A$504,0)),"Clave no existe"))</f>
        <v/>
      </c>
      <c r="E2942" s="14" t="str">
        <f>IF($C2942="","",IFERROR(INDEX(Productos!$D$5:$D$504,MATCH($C2942,Productos!$A$5:$A$504,0)),""))</f>
        <v/>
      </c>
      <c r="F2942" s="20"/>
      <c r="G2942" s="22" t="str">
        <f>IF($C2942="","",IFERROR(INDEX(Productos!$F$5:$F$504,MATCH($C2942,Productos!$A$5:$A$504,0)),0))</f>
        <v/>
      </c>
      <c r="H2942" s="22" t="str">
        <f t="shared" si="45"/>
        <v/>
      </c>
      <c r="I2942" s="14" t="str">
        <f>IF(OR($C2942="",$F2942=""),"",IFERROR(INDEX(Productos!$I$5:$I$504,MATCH($C2942,Productos!$A$5:$A$504,0)),0)+SUMIFS($F$5:$F2942,$C$5:$C2942,$C2942,$B$5:$B2942,"Entrada")-SUMIFS($F$5:$F2942,$C$5:$C2942,$C2942,$B$5:$B2942,"Salida"))</f>
        <v/>
      </c>
      <c r="J2942" s="20"/>
      <c r="K2942" s="20"/>
      <c r="L2942" s="20"/>
      <c r="M2942" s="14" t="str">
        <f>IF(AND($C2942&lt;&gt;"",$C2942=Kardex!$C$4),COUNTIF($C$5:$C2942,Kardex!$C$4),"")</f>
        <v/>
      </c>
    </row>
    <row r="2943" spans="1:13" x14ac:dyDescent="0.25">
      <c r="A2943" s="24"/>
      <c r="B2943" s="20"/>
      <c r="C2943" s="20"/>
      <c r="D2943" s="14" t="str">
        <f>IF($C2943="","",IFERROR(INDEX(Productos!$B$5:$B$504,MATCH($C2943,Productos!$A$5:$A$504,0)),"Clave no existe"))</f>
        <v/>
      </c>
      <c r="E2943" s="14" t="str">
        <f>IF($C2943="","",IFERROR(INDEX(Productos!$D$5:$D$504,MATCH($C2943,Productos!$A$5:$A$504,0)),""))</f>
        <v/>
      </c>
      <c r="F2943" s="20"/>
      <c r="G2943" s="22" t="str">
        <f>IF($C2943="","",IFERROR(INDEX(Productos!$F$5:$F$504,MATCH($C2943,Productos!$A$5:$A$504,0)),0))</f>
        <v/>
      </c>
      <c r="H2943" s="22" t="str">
        <f t="shared" si="45"/>
        <v/>
      </c>
      <c r="I2943" s="14" t="str">
        <f>IF(OR($C2943="",$F2943=""),"",IFERROR(INDEX(Productos!$I$5:$I$504,MATCH($C2943,Productos!$A$5:$A$504,0)),0)+SUMIFS($F$5:$F2943,$C$5:$C2943,$C2943,$B$5:$B2943,"Entrada")-SUMIFS($F$5:$F2943,$C$5:$C2943,$C2943,$B$5:$B2943,"Salida"))</f>
        <v/>
      </c>
      <c r="J2943" s="20"/>
      <c r="K2943" s="20"/>
      <c r="L2943" s="20"/>
      <c r="M2943" s="14" t="str">
        <f>IF(AND($C2943&lt;&gt;"",$C2943=Kardex!$C$4),COUNTIF($C$5:$C2943,Kardex!$C$4),"")</f>
        <v/>
      </c>
    </row>
    <row r="2944" spans="1:13" x14ac:dyDescent="0.25">
      <c r="A2944" s="24"/>
      <c r="B2944" s="20"/>
      <c r="C2944" s="20"/>
      <c r="D2944" s="14" t="str">
        <f>IF($C2944="","",IFERROR(INDEX(Productos!$B$5:$B$504,MATCH($C2944,Productos!$A$5:$A$504,0)),"Clave no existe"))</f>
        <v/>
      </c>
      <c r="E2944" s="14" t="str">
        <f>IF($C2944="","",IFERROR(INDEX(Productos!$D$5:$D$504,MATCH($C2944,Productos!$A$5:$A$504,0)),""))</f>
        <v/>
      </c>
      <c r="F2944" s="20"/>
      <c r="G2944" s="22" t="str">
        <f>IF($C2944="","",IFERROR(INDEX(Productos!$F$5:$F$504,MATCH($C2944,Productos!$A$5:$A$504,0)),0))</f>
        <v/>
      </c>
      <c r="H2944" s="22" t="str">
        <f t="shared" si="45"/>
        <v/>
      </c>
      <c r="I2944" s="14" t="str">
        <f>IF(OR($C2944="",$F2944=""),"",IFERROR(INDEX(Productos!$I$5:$I$504,MATCH($C2944,Productos!$A$5:$A$504,0)),0)+SUMIFS($F$5:$F2944,$C$5:$C2944,$C2944,$B$5:$B2944,"Entrada")-SUMIFS($F$5:$F2944,$C$5:$C2944,$C2944,$B$5:$B2944,"Salida"))</f>
        <v/>
      </c>
      <c r="J2944" s="20"/>
      <c r="K2944" s="20"/>
      <c r="L2944" s="20"/>
      <c r="M2944" s="14" t="str">
        <f>IF(AND($C2944&lt;&gt;"",$C2944=Kardex!$C$4),COUNTIF($C$5:$C2944,Kardex!$C$4),"")</f>
        <v/>
      </c>
    </row>
    <row r="2945" spans="1:13" x14ac:dyDescent="0.25">
      <c r="A2945" s="24"/>
      <c r="B2945" s="20"/>
      <c r="C2945" s="20"/>
      <c r="D2945" s="14" t="str">
        <f>IF($C2945="","",IFERROR(INDEX(Productos!$B$5:$B$504,MATCH($C2945,Productos!$A$5:$A$504,0)),"Clave no existe"))</f>
        <v/>
      </c>
      <c r="E2945" s="14" t="str">
        <f>IF($C2945="","",IFERROR(INDEX(Productos!$D$5:$D$504,MATCH($C2945,Productos!$A$5:$A$504,0)),""))</f>
        <v/>
      </c>
      <c r="F2945" s="20"/>
      <c r="G2945" s="22" t="str">
        <f>IF($C2945="","",IFERROR(INDEX(Productos!$F$5:$F$504,MATCH($C2945,Productos!$A$5:$A$504,0)),0))</f>
        <v/>
      </c>
      <c r="H2945" s="22" t="str">
        <f t="shared" si="45"/>
        <v/>
      </c>
      <c r="I2945" s="14" t="str">
        <f>IF(OR($C2945="",$F2945=""),"",IFERROR(INDEX(Productos!$I$5:$I$504,MATCH($C2945,Productos!$A$5:$A$504,0)),0)+SUMIFS($F$5:$F2945,$C$5:$C2945,$C2945,$B$5:$B2945,"Entrada")-SUMIFS($F$5:$F2945,$C$5:$C2945,$C2945,$B$5:$B2945,"Salida"))</f>
        <v/>
      </c>
      <c r="J2945" s="20"/>
      <c r="K2945" s="20"/>
      <c r="L2945" s="20"/>
      <c r="M2945" s="14" t="str">
        <f>IF(AND($C2945&lt;&gt;"",$C2945=Kardex!$C$4),COUNTIF($C$5:$C2945,Kardex!$C$4),"")</f>
        <v/>
      </c>
    </row>
    <row r="2946" spans="1:13" x14ac:dyDescent="0.25">
      <c r="A2946" s="24"/>
      <c r="B2946" s="20"/>
      <c r="C2946" s="20"/>
      <c r="D2946" s="14" t="str">
        <f>IF($C2946="","",IFERROR(INDEX(Productos!$B$5:$B$504,MATCH($C2946,Productos!$A$5:$A$504,0)),"Clave no existe"))</f>
        <v/>
      </c>
      <c r="E2946" s="14" t="str">
        <f>IF($C2946="","",IFERROR(INDEX(Productos!$D$5:$D$504,MATCH($C2946,Productos!$A$5:$A$504,0)),""))</f>
        <v/>
      </c>
      <c r="F2946" s="20"/>
      <c r="G2946" s="22" t="str">
        <f>IF($C2946="","",IFERROR(INDEX(Productos!$F$5:$F$504,MATCH($C2946,Productos!$A$5:$A$504,0)),0))</f>
        <v/>
      </c>
      <c r="H2946" s="22" t="str">
        <f t="shared" si="45"/>
        <v/>
      </c>
      <c r="I2946" s="14" t="str">
        <f>IF(OR($C2946="",$F2946=""),"",IFERROR(INDEX(Productos!$I$5:$I$504,MATCH($C2946,Productos!$A$5:$A$504,0)),0)+SUMIFS($F$5:$F2946,$C$5:$C2946,$C2946,$B$5:$B2946,"Entrada")-SUMIFS($F$5:$F2946,$C$5:$C2946,$C2946,$B$5:$B2946,"Salida"))</f>
        <v/>
      </c>
      <c r="J2946" s="20"/>
      <c r="K2946" s="20"/>
      <c r="L2946" s="20"/>
      <c r="M2946" s="14" t="str">
        <f>IF(AND($C2946&lt;&gt;"",$C2946=Kardex!$C$4),COUNTIF($C$5:$C2946,Kardex!$C$4),"")</f>
        <v/>
      </c>
    </row>
    <row r="2947" spans="1:13" x14ac:dyDescent="0.25">
      <c r="A2947" s="24"/>
      <c r="B2947" s="20"/>
      <c r="C2947" s="20"/>
      <c r="D2947" s="14" t="str">
        <f>IF($C2947="","",IFERROR(INDEX(Productos!$B$5:$B$504,MATCH($C2947,Productos!$A$5:$A$504,0)),"Clave no existe"))</f>
        <v/>
      </c>
      <c r="E2947" s="14" t="str">
        <f>IF($C2947="","",IFERROR(INDEX(Productos!$D$5:$D$504,MATCH($C2947,Productos!$A$5:$A$504,0)),""))</f>
        <v/>
      </c>
      <c r="F2947" s="20"/>
      <c r="G2947" s="22" t="str">
        <f>IF($C2947="","",IFERROR(INDEX(Productos!$F$5:$F$504,MATCH($C2947,Productos!$A$5:$A$504,0)),0))</f>
        <v/>
      </c>
      <c r="H2947" s="22" t="str">
        <f t="shared" si="45"/>
        <v/>
      </c>
      <c r="I2947" s="14" t="str">
        <f>IF(OR($C2947="",$F2947=""),"",IFERROR(INDEX(Productos!$I$5:$I$504,MATCH($C2947,Productos!$A$5:$A$504,0)),0)+SUMIFS($F$5:$F2947,$C$5:$C2947,$C2947,$B$5:$B2947,"Entrada")-SUMIFS($F$5:$F2947,$C$5:$C2947,$C2947,$B$5:$B2947,"Salida"))</f>
        <v/>
      </c>
      <c r="J2947" s="20"/>
      <c r="K2947" s="20"/>
      <c r="L2947" s="20"/>
      <c r="M2947" s="14" t="str">
        <f>IF(AND($C2947&lt;&gt;"",$C2947=Kardex!$C$4),COUNTIF($C$5:$C2947,Kardex!$C$4),"")</f>
        <v/>
      </c>
    </row>
    <row r="2948" spans="1:13" x14ac:dyDescent="0.25">
      <c r="A2948" s="24"/>
      <c r="B2948" s="20"/>
      <c r="C2948" s="20"/>
      <c r="D2948" s="14" t="str">
        <f>IF($C2948="","",IFERROR(INDEX(Productos!$B$5:$B$504,MATCH($C2948,Productos!$A$5:$A$504,0)),"Clave no existe"))</f>
        <v/>
      </c>
      <c r="E2948" s="14" t="str">
        <f>IF($C2948="","",IFERROR(INDEX(Productos!$D$5:$D$504,MATCH($C2948,Productos!$A$5:$A$504,0)),""))</f>
        <v/>
      </c>
      <c r="F2948" s="20"/>
      <c r="G2948" s="22" t="str">
        <f>IF($C2948="","",IFERROR(INDEX(Productos!$F$5:$F$504,MATCH($C2948,Productos!$A$5:$A$504,0)),0))</f>
        <v/>
      </c>
      <c r="H2948" s="22" t="str">
        <f t="shared" si="45"/>
        <v/>
      </c>
      <c r="I2948" s="14" t="str">
        <f>IF(OR($C2948="",$F2948=""),"",IFERROR(INDEX(Productos!$I$5:$I$504,MATCH($C2948,Productos!$A$5:$A$504,0)),0)+SUMIFS($F$5:$F2948,$C$5:$C2948,$C2948,$B$5:$B2948,"Entrada")-SUMIFS($F$5:$F2948,$C$5:$C2948,$C2948,$B$5:$B2948,"Salida"))</f>
        <v/>
      </c>
      <c r="J2948" s="20"/>
      <c r="K2948" s="20"/>
      <c r="L2948" s="20"/>
      <c r="M2948" s="14" t="str">
        <f>IF(AND($C2948&lt;&gt;"",$C2948=Kardex!$C$4),COUNTIF($C$5:$C2948,Kardex!$C$4),"")</f>
        <v/>
      </c>
    </row>
    <row r="2949" spans="1:13" x14ac:dyDescent="0.25">
      <c r="A2949" s="24"/>
      <c r="B2949" s="20"/>
      <c r="C2949" s="20"/>
      <c r="D2949" s="14" t="str">
        <f>IF($C2949="","",IFERROR(INDEX(Productos!$B$5:$B$504,MATCH($C2949,Productos!$A$5:$A$504,0)),"Clave no existe"))</f>
        <v/>
      </c>
      <c r="E2949" s="14" t="str">
        <f>IF($C2949="","",IFERROR(INDEX(Productos!$D$5:$D$504,MATCH($C2949,Productos!$A$5:$A$504,0)),""))</f>
        <v/>
      </c>
      <c r="F2949" s="20"/>
      <c r="G2949" s="22" t="str">
        <f>IF($C2949="","",IFERROR(INDEX(Productos!$F$5:$F$504,MATCH($C2949,Productos!$A$5:$A$504,0)),0))</f>
        <v/>
      </c>
      <c r="H2949" s="22" t="str">
        <f t="shared" ref="H2949:H3012" si="46">IF(OR($C2949="",$F2949=""),"",F2949*G2949)</f>
        <v/>
      </c>
      <c r="I2949" s="14" t="str">
        <f>IF(OR($C2949="",$F2949=""),"",IFERROR(INDEX(Productos!$I$5:$I$504,MATCH($C2949,Productos!$A$5:$A$504,0)),0)+SUMIFS($F$5:$F2949,$C$5:$C2949,$C2949,$B$5:$B2949,"Entrada")-SUMIFS($F$5:$F2949,$C$5:$C2949,$C2949,$B$5:$B2949,"Salida"))</f>
        <v/>
      </c>
      <c r="J2949" s="20"/>
      <c r="K2949" s="20"/>
      <c r="L2949" s="20"/>
      <c r="M2949" s="14" t="str">
        <f>IF(AND($C2949&lt;&gt;"",$C2949=Kardex!$C$4),COUNTIF($C$5:$C2949,Kardex!$C$4),"")</f>
        <v/>
      </c>
    </row>
    <row r="2950" spans="1:13" x14ac:dyDescent="0.25">
      <c r="A2950" s="24"/>
      <c r="B2950" s="20"/>
      <c r="C2950" s="20"/>
      <c r="D2950" s="14" t="str">
        <f>IF($C2950="","",IFERROR(INDEX(Productos!$B$5:$B$504,MATCH($C2950,Productos!$A$5:$A$504,0)),"Clave no existe"))</f>
        <v/>
      </c>
      <c r="E2950" s="14" t="str">
        <f>IF($C2950="","",IFERROR(INDEX(Productos!$D$5:$D$504,MATCH($C2950,Productos!$A$5:$A$504,0)),""))</f>
        <v/>
      </c>
      <c r="F2950" s="20"/>
      <c r="G2950" s="22" t="str">
        <f>IF($C2950="","",IFERROR(INDEX(Productos!$F$5:$F$504,MATCH($C2950,Productos!$A$5:$A$504,0)),0))</f>
        <v/>
      </c>
      <c r="H2950" s="22" t="str">
        <f t="shared" si="46"/>
        <v/>
      </c>
      <c r="I2950" s="14" t="str">
        <f>IF(OR($C2950="",$F2950=""),"",IFERROR(INDEX(Productos!$I$5:$I$504,MATCH($C2950,Productos!$A$5:$A$504,0)),0)+SUMIFS($F$5:$F2950,$C$5:$C2950,$C2950,$B$5:$B2950,"Entrada")-SUMIFS($F$5:$F2950,$C$5:$C2950,$C2950,$B$5:$B2950,"Salida"))</f>
        <v/>
      </c>
      <c r="J2950" s="20"/>
      <c r="K2950" s="20"/>
      <c r="L2950" s="20"/>
      <c r="M2950" s="14" t="str">
        <f>IF(AND($C2950&lt;&gt;"",$C2950=Kardex!$C$4),COUNTIF($C$5:$C2950,Kardex!$C$4),"")</f>
        <v/>
      </c>
    </row>
    <row r="2951" spans="1:13" x14ac:dyDescent="0.25">
      <c r="A2951" s="24"/>
      <c r="B2951" s="20"/>
      <c r="C2951" s="20"/>
      <c r="D2951" s="14" t="str">
        <f>IF($C2951="","",IFERROR(INDEX(Productos!$B$5:$B$504,MATCH($C2951,Productos!$A$5:$A$504,0)),"Clave no existe"))</f>
        <v/>
      </c>
      <c r="E2951" s="14" t="str">
        <f>IF($C2951="","",IFERROR(INDEX(Productos!$D$5:$D$504,MATCH($C2951,Productos!$A$5:$A$504,0)),""))</f>
        <v/>
      </c>
      <c r="F2951" s="20"/>
      <c r="G2951" s="22" t="str">
        <f>IF($C2951="","",IFERROR(INDEX(Productos!$F$5:$F$504,MATCH($C2951,Productos!$A$5:$A$504,0)),0))</f>
        <v/>
      </c>
      <c r="H2951" s="22" t="str">
        <f t="shared" si="46"/>
        <v/>
      </c>
      <c r="I2951" s="14" t="str">
        <f>IF(OR($C2951="",$F2951=""),"",IFERROR(INDEX(Productos!$I$5:$I$504,MATCH($C2951,Productos!$A$5:$A$504,0)),0)+SUMIFS($F$5:$F2951,$C$5:$C2951,$C2951,$B$5:$B2951,"Entrada")-SUMIFS($F$5:$F2951,$C$5:$C2951,$C2951,$B$5:$B2951,"Salida"))</f>
        <v/>
      </c>
      <c r="J2951" s="20"/>
      <c r="K2951" s="20"/>
      <c r="L2951" s="20"/>
      <c r="M2951" s="14" t="str">
        <f>IF(AND($C2951&lt;&gt;"",$C2951=Kardex!$C$4),COUNTIF($C$5:$C2951,Kardex!$C$4),"")</f>
        <v/>
      </c>
    </row>
    <row r="2952" spans="1:13" x14ac:dyDescent="0.25">
      <c r="A2952" s="24"/>
      <c r="B2952" s="20"/>
      <c r="C2952" s="20"/>
      <c r="D2952" s="14" t="str">
        <f>IF($C2952="","",IFERROR(INDEX(Productos!$B$5:$B$504,MATCH($C2952,Productos!$A$5:$A$504,0)),"Clave no existe"))</f>
        <v/>
      </c>
      <c r="E2952" s="14" t="str">
        <f>IF($C2952="","",IFERROR(INDEX(Productos!$D$5:$D$504,MATCH($C2952,Productos!$A$5:$A$504,0)),""))</f>
        <v/>
      </c>
      <c r="F2952" s="20"/>
      <c r="G2952" s="22" t="str">
        <f>IF($C2952="","",IFERROR(INDEX(Productos!$F$5:$F$504,MATCH($C2952,Productos!$A$5:$A$504,0)),0))</f>
        <v/>
      </c>
      <c r="H2952" s="22" t="str">
        <f t="shared" si="46"/>
        <v/>
      </c>
      <c r="I2952" s="14" t="str">
        <f>IF(OR($C2952="",$F2952=""),"",IFERROR(INDEX(Productos!$I$5:$I$504,MATCH($C2952,Productos!$A$5:$A$504,0)),0)+SUMIFS($F$5:$F2952,$C$5:$C2952,$C2952,$B$5:$B2952,"Entrada")-SUMIFS($F$5:$F2952,$C$5:$C2952,$C2952,$B$5:$B2952,"Salida"))</f>
        <v/>
      </c>
      <c r="J2952" s="20"/>
      <c r="K2952" s="20"/>
      <c r="L2952" s="20"/>
      <c r="M2952" s="14" t="str">
        <f>IF(AND($C2952&lt;&gt;"",$C2952=Kardex!$C$4),COUNTIF($C$5:$C2952,Kardex!$C$4),"")</f>
        <v/>
      </c>
    </row>
    <row r="2953" spans="1:13" x14ac:dyDescent="0.25">
      <c r="A2953" s="24"/>
      <c r="B2953" s="20"/>
      <c r="C2953" s="20"/>
      <c r="D2953" s="14" t="str">
        <f>IF($C2953="","",IFERROR(INDEX(Productos!$B$5:$B$504,MATCH($C2953,Productos!$A$5:$A$504,0)),"Clave no existe"))</f>
        <v/>
      </c>
      <c r="E2953" s="14" t="str">
        <f>IF($C2953="","",IFERROR(INDEX(Productos!$D$5:$D$504,MATCH($C2953,Productos!$A$5:$A$504,0)),""))</f>
        <v/>
      </c>
      <c r="F2953" s="20"/>
      <c r="G2953" s="22" t="str">
        <f>IF($C2953="","",IFERROR(INDEX(Productos!$F$5:$F$504,MATCH($C2953,Productos!$A$5:$A$504,0)),0))</f>
        <v/>
      </c>
      <c r="H2953" s="22" t="str">
        <f t="shared" si="46"/>
        <v/>
      </c>
      <c r="I2953" s="14" t="str">
        <f>IF(OR($C2953="",$F2953=""),"",IFERROR(INDEX(Productos!$I$5:$I$504,MATCH($C2953,Productos!$A$5:$A$504,0)),0)+SUMIFS($F$5:$F2953,$C$5:$C2953,$C2953,$B$5:$B2953,"Entrada")-SUMIFS($F$5:$F2953,$C$5:$C2953,$C2953,$B$5:$B2953,"Salida"))</f>
        <v/>
      </c>
      <c r="J2953" s="20"/>
      <c r="K2953" s="20"/>
      <c r="L2953" s="20"/>
      <c r="M2953" s="14" t="str">
        <f>IF(AND($C2953&lt;&gt;"",$C2953=Kardex!$C$4),COUNTIF($C$5:$C2953,Kardex!$C$4),"")</f>
        <v/>
      </c>
    </row>
    <row r="2954" spans="1:13" x14ac:dyDescent="0.25">
      <c r="A2954" s="24"/>
      <c r="B2954" s="20"/>
      <c r="C2954" s="20"/>
      <c r="D2954" s="14" t="str">
        <f>IF($C2954="","",IFERROR(INDEX(Productos!$B$5:$B$504,MATCH($C2954,Productos!$A$5:$A$504,0)),"Clave no existe"))</f>
        <v/>
      </c>
      <c r="E2954" s="14" t="str">
        <f>IF($C2954="","",IFERROR(INDEX(Productos!$D$5:$D$504,MATCH($C2954,Productos!$A$5:$A$504,0)),""))</f>
        <v/>
      </c>
      <c r="F2954" s="20"/>
      <c r="G2954" s="22" t="str">
        <f>IF($C2954="","",IFERROR(INDEX(Productos!$F$5:$F$504,MATCH($C2954,Productos!$A$5:$A$504,0)),0))</f>
        <v/>
      </c>
      <c r="H2954" s="22" t="str">
        <f t="shared" si="46"/>
        <v/>
      </c>
      <c r="I2954" s="14" t="str">
        <f>IF(OR($C2954="",$F2954=""),"",IFERROR(INDEX(Productos!$I$5:$I$504,MATCH($C2954,Productos!$A$5:$A$504,0)),0)+SUMIFS($F$5:$F2954,$C$5:$C2954,$C2954,$B$5:$B2954,"Entrada")-SUMIFS($F$5:$F2954,$C$5:$C2954,$C2954,$B$5:$B2954,"Salida"))</f>
        <v/>
      </c>
      <c r="J2954" s="20"/>
      <c r="K2954" s="20"/>
      <c r="L2954" s="20"/>
      <c r="M2954" s="14" t="str">
        <f>IF(AND($C2954&lt;&gt;"",$C2954=Kardex!$C$4),COUNTIF($C$5:$C2954,Kardex!$C$4),"")</f>
        <v/>
      </c>
    </row>
    <row r="2955" spans="1:13" x14ac:dyDescent="0.25">
      <c r="A2955" s="24"/>
      <c r="B2955" s="20"/>
      <c r="C2955" s="20"/>
      <c r="D2955" s="14" t="str">
        <f>IF($C2955="","",IFERROR(INDEX(Productos!$B$5:$B$504,MATCH($C2955,Productos!$A$5:$A$504,0)),"Clave no existe"))</f>
        <v/>
      </c>
      <c r="E2955" s="14" t="str">
        <f>IF($C2955="","",IFERROR(INDEX(Productos!$D$5:$D$504,MATCH($C2955,Productos!$A$5:$A$504,0)),""))</f>
        <v/>
      </c>
      <c r="F2955" s="20"/>
      <c r="G2955" s="22" t="str">
        <f>IF($C2955="","",IFERROR(INDEX(Productos!$F$5:$F$504,MATCH($C2955,Productos!$A$5:$A$504,0)),0))</f>
        <v/>
      </c>
      <c r="H2955" s="22" t="str">
        <f t="shared" si="46"/>
        <v/>
      </c>
      <c r="I2955" s="14" t="str">
        <f>IF(OR($C2955="",$F2955=""),"",IFERROR(INDEX(Productos!$I$5:$I$504,MATCH($C2955,Productos!$A$5:$A$504,0)),0)+SUMIFS($F$5:$F2955,$C$5:$C2955,$C2955,$B$5:$B2955,"Entrada")-SUMIFS($F$5:$F2955,$C$5:$C2955,$C2955,$B$5:$B2955,"Salida"))</f>
        <v/>
      </c>
      <c r="J2955" s="20"/>
      <c r="K2955" s="20"/>
      <c r="L2955" s="20"/>
      <c r="M2955" s="14" t="str">
        <f>IF(AND($C2955&lt;&gt;"",$C2955=Kardex!$C$4),COUNTIF($C$5:$C2955,Kardex!$C$4),"")</f>
        <v/>
      </c>
    </row>
    <row r="2956" spans="1:13" x14ac:dyDescent="0.25">
      <c r="A2956" s="24"/>
      <c r="B2956" s="20"/>
      <c r="C2956" s="20"/>
      <c r="D2956" s="14" t="str">
        <f>IF($C2956="","",IFERROR(INDEX(Productos!$B$5:$B$504,MATCH($C2956,Productos!$A$5:$A$504,0)),"Clave no existe"))</f>
        <v/>
      </c>
      <c r="E2956" s="14" t="str">
        <f>IF($C2956="","",IFERROR(INDEX(Productos!$D$5:$D$504,MATCH($C2956,Productos!$A$5:$A$504,0)),""))</f>
        <v/>
      </c>
      <c r="F2956" s="20"/>
      <c r="G2956" s="22" t="str">
        <f>IF($C2956="","",IFERROR(INDEX(Productos!$F$5:$F$504,MATCH($C2956,Productos!$A$5:$A$504,0)),0))</f>
        <v/>
      </c>
      <c r="H2956" s="22" t="str">
        <f t="shared" si="46"/>
        <v/>
      </c>
      <c r="I2956" s="14" t="str">
        <f>IF(OR($C2956="",$F2956=""),"",IFERROR(INDEX(Productos!$I$5:$I$504,MATCH($C2956,Productos!$A$5:$A$504,0)),0)+SUMIFS($F$5:$F2956,$C$5:$C2956,$C2956,$B$5:$B2956,"Entrada")-SUMIFS($F$5:$F2956,$C$5:$C2956,$C2956,$B$5:$B2956,"Salida"))</f>
        <v/>
      </c>
      <c r="J2956" s="20"/>
      <c r="K2956" s="20"/>
      <c r="L2956" s="20"/>
      <c r="M2956" s="14" t="str">
        <f>IF(AND($C2956&lt;&gt;"",$C2956=Kardex!$C$4),COUNTIF($C$5:$C2956,Kardex!$C$4),"")</f>
        <v/>
      </c>
    </row>
    <row r="2957" spans="1:13" x14ac:dyDescent="0.25">
      <c r="A2957" s="24"/>
      <c r="B2957" s="20"/>
      <c r="C2957" s="20"/>
      <c r="D2957" s="14" t="str">
        <f>IF($C2957="","",IFERROR(INDEX(Productos!$B$5:$B$504,MATCH($C2957,Productos!$A$5:$A$504,0)),"Clave no existe"))</f>
        <v/>
      </c>
      <c r="E2957" s="14" t="str">
        <f>IF($C2957="","",IFERROR(INDEX(Productos!$D$5:$D$504,MATCH($C2957,Productos!$A$5:$A$504,0)),""))</f>
        <v/>
      </c>
      <c r="F2957" s="20"/>
      <c r="G2957" s="22" t="str">
        <f>IF($C2957="","",IFERROR(INDEX(Productos!$F$5:$F$504,MATCH($C2957,Productos!$A$5:$A$504,0)),0))</f>
        <v/>
      </c>
      <c r="H2957" s="22" t="str">
        <f t="shared" si="46"/>
        <v/>
      </c>
      <c r="I2957" s="14" t="str">
        <f>IF(OR($C2957="",$F2957=""),"",IFERROR(INDEX(Productos!$I$5:$I$504,MATCH($C2957,Productos!$A$5:$A$504,0)),0)+SUMIFS($F$5:$F2957,$C$5:$C2957,$C2957,$B$5:$B2957,"Entrada")-SUMIFS($F$5:$F2957,$C$5:$C2957,$C2957,$B$5:$B2957,"Salida"))</f>
        <v/>
      </c>
      <c r="J2957" s="20"/>
      <c r="K2957" s="20"/>
      <c r="L2957" s="20"/>
      <c r="M2957" s="14" t="str">
        <f>IF(AND($C2957&lt;&gt;"",$C2957=Kardex!$C$4),COUNTIF($C$5:$C2957,Kardex!$C$4),"")</f>
        <v/>
      </c>
    </row>
    <row r="2958" spans="1:13" x14ac:dyDescent="0.25">
      <c r="A2958" s="24"/>
      <c r="B2958" s="20"/>
      <c r="C2958" s="20"/>
      <c r="D2958" s="14" t="str">
        <f>IF($C2958="","",IFERROR(INDEX(Productos!$B$5:$B$504,MATCH($C2958,Productos!$A$5:$A$504,0)),"Clave no existe"))</f>
        <v/>
      </c>
      <c r="E2958" s="14" t="str">
        <f>IF($C2958="","",IFERROR(INDEX(Productos!$D$5:$D$504,MATCH($C2958,Productos!$A$5:$A$504,0)),""))</f>
        <v/>
      </c>
      <c r="F2958" s="20"/>
      <c r="G2958" s="22" t="str">
        <f>IF($C2958="","",IFERROR(INDEX(Productos!$F$5:$F$504,MATCH($C2958,Productos!$A$5:$A$504,0)),0))</f>
        <v/>
      </c>
      <c r="H2958" s="22" t="str">
        <f t="shared" si="46"/>
        <v/>
      </c>
      <c r="I2958" s="14" t="str">
        <f>IF(OR($C2958="",$F2958=""),"",IFERROR(INDEX(Productos!$I$5:$I$504,MATCH($C2958,Productos!$A$5:$A$504,0)),0)+SUMIFS($F$5:$F2958,$C$5:$C2958,$C2958,$B$5:$B2958,"Entrada")-SUMIFS($F$5:$F2958,$C$5:$C2958,$C2958,$B$5:$B2958,"Salida"))</f>
        <v/>
      </c>
      <c r="J2958" s="20"/>
      <c r="K2958" s="20"/>
      <c r="L2958" s="20"/>
      <c r="M2958" s="14" t="str">
        <f>IF(AND($C2958&lt;&gt;"",$C2958=Kardex!$C$4),COUNTIF($C$5:$C2958,Kardex!$C$4),"")</f>
        <v/>
      </c>
    </row>
    <row r="2959" spans="1:13" x14ac:dyDescent="0.25">
      <c r="A2959" s="24"/>
      <c r="B2959" s="20"/>
      <c r="C2959" s="20"/>
      <c r="D2959" s="14" t="str">
        <f>IF($C2959="","",IFERROR(INDEX(Productos!$B$5:$B$504,MATCH($C2959,Productos!$A$5:$A$504,0)),"Clave no existe"))</f>
        <v/>
      </c>
      <c r="E2959" s="14" t="str">
        <f>IF($C2959="","",IFERROR(INDEX(Productos!$D$5:$D$504,MATCH($C2959,Productos!$A$5:$A$504,0)),""))</f>
        <v/>
      </c>
      <c r="F2959" s="20"/>
      <c r="G2959" s="22" t="str">
        <f>IF($C2959="","",IFERROR(INDEX(Productos!$F$5:$F$504,MATCH($C2959,Productos!$A$5:$A$504,0)),0))</f>
        <v/>
      </c>
      <c r="H2959" s="22" t="str">
        <f t="shared" si="46"/>
        <v/>
      </c>
      <c r="I2959" s="14" t="str">
        <f>IF(OR($C2959="",$F2959=""),"",IFERROR(INDEX(Productos!$I$5:$I$504,MATCH($C2959,Productos!$A$5:$A$504,0)),0)+SUMIFS($F$5:$F2959,$C$5:$C2959,$C2959,$B$5:$B2959,"Entrada")-SUMIFS($F$5:$F2959,$C$5:$C2959,$C2959,$B$5:$B2959,"Salida"))</f>
        <v/>
      </c>
      <c r="J2959" s="20"/>
      <c r="K2959" s="20"/>
      <c r="L2959" s="20"/>
      <c r="M2959" s="14" t="str">
        <f>IF(AND($C2959&lt;&gt;"",$C2959=Kardex!$C$4),COUNTIF($C$5:$C2959,Kardex!$C$4),"")</f>
        <v/>
      </c>
    </row>
    <row r="2960" spans="1:13" x14ac:dyDescent="0.25">
      <c r="A2960" s="24"/>
      <c r="B2960" s="20"/>
      <c r="C2960" s="20"/>
      <c r="D2960" s="14" t="str">
        <f>IF($C2960="","",IFERROR(INDEX(Productos!$B$5:$B$504,MATCH($C2960,Productos!$A$5:$A$504,0)),"Clave no existe"))</f>
        <v/>
      </c>
      <c r="E2960" s="14" t="str">
        <f>IF($C2960="","",IFERROR(INDEX(Productos!$D$5:$D$504,MATCH($C2960,Productos!$A$5:$A$504,0)),""))</f>
        <v/>
      </c>
      <c r="F2960" s="20"/>
      <c r="G2960" s="22" t="str">
        <f>IF($C2960="","",IFERROR(INDEX(Productos!$F$5:$F$504,MATCH($C2960,Productos!$A$5:$A$504,0)),0))</f>
        <v/>
      </c>
      <c r="H2960" s="22" t="str">
        <f t="shared" si="46"/>
        <v/>
      </c>
      <c r="I2960" s="14" t="str">
        <f>IF(OR($C2960="",$F2960=""),"",IFERROR(INDEX(Productos!$I$5:$I$504,MATCH($C2960,Productos!$A$5:$A$504,0)),0)+SUMIFS($F$5:$F2960,$C$5:$C2960,$C2960,$B$5:$B2960,"Entrada")-SUMIFS($F$5:$F2960,$C$5:$C2960,$C2960,$B$5:$B2960,"Salida"))</f>
        <v/>
      </c>
      <c r="J2960" s="20"/>
      <c r="K2960" s="20"/>
      <c r="L2960" s="20"/>
      <c r="M2960" s="14" t="str">
        <f>IF(AND($C2960&lt;&gt;"",$C2960=Kardex!$C$4),COUNTIF($C$5:$C2960,Kardex!$C$4),"")</f>
        <v/>
      </c>
    </row>
    <row r="2961" spans="1:13" x14ac:dyDescent="0.25">
      <c r="A2961" s="24"/>
      <c r="B2961" s="20"/>
      <c r="C2961" s="20"/>
      <c r="D2961" s="14" t="str">
        <f>IF($C2961="","",IFERROR(INDEX(Productos!$B$5:$B$504,MATCH($C2961,Productos!$A$5:$A$504,0)),"Clave no existe"))</f>
        <v/>
      </c>
      <c r="E2961" s="14" t="str">
        <f>IF($C2961="","",IFERROR(INDEX(Productos!$D$5:$D$504,MATCH($C2961,Productos!$A$5:$A$504,0)),""))</f>
        <v/>
      </c>
      <c r="F2961" s="20"/>
      <c r="G2961" s="22" t="str">
        <f>IF($C2961="","",IFERROR(INDEX(Productos!$F$5:$F$504,MATCH($C2961,Productos!$A$5:$A$504,0)),0))</f>
        <v/>
      </c>
      <c r="H2961" s="22" t="str">
        <f t="shared" si="46"/>
        <v/>
      </c>
      <c r="I2961" s="14" t="str">
        <f>IF(OR($C2961="",$F2961=""),"",IFERROR(INDEX(Productos!$I$5:$I$504,MATCH($C2961,Productos!$A$5:$A$504,0)),0)+SUMIFS($F$5:$F2961,$C$5:$C2961,$C2961,$B$5:$B2961,"Entrada")-SUMIFS($F$5:$F2961,$C$5:$C2961,$C2961,$B$5:$B2961,"Salida"))</f>
        <v/>
      </c>
      <c r="J2961" s="20"/>
      <c r="K2961" s="20"/>
      <c r="L2961" s="20"/>
      <c r="M2961" s="14" t="str">
        <f>IF(AND($C2961&lt;&gt;"",$C2961=Kardex!$C$4),COUNTIF($C$5:$C2961,Kardex!$C$4),"")</f>
        <v/>
      </c>
    </row>
    <row r="2962" spans="1:13" x14ac:dyDescent="0.25">
      <c r="A2962" s="24"/>
      <c r="B2962" s="20"/>
      <c r="C2962" s="20"/>
      <c r="D2962" s="14" t="str">
        <f>IF($C2962="","",IFERROR(INDEX(Productos!$B$5:$B$504,MATCH($C2962,Productos!$A$5:$A$504,0)),"Clave no existe"))</f>
        <v/>
      </c>
      <c r="E2962" s="14" t="str">
        <f>IF($C2962="","",IFERROR(INDEX(Productos!$D$5:$D$504,MATCH($C2962,Productos!$A$5:$A$504,0)),""))</f>
        <v/>
      </c>
      <c r="F2962" s="20"/>
      <c r="G2962" s="22" t="str">
        <f>IF($C2962="","",IFERROR(INDEX(Productos!$F$5:$F$504,MATCH($C2962,Productos!$A$5:$A$504,0)),0))</f>
        <v/>
      </c>
      <c r="H2962" s="22" t="str">
        <f t="shared" si="46"/>
        <v/>
      </c>
      <c r="I2962" s="14" t="str">
        <f>IF(OR($C2962="",$F2962=""),"",IFERROR(INDEX(Productos!$I$5:$I$504,MATCH($C2962,Productos!$A$5:$A$504,0)),0)+SUMIFS($F$5:$F2962,$C$5:$C2962,$C2962,$B$5:$B2962,"Entrada")-SUMIFS($F$5:$F2962,$C$5:$C2962,$C2962,$B$5:$B2962,"Salida"))</f>
        <v/>
      </c>
      <c r="J2962" s="20"/>
      <c r="K2962" s="20"/>
      <c r="L2962" s="20"/>
      <c r="M2962" s="14" t="str">
        <f>IF(AND($C2962&lt;&gt;"",$C2962=Kardex!$C$4),COUNTIF($C$5:$C2962,Kardex!$C$4),"")</f>
        <v/>
      </c>
    </row>
    <row r="2963" spans="1:13" x14ac:dyDescent="0.25">
      <c r="A2963" s="24"/>
      <c r="B2963" s="20"/>
      <c r="C2963" s="20"/>
      <c r="D2963" s="14" t="str">
        <f>IF($C2963="","",IFERROR(INDEX(Productos!$B$5:$B$504,MATCH($C2963,Productos!$A$5:$A$504,0)),"Clave no existe"))</f>
        <v/>
      </c>
      <c r="E2963" s="14" t="str">
        <f>IF($C2963="","",IFERROR(INDEX(Productos!$D$5:$D$504,MATCH($C2963,Productos!$A$5:$A$504,0)),""))</f>
        <v/>
      </c>
      <c r="F2963" s="20"/>
      <c r="G2963" s="22" t="str">
        <f>IF($C2963="","",IFERROR(INDEX(Productos!$F$5:$F$504,MATCH($C2963,Productos!$A$5:$A$504,0)),0))</f>
        <v/>
      </c>
      <c r="H2963" s="22" t="str">
        <f t="shared" si="46"/>
        <v/>
      </c>
      <c r="I2963" s="14" t="str">
        <f>IF(OR($C2963="",$F2963=""),"",IFERROR(INDEX(Productos!$I$5:$I$504,MATCH($C2963,Productos!$A$5:$A$504,0)),0)+SUMIFS($F$5:$F2963,$C$5:$C2963,$C2963,$B$5:$B2963,"Entrada")-SUMIFS($F$5:$F2963,$C$5:$C2963,$C2963,$B$5:$B2963,"Salida"))</f>
        <v/>
      </c>
      <c r="J2963" s="20"/>
      <c r="K2963" s="20"/>
      <c r="L2963" s="20"/>
      <c r="M2963" s="14" t="str">
        <f>IF(AND($C2963&lt;&gt;"",$C2963=Kardex!$C$4),COUNTIF($C$5:$C2963,Kardex!$C$4),"")</f>
        <v/>
      </c>
    </row>
    <row r="2964" spans="1:13" x14ac:dyDescent="0.25">
      <c r="A2964" s="24"/>
      <c r="B2964" s="20"/>
      <c r="C2964" s="20"/>
      <c r="D2964" s="14" t="str">
        <f>IF($C2964="","",IFERROR(INDEX(Productos!$B$5:$B$504,MATCH($C2964,Productos!$A$5:$A$504,0)),"Clave no existe"))</f>
        <v/>
      </c>
      <c r="E2964" s="14" t="str">
        <f>IF($C2964="","",IFERROR(INDEX(Productos!$D$5:$D$504,MATCH($C2964,Productos!$A$5:$A$504,0)),""))</f>
        <v/>
      </c>
      <c r="F2964" s="20"/>
      <c r="G2964" s="22" t="str">
        <f>IF($C2964="","",IFERROR(INDEX(Productos!$F$5:$F$504,MATCH($C2964,Productos!$A$5:$A$504,0)),0))</f>
        <v/>
      </c>
      <c r="H2964" s="22" t="str">
        <f t="shared" si="46"/>
        <v/>
      </c>
      <c r="I2964" s="14" t="str">
        <f>IF(OR($C2964="",$F2964=""),"",IFERROR(INDEX(Productos!$I$5:$I$504,MATCH($C2964,Productos!$A$5:$A$504,0)),0)+SUMIFS($F$5:$F2964,$C$5:$C2964,$C2964,$B$5:$B2964,"Entrada")-SUMIFS($F$5:$F2964,$C$5:$C2964,$C2964,$B$5:$B2964,"Salida"))</f>
        <v/>
      </c>
      <c r="J2964" s="20"/>
      <c r="K2964" s="20"/>
      <c r="L2964" s="20"/>
      <c r="M2964" s="14" t="str">
        <f>IF(AND($C2964&lt;&gt;"",$C2964=Kardex!$C$4),COUNTIF($C$5:$C2964,Kardex!$C$4),"")</f>
        <v/>
      </c>
    </row>
    <row r="2965" spans="1:13" x14ac:dyDescent="0.25">
      <c r="A2965" s="24"/>
      <c r="B2965" s="20"/>
      <c r="C2965" s="20"/>
      <c r="D2965" s="14" t="str">
        <f>IF($C2965="","",IFERROR(INDEX(Productos!$B$5:$B$504,MATCH($C2965,Productos!$A$5:$A$504,0)),"Clave no existe"))</f>
        <v/>
      </c>
      <c r="E2965" s="14" t="str">
        <f>IF($C2965="","",IFERROR(INDEX(Productos!$D$5:$D$504,MATCH($C2965,Productos!$A$5:$A$504,0)),""))</f>
        <v/>
      </c>
      <c r="F2965" s="20"/>
      <c r="G2965" s="22" t="str">
        <f>IF($C2965="","",IFERROR(INDEX(Productos!$F$5:$F$504,MATCH($C2965,Productos!$A$5:$A$504,0)),0))</f>
        <v/>
      </c>
      <c r="H2965" s="22" t="str">
        <f t="shared" si="46"/>
        <v/>
      </c>
      <c r="I2965" s="14" t="str">
        <f>IF(OR($C2965="",$F2965=""),"",IFERROR(INDEX(Productos!$I$5:$I$504,MATCH($C2965,Productos!$A$5:$A$504,0)),0)+SUMIFS($F$5:$F2965,$C$5:$C2965,$C2965,$B$5:$B2965,"Entrada")-SUMIFS($F$5:$F2965,$C$5:$C2965,$C2965,$B$5:$B2965,"Salida"))</f>
        <v/>
      </c>
      <c r="J2965" s="20"/>
      <c r="K2965" s="20"/>
      <c r="L2965" s="20"/>
      <c r="M2965" s="14" t="str">
        <f>IF(AND($C2965&lt;&gt;"",$C2965=Kardex!$C$4),COUNTIF($C$5:$C2965,Kardex!$C$4),"")</f>
        <v/>
      </c>
    </row>
    <row r="2966" spans="1:13" x14ac:dyDescent="0.25">
      <c r="A2966" s="24"/>
      <c r="B2966" s="20"/>
      <c r="C2966" s="20"/>
      <c r="D2966" s="14" t="str">
        <f>IF($C2966="","",IFERROR(INDEX(Productos!$B$5:$B$504,MATCH($C2966,Productos!$A$5:$A$504,0)),"Clave no existe"))</f>
        <v/>
      </c>
      <c r="E2966" s="14" t="str">
        <f>IF($C2966="","",IFERROR(INDEX(Productos!$D$5:$D$504,MATCH($C2966,Productos!$A$5:$A$504,0)),""))</f>
        <v/>
      </c>
      <c r="F2966" s="20"/>
      <c r="G2966" s="22" t="str">
        <f>IF($C2966="","",IFERROR(INDEX(Productos!$F$5:$F$504,MATCH($C2966,Productos!$A$5:$A$504,0)),0))</f>
        <v/>
      </c>
      <c r="H2966" s="22" t="str">
        <f t="shared" si="46"/>
        <v/>
      </c>
      <c r="I2966" s="14" t="str">
        <f>IF(OR($C2966="",$F2966=""),"",IFERROR(INDEX(Productos!$I$5:$I$504,MATCH($C2966,Productos!$A$5:$A$504,0)),0)+SUMIFS($F$5:$F2966,$C$5:$C2966,$C2966,$B$5:$B2966,"Entrada")-SUMIFS($F$5:$F2966,$C$5:$C2966,$C2966,$B$5:$B2966,"Salida"))</f>
        <v/>
      </c>
      <c r="J2966" s="20"/>
      <c r="K2966" s="20"/>
      <c r="L2966" s="20"/>
      <c r="M2966" s="14" t="str">
        <f>IF(AND($C2966&lt;&gt;"",$C2966=Kardex!$C$4),COUNTIF($C$5:$C2966,Kardex!$C$4),"")</f>
        <v/>
      </c>
    </row>
    <row r="2967" spans="1:13" x14ac:dyDescent="0.25">
      <c r="A2967" s="24"/>
      <c r="B2967" s="20"/>
      <c r="C2967" s="20"/>
      <c r="D2967" s="14" t="str">
        <f>IF($C2967="","",IFERROR(INDEX(Productos!$B$5:$B$504,MATCH($C2967,Productos!$A$5:$A$504,0)),"Clave no existe"))</f>
        <v/>
      </c>
      <c r="E2967" s="14" t="str">
        <f>IF($C2967="","",IFERROR(INDEX(Productos!$D$5:$D$504,MATCH($C2967,Productos!$A$5:$A$504,0)),""))</f>
        <v/>
      </c>
      <c r="F2967" s="20"/>
      <c r="G2967" s="22" t="str">
        <f>IF($C2967="","",IFERROR(INDEX(Productos!$F$5:$F$504,MATCH($C2967,Productos!$A$5:$A$504,0)),0))</f>
        <v/>
      </c>
      <c r="H2967" s="22" t="str">
        <f t="shared" si="46"/>
        <v/>
      </c>
      <c r="I2967" s="14" t="str">
        <f>IF(OR($C2967="",$F2967=""),"",IFERROR(INDEX(Productos!$I$5:$I$504,MATCH($C2967,Productos!$A$5:$A$504,0)),0)+SUMIFS($F$5:$F2967,$C$5:$C2967,$C2967,$B$5:$B2967,"Entrada")-SUMIFS($F$5:$F2967,$C$5:$C2967,$C2967,$B$5:$B2967,"Salida"))</f>
        <v/>
      </c>
      <c r="J2967" s="20"/>
      <c r="K2967" s="20"/>
      <c r="L2967" s="20"/>
      <c r="M2967" s="14" t="str">
        <f>IF(AND($C2967&lt;&gt;"",$C2967=Kardex!$C$4),COUNTIF($C$5:$C2967,Kardex!$C$4),"")</f>
        <v/>
      </c>
    </row>
    <row r="2968" spans="1:13" x14ac:dyDescent="0.25">
      <c r="A2968" s="24"/>
      <c r="B2968" s="20"/>
      <c r="C2968" s="20"/>
      <c r="D2968" s="14" t="str">
        <f>IF($C2968="","",IFERROR(INDEX(Productos!$B$5:$B$504,MATCH($C2968,Productos!$A$5:$A$504,0)),"Clave no existe"))</f>
        <v/>
      </c>
      <c r="E2968" s="14" t="str">
        <f>IF($C2968="","",IFERROR(INDEX(Productos!$D$5:$D$504,MATCH($C2968,Productos!$A$5:$A$504,0)),""))</f>
        <v/>
      </c>
      <c r="F2968" s="20"/>
      <c r="G2968" s="22" t="str">
        <f>IF($C2968="","",IFERROR(INDEX(Productos!$F$5:$F$504,MATCH($C2968,Productos!$A$5:$A$504,0)),0))</f>
        <v/>
      </c>
      <c r="H2968" s="22" t="str">
        <f t="shared" si="46"/>
        <v/>
      </c>
      <c r="I2968" s="14" t="str">
        <f>IF(OR($C2968="",$F2968=""),"",IFERROR(INDEX(Productos!$I$5:$I$504,MATCH($C2968,Productos!$A$5:$A$504,0)),0)+SUMIFS($F$5:$F2968,$C$5:$C2968,$C2968,$B$5:$B2968,"Entrada")-SUMIFS($F$5:$F2968,$C$5:$C2968,$C2968,$B$5:$B2968,"Salida"))</f>
        <v/>
      </c>
      <c r="J2968" s="20"/>
      <c r="K2968" s="20"/>
      <c r="L2968" s="20"/>
      <c r="M2968" s="14" t="str">
        <f>IF(AND($C2968&lt;&gt;"",$C2968=Kardex!$C$4),COUNTIF($C$5:$C2968,Kardex!$C$4),"")</f>
        <v/>
      </c>
    </row>
    <row r="2969" spans="1:13" x14ac:dyDescent="0.25">
      <c r="A2969" s="24"/>
      <c r="B2969" s="20"/>
      <c r="C2969" s="20"/>
      <c r="D2969" s="14" t="str">
        <f>IF($C2969="","",IFERROR(INDEX(Productos!$B$5:$B$504,MATCH($C2969,Productos!$A$5:$A$504,0)),"Clave no existe"))</f>
        <v/>
      </c>
      <c r="E2969" s="14" t="str">
        <f>IF($C2969="","",IFERROR(INDEX(Productos!$D$5:$D$504,MATCH($C2969,Productos!$A$5:$A$504,0)),""))</f>
        <v/>
      </c>
      <c r="F2969" s="20"/>
      <c r="G2969" s="22" t="str">
        <f>IF($C2969="","",IFERROR(INDEX(Productos!$F$5:$F$504,MATCH($C2969,Productos!$A$5:$A$504,0)),0))</f>
        <v/>
      </c>
      <c r="H2969" s="22" t="str">
        <f t="shared" si="46"/>
        <v/>
      </c>
      <c r="I2969" s="14" t="str">
        <f>IF(OR($C2969="",$F2969=""),"",IFERROR(INDEX(Productos!$I$5:$I$504,MATCH($C2969,Productos!$A$5:$A$504,0)),0)+SUMIFS($F$5:$F2969,$C$5:$C2969,$C2969,$B$5:$B2969,"Entrada")-SUMIFS($F$5:$F2969,$C$5:$C2969,$C2969,$B$5:$B2969,"Salida"))</f>
        <v/>
      </c>
      <c r="J2969" s="20"/>
      <c r="K2969" s="20"/>
      <c r="L2969" s="20"/>
      <c r="M2969" s="14" t="str">
        <f>IF(AND($C2969&lt;&gt;"",$C2969=Kardex!$C$4),COUNTIF($C$5:$C2969,Kardex!$C$4),"")</f>
        <v/>
      </c>
    </row>
    <row r="2970" spans="1:13" x14ac:dyDescent="0.25">
      <c r="A2970" s="24"/>
      <c r="B2970" s="20"/>
      <c r="C2970" s="20"/>
      <c r="D2970" s="14" t="str">
        <f>IF($C2970="","",IFERROR(INDEX(Productos!$B$5:$B$504,MATCH($C2970,Productos!$A$5:$A$504,0)),"Clave no existe"))</f>
        <v/>
      </c>
      <c r="E2970" s="14" t="str">
        <f>IF($C2970="","",IFERROR(INDEX(Productos!$D$5:$D$504,MATCH($C2970,Productos!$A$5:$A$504,0)),""))</f>
        <v/>
      </c>
      <c r="F2970" s="20"/>
      <c r="G2970" s="22" t="str">
        <f>IF($C2970="","",IFERROR(INDEX(Productos!$F$5:$F$504,MATCH($C2970,Productos!$A$5:$A$504,0)),0))</f>
        <v/>
      </c>
      <c r="H2970" s="22" t="str">
        <f t="shared" si="46"/>
        <v/>
      </c>
      <c r="I2970" s="14" t="str">
        <f>IF(OR($C2970="",$F2970=""),"",IFERROR(INDEX(Productos!$I$5:$I$504,MATCH($C2970,Productos!$A$5:$A$504,0)),0)+SUMIFS($F$5:$F2970,$C$5:$C2970,$C2970,$B$5:$B2970,"Entrada")-SUMIFS($F$5:$F2970,$C$5:$C2970,$C2970,$B$5:$B2970,"Salida"))</f>
        <v/>
      </c>
      <c r="J2970" s="20"/>
      <c r="K2970" s="20"/>
      <c r="L2970" s="20"/>
      <c r="M2970" s="14" t="str">
        <f>IF(AND($C2970&lt;&gt;"",$C2970=Kardex!$C$4),COUNTIF($C$5:$C2970,Kardex!$C$4),"")</f>
        <v/>
      </c>
    </row>
    <row r="2971" spans="1:13" x14ac:dyDescent="0.25">
      <c r="A2971" s="24"/>
      <c r="B2971" s="20"/>
      <c r="C2971" s="20"/>
      <c r="D2971" s="14" t="str">
        <f>IF($C2971="","",IFERROR(INDEX(Productos!$B$5:$B$504,MATCH($C2971,Productos!$A$5:$A$504,0)),"Clave no existe"))</f>
        <v/>
      </c>
      <c r="E2971" s="14" t="str">
        <f>IF($C2971="","",IFERROR(INDEX(Productos!$D$5:$D$504,MATCH($C2971,Productos!$A$5:$A$504,0)),""))</f>
        <v/>
      </c>
      <c r="F2971" s="20"/>
      <c r="G2971" s="22" t="str">
        <f>IF($C2971="","",IFERROR(INDEX(Productos!$F$5:$F$504,MATCH($C2971,Productos!$A$5:$A$504,0)),0))</f>
        <v/>
      </c>
      <c r="H2971" s="22" t="str">
        <f t="shared" si="46"/>
        <v/>
      </c>
      <c r="I2971" s="14" t="str">
        <f>IF(OR($C2971="",$F2971=""),"",IFERROR(INDEX(Productos!$I$5:$I$504,MATCH($C2971,Productos!$A$5:$A$504,0)),0)+SUMIFS($F$5:$F2971,$C$5:$C2971,$C2971,$B$5:$B2971,"Entrada")-SUMIFS($F$5:$F2971,$C$5:$C2971,$C2971,$B$5:$B2971,"Salida"))</f>
        <v/>
      </c>
      <c r="J2971" s="20"/>
      <c r="K2971" s="20"/>
      <c r="L2971" s="20"/>
      <c r="M2971" s="14" t="str">
        <f>IF(AND($C2971&lt;&gt;"",$C2971=Kardex!$C$4),COUNTIF($C$5:$C2971,Kardex!$C$4),"")</f>
        <v/>
      </c>
    </row>
    <row r="2972" spans="1:13" x14ac:dyDescent="0.25">
      <c r="A2972" s="24"/>
      <c r="B2972" s="20"/>
      <c r="C2972" s="20"/>
      <c r="D2972" s="14" t="str">
        <f>IF($C2972="","",IFERROR(INDEX(Productos!$B$5:$B$504,MATCH($C2972,Productos!$A$5:$A$504,0)),"Clave no existe"))</f>
        <v/>
      </c>
      <c r="E2972" s="14" t="str">
        <f>IF($C2972="","",IFERROR(INDEX(Productos!$D$5:$D$504,MATCH($C2972,Productos!$A$5:$A$504,0)),""))</f>
        <v/>
      </c>
      <c r="F2972" s="20"/>
      <c r="G2972" s="22" t="str">
        <f>IF($C2972="","",IFERROR(INDEX(Productos!$F$5:$F$504,MATCH($C2972,Productos!$A$5:$A$504,0)),0))</f>
        <v/>
      </c>
      <c r="H2972" s="22" t="str">
        <f t="shared" si="46"/>
        <v/>
      </c>
      <c r="I2972" s="14" t="str">
        <f>IF(OR($C2972="",$F2972=""),"",IFERROR(INDEX(Productos!$I$5:$I$504,MATCH($C2972,Productos!$A$5:$A$504,0)),0)+SUMIFS($F$5:$F2972,$C$5:$C2972,$C2972,$B$5:$B2972,"Entrada")-SUMIFS($F$5:$F2972,$C$5:$C2972,$C2972,$B$5:$B2972,"Salida"))</f>
        <v/>
      </c>
      <c r="J2972" s="20"/>
      <c r="K2972" s="20"/>
      <c r="L2972" s="20"/>
      <c r="M2972" s="14" t="str">
        <f>IF(AND($C2972&lt;&gt;"",$C2972=Kardex!$C$4),COUNTIF($C$5:$C2972,Kardex!$C$4),"")</f>
        <v/>
      </c>
    </row>
    <row r="2973" spans="1:13" x14ac:dyDescent="0.25">
      <c r="A2973" s="24"/>
      <c r="B2973" s="20"/>
      <c r="C2973" s="20"/>
      <c r="D2973" s="14" t="str">
        <f>IF($C2973="","",IFERROR(INDEX(Productos!$B$5:$B$504,MATCH($C2973,Productos!$A$5:$A$504,0)),"Clave no existe"))</f>
        <v/>
      </c>
      <c r="E2973" s="14" t="str">
        <f>IF($C2973="","",IFERROR(INDEX(Productos!$D$5:$D$504,MATCH($C2973,Productos!$A$5:$A$504,0)),""))</f>
        <v/>
      </c>
      <c r="F2973" s="20"/>
      <c r="G2973" s="22" t="str">
        <f>IF($C2973="","",IFERROR(INDEX(Productos!$F$5:$F$504,MATCH($C2973,Productos!$A$5:$A$504,0)),0))</f>
        <v/>
      </c>
      <c r="H2973" s="22" t="str">
        <f t="shared" si="46"/>
        <v/>
      </c>
      <c r="I2973" s="14" t="str">
        <f>IF(OR($C2973="",$F2973=""),"",IFERROR(INDEX(Productos!$I$5:$I$504,MATCH($C2973,Productos!$A$5:$A$504,0)),0)+SUMIFS($F$5:$F2973,$C$5:$C2973,$C2973,$B$5:$B2973,"Entrada")-SUMIFS($F$5:$F2973,$C$5:$C2973,$C2973,$B$5:$B2973,"Salida"))</f>
        <v/>
      </c>
      <c r="J2973" s="20"/>
      <c r="K2973" s="20"/>
      <c r="L2973" s="20"/>
      <c r="M2973" s="14" t="str">
        <f>IF(AND($C2973&lt;&gt;"",$C2973=Kardex!$C$4),COUNTIF($C$5:$C2973,Kardex!$C$4),"")</f>
        <v/>
      </c>
    </row>
    <row r="2974" spans="1:13" x14ac:dyDescent="0.25">
      <c r="A2974" s="24"/>
      <c r="B2974" s="20"/>
      <c r="C2974" s="20"/>
      <c r="D2974" s="14" t="str">
        <f>IF($C2974="","",IFERROR(INDEX(Productos!$B$5:$B$504,MATCH($C2974,Productos!$A$5:$A$504,0)),"Clave no existe"))</f>
        <v/>
      </c>
      <c r="E2974" s="14" t="str">
        <f>IF($C2974="","",IFERROR(INDEX(Productos!$D$5:$D$504,MATCH($C2974,Productos!$A$5:$A$504,0)),""))</f>
        <v/>
      </c>
      <c r="F2974" s="20"/>
      <c r="G2974" s="22" t="str">
        <f>IF($C2974="","",IFERROR(INDEX(Productos!$F$5:$F$504,MATCH($C2974,Productos!$A$5:$A$504,0)),0))</f>
        <v/>
      </c>
      <c r="H2974" s="22" t="str">
        <f t="shared" si="46"/>
        <v/>
      </c>
      <c r="I2974" s="14" t="str">
        <f>IF(OR($C2974="",$F2974=""),"",IFERROR(INDEX(Productos!$I$5:$I$504,MATCH($C2974,Productos!$A$5:$A$504,0)),0)+SUMIFS($F$5:$F2974,$C$5:$C2974,$C2974,$B$5:$B2974,"Entrada")-SUMIFS($F$5:$F2974,$C$5:$C2974,$C2974,$B$5:$B2974,"Salida"))</f>
        <v/>
      </c>
      <c r="J2974" s="20"/>
      <c r="K2974" s="20"/>
      <c r="L2974" s="20"/>
      <c r="M2974" s="14" t="str">
        <f>IF(AND($C2974&lt;&gt;"",$C2974=Kardex!$C$4),COUNTIF($C$5:$C2974,Kardex!$C$4),"")</f>
        <v/>
      </c>
    </row>
    <row r="2975" spans="1:13" x14ac:dyDescent="0.25">
      <c r="A2975" s="24"/>
      <c r="B2975" s="20"/>
      <c r="C2975" s="20"/>
      <c r="D2975" s="14" t="str">
        <f>IF($C2975="","",IFERROR(INDEX(Productos!$B$5:$B$504,MATCH($C2975,Productos!$A$5:$A$504,0)),"Clave no existe"))</f>
        <v/>
      </c>
      <c r="E2975" s="14" t="str">
        <f>IF($C2975="","",IFERROR(INDEX(Productos!$D$5:$D$504,MATCH($C2975,Productos!$A$5:$A$504,0)),""))</f>
        <v/>
      </c>
      <c r="F2975" s="20"/>
      <c r="G2975" s="22" t="str">
        <f>IF($C2975="","",IFERROR(INDEX(Productos!$F$5:$F$504,MATCH($C2975,Productos!$A$5:$A$504,0)),0))</f>
        <v/>
      </c>
      <c r="H2975" s="22" t="str">
        <f t="shared" si="46"/>
        <v/>
      </c>
      <c r="I2975" s="14" t="str">
        <f>IF(OR($C2975="",$F2975=""),"",IFERROR(INDEX(Productos!$I$5:$I$504,MATCH($C2975,Productos!$A$5:$A$504,0)),0)+SUMIFS($F$5:$F2975,$C$5:$C2975,$C2975,$B$5:$B2975,"Entrada")-SUMIFS($F$5:$F2975,$C$5:$C2975,$C2975,$B$5:$B2975,"Salida"))</f>
        <v/>
      </c>
      <c r="J2975" s="20"/>
      <c r="K2975" s="20"/>
      <c r="L2975" s="20"/>
      <c r="M2975" s="14" t="str">
        <f>IF(AND($C2975&lt;&gt;"",$C2975=Kardex!$C$4),COUNTIF($C$5:$C2975,Kardex!$C$4),"")</f>
        <v/>
      </c>
    </row>
    <row r="2976" spans="1:13" x14ac:dyDescent="0.25">
      <c r="A2976" s="24"/>
      <c r="B2976" s="20"/>
      <c r="C2976" s="20"/>
      <c r="D2976" s="14" t="str">
        <f>IF($C2976="","",IFERROR(INDEX(Productos!$B$5:$B$504,MATCH($C2976,Productos!$A$5:$A$504,0)),"Clave no existe"))</f>
        <v/>
      </c>
      <c r="E2976" s="14" t="str">
        <f>IF($C2976="","",IFERROR(INDEX(Productos!$D$5:$D$504,MATCH($C2976,Productos!$A$5:$A$504,0)),""))</f>
        <v/>
      </c>
      <c r="F2976" s="20"/>
      <c r="G2976" s="22" t="str">
        <f>IF($C2976="","",IFERROR(INDEX(Productos!$F$5:$F$504,MATCH($C2976,Productos!$A$5:$A$504,0)),0))</f>
        <v/>
      </c>
      <c r="H2976" s="22" t="str">
        <f t="shared" si="46"/>
        <v/>
      </c>
      <c r="I2976" s="14" t="str">
        <f>IF(OR($C2976="",$F2976=""),"",IFERROR(INDEX(Productos!$I$5:$I$504,MATCH($C2976,Productos!$A$5:$A$504,0)),0)+SUMIFS($F$5:$F2976,$C$5:$C2976,$C2976,$B$5:$B2976,"Entrada")-SUMIFS($F$5:$F2976,$C$5:$C2976,$C2976,$B$5:$B2976,"Salida"))</f>
        <v/>
      </c>
      <c r="J2976" s="20"/>
      <c r="K2976" s="20"/>
      <c r="L2976" s="20"/>
      <c r="M2976" s="14" t="str">
        <f>IF(AND($C2976&lt;&gt;"",$C2976=Kardex!$C$4),COUNTIF($C$5:$C2976,Kardex!$C$4),"")</f>
        <v/>
      </c>
    </row>
    <row r="2977" spans="1:13" x14ac:dyDescent="0.25">
      <c r="A2977" s="24"/>
      <c r="B2977" s="20"/>
      <c r="C2977" s="20"/>
      <c r="D2977" s="14" t="str">
        <f>IF($C2977="","",IFERROR(INDEX(Productos!$B$5:$B$504,MATCH($C2977,Productos!$A$5:$A$504,0)),"Clave no existe"))</f>
        <v/>
      </c>
      <c r="E2977" s="14" t="str">
        <f>IF($C2977="","",IFERROR(INDEX(Productos!$D$5:$D$504,MATCH($C2977,Productos!$A$5:$A$504,0)),""))</f>
        <v/>
      </c>
      <c r="F2977" s="20"/>
      <c r="G2977" s="22" t="str">
        <f>IF($C2977="","",IFERROR(INDEX(Productos!$F$5:$F$504,MATCH($C2977,Productos!$A$5:$A$504,0)),0))</f>
        <v/>
      </c>
      <c r="H2977" s="22" t="str">
        <f t="shared" si="46"/>
        <v/>
      </c>
      <c r="I2977" s="14" t="str">
        <f>IF(OR($C2977="",$F2977=""),"",IFERROR(INDEX(Productos!$I$5:$I$504,MATCH($C2977,Productos!$A$5:$A$504,0)),0)+SUMIFS($F$5:$F2977,$C$5:$C2977,$C2977,$B$5:$B2977,"Entrada")-SUMIFS($F$5:$F2977,$C$5:$C2977,$C2977,$B$5:$B2977,"Salida"))</f>
        <v/>
      </c>
      <c r="J2977" s="20"/>
      <c r="K2977" s="20"/>
      <c r="L2977" s="20"/>
      <c r="M2977" s="14" t="str">
        <f>IF(AND($C2977&lt;&gt;"",$C2977=Kardex!$C$4),COUNTIF($C$5:$C2977,Kardex!$C$4),"")</f>
        <v/>
      </c>
    </row>
    <row r="2978" spans="1:13" x14ac:dyDescent="0.25">
      <c r="A2978" s="24"/>
      <c r="B2978" s="20"/>
      <c r="C2978" s="20"/>
      <c r="D2978" s="14" t="str">
        <f>IF($C2978="","",IFERROR(INDEX(Productos!$B$5:$B$504,MATCH($C2978,Productos!$A$5:$A$504,0)),"Clave no existe"))</f>
        <v/>
      </c>
      <c r="E2978" s="14" t="str">
        <f>IF($C2978="","",IFERROR(INDEX(Productos!$D$5:$D$504,MATCH($C2978,Productos!$A$5:$A$504,0)),""))</f>
        <v/>
      </c>
      <c r="F2978" s="20"/>
      <c r="G2978" s="22" t="str">
        <f>IF($C2978="","",IFERROR(INDEX(Productos!$F$5:$F$504,MATCH($C2978,Productos!$A$5:$A$504,0)),0))</f>
        <v/>
      </c>
      <c r="H2978" s="22" t="str">
        <f t="shared" si="46"/>
        <v/>
      </c>
      <c r="I2978" s="14" t="str">
        <f>IF(OR($C2978="",$F2978=""),"",IFERROR(INDEX(Productos!$I$5:$I$504,MATCH($C2978,Productos!$A$5:$A$504,0)),0)+SUMIFS($F$5:$F2978,$C$5:$C2978,$C2978,$B$5:$B2978,"Entrada")-SUMIFS($F$5:$F2978,$C$5:$C2978,$C2978,$B$5:$B2978,"Salida"))</f>
        <v/>
      </c>
      <c r="J2978" s="20"/>
      <c r="K2978" s="20"/>
      <c r="L2978" s="20"/>
      <c r="M2978" s="14" t="str">
        <f>IF(AND($C2978&lt;&gt;"",$C2978=Kardex!$C$4),COUNTIF($C$5:$C2978,Kardex!$C$4),"")</f>
        <v/>
      </c>
    </row>
    <row r="2979" spans="1:13" x14ac:dyDescent="0.25">
      <c r="A2979" s="24"/>
      <c r="B2979" s="20"/>
      <c r="C2979" s="20"/>
      <c r="D2979" s="14" t="str">
        <f>IF($C2979="","",IFERROR(INDEX(Productos!$B$5:$B$504,MATCH($C2979,Productos!$A$5:$A$504,0)),"Clave no existe"))</f>
        <v/>
      </c>
      <c r="E2979" s="14" t="str">
        <f>IF($C2979="","",IFERROR(INDEX(Productos!$D$5:$D$504,MATCH($C2979,Productos!$A$5:$A$504,0)),""))</f>
        <v/>
      </c>
      <c r="F2979" s="20"/>
      <c r="G2979" s="22" t="str">
        <f>IF($C2979="","",IFERROR(INDEX(Productos!$F$5:$F$504,MATCH($C2979,Productos!$A$5:$A$504,0)),0))</f>
        <v/>
      </c>
      <c r="H2979" s="22" t="str">
        <f t="shared" si="46"/>
        <v/>
      </c>
      <c r="I2979" s="14" t="str">
        <f>IF(OR($C2979="",$F2979=""),"",IFERROR(INDEX(Productos!$I$5:$I$504,MATCH($C2979,Productos!$A$5:$A$504,0)),0)+SUMIFS($F$5:$F2979,$C$5:$C2979,$C2979,$B$5:$B2979,"Entrada")-SUMIFS($F$5:$F2979,$C$5:$C2979,$C2979,$B$5:$B2979,"Salida"))</f>
        <v/>
      </c>
      <c r="J2979" s="20"/>
      <c r="K2979" s="20"/>
      <c r="L2979" s="20"/>
      <c r="M2979" s="14" t="str">
        <f>IF(AND($C2979&lt;&gt;"",$C2979=Kardex!$C$4),COUNTIF($C$5:$C2979,Kardex!$C$4),"")</f>
        <v/>
      </c>
    </row>
    <row r="2980" spans="1:13" x14ac:dyDescent="0.25">
      <c r="A2980" s="24"/>
      <c r="B2980" s="20"/>
      <c r="C2980" s="20"/>
      <c r="D2980" s="14" t="str">
        <f>IF($C2980="","",IFERROR(INDEX(Productos!$B$5:$B$504,MATCH($C2980,Productos!$A$5:$A$504,0)),"Clave no existe"))</f>
        <v/>
      </c>
      <c r="E2980" s="14" t="str">
        <f>IF($C2980="","",IFERROR(INDEX(Productos!$D$5:$D$504,MATCH($C2980,Productos!$A$5:$A$504,0)),""))</f>
        <v/>
      </c>
      <c r="F2980" s="20"/>
      <c r="G2980" s="22" t="str">
        <f>IF($C2980="","",IFERROR(INDEX(Productos!$F$5:$F$504,MATCH($C2980,Productos!$A$5:$A$504,0)),0))</f>
        <v/>
      </c>
      <c r="H2980" s="22" t="str">
        <f t="shared" si="46"/>
        <v/>
      </c>
      <c r="I2980" s="14" t="str">
        <f>IF(OR($C2980="",$F2980=""),"",IFERROR(INDEX(Productos!$I$5:$I$504,MATCH($C2980,Productos!$A$5:$A$504,0)),0)+SUMIFS($F$5:$F2980,$C$5:$C2980,$C2980,$B$5:$B2980,"Entrada")-SUMIFS($F$5:$F2980,$C$5:$C2980,$C2980,$B$5:$B2980,"Salida"))</f>
        <v/>
      </c>
      <c r="J2980" s="20"/>
      <c r="K2980" s="20"/>
      <c r="L2980" s="20"/>
      <c r="M2980" s="14" t="str">
        <f>IF(AND($C2980&lt;&gt;"",$C2980=Kardex!$C$4),COUNTIF($C$5:$C2980,Kardex!$C$4),"")</f>
        <v/>
      </c>
    </row>
    <row r="2981" spans="1:13" x14ac:dyDescent="0.25">
      <c r="A2981" s="24"/>
      <c r="B2981" s="20"/>
      <c r="C2981" s="20"/>
      <c r="D2981" s="14" t="str">
        <f>IF($C2981="","",IFERROR(INDEX(Productos!$B$5:$B$504,MATCH($C2981,Productos!$A$5:$A$504,0)),"Clave no existe"))</f>
        <v/>
      </c>
      <c r="E2981" s="14" t="str">
        <f>IF($C2981="","",IFERROR(INDEX(Productos!$D$5:$D$504,MATCH($C2981,Productos!$A$5:$A$504,0)),""))</f>
        <v/>
      </c>
      <c r="F2981" s="20"/>
      <c r="G2981" s="22" t="str">
        <f>IF($C2981="","",IFERROR(INDEX(Productos!$F$5:$F$504,MATCH($C2981,Productos!$A$5:$A$504,0)),0))</f>
        <v/>
      </c>
      <c r="H2981" s="22" t="str">
        <f t="shared" si="46"/>
        <v/>
      </c>
      <c r="I2981" s="14" t="str">
        <f>IF(OR($C2981="",$F2981=""),"",IFERROR(INDEX(Productos!$I$5:$I$504,MATCH($C2981,Productos!$A$5:$A$504,0)),0)+SUMIFS($F$5:$F2981,$C$5:$C2981,$C2981,$B$5:$B2981,"Entrada")-SUMIFS($F$5:$F2981,$C$5:$C2981,$C2981,$B$5:$B2981,"Salida"))</f>
        <v/>
      </c>
      <c r="J2981" s="20"/>
      <c r="K2981" s="20"/>
      <c r="L2981" s="20"/>
      <c r="M2981" s="14" t="str">
        <f>IF(AND($C2981&lt;&gt;"",$C2981=Kardex!$C$4),COUNTIF($C$5:$C2981,Kardex!$C$4),"")</f>
        <v/>
      </c>
    </row>
    <row r="2982" spans="1:13" x14ac:dyDescent="0.25">
      <c r="A2982" s="24"/>
      <c r="B2982" s="20"/>
      <c r="C2982" s="20"/>
      <c r="D2982" s="14" t="str">
        <f>IF($C2982="","",IFERROR(INDEX(Productos!$B$5:$B$504,MATCH($C2982,Productos!$A$5:$A$504,0)),"Clave no existe"))</f>
        <v/>
      </c>
      <c r="E2982" s="14" t="str">
        <f>IF($C2982="","",IFERROR(INDEX(Productos!$D$5:$D$504,MATCH($C2982,Productos!$A$5:$A$504,0)),""))</f>
        <v/>
      </c>
      <c r="F2982" s="20"/>
      <c r="G2982" s="22" t="str">
        <f>IF($C2982="","",IFERROR(INDEX(Productos!$F$5:$F$504,MATCH($C2982,Productos!$A$5:$A$504,0)),0))</f>
        <v/>
      </c>
      <c r="H2982" s="22" t="str">
        <f t="shared" si="46"/>
        <v/>
      </c>
      <c r="I2982" s="14" t="str">
        <f>IF(OR($C2982="",$F2982=""),"",IFERROR(INDEX(Productos!$I$5:$I$504,MATCH($C2982,Productos!$A$5:$A$504,0)),0)+SUMIFS($F$5:$F2982,$C$5:$C2982,$C2982,$B$5:$B2982,"Entrada")-SUMIFS($F$5:$F2982,$C$5:$C2982,$C2982,$B$5:$B2982,"Salida"))</f>
        <v/>
      </c>
      <c r="J2982" s="20"/>
      <c r="K2982" s="20"/>
      <c r="L2982" s="20"/>
      <c r="M2982" s="14" t="str">
        <f>IF(AND($C2982&lt;&gt;"",$C2982=Kardex!$C$4),COUNTIF($C$5:$C2982,Kardex!$C$4),"")</f>
        <v/>
      </c>
    </row>
    <row r="2983" spans="1:13" x14ac:dyDescent="0.25">
      <c r="A2983" s="24"/>
      <c r="B2983" s="20"/>
      <c r="C2983" s="20"/>
      <c r="D2983" s="14" t="str">
        <f>IF($C2983="","",IFERROR(INDEX(Productos!$B$5:$B$504,MATCH($C2983,Productos!$A$5:$A$504,0)),"Clave no existe"))</f>
        <v/>
      </c>
      <c r="E2983" s="14" t="str">
        <f>IF($C2983="","",IFERROR(INDEX(Productos!$D$5:$D$504,MATCH($C2983,Productos!$A$5:$A$504,0)),""))</f>
        <v/>
      </c>
      <c r="F2983" s="20"/>
      <c r="G2983" s="22" t="str">
        <f>IF($C2983="","",IFERROR(INDEX(Productos!$F$5:$F$504,MATCH($C2983,Productos!$A$5:$A$504,0)),0))</f>
        <v/>
      </c>
      <c r="H2983" s="22" t="str">
        <f t="shared" si="46"/>
        <v/>
      </c>
      <c r="I2983" s="14" t="str">
        <f>IF(OR($C2983="",$F2983=""),"",IFERROR(INDEX(Productos!$I$5:$I$504,MATCH($C2983,Productos!$A$5:$A$504,0)),0)+SUMIFS($F$5:$F2983,$C$5:$C2983,$C2983,$B$5:$B2983,"Entrada")-SUMIFS($F$5:$F2983,$C$5:$C2983,$C2983,$B$5:$B2983,"Salida"))</f>
        <v/>
      </c>
      <c r="J2983" s="20"/>
      <c r="K2983" s="20"/>
      <c r="L2983" s="20"/>
      <c r="M2983" s="14" t="str">
        <f>IF(AND($C2983&lt;&gt;"",$C2983=Kardex!$C$4),COUNTIF($C$5:$C2983,Kardex!$C$4),"")</f>
        <v/>
      </c>
    </row>
    <row r="2984" spans="1:13" x14ac:dyDescent="0.25">
      <c r="A2984" s="24"/>
      <c r="B2984" s="20"/>
      <c r="C2984" s="20"/>
      <c r="D2984" s="14" t="str">
        <f>IF($C2984="","",IFERROR(INDEX(Productos!$B$5:$B$504,MATCH($C2984,Productos!$A$5:$A$504,0)),"Clave no existe"))</f>
        <v/>
      </c>
      <c r="E2984" s="14" t="str">
        <f>IF($C2984="","",IFERROR(INDEX(Productos!$D$5:$D$504,MATCH($C2984,Productos!$A$5:$A$504,0)),""))</f>
        <v/>
      </c>
      <c r="F2984" s="20"/>
      <c r="G2984" s="22" t="str">
        <f>IF($C2984="","",IFERROR(INDEX(Productos!$F$5:$F$504,MATCH($C2984,Productos!$A$5:$A$504,0)),0))</f>
        <v/>
      </c>
      <c r="H2984" s="22" t="str">
        <f t="shared" si="46"/>
        <v/>
      </c>
      <c r="I2984" s="14" t="str">
        <f>IF(OR($C2984="",$F2984=""),"",IFERROR(INDEX(Productos!$I$5:$I$504,MATCH($C2984,Productos!$A$5:$A$504,0)),0)+SUMIFS($F$5:$F2984,$C$5:$C2984,$C2984,$B$5:$B2984,"Entrada")-SUMIFS($F$5:$F2984,$C$5:$C2984,$C2984,$B$5:$B2984,"Salida"))</f>
        <v/>
      </c>
      <c r="J2984" s="20"/>
      <c r="K2984" s="20"/>
      <c r="L2984" s="20"/>
      <c r="M2984" s="14" t="str">
        <f>IF(AND($C2984&lt;&gt;"",$C2984=Kardex!$C$4),COUNTIF($C$5:$C2984,Kardex!$C$4),"")</f>
        <v/>
      </c>
    </row>
    <row r="2985" spans="1:13" x14ac:dyDescent="0.25">
      <c r="A2985" s="24"/>
      <c r="B2985" s="20"/>
      <c r="C2985" s="20"/>
      <c r="D2985" s="14" t="str">
        <f>IF($C2985="","",IFERROR(INDEX(Productos!$B$5:$B$504,MATCH($C2985,Productos!$A$5:$A$504,0)),"Clave no existe"))</f>
        <v/>
      </c>
      <c r="E2985" s="14" t="str">
        <f>IF($C2985="","",IFERROR(INDEX(Productos!$D$5:$D$504,MATCH($C2985,Productos!$A$5:$A$504,0)),""))</f>
        <v/>
      </c>
      <c r="F2985" s="20"/>
      <c r="G2985" s="22" t="str">
        <f>IF($C2985="","",IFERROR(INDEX(Productos!$F$5:$F$504,MATCH($C2985,Productos!$A$5:$A$504,0)),0))</f>
        <v/>
      </c>
      <c r="H2985" s="22" t="str">
        <f t="shared" si="46"/>
        <v/>
      </c>
      <c r="I2985" s="14" t="str">
        <f>IF(OR($C2985="",$F2985=""),"",IFERROR(INDEX(Productos!$I$5:$I$504,MATCH($C2985,Productos!$A$5:$A$504,0)),0)+SUMIFS($F$5:$F2985,$C$5:$C2985,$C2985,$B$5:$B2985,"Entrada")-SUMIFS($F$5:$F2985,$C$5:$C2985,$C2985,$B$5:$B2985,"Salida"))</f>
        <v/>
      </c>
      <c r="J2985" s="20"/>
      <c r="K2985" s="20"/>
      <c r="L2985" s="20"/>
      <c r="M2985" s="14" t="str">
        <f>IF(AND($C2985&lt;&gt;"",$C2985=Kardex!$C$4),COUNTIF($C$5:$C2985,Kardex!$C$4),"")</f>
        <v/>
      </c>
    </row>
    <row r="2986" spans="1:13" x14ac:dyDescent="0.25">
      <c r="A2986" s="24"/>
      <c r="B2986" s="20"/>
      <c r="C2986" s="20"/>
      <c r="D2986" s="14" t="str">
        <f>IF($C2986="","",IFERROR(INDEX(Productos!$B$5:$B$504,MATCH($C2986,Productos!$A$5:$A$504,0)),"Clave no existe"))</f>
        <v/>
      </c>
      <c r="E2986" s="14" t="str">
        <f>IF($C2986="","",IFERROR(INDEX(Productos!$D$5:$D$504,MATCH($C2986,Productos!$A$5:$A$504,0)),""))</f>
        <v/>
      </c>
      <c r="F2986" s="20"/>
      <c r="G2986" s="22" t="str">
        <f>IF($C2986="","",IFERROR(INDEX(Productos!$F$5:$F$504,MATCH($C2986,Productos!$A$5:$A$504,0)),0))</f>
        <v/>
      </c>
      <c r="H2986" s="22" t="str">
        <f t="shared" si="46"/>
        <v/>
      </c>
      <c r="I2986" s="14" t="str">
        <f>IF(OR($C2986="",$F2986=""),"",IFERROR(INDEX(Productos!$I$5:$I$504,MATCH($C2986,Productos!$A$5:$A$504,0)),0)+SUMIFS($F$5:$F2986,$C$5:$C2986,$C2986,$B$5:$B2986,"Entrada")-SUMIFS($F$5:$F2986,$C$5:$C2986,$C2986,$B$5:$B2986,"Salida"))</f>
        <v/>
      </c>
      <c r="J2986" s="20"/>
      <c r="K2986" s="20"/>
      <c r="L2986" s="20"/>
      <c r="M2986" s="14" t="str">
        <f>IF(AND($C2986&lt;&gt;"",$C2986=Kardex!$C$4),COUNTIF($C$5:$C2986,Kardex!$C$4),"")</f>
        <v/>
      </c>
    </row>
    <row r="2987" spans="1:13" x14ac:dyDescent="0.25">
      <c r="A2987" s="24"/>
      <c r="B2987" s="20"/>
      <c r="C2987" s="20"/>
      <c r="D2987" s="14" t="str">
        <f>IF($C2987="","",IFERROR(INDEX(Productos!$B$5:$B$504,MATCH($C2987,Productos!$A$5:$A$504,0)),"Clave no existe"))</f>
        <v/>
      </c>
      <c r="E2987" s="14" t="str">
        <f>IF($C2987="","",IFERROR(INDEX(Productos!$D$5:$D$504,MATCH($C2987,Productos!$A$5:$A$504,0)),""))</f>
        <v/>
      </c>
      <c r="F2987" s="20"/>
      <c r="G2987" s="22" t="str">
        <f>IF($C2987="","",IFERROR(INDEX(Productos!$F$5:$F$504,MATCH($C2987,Productos!$A$5:$A$504,0)),0))</f>
        <v/>
      </c>
      <c r="H2987" s="22" t="str">
        <f t="shared" si="46"/>
        <v/>
      </c>
      <c r="I2987" s="14" t="str">
        <f>IF(OR($C2987="",$F2987=""),"",IFERROR(INDEX(Productos!$I$5:$I$504,MATCH($C2987,Productos!$A$5:$A$504,0)),0)+SUMIFS($F$5:$F2987,$C$5:$C2987,$C2987,$B$5:$B2987,"Entrada")-SUMIFS($F$5:$F2987,$C$5:$C2987,$C2987,$B$5:$B2987,"Salida"))</f>
        <v/>
      </c>
      <c r="J2987" s="20"/>
      <c r="K2987" s="20"/>
      <c r="L2987" s="20"/>
      <c r="M2987" s="14" t="str">
        <f>IF(AND($C2987&lt;&gt;"",$C2987=Kardex!$C$4),COUNTIF($C$5:$C2987,Kardex!$C$4),"")</f>
        <v/>
      </c>
    </row>
    <row r="2988" spans="1:13" x14ac:dyDescent="0.25">
      <c r="A2988" s="24"/>
      <c r="B2988" s="20"/>
      <c r="C2988" s="20"/>
      <c r="D2988" s="14" t="str">
        <f>IF($C2988="","",IFERROR(INDEX(Productos!$B$5:$B$504,MATCH($C2988,Productos!$A$5:$A$504,0)),"Clave no existe"))</f>
        <v/>
      </c>
      <c r="E2988" s="14" t="str">
        <f>IF($C2988="","",IFERROR(INDEX(Productos!$D$5:$D$504,MATCH($C2988,Productos!$A$5:$A$504,0)),""))</f>
        <v/>
      </c>
      <c r="F2988" s="20"/>
      <c r="G2988" s="22" t="str">
        <f>IF($C2988="","",IFERROR(INDEX(Productos!$F$5:$F$504,MATCH($C2988,Productos!$A$5:$A$504,0)),0))</f>
        <v/>
      </c>
      <c r="H2988" s="22" t="str">
        <f t="shared" si="46"/>
        <v/>
      </c>
      <c r="I2988" s="14" t="str">
        <f>IF(OR($C2988="",$F2988=""),"",IFERROR(INDEX(Productos!$I$5:$I$504,MATCH($C2988,Productos!$A$5:$A$504,0)),0)+SUMIFS($F$5:$F2988,$C$5:$C2988,$C2988,$B$5:$B2988,"Entrada")-SUMIFS($F$5:$F2988,$C$5:$C2988,$C2988,$B$5:$B2988,"Salida"))</f>
        <v/>
      </c>
      <c r="J2988" s="20"/>
      <c r="K2988" s="20"/>
      <c r="L2988" s="20"/>
      <c r="M2988" s="14" t="str">
        <f>IF(AND($C2988&lt;&gt;"",$C2988=Kardex!$C$4),COUNTIF($C$5:$C2988,Kardex!$C$4),"")</f>
        <v/>
      </c>
    </row>
    <row r="2989" spans="1:13" x14ac:dyDescent="0.25">
      <c r="A2989" s="24"/>
      <c r="B2989" s="20"/>
      <c r="C2989" s="20"/>
      <c r="D2989" s="14" t="str">
        <f>IF($C2989="","",IFERROR(INDEX(Productos!$B$5:$B$504,MATCH($C2989,Productos!$A$5:$A$504,0)),"Clave no existe"))</f>
        <v/>
      </c>
      <c r="E2989" s="14" t="str">
        <f>IF($C2989="","",IFERROR(INDEX(Productos!$D$5:$D$504,MATCH($C2989,Productos!$A$5:$A$504,0)),""))</f>
        <v/>
      </c>
      <c r="F2989" s="20"/>
      <c r="G2989" s="22" t="str">
        <f>IF($C2989="","",IFERROR(INDEX(Productos!$F$5:$F$504,MATCH($C2989,Productos!$A$5:$A$504,0)),0))</f>
        <v/>
      </c>
      <c r="H2989" s="22" t="str">
        <f t="shared" si="46"/>
        <v/>
      </c>
      <c r="I2989" s="14" t="str">
        <f>IF(OR($C2989="",$F2989=""),"",IFERROR(INDEX(Productos!$I$5:$I$504,MATCH($C2989,Productos!$A$5:$A$504,0)),0)+SUMIFS($F$5:$F2989,$C$5:$C2989,$C2989,$B$5:$B2989,"Entrada")-SUMIFS($F$5:$F2989,$C$5:$C2989,$C2989,$B$5:$B2989,"Salida"))</f>
        <v/>
      </c>
      <c r="J2989" s="20"/>
      <c r="K2989" s="20"/>
      <c r="L2989" s="20"/>
      <c r="M2989" s="14" t="str">
        <f>IF(AND($C2989&lt;&gt;"",$C2989=Kardex!$C$4),COUNTIF($C$5:$C2989,Kardex!$C$4),"")</f>
        <v/>
      </c>
    </row>
    <row r="2990" spans="1:13" x14ac:dyDescent="0.25">
      <c r="A2990" s="24"/>
      <c r="B2990" s="20"/>
      <c r="C2990" s="20"/>
      <c r="D2990" s="14" t="str">
        <f>IF($C2990="","",IFERROR(INDEX(Productos!$B$5:$B$504,MATCH($C2990,Productos!$A$5:$A$504,0)),"Clave no existe"))</f>
        <v/>
      </c>
      <c r="E2990" s="14" t="str">
        <f>IF($C2990="","",IFERROR(INDEX(Productos!$D$5:$D$504,MATCH($C2990,Productos!$A$5:$A$504,0)),""))</f>
        <v/>
      </c>
      <c r="F2990" s="20"/>
      <c r="G2990" s="22" t="str">
        <f>IF($C2990="","",IFERROR(INDEX(Productos!$F$5:$F$504,MATCH($C2990,Productos!$A$5:$A$504,0)),0))</f>
        <v/>
      </c>
      <c r="H2990" s="22" t="str">
        <f t="shared" si="46"/>
        <v/>
      </c>
      <c r="I2990" s="14" t="str">
        <f>IF(OR($C2990="",$F2990=""),"",IFERROR(INDEX(Productos!$I$5:$I$504,MATCH($C2990,Productos!$A$5:$A$504,0)),0)+SUMIFS($F$5:$F2990,$C$5:$C2990,$C2990,$B$5:$B2990,"Entrada")-SUMIFS($F$5:$F2990,$C$5:$C2990,$C2990,$B$5:$B2990,"Salida"))</f>
        <v/>
      </c>
      <c r="J2990" s="20"/>
      <c r="K2990" s="20"/>
      <c r="L2990" s="20"/>
      <c r="M2990" s="14" t="str">
        <f>IF(AND($C2990&lt;&gt;"",$C2990=Kardex!$C$4),COUNTIF($C$5:$C2990,Kardex!$C$4),"")</f>
        <v/>
      </c>
    </row>
    <row r="2991" spans="1:13" x14ac:dyDescent="0.25">
      <c r="A2991" s="24"/>
      <c r="B2991" s="20"/>
      <c r="C2991" s="20"/>
      <c r="D2991" s="14" t="str">
        <f>IF($C2991="","",IFERROR(INDEX(Productos!$B$5:$B$504,MATCH($C2991,Productos!$A$5:$A$504,0)),"Clave no existe"))</f>
        <v/>
      </c>
      <c r="E2991" s="14" t="str">
        <f>IF($C2991="","",IFERROR(INDEX(Productos!$D$5:$D$504,MATCH($C2991,Productos!$A$5:$A$504,0)),""))</f>
        <v/>
      </c>
      <c r="F2991" s="20"/>
      <c r="G2991" s="22" t="str">
        <f>IF($C2991="","",IFERROR(INDEX(Productos!$F$5:$F$504,MATCH($C2991,Productos!$A$5:$A$504,0)),0))</f>
        <v/>
      </c>
      <c r="H2991" s="22" t="str">
        <f t="shared" si="46"/>
        <v/>
      </c>
      <c r="I2991" s="14" t="str">
        <f>IF(OR($C2991="",$F2991=""),"",IFERROR(INDEX(Productos!$I$5:$I$504,MATCH($C2991,Productos!$A$5:$A$504,0)),0)+SUMIFS($F$5:$F2991,$C$5:$C2991,$C2991,$B$5:$B2991,"Entrada")-SUMIFS($F$5:$F2991,$C$5:$C2991,$C2991,$B$5:$B2991,"Salida"))</f>
        <v/>
      </c>
      <c r="J2991" s="20"/>
      <c r="K2991" s="20"/>
      <c r="L2991" s="20"/>
      <c r="M2991" s="14" t="str">
        <f>IF(AND($C2991&lt;&gt;"",$C2991=Kardex!$C$4),COUNTIF($C$5:$C2991,Kardex!$C$4),"")</f>
        <v/>
      </c>
    </row>
    <row r="2992" spans="1:13" x14ac:dyDescent="0.25">
      <c r="A2992" s="24"/>
      <c r="B2992" s="20"/>
      <c r="C2992" s="20"/>
      <c r="D2992" s="14" t="str">
        <f>IF($C2992="","",IFERROR(INDEX(Productos!$B$5:$B$504,MATCH($C2992,Productos!$A$5:$A$504,0)),"Clave no existe"))</f>
        <v/>
      </c>
      <c r="E2992" s="14" t="str">
        <f>IF($C2992="","",IFERROR(INDEX(Productos!$D$5:$D$504,MATCH($C2992,Productos!$A$5:$A$504,0)),""))</f>
        <v/>
      </c>
      <c r="F2992" s="20"/>
      <c r="G2992" s="22" t="str">
        <f>IF($C2992="","",IFERROR(INDEX(Productos!$F$5:$F$504,MATCH($C2992,Productos!$A$5:$A$504,0)),0))</f>
        <v/>
      </c>
      <c r="H2992" s="22" t="str">
        <f t="shared" si="46"/>
        <v/>
      </c>
      <c r="I2992" s="14" t="str">
        <f>IF(OR($C2992="",$F2992=""),"",IFERROR(INDEX(Productos!$I$5:$I$504,MATCH($C2992,Productos!$A$5:$A$504,0)),0)+SUMIFS($F$5:$F2992,$C$5:$C2992,$C2992,$B$5:$B2992,"Entrada")-SUMIFS($F$5:$F2992,$C$5:$C2992,$C2992,$B$5:$B2992,"Salida"))</f>
        <v/>
      </c>
      <c r="J2992" s="20"/>
      <c r="K2992" s="20"/>
      <c r="L2992" s="20"/>
      <c r="M2992" s="14" t="str">
        <f>IF(AND($C2992&lt;&gt;"",$C2992=Kardex!$C$4),COUNTIF($C$5:$C2992,Kardex!$C$4),"")</f>
        <v/>
      </c>
    </row>
    <row r="2993" spans="1:13" x14ac:dyDescent="0.25">
      <c r="A2993" s="24"/>
      <c r="B2993" s="20"/>
      <c r="C2993" s="20"/>
      <c r="D2993" s="14" t="str">
        <f>IF($C2993="","",IFERROR(INDEX(Productos!$B$5:$B$504,MATCH($C2993,Productos!$A$5:$A$504,0)),"Clave no existe"))</f>
        <v/>
      </c>
      <c r="E2993" s="14" t="str">
        <f>IF($C2993="","",IFERROR(INDEX(Productos!$D$5:$D$504,MATCH($C2993,Productos!$A$5:$A$504,0)),""))</f>
        <v/>
      </c>
      <c r="F2993" s="20"/>
      <c r="G2993" s="22" t="str">
        <f>IF($C2993="","",IFERROR(INDEX(Productos!$F$5:$F$504,MATCH($C2993,Productos!$A$5:$A$504,0)),0))</f>
        <v/>
      </c>
      <c r="H2993" s="22" t="str">
        <f t="shared" si="46"/>
        <v/>
      </c>
      <c r="I2993" s="14" t="str">
        <f>IF(OR($C2993="",$F2993=""),"",IFERROR(INDEX(Productos!$I$5:$I$504,MATCH($C2993,Productos!$A$5:$A$504,0)),0)+SUMIFS($F$5:$F2993,$C$5:$C2993,$C2993,$B$5:$B2993,"Entrada")-SUMIFS($F$5:$F2993,$C$5:$C2993,$C2993,$B$5:$B2993,"Salida"))</f>
        <v/>
      </c>
      <c r="J2993" s="20"/>
      <c r="K2993" s="20"/>
      <c r="L2993" s="20"/>
      <c r="M2993" s="14" t="str">
        <f>IF(AND($C2993&lt;&gt;"",$C2993=Kardex!$C$4),COUNTIF($C$5:$C2993,Kardex!$C$4),"")</f>
        <v/>
      </c>
    </row>
    <row r="2994" spans="1:13" x14ac:dyDescent="0.25">
      <c r="A2994" s="24"/>
      <c r="B2994" s="20"/>
      <c r="C2994" s="20"/>
      <c r="D2994" s="14" t="str">
        <f>IF($C2994="","",IFERROR(INDEX(Productos!$B$5:$B$504,MATCH($C2994,Productos!$A$5:$A$504,0)),"Clave no existe"))</f>
        <v/>
      </c>
      <c r="E2994" s="14" t="str">
        <f>IF($C2994="","",IFERROR(INDEX(Productos!$D$5:$D$504,MATCH($C2994,Productos!$A$5:$A$504,0)),""))</f>
        <v/>
      </c>
      <c r="F2994" s="20"/>
      <c r="G2994" s="22" t="str">
        <f>IF($C2994="","",IFERROR(INDEX(Productos!$F$5:$F$504,MATCH($C2994,Productos!$A$5:$A$504,0)),0))</f>
        <v/>
      </c>
      <c r="H2994" s="22" t="str">
        <f t="shared" si="46"/>
        <v/>
      </c>
      <c r="I2994" s="14" t="str">
        <f>IF(OR($C2994="",$F2994=""),"",IFERROR(INDEX(Productos!$I$5:$I$504,MATCH($C2994,Productos!$A$5:$A$504,0)),0)+SUMIFS($F$5:$F2994,$C$5:$C2994,$C2994,$B$5:$B2994,"Entrada")-SUMIFS($F$5:$F2994,$C$5:$C2994,$C2994,$B$5:$B2994,"Salida"))</f>
        <v/>
      </c>
      <c r="J2994" s="20"/>
      <c r="K2994" s="20"/>
      <c r="L2994" s="20"/>
      <c r="M2994" s="14" t="str">
        <f>IF(AND($C2994&lt;&gt;"",$C2994=Kardex!$C$4),COUNTIF($C$5:$C2994,Kardex!$C$4),"")</f>
        <v/>
      </c>
    </row>
    <row r="2995" spans="1:13" x14ac:dyDescent="0.25">
      <c r="A2995" s="24"/>
      <c r="B2995" s="20"/>
      <c r="C2995" s="20"/>
      <c r="D2995" s="14" t="str">
        <f>IF($C2995="","",IFERROR(INDEX(Productos!$B$5:$B$504,MATCH($C2995,Productos!$A$5:$A$504,0)),"Clave no existe"))</f>
        <v/>
      </c>
      <c r="E2995" s="14" t="str">
        <f>IF($C2995="","",IFERROR(INDEX(Productos!$D$5:$D$504,MATCH($C2995,Productos!$A$5:$A$504,0)),""))</f>
        <v/>
      </c>
      <c r="F2995" s="20"/>
      <c r="G2995" s="22" t="str">
        <f>IF($C2995="","",IFERROR(INDEX(Productos!$F$5:$F$504,MATCH($C2995,Productos!$A$5:$A$504,0)),0))</f>
        <v/>
      </c>
      <c r="H2995" s="22" t="str">
        <f t="shared" si="46"/>
        <v/>
      </c>
      <c r="I2995" s="14" t="str">
        <f>IF(OR($C2995="",$F2995=""),"",IFERROR(INDEX(Productos!$I$5:$I$504,MATCH($C2995,Productos!$A$5:$A$504,0)),0)+SUMIFS($F$5:$F2995,$C$5:$C2995,$C2995,$B$5:$B2995,"Entrada")-SUMIFS($F$5:$F2995,$C$5:$C2995,$C2995,$B$5:$B2995,"Salida"))</f>
        <v/>
      </c>
      <c r="J2995" s="20"/>
      <c r="K2995" s="20"/>
      <c r="L2995" s="20"/>
      <c r="M2995" s="14" t="str">
        <f>IF(AND($C2995&lt;&gt;"",$C2995=Kardex!$C$4),COUNTIF($C$5:$C2995,Kardex!$C$4),"")</f>
        <v/>
      </c>
    </row>
    <row r="2996" spans="1:13" x14ac:dyDescent="0.25">
      <c r="A2996" s="24"/>
      <c r="B2996" s="20"/>
      <c r="C2996" s="20"/>
      <c r="D2996" s="14" t="str">
        <f>IF($C2996="","",IFERROR(INDEX(Productos!$B$5:$B$504,MATCH($C2996,Productos!$A$5:$A$504,0)),"Clave no existe"))</f>
        <v/>
      </c>
      <c r="E2996" s="14" t="str">
        <f>IF($C2996="","",IFERROR(INDEX(Productos!$D$5:$D$504,MATCH($C2996,Productos!$A$5:$A$504,0)),""))</f>
        <v/>
      </c>
      <c r="F2996" s="20"/>
      <c r="G2996" s="22" t="str">
        <f>IF($C2996="","",IFERROR(INDEX(Productos!$F$5:$F$504,MATCH($C2996,Productos!$A$5:$A$504,0)),0))</f>
        <v/>
      </c>
      <c r="H2996" s="22" t="str">
        <f t="shared" si="46"/>
        <v/>
      </c>
      <c r="I2996" s="14" t="str">
        <f>IF(OR($C2996="",$F2996=""),"",IFERROR(INDEX(Productos!$I$5:$I$504,MATCH($C2996,Productos!$A$5:$A$504,0)),0)+SUMIFS($F$5:$F2996,$C$5:$C2996,$C2996,$B$5:$B2996,"Entrada")-SUMIFS($F$5:$F2996,$C$5:$C2996,$C2996,$B$5:$B2996,"Salida"))</f>
        <v/>
      </c>
      <c r="J2996" s="20"/>
      <c r="K2996" s="20"/>
      <c r="L2996" s="20"/>
      <c r="M2996" s="14" t="str">
        <f>IF(AND($C2996&lt;&gt;"",$C2996=Kardex!$C$4),COUNTIF($C$5:$C2996,Kardex!$C$4),"")</f>
        <v/>
      </c>
    </row>
    <row r="2997" spans="1:13" x14ac:dyDescent="0.25">
      <c r="A2997" s="24"/>
      <c r="B2997" s="20"/>
      <c r="C2997" s="20"/>
      <c r="D2997" s="14" t="str">
        <f>IF($C2997="","",IFERROR(INDEX(Productos!$B$5:$B$504,MATCH($C2997,Productos!$A$5:$A$504,0)),"Clave no existe"))</f>
        <v/>
      </c>
      <c r="E2997" s="14" t="str">
        <f>IF($C2997="","",IFERROR(INDEX(Productos!$D$5:$D$504,MATCH($C2997,Productos!$A$5:$A$504,0)),""))</f>
        <v/>
      </c>
      <c r="F2997" s="20"/>
      <c r="G2997" s="22" t="str">
        <f>IF($C2997="","",IFERROR(INDEX(Productos!$F$5:$F$504,MATCH($C2997,Productos!$A$5:$A$504,0)),0))</f>
        <v/>
      </c>
      <c r="H2997" s="22" t="str">
        <f t="shared" si="46"/>
        <v/>
      </c>
      <c r="I2997" s="14" t="str">
        <f>IF(OR($C2997="",$F2997=""),"",IFERROR(INDEX(Productos!$I$5:$I$504,MATCH($C2997,Productos!$A$5:$A$504,0)),0)+SUMIFS($F$5:$F2997,$C$5:$C2997,$C2997,$B$5:$B2997,"Entrada")-SUMIFS($F$5:$F2997,$C$5:$C2997,$C2997,$B$5:$B2997,"Salida"))</f>
        <v/>
      </c>
      <c r="J2997" s="20"/>
      <c r="K2997" s="20"/>
      <c r="L2997" s="20"/>
      <c r="M2997" s="14" t="str">
        <f>IF(AND($C2997&lt;&gt;"",$C2997=Kardex!$C$4),COUNTIF($C$5:$C2997,Kardex!$C$4),"")</f>
        <v/>
      </c>
    </row>
    <row r="2998" spans="1:13" x14ac:dyDescent="0.25">
      <c r="A2998" s="24"/>
      <c r="B2998" s="20"/>
      <c r="C2998" s="20"/>
      <c r="D2998" s="14" t="str">
        <f>IF($C2998="","",IFERROR(INDEX(Productos!$B$5:$B$504,MATCH($C2998,Productos!$A$5:$A$504,0)),"Clave no existe"))</f>
        <v/>
      </c>
      <c r="E2998" s="14" t="str">
        <f>IF($C2998="","",IFERROR(INDEX(Productos!$D$5:$D$504,MATCH($C2998,Productos!$A$5:$A$504,0)),""))</f>
        <v/>
      </c>
      <c r="F2998" s="20"/>
      <c r="G2998" s="22" t="str">
        <f>IF($C2998="","",IFERROR(INDEX(Productos!$F$5:$F$504,MATCH($C2998,Productos!$A$5:$A$504,0)),0))</f>
        <v/>
      </c>
      <c r="H2998" s="22" t="str">
        <f t="shared" si="46"/>
        <v/>
      </c>
      <c r="I2998" s="14" t="str">
        <f>IF(OR($C2998="",$F2998=""),"",IFERROR(INDEX(Productos!$I$5:$I$504,MATCH($C2998,Productos!$A$5:$A$504,0)),0)+SUMIFS($F$5:$F2998,$C$5:$C2998,$C2998,$B$5:$B2998,"Entrada")-SUMIFS($F$5:$F2998,$C$5:$C2998,$C2998,$B$5:$B2998,"Salida"))</f>
        <v/>
      </c>
      <c r="J2998" s="20"/>
      <c r="K2998" s="20"/>
      <c r="L2998" s="20"/>
      <c r="M2998" s="14" t="str">
        <f>IF(AND($C2998&lt;&gt;"",$C2998=Kardex!$C$4),COUNTIF($C$5:$C2998,Kardex!$C$4),"")</f>
        <v/>
      </c>
    </row>
    <row r="2999" spans="1:13" x14ac:dyDescent="0.25">
      <c r="A2999" s="24"/>
      <c r="B2999" s="20"/>
      <c r="C2999" s="20"/>
      <c r="D2999" s="14" t="str">
        <f>IF($C2999="","",IFERROR(INDEX(Productos!$B$5:$B$504,MATCH($C2999,Productos!$A$5:$A$504,0)),"Clave no existe"))</f>
        <v/>
      </c>
      <c r="E2999" s="14" t="str">
        <f>IF($C2999="","",IFERROR(INDEX(Productos!$D$5:$D$504,MATCH($C2999,Productos!$A$5:$A$504,0)),""))</f>
        <v/>
      </c>
      <c r="F2999" s="20"/>
      <c r="G2999" s="22" t="str">
        <f>IF($C2999="","",IFERROR(INDEX(Productos!$F$5:$F$504,MATCH($C2999,Productos!$A$5:$A$504,0)),0))</f>
        <v/>
      </c>
      <c r="H2999" s="22" t="str">
        <f t="shared" si="46"/>
        <v/>
      </c>
      <c r="I2999" s="14" t="str">
        <f>IF(OR($C2999="",$F2999=""),"",IFERROR(INDEX(Productos!$I$5:$I$504,MATCH($C2999,Productos!$A$5:$A$504,0)),0)+SUMIFS($F$5:$F2999,$C$5:$C2999,$C2999,$B$5:$B2999,"Entrada")-SUMIFS($F$5:$F2999,$C$5:$C2999,$C2999,$B$5:$B2999,"Salida"))</f>
        <v/>
      </c>
      <c r="J2999" s="20"/>
      <c r="K2999" s="20"/>
      <c r="L2999" s="20"/>
      <c r="M2999" s="14" t="str">
        <f>IF(AND($C2999&lt;&gt;"",$C2999=Kardex!$C$4),COUNTIF($C$5:$C2999,Kardex!$C$4),"")</f>
        <v/>
      </c>
    </row>
    <row r="3000" spans="1:13" x14ac:dyDescent="0.25">
      <c r="A3000" s="24"/>
      <c r="B3000" s="20"/>
      <c r="C3000" s="20"/>
      <c r="D3000" s="14" t="str">
        <f>IF($C3000="","",IFERROR(INDEX(Productos!$B$5:$B$504,MATCH($C3000,Productos!$A$5:$A$504,0)),"Clave no existe"))</f>
        <v/>
      </c>
      <c r="E3000" s="14" t="str">
        <f>IF($C3000="","",IFERROR(INDEX(Productos!$D$5:$D$504,MATCH($C3000,Productos!$A$5:$A$504,0)),""))</f>
        <v/>
      </c>
      <c r="F3000" s="20"/>
      <c r="G3000" s="22" t="str">
        <f>IF($C3000="","",IFERROR(INDEX(Productos!$F$5:$F$504,MATCH($C3000,Productos!$A$5:$A$504,0)),0))</f>
        <v/>
      </c>
      <c r="H3000" s="22" t="str">
        <f t="shared" si="46"/>
        <v/>
      </c>
      <c r="I3000" s="14" t="str">
        <f>IF(OR($C3000="",$F3000=""),"",IFERROR(INDEX(Productos!$I$5:$I$504,MATCH($C3000,Productos!$A$5:$A$504,0)),0)+SUMIFS($F$5:$F3000,$C$5:$C3000,$C3000,$B$5:$B3000,"Entrada")-SUMIFS($F$5:$F3000,$C$5:$C3000,$C3000,$B$5:$B3000,"Salida"))</f>
        <v/>
      </c>
      <c r="J3000" s="20"/>
      <c r="K3000" s="20"/>
      <c r="L3000" s="20"/>
      <c r="M3000" s="14" t="str">
        <f>IF(AND($C3000&lt;&gt;"",$C3000=Kardex!$C$4),COUNTIF($C$5:$C3000,Kardex!$C$4),"")</f>
        <v/>
      </c>
    </row>
    <row r="3001" spans="1:13" x14ac:dyDescent="0.25">
      <c r="A3001" s="24"/>
      <c r="B3001" s="20"/>
      <c r="C3001" s="20"/>
      <c r="D3001" s="14" t="str">
        <f>IF($C3001="","",IFERROR(INDEX(Productos!$B$5:$B$504,MATCH($C3001,Productos!$A$5:$A$504,0)),"Clave no existe"))</f>
        <v/>
      </c>
      <c r="E3001" s="14" t="str">
        <f>IF($C3001="","",IFERROR(INDEX(Productos!$D$5:$D$504,MATCH($C3001,Productos!$A$5:$A$504,0)),""))</f>
        <v/>
      </c>
      <c r="F3001" s="20"/>
      <c r="G3001" s="22" t="str">
        <f>IF($C3001="","",IFERROR(INDEX(Productos!$F$5:$F$504,MATCH($C3001,Productos!$A$5:$A$504,0)),0))</f>
        <v/>
      </c>
      <c r="H3001" s="22" t="str">
        <f t="shared" si="46"/>
        <v/>
      </c>
      <c r="I3001" s="14" t="str">
        <f>IF(OR($C3001="",$F3001=""),"",IFERROR(INDEX(Productos!$I$5:$I$504,MATCH($C3001,Productos!$A$5:$A$504,0)),0)+SUMIFS($F$5:$F3001,$C$5:$C3001,$C3001,$B$5:$B3001,"Entrada")-SUMIFS($F$5:$F3001,$C$5:$C3001,$C3001,$B$5:$B3001,"Salida"))</f>
        <v/>
      </c>
      <c r="J3001" s="20"/>
      <c r="K3001" s="20"/>
      <c r="L3001" s="20"/>
      <c r="M3001" s="14" t="str">
        <f>IF(AND($C3001&lt;&gt;"",$C3001=Kardex!$C$4),COUNTIF($C$5:$C3001,Kardex!$C$4),"")</f>
        <v/>
      </c>
    </row>
    <row r="3002" spans="1:13" x14ac:dyDescent="0.25">
      <c r="A3002" s="24"/>
      <c r="B3002" s="20"/>
      <c r="C3002" s="20"/>
      <c r="D3002" s="14" t="str">
        <f>IF($C3002="","",IFERROR(INDEX(Productos!$B$5:$B$504,MATCH($C3002,Productos!$A$5:$A$504,0)),"Clave no existe"))</f>
        <v/>
      </c>
      <c r="E3002" s="14" t="str">
        <f>IF($C3002="","",IFERROR(INDEX(Productos!$D$5:$D$504,MATCH($C3002,Productos!$A$5:$A$504,0)),""))</f>
        <v/>
      </c>
      <c r="F3002" s="20"/>
      <c r="G3002" s="22" t="str">
        <f>IF($C3002="","",IFERROR(INDEX(Productos!$F$5:$F$504,MATCH($C3002,Productos!$A$5:$A$504,0)),0))</f>
        <v/>
      </c>
      <c r="H3002" s="22" t="str">
        <f t="shared" si="46"/>
        <v/>
      </c>
      <c r="I3002" s="14" t="str">
        <f>IF(OR($C3002="",$F3002=""),"",IFERROR(INDEX(Productos!$I$5:$I$504,MATCH($C3002,Productos!$A$5:$A$504,0)),0)+SUMIFS($F$5:$F3002,$C$5:$C3002,$C3002,$B$5:$B3002,"Entrada")-SUMIFS($F$5:$F3002,$C$5:$C3002,$C3002,$B$5:$B3002,"Salida"))</f>
        <v/>
      </c>
      <c r="J3002" s="20"/>
      <c r="K3002" s="20"/>
      <c r="L3002" s="20"/>
      <c r="M3002" s="14" t="str">
        <f>IF(AND($C3002&lt;&gt;"",$C3002=Kardex!$C$4),COUNTIF($C$5:$C3002,Kardex!$C$4),"")</f>
        <v/>
      </c>
    </row>
    <row r="3003" spans="1:13" x14ac:dyDescent="0.25">
      <c r="A3003" s="24"/>
      <c r="B3003" s="20"/>
      <c r="C3003" s="20"/>
      <c r="D3003" s="14" t="str">
        <f>IF($C3003="","",IFERROR(INDEX(Productos!$B$5:$B$504,MATCH($C3003,Productos!$A$5:$A$504,0)),"Clave no existe"))</f>
        <v/>
      </c>
      <c r="E3003" s="14" t="str">
        <f>IF($C3003="","",IFERROR(INDEX(Productos!$D$5:$D$504,MATCH($C3003,Productos!$A$5:$A$504,0)),""))</f>
        <v/>
      </c>
      <c r="F3003" s="20"/>
      <c r="G3003" s="22" t="str">
        <f>IF($C3003="","",IFERROR(INDEX(Productos!$F$5:$F$504,MATCH($C3003,Productos!$A$5:$A$504,0)),0))</f>
        <v/>
      </c>
      <c r="H3003" s="22" t="str">
        <f t="shared" si="46"/>
        <v/>
      </c>
      <c r="I3003" s="14" t="str">
        <f>IF(OR($C3003="",$F3003=""),"",IFERROR(INDEX(Productos!$I$5:$I$504,MATCH($C3003,Productos!$A$5:$A$504,0)),0)+SUMIFS($F$5:$F3003,$C$5:$C3003,$C3003,$B$5:$B3003,"Entrada")-SUMIFS($F$5:$F3003,$C$5:$C3003,$C3003,$B$5:$B3003,"Salida"))</f>
        <v/>
      </c>
      <c r="J3003" s="20"/>
      <c r="K3003" s="20"/>
      <c r="L3003" s="20"/>
      <c r="M3003" s="14" t="str">
        <f>IF(AND($C3003&lt;&gt;"",$C3003=Kardex!$C$4),COUNTIF($C$5:$C3003,Kardex!$C$4),"")</f>
        <v/>
      </c>
    </row>
    <row r="3004" spans="1:13" x14ac:dyDescent="0.25">
      <c r="A3004" s="24"/>
      <c r="B3004" s="20"/>
      <c r="C3004" s="20"/>
      <c r="D3004" s="14" t="str">
        <f>IF($C3004="","",IFERROR(INDEX(Productos!$B$5:$B$504,MATCH($C3004,Productos!$A$5:$A$504,0)),"Clave no existe"))</f>
        <v/>
      </c>
      <c r="E3004" s="14" t="str">
        <f>IF($C3004="","",IFERROR(INDEX(Productos!$D$5:$D$504,MATCH($C3004,Productos!$A$5:$A$504,0)),""))</f>
        <v/>
      </c>
      <c r="F3004" s="20"/>
      <c r="G3004" s="22" t="str">
        <f>IF($C3004="","",IFERROR(INDEX(Productos!$F$5:$F$504,MATCH($C3004,Productos!$A$5:$A$504,0)),0))</f>
        <v/>
      </c>
      <c r="H3004" s="22" t="str">
        <f t="shared" si="46"/>
        <v/>
      </c>
      <c r="I3004" s="14" t="str">
        <f>IF(OR($C3004="",$F3004=""),"",IFERROR(INDEX(Productos!$I$5:$I$504,MATCH($C3004,Productos!$A$5:$A$504,0)),0)+SUMIFS($F$5:$F3004,$C$5:$C3004,$C3004,$B$5:$B3004,"Entrada")-SUMIFS($F$5:$F3004,$C$5:$C3004,$C3004,$B$5:$B3004,"Salida"))</f>
        <v/>
      </c>
      <c r="J3004" s="20"/>
      <c r="K3004" s="20"/>
      <c r="L3004" s="20"/>
      <c r="M3004" s="14" t="str">
        <f>IF(AND($C3004&lt;&gt;"",$C3004=Kardex!$C$4),COUNTIF($C$5:$C3004,Kardex!$C$4),"")</f>
        <v/>
      </c>
    </row>
  </sheetData>
  <autoFilter ref="A4:L3004" xr:uid="{00000000-0009-0000-0000-000003000000}"/>
  <conditionalFormatting sqref="D5:D3004">
    <cfRule type="cellIs" dxfId="1" priority="2" operator="equal">
      <formula>"Clave no existe"</formula>
    </cfRule>
  </conditionalFormatting>
  <conditionalFormatting sqref="I5:I3004">
    <cfRule type="expression" dxfId="0" priority="1">
      <formula>AND(ISNUMBER(I5),I5&lt;0)</formula>
    </cfRule>
  </conditionalFormatting>
  <dataValidations count="3">
    <dataValidation type="list" allowBlank="1" showErrorMessage="1" errorTitle="Tipo inválido" error="Elige Entrada o Salida." sqref="B5:B3004" xr:uid="{00000000-0002-0000-0300-000000000000}">
      <formula1>"Entrada,Salida"</formula1>
    </dataValidation>
    <dataValidation type="decimal" operator="greaterThan" allowBlank="1" showErrorMessage="1" errorTitle="Cantidad inválida" error="La cantidad va en positivo; el tipo (Entrada/Salida) define si suma o resta." sqref="F5:F3004" xr:uid="{00000000-0002-0000-0300-000002000000}">
      <formula1>0</formula1>
    </dataValidation>
    <dataValidation type="date" operator="greaterThan" allowBlank="1" showErrorMessage="1" errorTitle="Fecha inválida" error="Escribe una fecha, por ejemplo 15/10/2026." sqref="A5:A3004" xr:uid="{00000000-0002-0000-0300-000003000000}">
      <formula1>36526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lave no registrada" error="Primero da de alta el artículo en la hoja Productos." xr:uid="{00000000-0002-0000-0300-000001000000}">
          <x14:formula1>
            <xm:f>Productos!$A$5:$A$504</xm:f>
          </x14:formula1>
          <xm:sqref>C5:C3004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4A3B8"/>
  </sheetPr>
  <dimension ref="A1:J308"/>
  <sheetViews>
    <sheetView showGridLines="0" workbookViewId="0">
      <pane ySplit="8" topLeftCell="A9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10" customWidth="1"/>
    <col min="4" max="4" width="18" customWidth="1"/>
    <col min="5" max="6" width="10" customWidth="1"/>
    <col min="7" max="7" width="11" customWidth="1"/>
    <col min="8" max="8" width="13" customWidth="1"/>
    <col min="9" max="9" width="14" customWidth="1"/>
    <col min="10" max="10" width="15" customWidth="1"/>
  </cols>
  <sheetData>
    <row r="1" spans="1:10" ht="24" customHeight="1" x14ac:dyDescent="0.3">
      <c r="A1" s="10" t="s">
        <v>118</v>
      </c>
    </row>
    <row r="2" spans="1:10" x14ac:dyDescent="0.25">
      <c r="A2" s="11" t="s">
        <v>119</v>
      </c>
    </row>
    <row r="4" spans="1:10" x14ac:dyDescent="0.25">
      <c r="B4" s="25" t="s">
        <v>120</v>
      </c>
      <c r="C4" s="26" t="s">
        <v>57</v>
      </c>
      <c r="D4" s="27" t="str">
        <f>IF($C$4="","",IFERROR(INDEX(Productos!$B$5:$B$504,MATCH($C$4,Productos!$A$5:$A$504,0)),"Clave no existe"))</f>
        <v>Cemento gris 50 kg</v>
      </c>
    </row>
    <row r="5" spans="1:10" x14ac:dyDescent="0.25">
      <c r="B5" s="28" t="s">
        <v>121</v>
      </c>
      <c r="C5" s="29">
        <f>IF($C$4="","",IFERROR(INDEX(Productos!$I$5:$I$504,MATCH($C$4,Productos!$A$5:$A$504,0)),0))</f>
        <v>80</v>
      </c>
    </row>
    <row r="6" spans="1:10" x14ac:dyDescent="0.25">
      <c r="B6" s="28" t="s">
        <v>122</v>
      </c>
      <c r="C6" s="29">
        <f>IF($C$4="","",IFERROR(INDEX(Productos!$L$5:$L$504,MATCH($C$4,Productos!$A$5:$A$504,0)),0))</f>
        <v>55</v>
      </c>
    </row>
    <row r="8" spans="1:10" ht="30" customHeight="1" x14ac:dyDescent="0.25">
      <c r="A8" s="19" t="s">
        <v>35</v>
      </c>
      <c r="B8" s="19" t="s">
        <v>91</v>
      </c>
      <c r="C8" s="19" t="s">
        <v>92</v>
      </c>
      <c r="D8" s="19" t="s">
        <v>96</v>
      </c>
      <c r="E8" s="19" t="s">
        <v>100</v>
      </c>
      <c r="F8" s="19" t="s">
        <v>103</v>
      </c>
      <c r="G8" s="19" t="s">
        <v>38</v>
      </c>
      <c r="H8" s="19" t="s">
        <v>48</v>
      </c>
      <c r="I8" s="19" t="s">
        <v>94</v>
      </c>
      <c r="J8" s="19" t="s">
        <v>97</v>
      </c>
    </row>
    <row r="9" spans="1:10" x14ac:dyDescent="0.25">
      <c r="A9" s="14">
        <f>IF(1&lt;=COUNTIF(Movimientos!$M$5:$M$3004,"&gt;0"),1,"")</f>
        <v>1</v>
      </c>
      <c r="B9" s="30">
        <f>IF($A9="","",INDEX(Movimientos!$A$5:$A$3004,MATCH($A9,Movimientos!$M$5:$M$3004,0)))</f>
        <v>46296</v>
      </c>
      <c r="C9" s="14" t="str">
        <f>IF($A9="","",INDEX(Movimientos!$B$5:$B$3004,MATCH($A9,Movimientos!$M$5:$M$3004,0)))</f>
        <v>Entrada</v>
      </c>
      <c r="D9" s="14" t="str">
        <f>IF($A9="","",INDEX(Movimientos!$J$5:$J$3004,MATCH($A9,Movimientos!$M$5:$M$3004,0))&amp;"")</f>
        <v>Factura A-1182</v>
      </c>
      <c r="E9" s="14">
        <f>IF($A9="","",IF(C9="Entrada",INDEX(Movimientos!$F$5:$F$3004,MATCH($A9,Movimientos!$M$5:$M$3004,0)),""))</f>
        <v>60</v>
      </c>
      <c r="F9" s="14" t="str">
        <f>IF($A9="","",IF(C9="Salida",INDEX(Movimientos!$F$5:$F$3004,MATCH($A9,Movimientos!$M$5:$M$3004,0)),""))</f>
        <v/>
      </c>
      <c r="G9" s="14">
        <f>IF($A9="","",INDEX(Movimientos!$I$5:$I$3004,MATCH($A9,Movimientos!$M$5:$M$3004,0)))</f>
        <v>140</v>
      </c>
      <c r="H9" s="22">
        <f>IF($A9="","",INDEX(Movimientos!$G$5:$G$3004,MATCH($A9,Movimientos!$M$5:$M$3004,0)))</f>
        <v>215</v>
      </c>
      <c r="I9" s="22">
        <f>IF($A9="","",INDEX(Movimientos!$H$5:$H$3004,MATCH($A9,Movimientos!$M$5:$M$3004,0)))</f>
        <v>12900</v>
      </c>
      <c r="J9" s="14" t="str">
        <f>IF($A9="","",INDEX(Movimientos!$K$5:$K$3004,MATCH($A9,Movimientos!$M$5:$M$3004,0))&amp;"")</f>
        <v>Almacén</v>
      </c>
    </row>
    <row r="10" spans="1:10" x14ac:dyDescent="0.25">
      <c r="A10" s="14">
        <f>IF(2&lt;=COUNTIF(Movimientos!$M$5:$M$3004,"&gt;0"),2,"")</f>
        <v>2</v>
      </c>
      <c r="B10" s="30">
        <f>IF($A10="","",INDEX(Movimientos!$A$5:$A$3004,MATCH($A10,Movimientos!$M$5:$M$3004,0)))</f>
        <v>46297</v>
      </c>
      <c r="C10" s="14" t="str">
        <f>IF($A10="","",INDEX(Movimientos!$B$5:$B$3004,MATCH($A10,Movimientos!$M$5:$M$3004,0)))</f>
        <v>Salida</v>
      </c>
      <c r="D10" s="14" t="str">
        <f>IF($A10="","",INDEX(Movimientos!$J$5:$J$3004,MATCH($A10,Movimientos!$M$5:$M$3004,0))&amp;"")</f>
        <v>Pedido 0451</v>
      </c>
      <c r="E10" s="14" t="str">
        <f>IF($A10="","",IF(C10="Entrada",INDEX(Movimientos!$F$5:$F$3004,MATCH($A10,Movimientos!$M$5:$M$3004,0)),""))</f>
        <v/>
      </c>
      <c r="F10" s="14">
        <f>IF($A10="","",IF(C10="Salida",INDEX(Movimientos!$F$5:$F$3004,MATCH($A10,Movimientos!$M$5:$M$3004,0)),""))</f>
        <v>35</v>
      </c>
      <c r="G10" s="14">
        <f>IF($A10="","",INDEX(Movimientos!$I$5:$I$3004,MATCH($A10,Movimientos!$M$5:$M$3004,0)))</f>
        <v>105</v>
      </c>
      <c r="H10" s="22">
        <f>IF($A10="","",INDEX(Movimientos!$G$5:$G$3004,MATCH($A10,Movimientos!$M$5:$M$3004,0)))</f>
        <v>215</v>
      </c>
      <c r="I10" s="22">
        <f>IF($A10="","",INDEX(Movimientos!$H$5:$H$3004,MATCH($A10,Movimientos!$M$5:$M$3004,0)))</f>
        <v>7525</v>
      </c>
      <c r="J10" s="14" t="str">
        <f>IF($A10="","",INDEX(Movimientos!$K$5:$K$3004,MATCH($A10,Movimientos!$M$5:$M$3004,0))&amp;"")</f>
        <v>Ventas</v>
      </c>
    </row>
    <row r="11" spans="1:10" x14ac:dyDescent="0.25">
      <c r="A11" s="14">
        <f>IF(3&lt;=COUNTIF(Movimientos!$M$5:$M$3004,"&gt;0"),3,"")</f>
        <v>3</v>
      </c>
      <c r="B11" s="30">
        <f>IF($A11="","",INDEX(Movimientos!$A$5:$A$3004,MATCH($A11,Movimientos!$M$5:$M$3004,0)))</f>
        <v>46305</v>
      </c>
      <c r="C11" s="14" t="str">
        <f>IF($A11="","",INDEX(Movimientos!$B$5:$B$3004,MATCH($A11,Movimientos!$M$5:$M$3004,0)))</f>
        <v>Salida</v>
      </c>
      <c r="D11" s="14" t="str">
        <f>IF($A11="","",INDEX(Movimientos!$J$5:$J$3004,MATCH($A11,Movimientos!$M$5:$M$3004,0))&amp;"")</f>
        <v>Pedido 0463</v>
      </c>
      <c r="E11" s="14" t="str">
        <f>IF($A11="","",IF(C11="Entrada",INDEX(Movimientos!$F$5:$F$3004,MATCH($A11,Movimientos!$M$5:$M$3004,0)),""))</f>
        <v/>
      </c>
      <c r="F11" s="14">
        <f>IF($A11="","",IF(C11="Salida",INDEX(Movimientos!$F$5:$F$3004,MATCH($A11,Movimientos!$M$5:$M$3004,0)),""))</f>
        <v>50</v>
      </c>
      <c r="G11" s="14">
        <f>IF($A11="","",INDEX(Movimientos!$I$5:$I$3004,MATCH($A11,Movimientos!$M$5:$M$3004,0)))</f>
        <v>55</v>
      </c>
      <c r="H11" s="22">
        <f>IF($A11="","",INDEX(Movimientos!$G$5:$G$3004,MATCH($A11,Movimientos!$M$5:$M$3004,0)))</f>
        <v>215</v>
      </c>
      <c r="I11" s="22">
        <f>IF($A11="","",INDEX(Movimientos!$H$5:$H$3004,MATCH($A11,Movimientos!$M$5:$M$3004,0)))</f>
        <v>10750</v>
      </c>
      <c r="J11" s="14" t="str">
        <f>IF($A11="","",INDEX(Movimientos!$K$5:$K$3004,MATCH($A11,Movimientos!$M$5:$M$3004,0))&amp;"")</f>
        <v>Ventas</v>
      </c>
    </row>
    <row r="12" spans="1:10" x14ac:dyDescent="0.25">
      <c r="A12" s="14" t="str">
        <f>IF(4&lt;=COUNTIF(Movimientos!$M$5:$M$3004,"&gt;0"),4,"")</f>
        <v/>
      </c>
      <c r="B12" s="30" t="str">
        <f>IF($A12="","",INDEX(Movimientos!$A$5:$A$3004,MATCH($A12,Movimientos!$M$5:$M$3004,0)))</f>
        <v/>
      </c>
      <c r="C12" s="14" t="str">
        <f>IF($A12="","",INDEX(Movimientos!$B$5:$B$3004,MATCH($A12,Movimientos!$M$5:$M$3004,0)))</f>
        <v/>
      </c>
      <c r="D12" s="14" t="str">
        <f>IF($A12="","",INDEX(Movimientos!$J$5:$J$3004,MATCH($A12,Movimientos!$M$5:$M$3004,0))&amp;"")</f>
        <v/>
      </c>
      <c r="E12" s="14" t="str">
        <f>IF($A12="","",IF(C12="Entrada",INDEX(Movimientos!$F$5:$F$3004,MATCH($A12,Movimientos!$M$5:$M$3004,0)),""))</f>
        <v/>
      </c>
      <c r="F12" s="14" t="str">
        <f>IF($A12="","",IF(C12="Salida",INDEX(Movimientos!$F$5:$F$3004,MATCH($A12,Movimientos!$M$5:$M$3004,0)),""))</f>
        <v/>
      </c>
      <c r="G12" s="14" t="str">
        <f>IF($A12="","",INDEX(Movimientos!$I$5:$I$3004,MATCH($A12,Movimientos!$M$5:$M$3004,0)))</f>
        <v/>
      </c>
      <c r="H12" s="22" t="str">
        <f>IF($A12="","",INDEX(Movimientos!$G$5:$G$3004,MATCH($A12,Movimientos!$M$5:$M$3004,0)))</f>
        <v/>
      </c>
      <c r="I12" s="22" t="str">
        <f>IF($A12="","",INDEX(Movimientos!$H$5:$H$3004,MATCH($A12,Movimientos!$M$5:$M$3004,0)))</f>
        <v/>
      </c>
      <c r="J12" s="14" t="str">
        <f>IF($A12="","",INDEX(Movimientos!$K$5:$K$3004,MATCH($A12,Movimientos!$M$5:$M$3004,0))&amp;"")</f>
        <v/>
      </c>
    </row>
    <row r="13" spans="1:10" x14ac:dyDescent="0.25">
      <c r="A13" s="14" t="str">
        <f>IF(5&lt;=COUNTIF(Movimientos!$M$5:$M$3004,"&gt;0"),5,"")</f>
        <v/>
      </c>
      <c r="B13" s="30" t="str">
        <f>IF($A13="","",INDEX(Movimientos!$A$5:$A$3004,MATCH($A13,Movimientos!$M$5:$M$3004,0)))</f>
        <v/>
      </c>
      <c r="C13" s="14" t="str">
        <f>IF($A13="","",INDEX(Movimientos!$B$5:$B$3004,MATCH($A13,Movimientos!$M$5:$M$3004,0)))</f>
        <v/>
      </c>
      <c r="D13" s="14" t="str">
        <f>IF($A13="","",INDEX(Movimientos!$J$5:$J$3004,MATCH($A13,Movimientos!$M$5:$M$3004,0))&amp;"")</f>
        <v/>
      </c>
      <c r="E13" s="14" t="str">
        <f>IF($A13="","",IF(C13="Entrada",INDEX(Movimientos!$F$5:$F$3004,MATCH($A13,Movimientos!$M$5:$M$3004,0)),""))</f>
        <v/>
      </c>
      <c r="F13" s="14" t="str">
        <f>IF($A13="","",IF(C13="Salida",INDEX(Movimientos!$F$5:$F$3004,MATCH($A13,Movimientos!$M$5:$M$3004,0)),""))</f>
        <v/>
      </c>
      <c r="G13" s="14" t="str">
        <f>IF($A13="","",INDEX(Movimientos!$I$5:$I$3004,MATCH($A13,Movimientos!$M$5:$M$3004,0)))</f>
        <v/>
      </c>
      <c r="H13" s="22" t="str">
        <f>IF($A13="","",INDEX(Movimientos!$G$5:$G$3004,MATCH($A13,Movimientos!$M$5:$M$3004,0)))</f>
        <v/>
      </c>
      <c r="I13" s="22" t="str">
        <f>IF($A13="","",INDEX(Movimientos!$H$5:$H$3004,MATCH($A13,Movimientos!$M$5:$M$3004,0)))</f>
        <v/>
      </c>
      <c r="J13" s="14" t="str">
        <f>IF($A13="","",INDEX(Movimientos!$K$5:$K$3004,MATCH($A13,Movimientos!$M$5:$M$3004,0))&amp;"")</f>
        <v/>
      </c>
    </row>
    <row r="14" spans="1:10" x14ac:dyDescent="0.25">
      <c r="A14" s="14" t="str">
        <f>IF(6&lt;=COUNTIF(Movimientos!$M$5:$M$3004,"&gt;0"),6,"")</f>
        <v/>
      </c>
      <c r="B14" s="30" t="str">
        <f>IF($A14="","",INDEX(Movimientos!$A$5:$A$3004,MATCH($A14,Movimientos!$M$5:$M$3004,0)))</f>
        <v/>
      </c>
      <c r="C14" s="14" t="str">
        <f>IF($A14="","",INDEX(Movimientos!$B$5:$B$3004,MATCH($A14,Movimientos!$M$5:$M$3004,0)))</f>
        <v/>
      </c>
      <c r="D14" s="14" t="str">
        <f>IF($A14="","",INDEX(Movimientos!$J$5:$J$3004,MATCH($A14,Movimientos!$M$5:$M$3004,0))&amp;"")</f>
        <v/>
      </c>
      <c r="E14" s="14" t="str">
        <f>IF($A14="","",IF(C14="Entrada",INDEX(Movimientos!$F$5:$F$3004,MATCH($A14,Movimientos!$M$5:$M$3004,0)),""))</f>
        <v/>
      </c>
      <c r="F14" s="14" t="str">
        <f>IF($A14="","",IF(C14="Salida",INDEX(Movimientos!$F$5:$F$3004,MATCH($A14,Movimientos!$M$5:$M$3004,0)),""))</f>
        <v/>
      </c>
      <c r="G14" s="14" t="str">
        <f>IF($A14="","",INDEX(Movimientos!$I$5:$I$3004,MATCH($A14,Movimientos!$M$5:$M$3004,0)))</f>
        <v/>
      </c>
      <c r="H14" s="22" t="str">
        <f>IF($A14="","",INDEX(Movimientos!$G$5:$G$3004,MATCH($A14,Movimientos!$M$5:$M$3004,0)))</f>
        <v/>
      </c>
      <c r="I14" s="22" t="str">
        <f>IF($A14="","",INDEX(Movimientos!$H$5:$H$3004,MATCH($A14,Movimientos!$M$5:$M$3004,0)))</f>
        <v/>
      </c>
      <c r="J14" s="14" t="str">
        <f>IF($A14="","",INDEX(Movimientos!$K$5:$K$3004,MATCH($A14,Movimientos!$M$5:$M$3004,0))&amp;"")</f>
        <v/>
      </c>
    </row>
    <row r="15" spans="1:10" x14ac:dyDescent="0.25">
      <c r="A15" s="14" t="str">
        <f>IF(7&lt;=COUNTIF(Movimientos!$M$5:$M$3004,"&gt;0"),7,"")</f>
        <v/>
      </c>
      <c r="B15" s="30" t="str">
        <f>IF($A15="","",INDEX(Movimientos!$A$5:$A$3004,MATCH($A15,Movimientos!$M$5:$M$3004,0)))</f>
        <v/>
      </c>
      <c r="C15" s="14" t="str">
        <f>IF($A15="","",INDEX(Movimientos!$B$5:$B$3004,MATCH($A15,Movimientos!$M$5:$M$3004,0)))</f>
        <v/>
      </c>
      <c r="D15" s="14" t="str">
        <f>IF($A15="","",INDEX(Movimientos!$J$5:$J$3004,MATCH($A15,Movimientos!$M$5:$M$3004,0))&amp;"")</f>
        <v/>
      </c>
      <c r="E15" s="14" t="str">
        <f>IF($A15="","",IF(C15="Entrada",INDEX(Movimientos!$F$5:$F$3004,MATCH($A15,Movimientos!$M$5:$M$3004,0)),""))</f>
        <v/>
      </c>
      <c r="F15" s="14" t="str">
        <f>IF($A15="","",IF(C15="Salida",INDEX(Movimientos!$F$5:$F$3004,MATCH($A15,Movimientos!$M$5:$M$3004,0)),""))</f>
        <v/>
      </c>
      <c r="G15" s="14" t="str">
        <f>IF($A15="","",INDEX(Movimientos!$I$5:$I$3004,MATCH($A15,Movimientos!$M$5:$M$3004,0)))</f>
        <v/>
      </c>
      <c r="H15" s="22" t="str">
        <f>IF($A15="","",INDEX(Movimientos!$G$5:$G$3004,MATCH($A15,Movimientos!$M$5:$M$3004,0)))</f>
        <v/>
      </c>
      <c r="I15" s="22" t="str">
        <f>IF($A15="","",INDEX(Movimientos!$H$5:$H$3004,MATCH($A15,Movimientos!$M$5:$M$3004,0)))</f>
        <v/>
      </c>
      <c r="J15" s="14" t="str">
        <f>IF($A15="","",INDEX(Movimientos!$K$5:$K$3004,MATCH($A15,Movimientos!$M$5:$M$3004,0))&amp;"")</f>
        <v/>
      </c>
    </row>
    <row r="16" spans="1:10" x14ac:dyDescent="0.25">
      <c r="A16" s="14" t="str">
        <f>IF(8&lt;=COUNTIF(Movimientos!$M$5:$M$3004,"&gt;0"),8,"")</f>
        <v/>
      </c>
      <c r="B16" s="30" t="str">
        <f>IF($A16="","",INDEX(Movimientos!$A$5:$A$3004,MATCH($A16,Movimientos!$M$5:$M$3004,0)))</f>
        <v/>
      </c>
      <c r="C16" s="14" t="str">
        <f>IF($A16="","",INDEX(Movimientos!$B$5:$B$3004,MATCH($A16,Movimientos!$M$5:$M$3004,0)))</f>
        <v/>
      </c>
      <c r="D16" s="14" t="str">
        <f>IF($A16="","",INDEX(Movimientos!$J$5:$J$3004,MATCH($A16,Movimientos!$M$5:$M$3004,0))&amp;"")</f>
        <v/>
      </c>
      <c r="E16" s="14" t="str">
        <f>IF($A16="","",IF(C16="Entrada",INDEX(Movimientos!$F$5:$F$3004,MATCH($A16,Movimientos!$M$5:$M$3004,0)),""))</f>
        <v/>
      </c>
      <c r="F16" s="14" t="str">
        <f>IF($A16="","",IF(C16="Salida",INDEX(Movimientos!$F$5:$F$3004,MATCH($A16,Movimientos!$M$5:$M$3004,0)),""))</f>
        <v/>
      </c>
      <c r="G16" s="14" t="str">
        <f>IF($A16="","",INDEX(Movimientos!$I$5:$I$3004,MATCH($A16,Movimientos!$M$5:$M$3004,0)))</f>
        <v/>
      </c>
      <c r="H16" s="22" t="str">
        <f>IF($A16="","",INDEX(Movimientos!$G$5:$G$3004,MATCH($A16,Movimientos!$M$5:$M$3004,0)))</f>
        <v/>
      </c>
      <c r="I16" s="22" t="str">
        <f>IF($A16="","",INDEX(Movimientos!$H$5:$H$3004,MATCH($A16,Movimientos!$M$5:$M$3004,0)))</f>
        <v/>
      </c>
      <c r="J16" s="14" t="str">
        <f>IF($A16="","",INDEX(Movimientos!$K$5:$K$3004,MATCH($A16,Movimientos!$M$5:$M$3004,0))&amp;"")</f>
        <v/>
      </c>
    </row>
    <row r="17" spans="1:10" x14ac:dyDescent="0.25">
      <c r="A17" s="14" t="str">
        <f>IF(9&lt;=COUNTIF(Movimientos!$M$5:$M$3004,"&gt;0"),9,"")</f>
        <v/>
      </c>
      <c r="B17" s="30" t="str">
        <f>IF($A17="","",INDEX(Movimientos!$A$5:$A$3004,MATCH($A17,Movimientos!$M$5:$M$3004,0)))</f>
        <v/>
      </c>
      <c r="C17" s="14" t="str">
        <f>IF($A17="","",INDEX(Movimientos!$B$5:$B$3004,MATCH($A17,Movimientos!$M$5:$M$3004,0)))</f>
        <v/>
      </c>
      <c r="D17" s="14" t="str">
        <f>IF($A17="","",INDEX(Movimientos!$J$5:$J$3004,MATCH($A17,Movimientos!$M$5:$M$3004,0))&amp;"")</f>
        <v/>
      </c>
      <c r="E17" s="14" t="str">
        <f>IF($A17="","",IF(C17="Entrada",INDEX(Movimientos!$F$5:$F$3004,MATCH($A17,Movimientos!$M$5:$M$3004,0)),""))</f>
        <v/>
      </c>
      <c r="F17" s="14" t="str">
        <f>IF($A17="","",IF(C17="Salida",INDEX(Movimientos!$F$5:$F$3004,MATCH($A17,Movimientos!$M$5:$M$3004,0)),""))</f>
        <v/>
      </c>
      <c r="G17" s="14" t="str">
        <f>IF($A17="","",INDEX(Movimientos!$I$5:$I$3004,MATCH($A17,Movimientos!$M$5:$M$3004,0)))</f>
        <v/>
      </c>
      <c r="H17" s="22" t="str">
        <f>IF($A17="","",INDEX(Movimientos!$G$5:$G$3004,MATCH($A17,Movimientos!$M$5:$M$3004,0)))</f>
        <v/>
      </c>
      <c r="I17" s="22" t="str">
        <f>IF($A17="","",INDEX(Movimientos!$H$5:$H$3004,MATCH($A17,Movimientos!$M$5:$M$3004,0)))</f>
        <v/>
      </c>
      <c r="J17" s="14" t="str">
        <f>IF($A17="","",INDEX(Movimientos!$K$5:$K$3004,MATCH($A17,Movimientos!$M$5:$M$3004,0))&amp;"")</f>
        <v/>
      </c>
    </row>
    <row r="18" spans="1:10" x14ac:dyDescent="0.25">
      <c r="A18" s="14" t="str">
        <f>IF(10&lt;=COUNTIF(Movimientos!$M$5:$M$3004,"&gt;0"),10,"")</f>
        <v/>
      </c>
      <c r="B18" s="30" t="str">
        <f>IF($A18="","",INDEX(Movimientos!$A$5:$A$3004,MATCH($A18,Movimientos!$M$5:$M$3004,0)))</f>
        <v/>
      </c>
      <c r="C18" s="14" t="str">
        <f>IF($A18="","",INDEX(Movimientos!$B$5:$B$3004,MATCH($A18,Movimientos!$M$5:$M$3004,0)))</f>
        <v/>
      </c>
      <c r="D18" s="14" t="str">
        <f>IF($A18="","",INDEX(Movimientos!$J$5:$J$3004,MATCH($A18,Movimientos!$M$5:$M$3004,0))&amp;"")</f>
        <v/>
      </c>
      <c r="E18" s="14" t="str">
        <f>IF($A18="","",IF(C18="Entrada",INDEX(Movimientos!$F$5:$F$3004,MATCH($A18,Movimientos!$M$5:$M$3004,0)),""))</f>
        <v/>
      </c>
      <c r="F18" s="14" t="str">
        <f>IF($A18="","",IF(C18="Salida",INDEX(Movimientos!$F$5:$F$3004,MATCH($A18,Movimientos!$M$5:$M$3004,0)),""))</f>
        <v/>
      </c>
      <c r="G18" s="14" t="str">
        <f>IF($A18="","",INDEX(Movimientos!$I$5:$I$3004,MATCH($A18,Movimientos!$M$5:$M$3004,0)))</f>
        <v/>
      </c>
      <c r="H18" s="22" t="str">
        <f>IF($A18="","",INDEX(Movimientos!$G$5:$G$3004,MATCH($A18,Movimientos!$M$5:$M$3004,0)))</f>
        <v/>
      </c>
      <c r="I18" s="22" t="str">
        <f>IF($A18="","",INDEX(Movimientos!$H$5:$H$3004,MATCH($A18,Movimientos!$M$5:$M$3004,0)))</f>
        <v/>
      </c>
      <c r="J18" s="14" t="str">
        <f>IF($A18="","",INDEX(Movimientos!$K$5:$K$3004,MATCH($A18,Movimientos!$M$5:$M$3004,0))&amp;"")</f>
        <v/>
      </c>
    </row>
    <row r="19" spans="1:10" x14ac:dyDescent="0.25">
      <c r="A19" s="14" t="str">
        <f>IF(11&lt;=COUNTIF(Movimientos!$M$5:$M$3004,"&gt;0"),11,"")</f>
        <v/>
      </c>
      <c r="B19" s="30" t="str">
        <f>IF($A19="","",INDEX(Movimientos!$A$5:$A$3004,MATCH($A19,Movimientos!$M$5:$M$3004,0)))</f>
        <v/>
      </c>
      <c r="C19" s="14" t="str">
        <f>IF($A19="","",INDEX(Movimientos!$B$5:$B$3004,MATCH($A19,Movimientos!$M$5:$M$3004,0)))</f>
        <v/>
      </c>
      <c r="D19" s="14" t="str">
        <f>IF($A19="","",INDEX(Movimientos!$J$5:$J$3004,MATCH($A19,Movimientos!$M$5:$M$3004,0))&amp;"")</f>
        <v/>
      </c>
      <c r="E19" s="14" t="str">
        <f>IF($A19="","",IF(C19="Entrada",INDEX(Movimientos!$F$5:$F$3004,MATCH($A19,Movimientos!$M$5:$M$3004,0)),""))</f>
        <v/>
      </c>
      <c r="F19" s="14" t="str">
        <f>IF($A19="","",IF(C19="Salida",INDEX(Movimientos!$F$5:$F$3004,MATCH($A19,Movimientos!$M$5:$M$3004,0)),""))</f>
        <v/>
      </c>
      <c r="G19" s="14" t="str">
        <f>IF($A19="","",INDEX(Movimientos!$I$5:$I$3004,MATCH($A19,Movimientos!$M$5:$M$3004,0)))</f>
        <v/>
      </c>
      <c r="H19" s="22" t="str">
        <f>IF($A19="","",INDEX(Movimientos!$G$5:$G$3004,MATCH($A19,Movimientos!$M$5:$M$3004,0)))</f>
        <v/>
      </c>
      <c r="I19" s="22" t="str">
        <f>IF($A19="","",INDEX(Movimientos!$H$5:$H$3004,MATCH($A19,Movimientos!$M$5:$M$3004,0)))</f>
        <v/>
      </c>
      <c r="J19" s="14" t="str">
        <f>IF($A19="","",INDEX(Movimientos!$K$5:$K$3004,MATCH($A19,Movimientos!$M$5:$M$3004,0))&amp;"")</f>
        <v/>
      </c>
    </row>
    <row r="20" spans="1:10" x14ac:dyDescent="0.25">
      <c r="A20" s="14" t="str">
        <f>IF(12&lt;=COUNTIF(Movimientos!$M$5:$M$3004,"&gt;0"),12,"")</f>
        <v/>
      </c>
      <c r="B20" s="30" t="str">
        <f>IF($A20="","",INDEX(Movimientos!$A$5:$A$3004,MATCH($A20,Movimientos!$M$5:$M$3004,0)))</f>
        <v/>
      </c>
      <c r="C20" s="14" t="str">
        <f>IF($A20="","",INDEX(Movimientos!$B$5:$B$3004,MATCH($A20,Movimientos!$M$5:$M$3004,0)))</f>
        <v/>
      </c>
      <c r="D20" s="14" t="str">
        <f>IF($A20="","",INDEX(Movimientos!$J$5:$J$3004,MATCH($A20,Movimientos!$M$5:$M$3004,0))&amp;"")</f>
        <v/>
      </c>
      <c r="E20" s="14" t="str">
        <f>IF($A20="","",IF(C20="Entrada",INDEX(Movimientos!$F$5:$F$3004,MATCH($A20,Movimientos!$M$5:$M$3004,0)),""))</f>
        <v/>
      </c>
      <c r="F20" s="14" t="str">
        <f>IF($A20="","",IF(C20="Salida",INDEX(Movimientos!$F$5:$F$3004,MATCH($A20,Movimientos!$M$5:$M$3004,0)),""))</f>
        <v/>
      </c>
      <c r="G20" s="14" t="str">
        <f>IF($A20="","",INDEX(Movimientos!$I$5:$I$3004,MATCH($A20,Movimientos!$M$5:$M$3004,0)))</f>
        <v/>
      </c>
      <c r="H20" s="22" t="str">
        <f>IF($A20="","",INDEX(Movimientos!$G$5:$G$3004,MATCH($A20,Movimientos!$M$5:$M$3004,0)))</f>
        <v/>
      </c>
      <c r="I20" s="22" t="str">
        <f>IF($A20="","",INDEX(Movimientos!$H$5:$H$3004,MATCH($A20,Movimientos!$M$5:$M$3004,0)))</f>
        <v/>
      </c>
      <c r="J20" s="14" t="str">
        <f>IF($A20="","",INDEX(Movimientos!$K$5:$K$3004,MATCH($A20,Movimientos!$M$5:$M$3004,0))&amp;"")</f>
        <v/>
      </c>
    </row>
    <row r="21" spans="1:10" x14ac:dyDescent="0.25">
      <c r="A21" s="14" t="str">
        <f>IF(13&lt;=COUNTIF(Movimientos!$M$5:$M$3004,"&gt;0"),13,"")</f>
        <v/>
      </c>
      <c r="B21" s="30" t="str">
        <f>IF($A21="","",INDEX(Movimientos!$A$5:$A$3004,MATCH($A21,Movimientos!$M$5:$M$3004,0)))</f>
        <v/>
      </c>
      <c r="C21" s="14" t="str">
        <f>IF($A21="","",INDEX(Movimientos!$B$5:$B$3004,MATCH($A21,Movimientos!$M$5:$M$3004,0)))</f>
        <v/>
      </c>
      <c r="D21" s="14" t="str">
        <f>IF($A21="","",INDEX(Movimientos!$J$5:$J$3004,MATCH($A21,Movimientos!$M$5:$M$3004,0))&amp;"")</f>
        <v/>
      </c>
      <c r="E21" s="14" t="str">
        <f>IF($A21="","",IF(C21="Entrada",INDEX(Movimientos!$F$5:$F$3004,MATCH($A21,Movimientos!$M$5:$M$3004,0)),""))</f>
        <v/>
      </c>
      <c r="F21" s="14" t="str">
        <f>IF($A21="","",IF(C21="Salida",INDEX(Movimientos!$F$5:$F$3004,MATCH($A21,Movimientos!$M$5:$M$3004,0)),""))</f>
        <v/>
      </c>
      <c r="G21" s="14" t="str">
        <f>IF($A21="","",INDEX(Movimientos!$I$5:$I$3004,MATCH($A21,Movimientos!$M$5:$M$3004,0)))</f>
        <v/>
      </c>
      <c r="H21" s="22" t="str">
        <f>IF($A21="","",INDEX(Movimientos!$G$5:$G$3004,MATCH($A21,Movimientos!$M$5:$M$3004,0)))</f>
        <v/>
      </c>
      <c r="I21" s="22" t="str">
        <f>IF($A21="","",INDEX(Movimientos!$H$5:$H$3004,MATCH($A21,Movimientos!$M$5:$M$3004,0)))</f>
        <v/>
      </c>
      <c r="J21" s="14" t="str">
        <f>IF($A21="","",INDEX(Movimientos!$K$5:$K$3004,MATCH($A21,Movimientos!$M$5:$M$3004,0))&amp;"")</f>
        <v/>
      </c>
    </row>
    <row r="22" spans="1:10" x14ac:dyDescent="0.25">
      <c r="A22" s="14" t="str">
        <f>IF(14&lt;=COUNTIF(Movimientos!$M$5:$M$3004,"&gt;0"),14,"")</f>
        <v/>
      </c>
      <c r="B22" s="30" t="str">
        <f>IF($A22="","",INDEX(Movimientos!$A$5:$A$3004,MATCH($A22,Movimientos!$M$5:$M$3004,0)))</f>
        <v/>
      </c>
      <c r="C22" s="14" t="str">
        <f>IF($A22="","",INDEX(Movimientos!$B$5:$B$3004,MATCH($A22,Movimientos!$M$5:$M$3004,0)))</f>
        <v/>
      </c>
      <c r="D22" s="14" t="str">
        <f>IF($A22="","",INDEX(Movimientos!$J$5:$J$3004,MATCH($A22,Movimientos!$M$5:$M$3004,0))&amp;"")</f>
        <v/>
      </c>
      <c r="E22" s="14" t="str">
        <f>IF($A22="","",IF(C22="Entrada",INDEX(Movimientos!$F$5:$F$3004,MATCH($A22,Movimientos!$M$5:$M$3004,0)),""))</f>
        <v/>
      </c>
      <c r="F22" s="14" t="str">
        <f>IF($A22="","",IF(C22="Salida",INDEX(Movimientos!$F$5:$F$3004,MATCH($A22,Movimientos!$M$5:$M$3004,0)),""))</f>
        <v/>
      </c>
      <c r="G22" s="14" t="str">
        <f>IF($A22="","",INDEX(Movimientos!$I$5:$I$3004,MATCH($A22,Movimientos!$M$5:$M$3004,0)))</f>
        <v/>
      </c>
      <c r="H22" s="22" t="str">
        <f>IF($A22="","",INDEX(Movimientos!$G$5:$G$3004,MATCH($A22,Movimientos!$M$5:$M$3004,0)))</f>
        <v/>
      </c>
      <c r="I22" s="22" t="str">
        <f>IF($A22="","",INDEX(Movimientos!$H$5:$H$3004,MATCH($A22,Movimientos!$M$5:$M$3004,0)))</f>
        <v/>
      </c>
      <c r="J22" s="14" t="str">
        <f>IF($A22="","",INDEX(Movimientos!$K$5:$K$3004,MATCH($A22,Movimientos!$M$5:$M$3004,0))&amp;"")</f>
        <v/>
      </c>
    </row>
    <row r="23" spans="1:10" x14ac:dyDescent="0.25">
      <c r="A23" s="14" t="str">
        <f>IF(15&lt;=COUNTIF(Movimientos!$M$5:$M$3004,"&gt;0"),15,"")</f>
        <v/>
      </c>
      <c r="B23" s="30" t="str">
        <f>IF($A23="","",INDEX(Movimientos!$A$5:$A$3004,MATCH($A23,Movimientos!$M$5:$M$3004,0)))</f>
        <v/>
      </c>
      <c r="C23" s="14" t="str">
        <f>IF($A23="","",INDEX(Movimientos!$B$5:$B$3004,MATCH($A23,Movimientos!$M$5:$M$3004,0)))</f>
        <v/>
      </c>
      <c r="D23" s="14" t="str">
        <f>IF($A23="","",INDEX(Movimientos!$J$5:$J$3004,MATCH($A23,Movimientos!$M$5:$M$3004,0))&amp;"")</f>
        <v/>
      </c>
      <c r="E23" s="14" t="str">
        <f>IF($A23="","",IF(C23="Entrada",INDEX(Movimientos!$F$5:$F$3004,MATCH($A23,Movimientos!$M$5:$M$3004,0)),""))</f>
        <v/>
      </c>
      <c r="F23" s="14" t="str">
        <f>IF($A23="","",IF(C23="Salida",INDEX(Movimientos!$F$5:$F$3004,MATCH($A23,Movimientos!$M$5:$M$3004,0)),""))</f>
        <v/>
      </c>
      <c r="G23" s="14" t="str">
        <f>IF($A23="","",INDEX(Movimientos!$I$5:$I$3004,MATCH($A23,Movimientos!$M$5:$M$3004,0)))</f>
        <v/>
      </c>
      <c r="H23" s="22" t="str">
        <f>IF($A23="","",INDEX(Movimientos!$G$5:$G$3004,MATCH($A23,Movimientos!$M$5:$M$3004,0)))</f>
        <v/>
      </c>
      <c r="I23" s="22" t="str">
        <f>IF($A23="","",INDEX(Movimientos!$H$5:$H$3004,MATCH($A23,Movimientos!$M$5:$M$3004,0)))</f>
        <v/>
      </c>
      <c r="J23" s="14" t="str">
        <f>IF($A23="","",INDEX(Movimientos!$K$5:$K$3004,MATCH($A23,Movimientos!$M$5:$M$3004,0))&amp;"")</f>
        <v/>
      </c>
    </row>
    <row r="24" spans="1:10" x14ac:dyDescent="0.25">
      <c r="A24" s="14" t="str">
        <f>IF(16&lt;=COUNTIF(Movimientos!$M$5:$M$3004,"&gt;0"),16,"")</f>
        <v/>
      </c>
      <c r="B24" s="30" t="str">
        <f>IF($A24="","",INDEX(Movimientos!$A$5:$A$3004,MATCH($A24,Movimientos!$M$5:$M$3004,0)))</f>
        <v/>
      </c>
      <c r="C24" s="14" t="str">
        <f>IF($A24="","",INDEX(Movimientos!$B$5:$B$3004,MATCH($A24,Movimientos!$M$5:$M$3004,0)))</f>
        <v/>
      </c>
      <c r="D24" s="14" t="str">
        <f>IF($A24="","",INDEX(Movimientos!$J$5:$J$3004,MATCH($A24,Movimientos!$M$5:$M$3004,0))&amp;"")</f>
        <v/>
      </c>
      <c r="E24" s="14" t="str">
        <f>IF($A24="","",IF(C24="Entrada",INDEX(Movimientos!$F$5:$F$3004,MATCH($A24,Movimientos!$M$5:$M$3004,0)),""))</f>
        <v/>
      </c>
      <c r="F24" s="14" t="str">
        <f>IF($A24="","",IF(C24="Salida",INDEX(Movimientos!$F$5:$F$3004,MATCH($A24,Movimientos!$M$5:$M$3004,0)),""))</f>
        <v/>
      </c>
      <c r="G24" s="14" t="str">
        <f>IF($A24="","",INDEX(Movimientos!$I$5:$I$3004,MATCH($A24,Movimientos!$M$5:$M$3004,0)))</f>
        <v/>
      </c>
      <c r="H24" s="22" t="str">
        <f>IF($A24="","",INDEX(Movimientos!$G$5:$G$3004,MATCH($A24,Movimientos!$M$5:$M$3004,0)))</f>
        <v/>
      </c>
      <c r="I24" s="22" t="str">
        <f>IF($A24="","",INDEX(Movimientos!$H$5:$H$3004,MATCH($A24,Movimientos!$M$5:$M$3004,0)))</f>
        <v/>
      </c>
      <c r="J24" s="14" t="str">
        <f>IF($A24="","",INDEX(Movimientos!$K$5:$K$3004,MATCH($A24,Movimientos!$M$5:$M$3004,0))&amp;"")</f>
        <v/>
      </c>
    </row>
    <row r="25" spans="1:10" x14ac:dyDescent="0.25">
      <c r="A25" s="14" t="str">
        <f>IF(17&lt;=COUNTIF(Movimientos!$M$5:$M$3004,"&gt;0"),17,"")</f>
        <v/>
      </c>
      <c r="B25" s="30" t="str">
        <f>IF($A25="","",INDEX(Movimientos!$A$5:$A$3004,MATCH($A25,Movimientos!$M$5:$M$3004,0)))</f>
        <v/>
      </c>
      <c r="C25" s="14" t="str">
        <f>IF($A25="","",INDEX(Movimientos!$B$5:$B$3004,MATCH($A25,Movimientos!$M$5:$M$3004,0)))</f>
        <v/>
      </c>
      <c r="D25" s="14" t="str">
        <f>IF($A25="","",INDEX(Movimientos!$J$5:$J$3004,MATCH($A25,Movimientos!$M$5:$M$3004,0))&amp;"")</f>
        <v/>
      </c>
      <c r="E25" s="14" t="str">
        <f>IF($A25="","",IF(C25="Entrada",INDEX(Movimientos!$F$5:$F$3004,MATCH($A25,Movimientos!$M$5:$M$3004,0)),""))</f>
        <v/>
      </c>
      <c r="F25" s="14" t="str">
        <f>IF($A25="","",IF(C25="Salida",INDEX(Movimientos!$F$5:$F$3004,MATCH($A25,Movimientos!$M$5:$M$3004,0)),""))</f>
        <v/>
      </c>
      <c r="G25" s="14" t="str">
        <f>IF($A25="","",INDEX(Movimientos!$I$5:$I$3004,MATCH($A25,Movimientos!$M$5:$M$3004,0)))</f>
        <v/>
      </c>
      <c r="H25" s="22" t="str">
        <f>IF($A25="","",INDEX(Movimientos!$G$5:$G$3004,MATCH($A25,Movimientos!$M$5:$M$3004,0)))</f>
        <v/>
      </c>
      <c r="I25" s="22" t="str">
        <f>IF($A25="","",INDEX(Movimientos!$H$5:$H$3004,MATCH($A25,Movimientos!$M$5:$M$3004,0)))</f>
        <v/>
      </c>
      <c r="J25" s="14" t="str">
        <f>IF($A25="","",INDEX(Movimientos!$K$5:$K$3004,MATCH($A25,Movimientos!$M$5:$M$3004,0))&amp;"")</f>
        <v/>
      </c>
    </row>
    <row r="26" spans="1:10" x14ac:dyDescent="0.25">
      <c r="A26" s="14" t="str">
        <f>IF(18&lt;=COUNTIF(Movimientos!$M$5:$M$3004,"&gt;0"),18,"")</f>
        <v/>
      </c>
      <c r="B26" s="30" t="str">
        <f>IF($A26="","",INDEX(Movimientos!$A$5:$A$3004,MATCH($A26,Movimientos!$M$5:$M$3004,0)))</f>
        <v/>
      </c>
      <c r="C26" s="14" t="str">
        <f>IF($A26="","",INDEX(Movimientos!$B$5:$B$3004,MATCH($A26,Movimientos!$M$5:$M$3004,0)))</f>
        <v/>
      </c>
      <c r="D26" s="14" t="str">
        <f>IF($A26="","",INDEX(Movimientos!$J$5:$J$3004,MATCH($A26,Movimientos!$M$5:$M$3004,0))&amp;"")</f>
        <v/>
      </c>
      <c r="E26" s="14" t="str">
        <f>IF($A26="","",IF(C26="Entrada",INDEX(Movimientos!$F$5:$F$3004,MATCH($A26,Movimientos!$M$5:$M$3004,0)),""))</f>
        <v/>
      </c>
      <c r="F26" s="14" t="str">
        <f>IF($A26="","",IF(C26="Salida",INDEX(Movimientos!$F$5:$F$3004,MATCH($A26,Movimientos!$M$5:$M$3004,0)),""))</f>
        <v/>
      </c>
      <c r="G26" s="14" t="str">
        <f>IF($A26="","",INDEX(Movimientos!$I$5:$I$3004,MATCH($A26,Movimientos!$M$5:$M$3004,0)))</f>
        <v/>
      </c>
      <c r="H26" s="22" t="str">
        <f>IF($A26="","",INDEX(Movimientos!$G$5:$G$3004,MATCH($A26,Movimientos!$M$5:$M$3004,0)))</f>
        <v/>
      </c>
      <c r="I26" s="22" t="str">
        <f>IF($A26="","",INDEX(Movimientos!$H$5:$H$3004,MATCH($A26,Movimientos!$M$5:$M$3004,0)))</f>
        <v/>
      </c>
      <c r="J26" s="14" t="str">
        <f>IF($A26="","",INDEX(Movimientos!$K$5:$K$3004,MATCH($A26,Movimientos!$M$5:$M$3004,0))&amp;"")</f>
        <v/>
      </c>
    </row>
    <row r="27" spans="1:10" x14ac:dyDescent="0.25">
      <c r="A27" s="14" t="str">
        <f>IF(19&lt;=COUNTIF(Movimientos!$M$5:$M$3004,"&gt;0"),19,"")</f>
        <v/>
      </c>
      <c r="B27" s="30" t="str">
        <f>IF($A27="","",INDEX(Movimientos!$A$5:$A$3004,MATCH($A27,Movimientos!$M$5:$M$3004,0)))</f>
        <v/>
      </c>
      <c r="C27" s="14" t="str">
        <f>IF($A27="","",INDEX(Movimientos!$B$5:$B$3004,MATCH($A27,Movimientos!$M$5:$M$3004,0)))</f>
        <v/>
      </c>
      <c r="D27" s="14" t="str">
        <f>IF($A27="","",INDEX(Movimientos!$J$5:$J$3004,MATCH($A27,Movimientos!$M$5:$M$3004,0))&amp;"")</f>
        <v/>
      </c>
      <c r="E27" s="14" t="str">
        <f>IF($A27="","",IF(C27="Entrada",INDEX(Movimientos!$F$5:$F$3004,MATCH($A27,Movimientos!$M$5:$M$3004,0)),""))</f>
        <v/>
      </c>
      <c r="F27" s="14" t="str">
        <f>IF($A27="","",IF(C27="Salida",INDEX(Movimientos!$F$5:$F$3004,MATCH($A27,Movimientos!$M$5:$M$3004,0)),""))</f>
        <v/>
      </c>
      <c r="G27" s="14" t="str">
        <f>IF($A27="","",INDEX(Movimientos!$I$5:$I$3004,MATCH($A27,Movimientos!$M$5:$M$3004,0)))</f>
        <v/>
      </c>
      <c r="H27" s="22" t="str">
        <f>IF($A27="","",INDEX(Movimientos!$G$5:$G$3004,MATCH($A27,Movimientos!$M$5:$M$3004,0)))</f>
        <v/>
      </c>
      <c r="I27" s="22" t="str">
        <f>IF($A27="","",INDEX(Movimientos!$H$5:$H$3004,MATCH($A27,Movimientos!$M$5:$M$3004,0)))</f>
        <v/>
      </c>
      <c r="J27" s="14" t="str">
        <f>IF($A27="","",INDEX(Movimientos!$K$5:$K$3004,MATCH($A27,Movimientos!$M$5:$M$3004,0))&amp;"")</f>
        <v/>
      </c>
    </row>
    <row r="28" spans="1:10" x14ac:dyDescent="0.25">
      <c r="A28" s="14" t="str">
        <f>IF(20&lt;=COUNTIF(Movimientos!$M$5:$M$3004,"&gt;0"),20,"")</f>
        <v/>
      </c>
      <c r="B28" s="30" t="str">
        <f>IF($A28="","",INDEX(Movimientos!$A$5:$A$3004,MATCH($A28,Movimientos!$M$5:$M$3004,0)))</f>
        <v/>
      </c>
      <c r="C28" s="14" t="str">
        <f>IF($A28="","",INDEX(Movimientos!$B$5:$B$3004,MATCH($A28,Movimientos!$M$5:$M$3004,0)))</f>
        <v/>
      </c>
      <c r="D28" s="14" t="str">
        <f>IF($A28="","",INDEX(Movimientos!$J$5:$J$3004,MATCH($A28,Movimientos!$M$5:$M$3004,0))&amp;"")</f>
        <v/>
      </c>
      <c r="E28" s="14" t="str">
        <f>IF($A28="","",IF(C28="Entrada",INDEX(Movimientos!$F$5:$F$3004,MATCH($A28,Movimientos!$M$5:$M$3004,0)),""))</f>
        <v/>
      </c>
      <c r="F28" s="14" t="str">
        <f>IF($A28="","",IF(C28="Salida",INDEX(Movimientos!$F$5:$F$3004,MATCH($A28,Movimientos!$M$5:$M$3004,0)),""))</f>
        <v/>
      </c>
      <c r="G28" s="14" t="str">
        <f>IF($A28="","",INDEX(Movimientos!$I$5:$I$3004,MATCH($A28,Movimientos!$M$5:$M$3004,0)))</f>
        <v/>
      </c>
      <c r="H28" s="22" t="str">
        <f>IF($A28="","",INDEX(Movimientos!$G$5:$G$3004,MATCH($A28,Movimientos!$M$5:$M$3004,0)))</f>
        <v/>
      </c>
      <c r="I28" s="22" t="str">
        <f>IF($A28="","",INDEX(Movimientos!$H$5:$H$3004,MATCH($A28,Movimientos!$M$5:$M$3004,0)))</f>
        <v/>
      </c>
      <c r="J28" s="14" t="str">
        <f>IF($A28="","",INDEX(Movimientos!$K$5:$K$3004,MATCH($A28,Movimientos!$M$5:$M$3004,0))&amp;"")</f>
        <v/>
      </c>
    </row>
    <row r="29" spans="1:10" x14ac:dyDescent="0.25">
      <c r="A29" s="14" t="str">
        <f>IF(21&lt;=COUNTIF(Movimientos!$M$5:$M$3004,"&gt;0"),21,"")</f>
        <v/>
      </c>
      <c r="B29" s="30" t="str">
        <f>IF($A29="","",INDEX(Movimientos!$A$5:$A$3004,MATCH($A29,Movimientos!$M$5:$M$3004,0)))</f>
        <v/>
      </c>
      <c r="C29" s="14" t="str">
        <f>IF($A29="","",INDEX(Movimientos!$B$5:$B$3004,MATCH($A29,Movimientos!$M$5:$M$3004,0)))</f>
        <v/>
      </c>
      <c r="D29" s="14" t="str">
        <f>IF($A29="","",INDEX(Movimientos!$J$5:$J$3004,MATCH($A29,Movimientos!$M$5:$M$3004,0))&amp;"")</f>
        <v/>
      </c>
      <c r="E29" s="14" t="str">
        <f>IF($A29="","",IF(C29="Entrada",INDEX(Movimientos!$F$5:$F$3004,MATCH($A29,Movimientos!$M$5:$M$3004,0)),""))</f>
        <v/>
      </c>
      <c r="F29" s="14" t="str">
        <f>IF($A29="","",IF(C29="Salida",INDEX(Movimientos!$F$5:$F$3004,MATCH($A29,Movimientos!$M$5:$M$3004,0)),""))</f>
        <v/>
      </c>
      <c r="G29" s="14" t="str">
        <f>IF($A29="","",INDEX(Movimientos!$I$5:$I$3004,MATCH($A29,Movimientos!$M$5:$M$3004,0)))</f>
        <v/>
      </c>
      <c r="H29" s="22" t="str">
        <f>IF($A29="","",INDEX(Movimientos!$G$5:$G$3004,MATCH($A29,Movimientos!$M$5:$M$3004,0)))</f>
        <v/>
      </c>
      <c r="I29" s="22" t="str">
        <f>IF($A29="","",INDEX(Movimientos!$H$5:$H$3004,MATCH($A29,Movimientos!$M$5:$M$3004,0)))</f>
        <v/>
      </c>
      <c r="J29" s="14" t="str">
        <f>IF($A29="","",INDEX(Movimientos!$K$5:$K$3004,MATCH($A29,Movimientos!$M$5:$M$3004,0))&amp;"")</f>
        <v/>
      </c>
    </row>
    <row r="30" spans="1:10" x14ac:dyDescent="0.25">
      <c r="A30" s="14" t="str">
        <f>IF(22&lt;=COUNTIF(Movimientos!$M$5:$M$3004,"&gt;0"),22,"")</f>
        <v/>
      </c>
      <c r="B30" s="30" t="str">
        <f>IF($A30="","",INDEX(Movimientos!$A$5:$A$3004,MATCH($A30,Movimientos!$M$5:$M$3004,0)))</f>
        <v/>
      </c>
      <c r="C30" s="14" t="str">
        <f>IF($A30="","",INDEX(Movimientos!$B$5:$B$3004,MATCH($A30,Movimientos!$M$5:$M$3004,0)))</f>
        <v/>
      </c>
      <c r="D30" s="14" t="str">
        <f>IF($A30="","",INDEX(Movimientos!$J$5:$J$3004,MATCH($A30,Movimientos!$M$5:$M$3004,0))&amp;"")</f>
        <v/>
      </c>
      <c r="E30" s="14" t="str">
        <f>IF($A30="","",IF(C30="Entrada",INDEX(Movimientos!$F$5:$F$3004,MATCH($A30,Movimientos!$M$5:$M$3004,0)),""))</f>
        <v/>
      </c>
      <c r="F30" s="14" t="str">
        <f>IF($A30="","",IF(C30="Salida",INDEX(Movimientos!$F$5:$F$3004,MATCH($A30,Movimientos!$M$5:$M$3004,0)),""))</f>
        <v/>
      </c>
      <c r="G30" s="14" t="str">
        <f>IF($A30="","",INDEX(Movimientos!$I$5:$I$3004,MATCH($A30,Movimientos!$M$5:$M$3004,0)))</f>
        <v/>
      </c>
      <c r="H30" s="22" t="str">
        <f>IF($A30="","",INDEX(Movimientos!$G$5:$G$3004,MATCH($A30,Movimientos!$M$5:$M$3004,0)))</f>
        <v/>
      </c>
      <c r="I30" s="22" t="str">
        <f>IF($A30="","",INDEX(Movimientos!$H$5:$H$3004,MATCH($A30,Movimientos!$M$5:$M$3004,0)))</f>
        <v/>
      </c>
      <c r="J30" s="14" t="str">
        <f>IF($A30="","",INDEX(Movimientos!$K$5:$K$3004,MATCH($A30,Movimientos!$M$5:$M$3004,0))&amp;"")</f>
        <v/>
      </c>
    </row>
    <row r="31" spans="1:10" x14ac:dyDescent="0.25">
      <c r="A31" s="14" t="str">
        <f>IF(23&lt;=COUNTIF(Movimientos!$M$5:$M$3004,"&gt;0"),23,"")</f>
        <v/>
      </c>
      <c r="B31" s="30" t="str">
        <f>IF($A31="","",INDEX(Movimientos!$A$5:$A$3004,MATCH($A31,Movimientos!$M$5:$M$3004,0)))</f>
        <v/>
      </c>
      <c r="C31" s="14" t="str">
        <f>IF($A31="","",INDEX(Movimientos!$B$5:$B$3004,MATCH($A31,Movimientos!$M$5:$M$3004,0)))</f>
        <v/>
      </c>
      <c r="D31" s="14" t="str">
        <f>IF($A31="","",INDEX(Movimientos!$J$5:$J$3004,MATCH($A31,Movimientos!$M$5:$M$3004,0))&amp;"")</f>
        <v/>
      </c>
      <c r="E31" s="14" t="str">
        <f>IF($A31="","",IF(C31="Entrada",INDEX(Movimientos!$F$5:$F$3004,MATCH($A31,Movimientos!$M$5:$M$3004,0)),""))</f>
        <v/>
      </c>
      <c r="F31" s="14" t="str">
        <f>IF($A31="","",IF(C31="Salida",INDEX(Movimientos!$F$5:$F$3004,MATCH($A31,Movimientos!$M$5:$M$3004,0)),""))</f>
        <v/>
      </c>
      <c r="G31" s="14" t="str">
        <f>IF($A31="","",INDEX(Movimientos!$I$5:$I$3004,MATCH($A31,Movimientos!$M$5:$M$3004,0)))</f>
        <v/>
      </c>
      <c r="H31" s="22" t="str">
        <f>IF($A31="","",INDEX(Movimientos!$G$5:$G$3004,MATCH($A31,Movimientos!$M$5:$M$3004,0)))</f>
        <v/>
      </c>
      <c r="I31" s="22" t="str">
        <f>IF($A31="","",INDEX(Movimientos!$H$5:$H$3004,MATCH($A31,Movimientos!$M$5:$M$3004,0)))</f>
        <v/>
      </c>
      <c r="J31" s="14" t="str">
        <f>IF($A31="","",INDEX(Movimientos!$K$5:$K$3004,MATCH($A31,Movimientos!$M$5:$M$3004,0))&amp;"")</f>
        <v/>
      </c>
    </row>
    <row r="32" spans="1:10" x14ac:dyDescent="0.25">
      <c r="A32" s="14" t="str">
        <f>IF(24&lt;=COUNTIF(Movimientos!$M$5:$M$3004,"&gt;0"),24,"")</f>
        <v/>
      </c>
      <c r="B32" s="30" t="str">
        <f>IF($A32="","",INDEX(Movimientos!$A$5:$A$3004,MATCH($A32,Movimientos!$M$5:$M$3004,0)))</f>
        <v/>
      </c>
      <c r="C32" s="14" t="str">
        <f>IF($A32="","",INDEX(Movimientos!$B$5:$B$3004,MATCH($A32,Movimientos!$M$5:$M$3004,0)))</f>
        <v/>
      </c>
      <c r="D32" s="14" t="str">
        <f>IF($A32="","",INDEX(Movimientos!$J$5:$J$3004,MATCH($A32,Movimientos!$M$5:$M$3004,0))&amp;"")</f>
        <v/>
      </c>
      <c r="E32" s="14" t="str">
        <f>IF($A32="","",IF(C32="Entrada",INDEX(Movimientos!$F$5:$F$3004,MATCH($A32,Movimientos!$M$5:$M$3004,0)),""))</f>
        <v/>
      </c>
      <c r="F32" s="14" t="str">
        <f>IF($A32="","",IF(C32="Salida",INDEX(Movimientos!$F$5:$F$3004,MATCH($A32,Movimientos!$M$5:$M$3004,0)),""))</f>
        <v/>
      </c>
      <c r="G32" s="14" t="str">
        <f>IF($A32="","",INDEX(Movimientos!$I$5:$I$3004,MATCH($A32,Movimientos!$M$5:$M$3004,0)))</f>
        <v/>
      </c>
      <c r="H32" s="22" t="str">
        <f>IF($A32="","",INDEX(Movimientos!$G$5:$G$3004,MATCH($A32,Movimientos!$M$5:$M$3004,0)))</f>
        <v/>
      </c>
      <c r="I32" s="22" t="str">
        <f>IF($A32="","",INDEX(Movimientos!$H$5:$H$3004,MATCH($A32,Movimientos!$M$5:$M$3004,0)))</f>
        <v/>
      </c>
      <c r="J32" s="14" t="str">
        <f>IF($A32="","",INDEX(Movimientos!$K$5:$K$3004,MATCH($A32,Movimientos!$M$5:$M$3004,0))&amp;"")</f>
        <v/>
      </c>
    </row>
    <row r="33" spans="1:10" x14ac:dyDescent="0.25">
      <c r="A33" s="14" t="str">
        <f>IF(25&lt;=COUNTIF(Movimientos!$M$5:$M$3004,"&gt;0"),25,"")</f>
        <v/>
      </c>
      <c r="B33" s="30" t="str">
        <f>IF($A33="","",INDEX(Movimientos!$A$5:$A$3004,MATCH($A33,Movimientos!$M$5:$M$3004,0)))</f>
        <v/>
      </c>
      <c r="C33" s="14" t="str">
        <f>IF($A33="","",INDEX(Movimientos!$B$5:$B$3004,MATCH($A33,Movimientos!$M$5:$M$3004,0)))</f>
        <v/>
      </c>
      <c r="D33" s="14" t="str">
        <f>IF($A33="","",INDEX(Movimientos!$J$5:$J$3004,MATCH($A33,Movimientos!$M$5:$M$3004,0))&amp;"")</f>
        <v/>
      </c>
      <c r="E33" s="14" t="str">
        <f>IF($A33="","",IF(C33="Entrada",INDEX(Movimientos!$F$5:$F$3004,MATCH($A33,Movimientos!$M$5:$M$3004,0)),""))</f>
        <v/>
      </c>
      <c r="F33" s="14" t="str">
        <f>IF($A33="","",IF(C33="Salida",INDEX(Movimientos!$F$5:$F$3004,MATCH($A33,Movimientos!$M$5:$M$3004,0)),""))</f>
        <v/>
      </c>
      <c r="G33" s="14" t="str">
        <f>IF($A33="","",INDEX(Movimientos!$I$5:$I$3004,MATCH($A33,Movimientos!$M$5:$M$3004,0)))</f>
        <v/>
      </c>
      <c r="H33" s="22" t="str">
        <f>IF($A33="","",INDEX(Movimientos!$G$5:$G$3004,MATCH($A33,Movimientos!$M$5:$M$3004,0)))</f>
        <v/>
      </c>
      <c r="I33" s="22" t="str">
        <f>IF($A33="","",INDEX(Movimientos!$H$5:$H$3004,MATCH($A33,Movimientos!$M$5:$M$3004,0)))</f>
        <v/>
      </c>
      <c r="J33" s="14" t="str">
        <f>IF($A33="","",INDEX(Movimientos!$K$5:$K$3004,MATCH($A33,Movimientos!$M$5:$M$3004,0))&amp;"")</f>
        <v/>
      </c>
    </row>
    <row r="34" spans="1:10" x14ac:dyDescent="0.25">
      <c r="A34" s="14" t="str">
        <f>IF(26&lt;=COUNTIF(Movimientos!$M$5:$M$3004,"&gt;0"),26,"")</f>
        <v/>
      </c>
      <c r="B34" s="30" t="str">
        <f>IF($A34="","",INDEX(Movimientos!$A$5:$A$3004,MATCH($A34,Movimientos!$M$5:$M$3004,0)))</f>
        <v/>
      </c>
      <c r="C34" s="14" t="str">
        <f>IF($A34="","",INDEX(Movimientos!$B$5:$B$3004,MATCH($A34,Movimientos!$M$5:$M$3004,0)))</f>
        <v/>
      </c>
      <c r="D34" s="14" t="str">
        <f>IF($A34="","",INDEX(Movimientos!$J$5:$J$3004,MATCH($A34,Movimientos!$M$5:$M$3004,0))&amp;"")</f>
        <v/>
      </c>
      <c r="E34" s="14" t="str">
        <f>IF($A34="","",IF(C34="Entrada",INDEX(Movimientos!$F$5:$F$3004,MATCH($A34,Movimientos!$M$5:$M$3004,0)),""))</f>
        <v/>
      </c>
      <c r="F34" s="14" t="str">
        <f>IF($A34="","",IF(C34="Salida",INDEX(Movimientos!$F$5:$F$3004,MATCH($A34,Movimientos!$M$5:$M$3004,0)),""))</f>
        <v/>
      </c>
      <c r="G34" s="14" t="str">
        <f>IF($A34="","",INDEX(Movimientos!$I$5:$I$3004,MATCH($A34,Movimientos!$M$5:$M$3004,0)))</f>
        <v/>
      </c>
      <c r="H34" s="22" t="str">
        <f>IF($A34="","",INDEX(Movimientos!$G$5:$G$3004,MATCH($A34,Movimientos!$M$5:$M$3004,0)))</f>
        <v/>
      </c>
      <c r="I34" s="22" t="str">
        <f>IF($A34="","",INDEX(Movimientos!$H$5:$H$3004,MATCH($A34,Movimientos!$M$5:$M$3004,0)))</f>
        <v/>
      </c>
      <c r="J34" s="14" t="str">
        <f>IF($A34="","",INDEX(Movimientos!$K$5:$K$3004,MATCH($A34,Movimientos!$M$5:$M$3004,0))&amp;"")</f>
        <v/>
      </c>
    </row>
    <row r="35" spans="1:10" x14ac:dyDescent="0.25">
      <c r="A35" s="14" t="str">
        <f>IF(27&lt;=COUNTIF(Movimientos!$M$5:$M$3004,"&gt;0"),27,"")</f>
        <v/>
      </c>
      <c r="B35" s="30" t="str">
        <f>IF($A35="","",INDEX(Movimientos!$A$5:$A$3004,MATCH($A35,Movimientos!$M$5:$M$3004,0)))</f>
        <v/>
      </c>
      <c r="C35" s="14" t="str">
        <f>IF($A35="","",INDEX(Movimientos!$B$5:$B$3004,MATCH($A35,Movimientos!$M$5:$M$3004,0)))</f>
        <v/>
      </c>
      <c r="D35" s="14" t="str">
        <f>IF($A35="","",INDEX(Movimientos!$J$5:$J$3004,MATCH($A35,Movimientos!$M$5:$M$3004,0))&amp;"")</f>
        <v/>
      </c>
      <c r="E35" s="14" t="str">
        <f>IF($A35="","",IF(C35="Entrada",INDEX(Movimientos!$F$5:$F$3004,MATCH($A35,Movimientos!$M$5:$M$3004,0)),""))</f>
        <v/>
      </c>
      <c r="F35" s="14" t="str">
        <f>IF($A35="","",IF(C35="Salida",INDEX(Movimientos!$F$5:$F$3004,MATCH($A35,Movimientos!$M$5:$M$3004,0)),""))</f>
        <v/>
      </c>
      <c r="G35" s="14" t="str">
        <f>IF($A35="","",INDEX(Movimientos!$I$5:$I$3004,MATCH($A35,Movimientos!$M$5:$M$3004,0)))</f>
        <v/>
      </c>
      <c r="H35" s="22" t="str">
        <f>IF($A35="","",INDEX(Movimientos!$G$5:$G$3004,MATCH($A35,Movimientos!$M$5:$M$3004,0)))</f>
        <v/>
      </c>
      <c r="I35" s="22" t="str">
        <f>IF($A35="","",INDEX(Movimientos!$H$5:$H$3004,MATCH($A35,Movimientos!$M$5:$M$3004,0)))</f>
        <v/>
      </c>
      <c r="J35" s="14" t="str">
        <f>IF($A35="","",INDEX(Movimientos!$K$5:$K$3004,MATCH($A35,Movimientos!$M$5:$M$3004,0))&amp;"")</f>
        <v/>
      </c>
    </row>
    <row r="36" spans="1:10" x14ac:dyDescent="0.25">
      <c r="A36" s="14" t="str">
        <f>IF(28&lt;=COUNTIF(Movimientos!$M$5:$M$3004,"&gt;0"),28,"")</f>
        <v/>
      </c>
      <c r="B36" s="30" t="str">
        <f>IF($A36="","",INDEX(Movimientos!$A$5:$A$3004,MATCH($A36,Movimientos!$M$5:$M$3004,0)))</f>
        <v/>
      </c>
      <c r="C36" s="14" t="str">
        <f>IF($A36="","",INDEX(Movimientos!$B$5:$B$3004,MATCH($A36,Movimientos!$M$5:$M$3004,0)))</f>
        <v/>
      </c>
      <c r="D36" s="14" t="str">
        <f>IF($A36="","",INDEX(Movimientos!$J$5:$J$3004,MATCH($A36,Movimientos!$M$5:$M$3004,0))&amp;"")</f>
        <v/>
      </c>
      <c r="E36" s="14" t="str">
        <f>IF($A36="","",IF(C36="Entrada",INDEX(Movimientos!$F$5:$F$3004,MATCH($A36,Movimientos!$M$5:$M$3004,0)),""))</f>
        <v/>
      </c>
      <c r="F36" s="14" t="str">
        <f>IF($A36="","",IF(C36="Salida",INDEX(Movimientos!$F$5:$F$3004,MATCH($A36,Movimientos!$M$5:$M$3004,0)),""))</f>
        <v/>
      </c>
      <c r="G36" s="14" t="str">
        <f>IF($A36="","",INDEX(Movimientos!$I$5:$I$3004,MATCH($A36,Movimientos!$M$5:$M$3004,0)))</f>
        <v/>
      </c>
      <c r="H36" s="22" t="str">
        <f>IF($A36="","",INDEX(Movimientos!$G$5:$G$3004,MATCH($A36,Movimientos!$M$5:$M$3004,0)))</f>
        <v/>
      </c>
      <c r="I36" s="22" t="str">
        <f>IF($A36="","",INDEX(Movimientos!$H$5:$H$3004,MATCH($A36,Movimientos!$M$5:$M$3004,0)))</f>
        <v/>
      </c>
      <c r="J36" s="14" t="str">
        <f>IF($A36="","",INDEX(Movimientos!$K$5:$K$3004,MATCH($A36,Movimientos!$M$5:$M$3004,0))&amp;"")</f>
        <v/>
      </c>
    </row>
    <row r="37" spans="1:10" x14ac:dyDescent="0.25">
      <c r="A37" s="14" t="str">
        <f>IF(29&lt;=COUNTIF(Movimientos!$M$5:$M$3004,"&gt;0"),29,"")</f>
        <v/>
      </c>
      <c r="B37" s="30" t="str">
        <f>IF($A37="","",INDEX(Movimientos!$A$5:$A$3004,MATCH($A37,Movimientos!$M$5:$M$3004,0)))</f>
        <v/>
      </c>
      <c r="C37" s="14" t="str">
        <f>IF($A37="","",INDEX(Movimientos!$B$5:$B$3004,MATCH($A37,Movimientos!$M$5:$M$3004,0)))</f>
        <v/>
      </c>
      <c r="D37" s="14" t="str">
        <f>IF($A37="","",INDEX(Movimientos!$J$5:$J$3004,MATCH($A37,Movimientos!$M$5:$M$3004,0))&amp;"")</f>
        <v/>
      </c>
      <c r="E37" s="14" t="str">
        <f>IF($A37="","",IF(C37="Entrada",INDEX(Movimientos!$F$5:$F$3004,MATCH($A37,Movimientos!$M$5:$M$3004,0)),""))</f>
        <v/>
      </c>
      <c r="F37" s="14" t="str">
        <f>IF($A37="","",IF(C37="Salida",INDEX(Movimientos!$F$5:$F$3004,MATCH($A37,Movimientos!$M$5:$M$3004,0)),""))</f>
        <v/>
      </c>
      <c r="G37" s="14" t="str">
        <f>IF($A37="","",INDEX(Movimientos!$I$5:$I$3004,MATCH($A37,Movimientos!$M$5:$M$3004,0)))</f>
        <v/>
      </c>
      <c r="H37" s="22" t="str">
        <f>IF($A37="","",INDEX(Movimientos!$G$5:$G$3004,MATCH($A37,Movimientos!$M$5:$M$3004,0)))</f>
        <v/>
      </c>
      <c r="I37" s="22" t="str">
        <f>IF($A37="","",INDEX(Movimientos!$H$5:$H$3004,MATCH($A37,Movimientos!$M$5:$M$3004,0)))</f>
        <v/>
      </c>
      <c r="J37" s="14" t="str">
        <f>IF($A37="","",INDEX(Movimientos!$K$5:$K$3004,MATCH($A37,Movimientos!$M$5:$M$3004,0))&amp;"")</f>
        <v/>
      </c>
    </row>
    <row r="38" spans="1:10" x14ac:dyDescent="0.25">
      <c r="A38" s="14" t="str">
        <f>IF(30&lt;=COUNTIF(Movimientos!$M$5:$M$3004,"&gt;0"),30,"")</f>
        <v/>
      </c>
      <c r="B38" s="30" t="str">
        <f>IF($A38="","",INDEX(Movimientos!$A$5:$A$3004,MATCH($A38,Movimientos!$M$5:$M$3004,0)))</f>
        <v/>
      </c>
      <c r="C38" s="14" t="str">
        <f>IF($A38="","",INDEX(Movimientos!$B$5:$B$3004,MATCH($A38,Movimientos!$M$5:$M$3004,0)))</f>
        <v/>
      </c>
      <c r="D38" s="14" t="str">
        <f>IF($A38="","",INDEX(Movimientos!$J$5:$J$3004,MATCH($A38,Movimientos!$M$5:$M$3004,0))&amp;"")</f>
        <v/>
      </c>
      <c r="E38" s="14" t="str">
        <f>IF($A38="","",IF(C38="Entrada",INDEX(Movimientos!$F$5:$F$3004,MATCH($A38,Movimientos!$M$5:$M$3004,0)),""))</f>
        <v/>
      </c>
      <c r="F38" s="14" t="str">
        <f>IF($A38="","",IF(C38="Salida",INDEX(Movimientos!$F$5:$F$3004,MATCH($A38,Movimientos!$M$5:$M$3004,0)),""))</f>
        <v/>
      </c>
      <c r="G38" s="14" t="str">
        <f>IF($A38="","",INDEX(Movimientos!$I$5:$I$3004,MATCH($A38,Movimientos!$M$5:$M$3004,0)))</f>
        <v/>
      </c>
      <c r="H38" s="22" t="str">
        <f>IF($A38="","",INDEX(Movimientos!$G$5:$G$3004,MATCH($A38,Movimientos!$M$5:$M$3004,0)))</f>
        <v/>
      </c>
      <c r="I38" s="22" t="str">
        <f>IF($A38="","",INDEX(Movimientos!$H$5:$H$3004,MATCH($A38,Movimientos!$M$5:$M$3004,0)))</f>
        <v/>
      </c>
      <c r="J38" s="14" t="str">
        <f>IF($A38="","",INDEX(Movimientos!$K$5:$K$3004,MATCH($A38,Movimientos!$M$5:$M$3004,0))&amp;"")</f>
        <v/>
      </c>
    </row>
    <row r="39" spans="1:10" x14ac:dyDescent="0.25">
      <c r="A39" s="14" t="str">
        <f>IF(31&lt;=COUNTIF(Movimientos!$M$5:$M$3004,"&gt;0"),31,"")</f>
        <v/>
      </c>
      <c r="B39" s="30" t="str">
        <f>IF($A39="","",INDEX(Movimientos!$A$5:$A$3004,MATCH($A39,Movimientos!$M$5:$M$3004,0)))</f>
        <v/>
      </c>
      <c r="C39" s="14" t="str">
        <f>IF($A39="","",INDEX(Movimientos!$B$5:$B$3004,MATCH($A39,Movimientos!$M$5:$M$3004,0)))</f>
        <v/>
      </c>
      <c r="D39" s="14" t="str">
        <f>IF($A39="","",INDEX(Movimientos!$J$5:$J$3004,MATCH($A39,Movimientos!$M$5:$M$3004,0))&amp;"")</f>
        <v/>
      </c>
      <c r="E39" s="14" t="str">
        <f>IF($A39="","",IF(C39="Entrada",INDEX(Movimientos!$F$5:$F$3004,MATCH($A39,Movimientos!$M$5:$M$3004,0)),""))</f>
        <v/>
      </c>
      <c r="F39" s="14" t="str">
        <f>IF($A39="","",IF(C39="Salida",INDEX(Movimientos!$F$5:$F$3004,MATCH($A39,Movimientos!$M$5:$M$3004,0)),""))</f>
        <v/>
      </c>
      <c r="G39" s="14" t="str">
        <f>IF($A39="","",INDEX(Movimientos!$I$5:$I$3004,MATCH($A39,Movimientos!$M$5:$M$3004,0)))</f>
        <v/>
      </c>
      <c r="H39" s="22" t="str">
        <f>IF($A39="","",INDEX(Movimientos!$G$5:$G$3004,MATCH($A39,Movimientos!$M$5:$M$3004,0)))</f>
        <v/>
      </c>
      <c r="I39" s="22" t="str">
        <f>IF($A39="","",INDEX(Movimientos!$H$5:$H$3004,MATCH($A39,Movimientos!$M$5:$M$3004,0)))</f>
        <v/>
      </c>
      <c r="J39" s="14" t="str">
        <f>IF($A39="","",INDEX(Movimientos!$K$5:$K$3004,MATCH($A39,Movimientos!$M$5:$M$3004,0))&amp;"")</f>
        <v/>
      </c>
    </row>
    <row r="40" spans="1:10" x14ac:dyDescent="0.25">
      <c r="A40" s="14" t="str">
        <f>IF(32&lt;=COUNTIF(Movimientos!$M$5:$M$3004,"&gt;0"),32,"")</f>
        <v/>
      </c>
      <c r="B40" s="30" t="str">
        <f>IF($A40="","",INDEX(Movimientos!$A$5:$A$3004,MATCH($A40,Movimientos!$M$5:$M$3004,0)))</f>
        <v/>
      </c>
      <c r="C40" s="14" t="str">
        <f>IF($A40="","",INDEX(Movimientos!$B$5:$B$3004,MATCH($A40,Movimientos!$M$5:$M$3004,0)))</f>
        <v/>
      </c>
      <c r="D40" s="14" t="str">
        <f>IF($A40="","",INDEX(Movimientos!$J$5:$J$3004,MATCH($A40,Movimientos!$M$5:$M$3004,0))&amp;"")</f>
        <v/>
      </c>
      <c r="E40" s="14" t="str">
        <f>IF($A40="","",IF(C40="Entrada",INDEX(Movimientos!$F$5:$F$3004,MATCH($A40,Movimientos!$M$5:$M$3004,0)),""))</f>
        <v/>
      </c>
      <c r="F40" s="14" t="str">
        <f>IF($A40="","",IF(C40="Salida",INDEX(Movimientos!$F$5:$F$3004,MATCH($A40,Movimientos!$M$5:$M$3004,0)),""))</f>
        <v/>
      </c>
      <c r="G40" s="14" t="str">
        <f>IF($A40="","",INDEX(Movimientos!$I$5:$I$3004,MATCH($A40,Movimientos!$M$5:$M$3004,0)))</f>
        <v/>
      </c>
      <c r="H40" s="22" t="str">
        <f>IF($A40="","",INDEX(Movimientos!$G$5:$G$3004,MATCH($A40,Movimientos!$M$5:$M$3004,0)))</f>
        <v/>
      </c>
      <c r="I40" s="22" t="str">
        <f>IF($A40="","",INDEX(Movimientos!$H$5:$H$3004,MATCH($A40,Movimientos!$M$5:$M$3004,0)))</f>
        <v/>
      </c>
      <c r="J40" s="14" t="str">
        <f>IF($A40="","",INDEX(Movimientos!$K$5:$K$3004,MATCH($A40,Movimientos!$M$5:$M$3004,0))&amp;"")</f>
        <v/>
      </c>
    </row>
    <row r="41" spans="1:10" x14ac:dyDescent="0.25">
      <c r="A41" s="14" t="str">
        <f>IF(33&lt;=COUNTIF(Movimientos!$M$5:$M$3004,"&gt;0"),33,"")</f>
        <v/>
      </c>
      <c r="B41" s="30" t="str">
        <f>IF($A41="","",INDEX(Movimientos!$A$5:$A$3004,MATCH($A41,Movimientos!$M$5:$M$3004,0)))</f>
        <v/>
      </c>
      <c r="C41" s="14" t="str">
        <f>IF($A41="","",INDEX(Movimientos!$B$5:$B$3004,MATCH($A41,Movimientos!$M$5:$M$3004,0)))</f>
        <v/>
      </c>
      <c r="D41" s="14" t="str">
        <f>IF($A41="","",INDEX(Movimientos!$J$5:$J$3004,MATCH($A41,Movimientos!$M$5:$M$3004,0))&amp;"")</f>
        <v/>
      </c>
      <c r="E41" s="14" t="str">
        <f>IF($A41="","",IF(C41="Entrada",INDEX(Movimientos!$F$5:$F$3004,MATCH($A41,Movimientos!$M$5:$M$3004,0)),""))</f>
        <v/>
      </c>
      <c r="F41" s="14" t="str">
        <f>IF($A41="","",IF(C41="Salida",INDEX(Movimientos!$F$5:$F$3004,MATCH($A41,Movimientos!$M$5:$M$3004,0)),""))</f>
        <v/>
      </c>
      <c r="G41" s="14" t="str">
        <f>IF($A41="","",INDEX(Movimientos!$I$5:$I$3004,MATCH($A41,Movimientos!$M$5:$M$3004,0)))</f>
        <v/>
      </c>
      <c r="H41" s="22" t="str">
        <f>IF($A41="","",INDEX(Movimientos!$G$5:$G$3004,MATCH($A41,Movimientos!$M$5:$M$3004,0)))</f>
        <v/>
      </c>
      <c r="I41" s="22" t="str">
        <f>IF($A41="","",INDEX(Movimientos!$H$5:$H$3004,MATCH($A41,Movimientos!$M$5:$M$3004,0)))</f>
        <v/>
      </c>
      <c r="J41" s="14" t="str">
        <f>IF($A41="","",INDEX(Movimientos!$K$5:$K$3004,MATCH($A41,Movimientos!$M$5:$M$3004,0))&amp;"")</f>
        <v/>
      </c>
    </row>
    <row r="42" spans="1:10" x14ac:dyDescent="0.25">
      <c r="A42" s="14" t="str">
        <f>IF(34&lt;=COUNTIF(Movimientos!$M$5:$M$3004,"&gt;0"),34,"")</f>
        <v/>
      </c>
      <c r="B42" s="30" t="str">
        <f>IF($A42="","",INDEX(Movimientos!$A$5:$A$3004,MATCH($A42,Movimientos!$M$5:$M$3004,0)))</f>
        <v/>
      </c>
      <c r="C42" s="14" t="str">
        <f>IF($A42="","",INDEX(Movimientos!$B$5:$B$3004,MATCH($A42,Movimientos!$M$5:$M$3004,0)))</f>
        <v/>
      </c>
      <c r="D42" s="14" t="str">
        <f>IF($A42="","",INDEX(Movimientos!$J$5:$J$3004,MATCH($A42,Movimientos!$M$5:$M$3004,0))&amp;"")</f>
        <v/>
      </c>
      <c r="E42" s="14" t="str">
        <f>IF($A42="","",IF(C42="Entrada",INDEX(Movimientos!$F$5:$F$3004,MATCH($A42,Movimientos!$M$5:$M$3004,0)),""))</f>
        <v/>
      </c>
      <c r="F42" s="14" t="str">
        <f>IF($A42="","",IF(C42="Salida",INDEX(Movimientos!$F$5:$F$3004,MATCH($A42,Movimientos!$M$5:$M$3004,0)),""))</f>
        <v/>
      </c>
      <c r="G42" s="14" t="str">
        <f>IF($A42="","",INDEX(Movimientos!$I$5:$I$3004,MATCH($A42,Movimientos!$M$5:$M$3004,0)))</f>
        <v/>
      </c>
      <c r="H42" s="22" t="str">
        <f>IF($A42="","",INDEX(Movimientos!$G$5:$G$3004,MATCH($A42,Movimientos!$M$5:$M$3004,0)))</f>
        <v/>
      </c>
      <c r="I42" s="22" t="str">
        <f>IF($A42="","",INDEX(Movimientos!$H$5:$H$3004,MATCH($A42,Movimientos!$M$5:$M$3004,0)))</f>
        <v/>
      </c>
      <c r="J42" s="14" t="str">
        <f>IF($A42="","",INDEX(Movimientos!$K$5:$K$3004,MATCH($A42,Movimientos!$M$5:$M$3004,0))&amp;"")</f>
        <v/>
      </c>
    </row>
    <row r="43" spans="1:10" x14ac:dyDescent="0.25">
      <c r="A43" s="14" t="str">
        <f>IF(35&lt;=COUNTIF(Movimientos!$M$5:$M$3004,"&gt;0"),35,"")</f>
        <v/>
      </c>
      <c r="B43" s="30" t="str">
        <f>IF($A43="","",INDEX(Movimientos!$A$5:$A$3004,MATCH($A43,Movimientos!$M$5:$M$3004,0)))</f>
        <v/>
      </c>
      <c r="C43" s="14" t="str">
        <f>IF($A43="","",INDEX(Movimientos!$B$5:$B$3004,MATCH($A43,Movimientos!$M$5:$M$3004,0)))</f>
        <v/>
      </c>
      <c r="D43" s="14" t="str">
        <f>IF($A43="","",INDEX(Movimientos!$J$5:$J$3004,MATCH($A43,Movimientos!$M$5:$M$3004,0))&amp;"")</f>
        <v/>
      </c>
      <c r="E43" s="14" t="str">
        <f>IF($A43="","",IF(C43="Entrada",INDEX(Movimientos!$F$5:$F$3004,MATCH($A43,Movimientos!$M$5:$M$3004,0)),""))</f>
        <v/>
      </c>
      <c r="F43" s="14" t="str">
        <f>IF($A43="","",IF(C43="Salida",INDEX(Movimientos!$F$5:$F$3004,MATCH($A43,Movimientos!$M$5:$M$3004,0)),""))</f>
        <v/>
      </c>
      <c r="G43" s="14" t="str">
        <f>IF($A43="","",INDEX(Movimientos!$I$5:$I$3004,MATCH($A43,Movimientos!$M$5:$M$3004,0)))</f>
        <v/>
      </c>
      <c r="H43" s="22" t="str">
        <f>IF($A43="","",INDEX(Movimientos!$G$5:$G$3004,MATCH($A43,Movimientos!$M$5:$M$3004,0)))</f>
        <v/>
      </c>
      <c r="I43" s="22" t="str">
        <f>IF($A43="","",INDEX(Movimientos!$H$5:$H$3004,MATCH($A43,Movimientos!$M$5:$M$3004,0)))</f>
        <v/>
      </c>
      <c r="J43" s="14" t="str">
        <f>IF($A43="","",INDEX(Movimientos!$K$5:$K$3004,MATCH($A43,Movimientos!$M$5:$M$3004,0))&amp;"")</f>
        <v/>
      </c>
    </row>
    <row r="44" spans="1:10" x14ac:dyDescent="0.25">
      <c r="A44" s="14" t="str">
        <f>IF(36&lt;=COUNTIF(Movimientos!$M$5:$M$3004,"&gt;0"),36,"")</f>
        <v/>
      </c>
      <c r="B44" s="30" t="str">
        <f>IF($A44="","",INDEX(Movimientos!$A$5:$A$3004,MATCH($A44,Movimientos!$M$5:$M$3004,0)))</f>
        <v/>
      </c>
      <c r="C44" s="14" t="str">
        <f>IF($A44="","",INDEX(Movimientos!$B$5:$B$3004,MATCH($A44,Movimientos!$M$5:$M$3004,0)))</f>
        <v/>
      </c>
      <c r="D44" s="14" t="str">
        <f>IF($A44="","",INDEX(Movimientos!$J$5:$J$3004,MATCH($A44,Movimientos!$M$5:$M$3004,0))&amp;"")</f>
        <v/>
      </c>
      <c r="E44" s="14" t="str">
        <f>IF($A44="","",IF(C44="Entrada",INDEX(Movimientos!$F$5:$F$3004,MATCH($A44,Movimientos!$M$5:$M$3004,0)),""))</f>
        <v/>
      </c>
      <c r="F44" s="14" t="str">
        <f>IF($A44="","",IF(C44="Salida",INDEX(Movimientos!$F$5:$F$3004,MATCH($A44,Movimientos!$M$5:$M$3004,0)),""))</f>
        <v/>
      </c>
      <c r="G44" s="14" t="str">
        <f>IF($A44="","",INDEX(Movimientos!$I$5:$I$3004,MATCH($A44,Movimientos!$M$5:$M$3004,0)))</f>
        <v/>
      </c>
      <c r="H44" s="22" t="str">
        <f>IF($A44="","",INDEX(Movimientos!$G$5:$G$3004,MATCH($A44,Movimientos!$M$5:$M$3004,0)))</f>
        <v/>
      </c>
      <c r="I44" s="22" t="str">
        <f>IF($A44="","",INDEX(Movimientos!$H$5:$H$3004,MATCH($A44,Movimientos!$M$5:$M$3004,0)))</f>
        <v/>
      </c>
      <c r="J44" s="14" t="str">
        <f>IF($A44="","",INDEX(Movimientos!$K$5:$K$3004,MATCH($A44,Movimientos!$M$5:$M$3004,0))&amp;"")</f>
        <v/>
      </c>
    </row>
    <row r="45" spans="1:10" x14ac:dyDescent="0.25">
      <c r="A45" s="14" t="str">
        <f>IF(37&lt;=COUNTIF(Movimientos!$M$5:$M$3004,"&gt;0"),37,"")</f>
        <v/>
      </c>
      <c r="B45" s="30" t="str">
        <f>IF($A45="","",INDEX(Movimientos!$A$5:$A$3004,MATCH($A45,Movimientos!$M$5:$M$3004,0)))</f>
        <v/>
      </c>
      <c r="C45" s="14" t="str">
        <f>IF($A45="","",INDEX(Movimientos!$B$5:$B$3004,MATCH($A45,Movimientos!$M$5:$M$3004,0)))</f>
        <v/>
      </c>
      <c r="D45" s="14" t="str">
        <f>IF($A45="","",INDEX(Movimientos!$J$5:$J$3004,MATCH($A45,Movimientos!$M$5:$M$3004,0))&amp;"")</f>
        <v/>
      </c>
      <c r="E45" s="14" t="str">
        <f>IF($A45="","",IF(C45="Entrada",INDEX(Movimientos!$F$5:$F$3004,MATCH($A45,Movimientos!$M$5:$M$3004,0)),""))</f>
        <v/>
      </c>
      <c r="F45" s="14" t="str">
        <f>IF($A45="","",IF(C45="Salida",INDEX(Movimientos!$F$5:$F$3004,MATCH($A45,Movimientos!$M$5:$M$3004,0)),""))</f>
        <v/>
      </c>
      <c r="G45" s="14" t="str">
        <f>IF($A45="","",INDEX(Movimientos!$I$5:$I$3004,MATCH($A45,Movimientos!$M$5:$M$3004,0)))</f>
        <v/>
      </c>
      <c r="H45" s="22" t="str">
        <f>IF($A45="","",INDEX(Movimientos!$G$5:$G$3004,MATCH($A45,Movimientos!$M$5:$M$3004,0)))</f>
        <v/>
      </c>
      <c r="I45" s="22" t="str">
        <f>IF($A45="","",INDEX(Movimientos!$H$5:$H$3004,MATCH($A45,Movimientos!$M$5:$M$3004,0)))</f>
        <v/>
      </c>
      <c r="J45" s="14" t="str">
        <f>IF($A45="","",INDEX(Movimientos!$K$5:$K$3004,MATCH($A45,Movimientos!$M$5:$M$3004,0))&amp;"")</f>
        <v/>
      </c>
    </row>
    <row r="46" spans="1:10" x14ac:dyDescent="0.25">
      <c r="A46" s="14" t="str">
        <f>IF(38&lt;=COUNTIF(Movimientos!$M$5:$M$3004,"&gt;0"),38,"")</f>
        <v/>
      </c>
      <c r="B46" s="30" t="str">
        <f>IF($A46="","",INDEX(Movimientos!$A$5:$A$3004,MATCH($A46,Movimientos!$M$5:$M$3004,0)))</f>
        <v/>
      </c>
      <c r="C46" s="14" t="str">
        <f>IF($A46="","",INDEX(Movimientos!$B$5:$B$3004,MATCH($A46,Movimientos!$M$5:$M$3004,0)))</f>
        <v/>
      </c>
      <c r="D46" s="14" t="str">
        <f>IF($A46="","",INDEX(Movimientos!$J$5:$J$3004,MATCH($A46,Movimientos!$M$5:$M$3004,0))&amp;"")</f>
        <v/>
      </c>
      <c r="E46" s="14" t="str">
        <f>IF($A46="","",IF(C46="Entrada",INDEX(Movimientos!$F$5:$F$3004,MATCH($A46,Movimientos!$M$5:$M$3004,0)),""))</f>
        <v/>
      </c>
      <c r="F46" s="14" t="str">
        <f>IF($A46="","",IF(C46="Salida",INDEX(Movimientos!$F$5:$F$3004,MATCH($A46,Movimientos!$M$5:$M$3004,0)),""))</f>
        <v/>
      </c>
      <c r="G46" s="14" t="str">
        <f>IF($A46="","",INDEX(Movimientos!$I$5:$I$3004,MATCH($A46,Movimientos!$M$5:$M$3004,0)))</f>
        <v/>
      </c>
      <c r="H46" s="22" t="str">
        <f>IF($A46="","",INDEX(Movimientos!$G$5:$G$3004,MATCH($A46,Movimientos!$M$5:$M$3004,0)))</f>
        <v/>
      </c>
      <c r="I46" s="22" t="str">
        <f>IF($A46="","",INDEX(Movimientos!$H$5:$H$3004,MATCH($A46,Movimientos!$M$5:$M$3004,0)))</f>
        <v/>
      </c>
      <c r="J46" s="14" t="str">
        <f>IF($A46="","",INDEX(Movimientos!$K$5:$K$3004,MATCH($A46,Movimientos!$M$5:$M$3004,0))&amp;"")</f>
        <v/>
      </c>
    </row>
    <row r="47" spans="1:10" x14ac:dyDescent="0.25">
      <c r="A47" s="14" t="str">
        <f>IF(39&lt;=COUNTIF(Movimientos!$M$5:$M$3004,"&gt;0"),39,"")</f>
        <v/>
      </c>
      <c r="B47" s="30" t="str">
        <f>IF($A47="","",INDEX(Movimientos!$A$5:$A$3004,MATCH($A47,Movimientos!$M$5:$M$3004,0)))</f>
        <v/>
      </c>
      <c r="C47" s="14" t="str">
        <f>IF($A47="","",INDEX(Movimientos!$B$5:$B$3004,MATCH($A47,Movimientos!$M$5:$M$3004,0)))</f>
        <v/>
      </c>
      <c r="D47" s="14" t="str">
        <f>IF($A47="","",INDEX(Movimientos!$J$5:$J$3004,MATCH($A47,Movimientos!$M$5:$M$3004,0))&amp;"")</f>
        <v/>
      </c>
      <c r="E47" s="14" t="str">
        <f>IF($A47="","",IF(C47="Entrada",INDEX(Movimientos!$F$5:$F$3004,MATCH($A47,Movimientos!$M$5:$M$3004,0)),""))</f>
        <v/>
      </c>
      <c r="F47" s="14" t="str">
        <f>IF($A47="","",IF(C47="Salida",INDEX(Movimientos!$F$5:$F$3004,MATCH($A47,Movimientos!$M$5:$M$3004,0)),""))</f>
        <v/>
      </c>
      <c r="G47" s="14" t="str">
        <f>IF($A47="","",INDEX(Movimientos!$I$5:$I$3004,MATCH($A47,Movimientos!$M$5:$M$3004,0)))</f>
        <v/>
      </c>
      <c r="H47" s="22" t="str">
        <f>IF($A47="","",INDEX(Movimientos!$G$5:$G$3004,MATCH($A47,Movimientos!$M$5:$M$3004,0)))</f>
        <v/>
      </c>
      <c r="I47" s="22" t="str">
        <f>IF($A47="","",INDEX(Movimientos!$H$5:$H$3004,MATCH($A47,Movimientos!$M$5:$M$3004,0)))</f>
        <v/>
      </c>
      <c r="J47" s="14" t="str">
        <f>IF($A47="","",INDEX(Movimientos!$K$5:$K$3004,MATCH($A47,Movimientos!$M$5:$M$3004,0))&amp;"")</f>
        <v/>
      </c>
    </row>
    <row r="48" spans="1:10" x14ac:dyDescent="0.25">
      <c r="A48" s="14" t="str">
        <f>IF(40&lt;=COUNTIF(Movimientos!$M$5:$M$3004,"&gt;0"),40,"")</f>
        <v/>
      </c>
      <c r="B48" s="30" t="str">
        <f>IF($A48="","",INDEX(Movimientos!$A$5:$A$3004,MATCH($A48,Movimientos!$M$5:$M$3004,0)))</f>
        <v/>
      </c>
      <c r="C48" s="14" t="str">
        <f>IF($A48="","",INDEX(Movimientos!$B$5:$B$3004,MATCH($A48,Movimientos!$M$5:$M$3004,0)))</f>
        <v/>
      </c>
      <c r="D48" s="14" t="str">
        <f>IF($A48="","",INDEX(Movimientos!$J$5:$J$3004,MATCH($A48,Movimientos!$M$5:$M$3004,0))&amp;"")</f>
        <v/>
      </c>
      <c r="E48" s="14" t="str">
        <f>IF($A48="","",IF(C48="Entrada",INDEX(Movimientos!$F$5:$F$3004,MATCH($A48,Movimientos!$M$5:$M$3004,0)),""))</f>
        <v/>
      </c>
      <c r="F48" s="14" t="str">
        <f>IF($A48="","",IF(C48="Salida",INDEX(Movimientos!$F$5:$F$3004,MATCH($A48,Movimientos!$M$5:$M$3004,0)),""))</f>
        <v/>
      </c>
      <c r="G48" s="14" t="str">
        <f>IF($A48="","",INDEX(Movimientos!$I$5:$I$3004,MATCH($A48,Movimientos!$M$5:$M$3004,0)))</f>
        <v/>
      </c>
      <c r="H48" s="22" t="str">
        <f>IF($A48="","",INDEX(Movimientos!$G$5:$G$3004,MATCH($A48,Movimientos!$M$5:$M$3004,0)))</f>
        <v/>
      </c>
      <c r="I48" s="22" t="str">
        <f>IF($A48="","",INDEX(Movimientos!$H$5:$H$3004,MATCH($A48,Movimientos!$M$5:$M$3004,0)))</f>
        <v/>
      </c>
      <c r="J48" s="14" t="str">
        <f>IF($A48="","",INDEX(Movimientos!$K$5:$K$3004,MATCH($A48,Movimientos!$M$5:$M$3004,0))&amp;"")</f>
        <v/>
      </c>
    </row>
    <row r="49" spans="1:10" x14ac:dyDescent="0.25">
      <c r="A49" s="14" t="str">
        <f>IF(41&lt;=COUNTIF(Movimientos!$M$5:$M$3004,"&gt;0"),41,"")</f>
        <v/>
      </c>
      <c r="B49" s="30" t="str">
        <f>IF($A49="","",INDEX(Movimientos!$A$5:$A$3004,MATCH($A49,Movimientos!$M$5:$M$3004,0)))</f>
        <v/>
      </c>
      <c r="C49" s="14" t="str">
        <f>IF($A49="","",INDEX(Movimientos!$B$5:$B$3004,MATCH($A49,Movimientos!$M$5:$M$3004,0)))</f>
        <v/>
      </c>
      <c r="D49" s="14" t="str">
        <f>IF($A49="","",INDEX(Movimientos!$J$5:$J$3004,MATCH($A49,Movimientos!$M$5:$M$3004,0))&amp;"")</f>
        <v/>
      </c>
      <c r="E49" s="14" t="str">
        <f>IF($A49="","",IF(C49="Entrada",INDEX(Movimientos!$F$5:$F$3004,MATCH($A49,Movimientos!$M$5:$M$3004,0)),""))</f>
        <v/>
      </c>
      <c r="F49" s="14" t="str">
        <f>IF($A49="","",IF(C49="Salida",INDEX(Movimientos!$F$5:$F$3004,MATCH($A49,Movimientos!$M$5:$M$3004,0)),""))</f>
        <v/>
      </c>
      <c r="G49" s="14" t="str">
        <f>IF($A49="","",INDEX(Movimientos!$I$5:$I$3004,MATCH($A49,Movimientos!$M$5:$M$3004,0)))</f>
        <v/>
      </c>
      <c r="H49" s="22" t="str">
        <f>IF($A49="","",INDEX(Movimientos!$G$5:$G$3004,MATCH($A49,Movimientos!$M$5:$M$3004,0)))</f>
        <v/>
      </c>
      <c r="I49" s="22" t="str">
        <f>IF($A49="","",INDEX(Movimientos!$H$5:$H$3004,MATCH($A49,Movimientos!$M$5:$M$3004,0)))</f>
        <v/>
      </c>
      <c r="J49" s="14" t="str">
        <f>IF($A49="","",INDEX(Movimientos!$K$5:$K$3004,MATCH($A49,Movimientos!$M$5:$M$3004,0))&amp;"")</f>
        <v/>
      </c>
    </row>
    <row r="50" spans="1:10" x14ac:dyDescent="0.25">
      <c r="A50" s="14" t="str">
        <f>IF(42&lt;=COUNTIF(Movimientos!$M$5:$M$3004,"&gt;0"),42,"")</f>
        <v/>
      </c>
      <c r="B50" s="30" t="str">
        <f>IF($A50="","",INDEX(Movimientos!$A$5:$A$3004,MATCH($A50,Movimientos!$M$5:$M$3004,0)))</f>
        <v/>
      </c>
      <c r="C50" s="14" t="str">
        <f>IF($A50="","",INDEX(Movimientos!$B$5:$B$3004,MATCH($A50,Movimientos!$M$5:$M$3004,0)))</f>
        <v/>
      </c>
      <c r="D50" s="14" t="str">
        <f>IF($A50="","",INDEX(Movimientos!$J$5:$J$3004,MATCH($A50,Movimientos!$M$5:$M$3004,0))&amp;"")</f>
        <v/>
      </c>
      <c r="E50" s="14" t="str">
        <f>IF($A50="","",IF(C50="Entrada",INDEX(Movimientos!$F$5:$F$3004,MATCH($A50,Movimientos!$M$5:$M$3004,0)),""))</f>
        <v/>
      </c>
      <c r="F50" s="14" t="str">
        <f>IF($A50="","",IF(C50="Salida",INDEX(Movimientos!$F$5:$F$3004,MATCH($A50,Movimientos!$M$5:$M$3004,0)),""))</f>
        <v/>
      </c>
      <c r="G50" s="14" t="str">
        <f>IF($A50="","",INDEX(Movimientos!$I$5:$I$3004,MATCH($A50,Movimientos!$M$5:$M$3004,0)))</f>
        <v/>
      </c>
      <c r="H50" s="22" t="str">
        <f>IF($A50="","",INDEX(Movimientos!$G$5:$G$3004,MATCH($A50,Movimientos!$M$5:$M$3004,0)))</f>
        <v/>
      </c>
      <c r="I50" s="22" t="str">
        <f>IF($A50="","",INDEX(Movimientos!$H$5:$H$3004,MATCH($A50,Movimientos!$M$5:$M$3004,0)))</f>
        <v/>
      </c>
      <c r="J50" s="14" t="str">
        <f>IF($A50="","",INDEX(Movimientos!$K$5:$K$3004,MATCH($A50,Movimientos!$M$5:$M$3004,0))&amp;"")</f>
        <v/>
      </c>
    </row>
    <row r="51" spans="1:10" x14ac:dyDescent="0.25">
      <c r="A51" s="14" t="str">
        <f>IF(43&lt;=COUNTIF(Movimientos!$M$5:$M$3004,"&gt;0"),43,"")</f>
        <v/>
      </c>
      <c r="B51" s="30" t="str">
        <f>IF($A51="","",INDEX(Movimientos!$A$5:$A$3004,MATCH($A51,Movimientos!$M$5:$M$3004,0)))</f>
        <v/>
      </c>
      <c r="C51" s="14" t="str">
        <f>IF($A51="","",INDEX(Movimientos!$B$5:$B$3004,MATCH($A51,Movimientos!$M$5:$M$3004,0)))</f>
        <v/>
      </c>
      <c r="D51" s="14" t="str">
        <f>IF($A51="","",INDEX(Movimientos!$J$5:$J$3004,MATCH($A51,Movimientos!$M$5:$M$3004,0))&amp;"")</f>
        <v/>
      </c>
      <c r="E51" s="14" t="str">
        <f>IF($A51="","",IF(C51="Entrada",INDEX(Movimientos!$F$5:$F$3004,MATCH($A51,Movimientos!$M$5:$M$3004,0)),""))</f>
        <v/>
      </c>
      <c r="F51" s="14" t="str">
        <f>IF($A51="","",IF(C51="Salida",INDEX(Movimientos!$F$5:$F$3004,MATCH($A51,Movimientos!$M$5:$M$3004,0)),""))</f>
        <v/>
      </c>
      <c r="G51" s="14" t="str">
        <f>IF($A51="","",INDEX(Movimientos!$I$5:$I$3004,MATCH($A51,Movimientos!$M$5:$M$3004,0)))</f>
        <v/>
      </c>
      <c r="H51" s="22" t="str">
        <f>IF($A51="","",INDEX(Movimientos!$G$5:$G$3004,MATCH($A51,Movimientos!$M$5:$M$3004,0)))</f>
        <v/>
      </c>
      <c r="I51" s="22" t="str">
        <f>IF($A51="","",INDEX(Movimientos!$H$5:$H$3004,MATCH($A51,Movimientos!$M$5:$M$3004,0)))</f>
        <v/>
      </c>
      <c r="J51" s="14" t="str">
        <f>IF($A51="","",INDEX(Movimientos!$K$5:$K$3004,MATCH($A51,Movimientos!$M$5:$M$3004,0))&amp;"")</f>
        <v/>
      </c>
    </row>
    <row r="52" spans="1:10" x14ac:dyDescent="0.25">
      <c r="A52" s="14" t="str">
        <f>IF(44&lt;=COUNTIF(Movimientos!$M$5:$M$3004,"&gt;0"),44,"")</f>
        <v/>
      </c>
      <c r="B52" s="30" t="str">
        <f>IF($A52="","",INDEX(Movimientos!$A$5:$A$3004,MATCH($A52,Movimientos!$M$5:$M$3004,0)))</f>
        <v/>
      </c>
      <c r="C52" s="14" t="str">
        <f>IF($A52="","",INDEX(Movimientos!$B$5:$B$3004,MATCH($A52,Movimientos!$M$5:$M$3004,0)))</f>
        <v/>
      </c>
      <c r="D52" s="14" t="str">
        <f>IF($A52="","",INDEX(Movimientos!$J$5:$J$3004,MATCH($A52,Movimientos!$M$5:$M$3004,0))&amp;"")</f>
        <v/>
      </c>
      <c r="E52" s="14" t="str">
        <f>IF($A52="","",IF(C52="Entrada",INDEX(Movimientos!$F$5:$F$3004,MATCH($A52,Movimientos!$M$5:$M$3004,0)),""))</f>
        <v/>
      </c>
      <c r="F52" s="14" t="str">
        <f>IF($A52="","",IF(C52="Salida",INDEX(Movimientos!$F$5:$F$3004,MATCH($A52,Movimientos!$M$5:$M$3004,0)),""))</f>
        <v/>
      </c>
      <c r="G52" s="14" t="str">
        <f>IF($A52="","",INDEX(Movimientos!$I$5:$I$3004,MATCH($A52,Movimientos!$M$5:$M$3004,0)))</f>
        <v/>
      </c>
      <c r="H52" s="22" t="str">
        <f>IF($A52="","",INDEX(Movimientos!$G$5:$G$3004,MATCH($A52,Movimientos!$M$5:$M$3004,0)))</f>
        <v/>
      </c>
      <c r="I52" s="22" t="str">
        <f>IF($A52="","",INDEX(Movimientos!$H$5:$H$3004,MATCH($A52,Movimientos!$M$5:$M$3004,0)))</f>
        <v/>
      </c>
      <c r="J52" s="14" t="str">
        <f>IF($A52="","",INDEX(Movimientos!$K$5:$K$3004,MATCH($A52,Movimientos!$M$5:$M$3004,0))&amp;"")</f>
        <v/>
      </c>
    </row>
    <row r="53" spans="1:10" x14ac:dyDescent="0.25">
      <c r="A53" s="14" t="str">
        <f>IF(45&lt;=COUNTIF(Movimientos!$M$5:$M$3004,"&gt;0"),45,"")</f>
        <v/>
      </c>
      <c r="B53" s="30" t="str">
        <f>IF($A53="","",INDEX(Movimientos!$A$5:$A$3004,MATCH($A53,Movimientos!$M$5:$M$3004,0)))</f>
        <v/>
      </c>
      <c r="C53" s="14" t="str">
        <f>IF($A53="","",INDEX(Movimientos!$B$5:$B$3004,MATCH($A53,Movimientos!$M$5:$M$3004,0)))</f>
        <v/>
      </c>
      <c r="D53" s="14" t="str">
        <f>IF($A53="","",INDEX(Movimientos!$J$5:$J$3004,MATCH($A53,Movimientos!$M$5:$M$3004,0))&amp;"")</f>
        <v/>
      </c>
      <c r="E53" s="14" t="str">
        <f>IF($A53="","",IF(C53="Entrada",INDEX(Movimientos!$F$5:$F$3004,MATCH($A53,Movimientos!$M$5:$M$3004,0)),""))</f>
        <v/>
      </c>
      <c r="F53" s="14" t="str">
        <f>IF($A53="","",IF(C53="Salida",INDEX(Movimientos!$F$5:$F$3004,MATCH($A53,Movimientos!$M$5:$M$3004,0)),""))</f>
        <v/>
      </c>
      <c r="G53" s="14" t="str">
        <f>IF($A53="","",INDEX(Movimientos!$I$5:$I$3004,MATCH($A53,Movimientos!$M$5:$M$3004,0)))</f>
        <v/>
      </c>
      <c r="H53" s="22" t="str">
        <f>IF($A53="","",INDEX(Movimientos!$G$5:$G$3004,MATCH($A53,Movimientos!$M$5:$M$3004,0)))</f>
        <v/>
      </c>
      <c r="I53" s="22" t="str">
        <f>IF($A53="","",INDEX(Movimientos!$H$5:$H$3004,MATCH($A53,Movimientos!$M$5:$M$3004,0)))</f>
        <v/>
      </c>
      <c r="J53" s="14" t="str">
        <f>IF($A53="","",INDEX(Movimientos!$K$5:$K$3004,MATCH($A53,Movimientos!$M$5:$M$3004,0))&amp;"")</f>
        <v/>
      </c>
    </row>
    <row r="54" spans="1:10" x14ac:dyDescent="0.25">
      <c r="A54" s="14" t="str">
        <f>IF(46&lt;=COUNTIF(Movimientos!$M$5:$M$3004,"&gt;0"),46,"")</f>
        <v/>
      </c>
      <c r="B54" s="30" t="str">
        <f>IF($A54="","",INDEX(Movimientos!$A$5:$A$3004,MATCH($A54,Movimientos!$M$5:$M$3004,0)))</f>
        <v/>
      </c>
      <c r="C54" s="14" t="str">
        <f>IF($A54="","",INDEX(Movimientos!$B$5:$B$3004,MATCH($A54,Movimientos!$M$5:$M$3004,0)))</f>
        <v/>
      </c>
      <c r="D54" s="14" t="str">
        <f>IF($A54="","",INDEX(Movimientos!$J$5:$J$3004,MATCH($A54,Movimientos!$M$5:$M$3004,0))&amp;"")</f>
        <v/>
      </c>
      <c r="E54" s="14" t="str">
        <f>IF($A54="","",IF(C54="Entrada",INDEX(Movimientos!$F$5:$F$3004,MATCH($A54,Movimientos!$M$5:$M$3004,0)),""))</f>
        <v/>
      </c>
      <c r="F54" s="14" t="str">
        <f>IF($A54="","",IF(C54="Salida",INDEX(Movimientos!$F$5:$F$3004,MATCH($A54,Movimientos!$M$5:$M$3004,0)),""))</f>
        <v/>
      </c>
      <c r="G54" s="14" t="str">
        <f>IF($A54="","",INDEX(Movimientos!$I$5:$I$3004,MATCH($A54,Movimientos!$M$5:$M$3004,0)))</f>
        <v/>
      </c>
      <c r="H54" s="22" t="str">
        <f>IF($A54="","",INDEX(Movimientos!$G$5:$G$3004,MATCH($A54,Movimientos!$M$5:$M$3004,0)))</f>
        <v/>
      </c>
      <c r="I54" s="22" t="str">
        <f>IF($A54="","",INDEX(Movimientos!$H$5:$H$3004,MATCH($A54,Movimientos!$M$5:$M$3004,0)))</f>
        <v/>
      </c>
      <c r="J54" s="14" t="str">
        <f>IF($A54="","",INDEX(Movimientos!$K$5:$K$3004,MATCH($A54,Movimientos!$M$5:$M$3004,0))&amp;"")</f>
        <v/>
      </c>
    </row>
    <row r="55" spans="1:10" x14ac:dyDescent="0.25">
      <c r="A55" s="14" t="str">
        <f>IF(47&lt;=COUNTIF(Movimientos!$M$5:$M$3004,"&gt;0"),47,"")</f>
        <v/>
      </c>
      <c r="B55" s="30" t="str">
        <f>IF($A55="","",INDEX(Movimientos!$A$5:$A$3004,MATCH($A55,Movimientos!$M$5:$M$3004,0)))</f>
        <v/>
      </c>
      <c r="C55" s="14" t="str">
        <f>IF($A55="","",INDEX(Movimientos!$B$5:$B$3004,MATCH($A55,Movimientos!$M$5:$M$3004,0)))</f>
        <v/>
      </c>
      <c r="D55" s="14" t="str">
        <f>IF($A55="","",INDEX(Movimientos!$J$5:$J$3004,MATCH($A55,Movimientos!$M$5:$M$3004,0))&amp;"")</f>
        <v/>
      </c>
      <c r="E55" s="14" t="str">
        <f>IF($A55="","",IF(C55="Entrada",INDEX(Movimientos!$F$5:$F$3004,MATCH($A55,Movimientos!$M$5:$M$3004,0)),""))</f>
        <v/>
      </c>
      <c r="F55" s="14" t="str">
        <f>IF($A55="","",IF(C55="Salida",INDEX(Movimientos!$F$5:$F$3004,MATCH($A55,Movimientos!$M$5:$M$3004,0)),""))</f>
        <v/>
      </c>
      <c r="G55" s="14" t="str">
        <f>IF($A55="","",INDEX(Movimientos!$I$5:$I$3004,MATCH($A55,Movimientos!$M$5:$M$3004,0)))</f>
        <v/>
      </c>
      <c r="H55" s="22" t="str">
        <f>IF($A55="","",INDEX(Movimientos!$G$5:$G$3004,MATCH($A55,Movimientos!$M$5:$M$3004,0)))</f>
        <v/>
      </c>
      <c r="I55" s="22" t="str">
        <f>IF($A55="","",INDEX(Movimientos!$H$5:$H$3004,MATCH($A55,Movimientos!$M$5:$M$3004,0)))</f>
        <v/>
      </c>
      <c r="J55" s="14" t="str">
        <f>IF($A55="","",INDEX(Movimientos!$K$5:$K$3004,MATCH($A55,Movimientos!$M$5:$M$3004,0))&amp;"")</f>
        <v/>
      </c>
    </row>
    <row r="56" spans="1:10" x14ac:dyDescent="0.25">
      <c r="A56" s="14" t="str">
        <f>IF(48&lt;=COUNTIF(Movimientos!$M$5:$M$3004,"&gt;0"),48,"")</f>
        <v/>
      </c>
      <c r="B56" s="30" t="str">
        <f>IF($A56="","",INDEX(Movimientos!$A$5:$A$3004,MATCH($A56,Movimientos!$M$5:$M$3004,0)))</f>
        <v/>
      </c>
      <c r="C56" s="14" t="str">
        <f>IF($A56="","",INDEX(Movimientos!$B$5:$B$3004,MATCH($A56,Movimientos!$M$5:$M$3004,0)))</f>
        <v/>
      </c>
      <c r="D56" s="14" t="str">
        <f>IF($A56="","",INDEX(Movimientos!$J$5:$J$3004,MATCH($A56,Movimientos!$M$5:$M$3004,0))&amp;"")</f>
        <v/>
      </c>
      <c r="E56" s="14" t="str">
        <f>IF($A56="","",IF(C56="Entrada",INDEX(Movimientos!$F$5:$F$3004,MATCH($A56,Movimientos!$M$5:$M$3004,0)),""))</f>
        <v/>
      </c>
      <c r="F56" s="14" t="str">
        <f>IF($A56="","",IF(C56="Salida",INDEX(Movimientos!$F$5:$F$3004,MATCH($A56,Movimientos!$M$5:$M$3004,0)),""))</f>
        <v/>
      </c>
      <c r="G56" s="14" t="str">
        <f>IF($A56="","",INDEX(Movimientos!$I$5:$I$3004,MATCH($A56,Movimientos!$M$5:$M$3004,0)))</f>
        <v/>
      </c>
      <c r="H56" s="22" t="str">
        <f>IF($A56="","",INDEX(Movimientos!$G$5:$G$3004,MATCH($A56,Movimientos!$M$5:$M$3004,0)))</f>
        <v/>
      </c>
      <c r="I56" s="22" t="str">
        <f>IF($A56="","",INDEX(Movimientos!$H$5:$H$3004,MATCH($A56,Movimientos!$M$5:$M$3004,0)))</f>
        <v/>
      </c>
      <c r="J56" s="14" t="str">
        <f>IF($A56="","",INDEX(Movimientos!$K$5:$K$3004,MATCH($A56,Movimientos!$M$5:$M$3004,0))&amp;"")</f>
        <v/>
      </c>
    </row>
    <row r="57" spans="1:10" x14ac:dyDescent="0.25">
      <c r="A57" s="14" t="str">
        <f>IF(49&lt;=COUNTIF(Movimientos!$M$5:$M$3004,"&gt;0"),49,"")</f>
        <v/>
      </c>
      <c r="B57" s="30" t="str">
        <f>IF($A57="","",INDEX(Movimientos!$A$5:$A$3004,MATCH($A57,Movimientos!$M$5:$M$3004,0)))</f>
        <v/>
      </c>
      <c r="C57" s="14" t="str">
        <f>IF($A57="","",INDEX(Movimientos!$B$5:$B$3004,MATCH($A57,Movimientos!$M$5:$M$3004,0)))</f>
        <v/>
      </c>
      <c r="D57" s="14" t="str">
        <f>IF($A57="","",INDEX(Movimientos!$J$5:$J$3004,MATCH($A57,Movimientos!$M$5:$M$3004,0))&amp;"")</f>
        <v/>
      </c>
      <c r="E57" s="14" t="str">
        <f>IF($A57="","",IF(C57="Entrada",INDEX(Movimientos!$F$5:$F$3004,MATCH($A57,Movimientos!$M$5:$M$3004,0)),""))</f>
        <v/>
      </c>
      <c r="F57" s="14" t="str">
        <f>IF($A57="","",IF(C57="Salida",INDEX(Movimientos!$F$5:$F$3004,MATCH($A57,Movimientos!$M$5:$M$3004,0)),""))</f>
        <v/>
      </c>
      <c r="G57" s="14" t="str">
        <f>IF($A57="","",INDEX(Movimientos!$I$5:$I$3004,MATCH($A57,Movimientos!$M$5:$M$3004,0)))</f>
        <v/>
      </c>
      <c r="H57" s="22" t="str">
        <f>IF($A57="","",INDEX(Movimientos!$G$5:$G$3004,MATCH($A57,Movimientos!$M$5:$M$3004,0)))</f>
        <v/>
      </c>
      <c r="I57" s="22" t="str">
        <f>IF($A57="","",INDEX(Movimientos!$H$5:$H$3004,MATCH($A57,Movimientos!$M$5:$M$3004,0)))</f>
        <v/>
      </c>
      <c r="J57" s="14" t="str">
        <f>IF($A57="","",INDEX(Movimientos!$K$5:$K$3004,MATCH($A57,Movimientos!$M$5:$M$3004,0))&amp;"")</f>
        <v/>
      </c>
    </row>
    <row r="58" spans="1:10" x14ac:dyDescent="0.25">
      <c r="A58" s="14" t="str">
        <f>IF(50&lt;=COUNTIF(Movimientos!$M$5:$M$3004,"&gt;0"),50,"")</f>
        <v/>
      </c>
      <c r="B58" s="30" t="str">
        <f>IF($A58="","",INDEX(Movimientos!$A$5:$A$3004,MATCH($A58,Movimientos!$M$5:$M$3004,0)))</f>
        <v/>
      </c>
      <c r="C58" s="14" t="str">
        <f>IF($A58="","",INDEX(Movimientos!$B$5:$B$3004,MATCH($A58,Movimientos!$M$5:$M$3004,0)))</f>
        <v/>
      </c>
      <c r="D58" s="14" t="str">
        <f>IF($A58="","",INDEX(Movimientos!$J$5:$J$3004,MATCH($A58,Movimientos!$M$5:$M$3004,0))&amp;"")</f>
        <v/>
      </c>
      <c r="E58" s="14" t="str">
        <f>IF($A58="","",IF(C58="Entrada",INDEX(Movimientos!$F$5:$F$3004,MATCH($A58,Movimientos!$M$5:$M$3004,0)),""))</f>
        <v/>
      </c>
      <c r="F58" s="14" t="str">
        <f>IF($A58="","",IF(C58="Salida",INDEX(Movimientos!$F$5:$F$3004,MATCH($A58,Movimientos!$M$5:$M$3004,0)),""))</f>
        <v/>
      </c>
      <c r="G58" s="14" t="str">
        <f>IF($A58="","",INDEX(Movimientos!$I$5:$I$3004,MATCH($A58,Movimientos!$M$5:$M$3004,0)))</f>
        <v/>
      </c>
      <c r="H58" s="22" t="str">
        <f>IF($A58="","",INDEX(Movimientos!$G$5:$G$3004,MATCH($A58,Movimientos!$M$5:$M$3004,0)))</f>
        <v/>
      </c>
      <c r="I58" s="22" t="str">
        <f>IF($A58="","",INDEX(Movimientos!$H$5:$H$3004,MATCH($A58,Movimientos!$M$5:$M$3004,0)))</f>
        <v/>
      </c>
      <c r="J58" s="14" t="str">
        <f>IF($A58="","",INDEX(Movimientos!$K$5:$K$3004,MATCH($A58,Movimientos!$M$5:$M$3004,0))&amp;"")</f>
        <v/>
      </c>
    </row>
    <row r="59" spans="1:10" x14ac:dyDescent="0.25">
      <c r="A59" s="14" t="str">
        <f>IF(51&lt;=COUNTIF(Movimientos!$M$5:$M$3004,"&gt;0"),51,"")</f>
        <v/>
      </c>
      <c r="B59" s="30" t="str">
        <f>IF($A59="","",INDEX(Movimientos!$A$5:$A$3004,MATCH($A59,Movimientos!$M$5:$M$3004,0)))</f>
        <v/>
      </c>
      <c r="C59" s="14" t="str">
        <f>IF($A59="","",INDEX(Movimientos!$B$5:$B$3004,MATCH($A59,Movimientos!$M$5:$M$3004,0)))</f>
        <v/>
      </c>
      <c r="D59" s="14" t="str">
        <f>IF($A59="","",INDEX(Movimientos!$J$5:$J$3004,MATCH($A59,Movimientos!$M$5:$M$3004,0))&amp;"")</f>
        <v/>
      </c>
      <c r="E59" s="14" t="str">
        <f>IF($A59="","",IF(C59="Entrada",INDEX(Movimientos!$F$5:$F$3004,MATCH($A59,Movimientos!$M$5:$M$3004,0)),""))</f>
        <v/>
      </c>
      <c r="F59" s="14" t="str">
        <f>IF($A59="","",IF(C59="Salida",INDEX(Movimientos!$F$5:$F$3004,MATCH($A59,Movimientos!$M$5:$M$3004,0)),""))</f>
        <v/>
      </c>
      <c r="G59" s="14" t="str">
        <f>IF($A59="","",INDEX(Movimientos!$I$5:$I$3004,MATCH($A59,Movimientos!$M$5:$M$3004,0)))</f>
        <v/>
      </c>
      <c r="H59" s="22" t="str">
        <f>IF($A59="","",INDEX(Movimientos!$G$5:$G$3004,MATCH($A59,Movimientos!$M$5:$M$3004,0)))</f>
        <v/>
      </c>
      <c r="I59" s="22" t="str">
        <f>IF($A59="","",INDEX(Movimientos!$H$5:$H$3004,MATCH($A59,Movimientos!$M$5:$M$3004,0)))</f>
        <v/>
      </c>
      <c r="J59" s="14" t="str">
        <f>IF($A59="","",INDEX(Movimientos!$K$5:$K$3004,MATCH($A59,Movimientos!$M$5:$M$3004,0))&amp;"")</f>
        <v/>
      </c>
    </row>
    <row r="60" spans="1:10" x14ac:dyDescent="0.25">
      <c r="A60" s="14" t="str">
        <f>IF(52&lt;=COUNTIF(Movimientos!$M$5:$M$3004,"&gt;0"),52,"")</f>
        <v/>
      </c>
      <c r="B60" s="30" t="str">
        <f>IF($A60="","",INDEX(Movimientos!$A$5:$A$3004,MATCH($A60,Movimientos!$M$5:$M$3004,0)))</f>
        <v/>
      </c>
      <c r="C60" s="14" t="str">
        <f>IF($A60="","",INDEX(Movimientos!$B$5:$B$3004,MATCH($A60,Movimientos!$M$5:$M$3004,0)))</f>
        <v/>
      </c>
      <c r="D60" s="14" t="str">
        <f>IF($A60="","",INDEX(Movimientos!$J$5:$J$3004,MATCH($A60,Movimientos!$M$5:$M$3004,0))&amp;"")</f>
        <v/>
      </c>
      <c r="E60" s="14" t="str">
        <f>IF($A60="","",IF(C60="Entrada",INDEX(Movimientos!$F$5:$F$3004,MATCH($A60,Movimientos!$M$5:$M$3004,0)),""))</f>
        <v/>
      </c>
      <c r="F60" s="14" t="str">
        <f>IF($A60="","",IF(C60="Salida",INDEX(Movimientos!$F$5:$F$3004,MATCH($A60,Movimientos!$M$5:$M$3004,0)),""))</f>
        <v/>
      </c>
      <c r="G60" s="14" t="str">
        <f>IF($A60="","",INDEX(Movimientos!$I$5:$I$3004,MATCH($A60,Movimientos!$M$5:$M$3004,0)))</f>
        <v/>
      </c>
      <c r="H60" s="22" t="str">
        <f>IF($A60="","",INDEX(Movimientos!$G$5:$G$3004,MATCH($A60,Movimientos!$M$5:$M$3004,0)))</f>
        <v/>
      </c>
      <c r="I60" s="22" t="str">
        <f>IF($A60="","",INDEX(Movimientos!$H$5:$H$3004,MATCH($A60,Movimientos!$M$5:$M$3004,0)))</f>
        <v/>
      </c>
      <c r="J60" s="14" t="str">
        <f>IF($A60="","",INDEX(Movimientos!$K$5:$K$3004,MATCH($A60,Movimientos!$M$5:$M$3004,0))&amp;"")</f>
        <v/>
      </c>
    </row>
    <row r="61" spans="1:10" x14ac:dyDescent="0.25">
      <c r="A61" s="14" t="str">
        <f>IF(53&lt;=COUNTIF(Movimientos!$M$5:$M$3004,"&gt;0"),53,"")</f>
        <v/>
      </c>
      <c r="B61" s="30" t="str">
        <f>IF($A61="","",INDEX(Movimientos!$A$5:$A$3004,MATCH($A61,Movimientos!$M$5:$M$3004,0)))</f>
        <v/>
      </c>
      <c r="C61" s="14" t="str">
        <f>IF($A61="","",INDEX(Movimientos!$B$5:$B$3004,MATCH($A61,Movimientos!$M$5:$M$3004,0)))</f>
        <v/>
      </c>
      <c r="D61" s="14" t="str">
        <f>IF($A61="","",INDEX(Movimientos!$J$5:$J$3004,MATCH($A61,Movimientos!$M$5:$M$3004,0))&amp;"")</f>
        <v/>
      </c>
      <c r="E61" s="14" t="str">
        <f>IF($A61="","",IF(C61="Entrada",INDEX(Movimientos!$F$5:$F$3004,MATCH($A61,Movimientos!$M$5:$M$3004,0)),""))</f>
        <v/>
      </c>
      <c r="F61" s="14" t="str">
        <f>IF($A61="","",IF(C61="Salida",INDEX(Movimientos!$F$5:$F$3004,MATCH($A61,Movimientos!$M$5:$M$3004,0)),""))</f>
        <v/>
      </c>
      <c r="G61" s="14" t="str">
        <f>IF($A61="","",INDEX(Movimientos!$I$5:$I$3004,MATCH($A61,Movimientos!$M$5:$M$3004,0)))</f>
        <v/>
      </c>
      <c r="H61" s="22" t="str">
        <f>IF($A61="","",INDEX(Movimientos!$G$5:$G$3004,MATCH($A61,Movimientos!$M$5:$M$3004,0)))</f>
        <v/>
      </c>
      <c r="I61" s="22" t="str">
        <f>IF($A61="","",INDEX(Movimientos!$H$5:$H$3004,MATCH($A61,Movimientos!$M$5:$M$3004,0)))</f>
        <v/>
      </c>
      <c r="J61" s="14" t="str">
        <f>IF($A61="","",INDEX(Movimientos!$K$5:$K$3004,MATCH($A61,Movimientos!$M$5:$M$3004,0))&amp;"")</f>
        <v/>
      </c>
    </row>
    <row r="62" spans="1:10" x14ac:dyDescent="0.25">
      <c r="A62" s="14" t="str">
        <f>IF(54&lt;=COUNTIF(Movimientos!$M$5:$M$3004,"&gt;0"),54,"")</f>
        <v/>
      </c>
      <c r="B62" s="30" t="str">
        <f>IF($A62="","",INDEX(Movimientos!$A$5:$A$3004,MATCH($A62,Movimientos!$M$5:$M$3004,0)))</f>
        <v/>
      </c>
      <c r="C62" s="14" t="str">
        <f>IF($A62="","",INDEX(Movimientos!$B$5:$B$3004,MATCH($A62,Movimientos!$M$5:$M$3004,0)))</f>
        <v/>
      </c>
      <c r="D62" s="14" t="str">
        <f>IF($A62="","",INDEX(Movimientos!$J$5:$J$3004,MATCH($A62,Movimientos!$M$5:$M$3004,0))&amp;"")</f>
        <v/>
      </c>
      <c r="E62" s="14" t="str">
        <f>IF($A62="","",IF(C62="Entrada",INDEX(Movimientos!$F$5:$F$3004,MATCH($A62,Movimientos!$M$5:$M$3004,0)),""))</f>
        <v/>
      </c>
      <c r="F62" s="14" t="str">
        <f>IF($A62="","",IF(C62="Salida",INDEX(Movimientos!$F$5:$F$3004,MATCH($A62,Movimientos!$M$5:$M$3004,0)),""))</f>
        <v/>
      </c>
      <c r="G62" s="14" t="str">
        <f>IF($A62="","",INDEX(Movimientos!$I$5:$I$3004,MATCH($A62,Movimientos!$M$5:$M$3004,0)))</f>
        <v/>
      </c>
      <c r="H62" s="22" t="str">
        <f>IF($A62="","",INDEX(Movimientos!$G$5:$G$3004,MATCH($A62,Movimientos!$M$5:$M$3004,0)))</f>
        <v/>
      </c>
      <c r="I62" s="22" t="str">
        <f>IF($A62="","",INDEX(Movimientos!$H$5:$H$3004,MATCH($A62,Movimientos!$M$5:$M$3004,0)))</f>
        <v/>
      </c>
      <c r="J62" s="14" t="str">
        <f>IF($A62="","",INDEX(Movimientos!$K$5:$K$3004,MATCH($A62,Movimientos!$M$5:$M$3004,0))&amp;"")</f>
        <v/>
      </c>
    </row>
    <row r="63" spans="1:10" x14ac:dyDescent="0.25">
      <c r="A63" s="14" t="str">
        <f>IF(55&lt;=COUNTIF(Movimientos!$M$5:$M$3004,"&gt;0"),55,"")</f>
        <v/>
      </c>
      <c r="B63" s="30" t="str">
        <f>IF($A63="","",INDEX(Movimientos!$A$5:$A$3004,MATCH($A63,Movimientos!$M$5:$M$3004,0)))</f>
        <v/>
      </c>
      <c r="C63" s="14" t="str">
        <f>IF($A63="","",INDEX(Movimientos!$B$5:$B$3004,MATCH($A63,Movimientos!$M$5:$M$3004,0)))</f>
        <v/>
      </c>
      <c r="D63" s="14" t="str">
        <f>IF($A63="","",INDEX(Movimientos!$J$5:$J$3004,MATCH($A63,Movimientos!$M$5:$M$3004,0))&amp;"")</f>
        <v/>
      </c>
      <c r="E63" s="14" t="str">
        <f>IF($A63="","",IF(C63="Entrada",INDEX(Movimientos!$F$5:$F$3004,MATCH($A63,Movimientos!$M$5:$M$3004,0)),""))</f>
        <v/>
      </c>
      <c r="F63" s="14" t="str">
        <f>IF($A63="","",IF(C63="Salida",INDEX(Movimientos!$F$5:$F$3004,MATCH($A63,Movimientos!$M$5:$M$3004,0)),""))</f>
        <v/>
      </c>
      <c r="G63" s="14" t="str">
        <f>IF($A63="","",INDEX(Movimientos!$I$5:$I$3004,MATCH($A63,Movimientos!$M$5:$M$3004,0)))</f>
        <v/>
      </c>
      <c r="H63" s="22" t="str">
        <f>IF($A63="","",INDEX(Movimientos!$G$5:$G$3004,MATCH($A63,Movimientos!$M$5:$M$3004,0)))</f>
        <v/>
      </c>
      <c r="I63" s="22" t="str">
        <f>IF($A63="","",INDEX(Movimientos!$H$5:$H$3004,MATCH($A63,Movimientos!$M$5:$M$3004,0)))</f>
        <v/>
      </c>
      <c r="J63" s="14" t="str">
        <f>IF($A63="","",INDEX(Movimientos!$K$5:$K$3004,MATCH($A63,Movimientos!$M$5:$M$3004,0))&amp;"")</f>
        <v/>
      </c>
    </row>
    <row r="64" spans="1:10" x14ac:dyDescent="0.25">
      <c r="A64" s="14" t="str">
        <f>IF(56&lt;=COUNTIF(Movimientos!$M$5:$M$3004,"&gt;0"),56,"")</f>
        <v/>
      </c>
      <c r="B64" s="30" t="str">
        <f>IF($A64="","",INDEX(Movimientos!$A$5:$A$3004,MATCH($A64,Movimientos!$M$5:$M$3004,0)))</f>
        <v/>
      </c>
      <c r="C64" s="14" t="str">
        <f>IF($A64="","",INDEX(Movimientos!$B$5:$B$3004,MATCH($A64,Movimientos!$M$5:$M$3004,0)))</f>
        <v/>
      </c>
      <c r="D64" s="14" t="str">
        <f>IF($A64="","",INDEX(Movimientos!$J$5:$J$3004,MATCH($A64,Movimientos!$M$5:$M$3004,0))&amp;"")</f>
        <v/>
      </c>
      <c r="E64" s="14" t="str">
        <f>IF($A64="","",IF(C64="Entrada",INDEX(Movimientos!$F$5:$F$3004,MATCH($A64,Movimientos!$M$5:$M$3004,0)),""))</f>
        <v/>
      </c>
      <c r="F64" s="14" t="str">
        <f>IF($A64="","",IF(C64="Salida",INDEX(Movimientos!$F$5:$F$3004,MATCH($A64,Movimientos!$M$5:$M$3004,0)),""))</f>
        <v/>
      </c>
      <c r="G64" s="14" t="str">
        <f>IF($A64="","",INDEX(Movimientos!$I$5:$I$3004,MATCH($A64,Movimientos!$M$5:$M$3004,0)))</f>
        <v/>
      </c>
      <c r="H64" s="22" t="str">
        <f>IF($A64="","",INDEX(Movimientos!$G$5:$G$3004,MATCH($A64,Movimientos!$M$5:$M$3004,0)))</f>
        <v/>
      </c>
      <c r="I64" s="22" t="str">
        <f>IF($A64="","",INDEX(Movimientos!$H$5:$H$3004,MATCH($A64,Movimientos!$M$5:$M$3004,0)))</f>
        <v/>
      </c>
      <c r="J64" s="14" t="str">
        <f>IF($A64="","",INDEX(Movimientos!$K$5:$K$3004,MATCH($A64,Movimientos!$M$5:$M$3004,0))&amp;"")</f>
        <v/>
      </c>
    </row>
    <row r="65" spans="1:10" x14ac:dyDescent="0.25">
      <c r="A65" s="14" t="str">
        <f>IF(57&lt;=COUNTIF(Movimientos!$M$5:$M$3004,"&gt;0"),57,"")</f>
        <v/>
      </c>
      <c r="B65" s="30" t="str">
        <f>IF($A65="","",INDEX(Movimientos!$A$5:$A$3004,MATCH($A65,Movimientos!$M$5:$M$3004,0)))</f>
        <v/>
      </c>
      <c r="C65" s="14" t="str">
        <f>IF($A65="","",INDEX(Movimientos!$B$5:$B$3004,MATCH($A65,Movimientos!$M$5:$M$3004,0)))</f>
        <v/>
      </c>
      <c r="D65" s="14" t="str">
        <f>IF($A65="","",INDEX(Movimientos!$J$5:$J$3004,MATCH($A65,Movimientos!$M$5:$M$3004,0))&amp;"")</f>
        <v/>
      </c>
      <c r="E65" s="14" t="str">
        <f>IF($A65="","",IF(C65="Entrada",INDEX(Movimientos!$F$5:$F$3004,MATCH($A65,Movimientos!$M$5:$M$3004,0)),""))</f>
        <v/>
      </c>
      <c r="F65" s="14" t="str">
        <f>IF($A65="","",IF(C65="Salida",INDEX(Movimientos!$F$5:$F$3004,MATCH($A65,Movimientos!$M$5:$M$3004,0)),""))</f>
        <v/>
      </c>
      <c r="G65" s="14" t="str">
        <f>IF($A65="","",INDEX(Movimientos!$I$5:$I$3004,MATCH($A65,Movimientos!$M$5:$M$3004,0)))</f>
        <v/>
      </c>
      <c r="H65" s="22" t="str">
        <f>IF($A65="","",INDEX(Movimientos!$G$5:$G$3004,MATCH($A65,Movimientos!$M$5:$M$3004,0)))</f>
        <v/>
      </c>
      <c r="I65" s="22" t="str">
        <f>IF($A65="","",INDEX(Movimientos!$H$5:$H$3004,MATCH($A65,Movimientos!$M$5:$M$3004,0)))</f>
        <v/>
      </c>
      <c r="J65" s="14" t="str">
        <f>IF($A65="","",INDEX(Movimientos!$K$5:$K$3004,MATCH($A65,Movimientos!$M$5:$M$3004,0))&amp;"")</f>
        <v/>
      </c>
    </row>
    <row r="66" spans="1:10" x14ac:dyDescent="0.25">
      <c r="A66" s="14" t="str">
        <f>IF(58&lt;=COUNTIF(Movimientos!$M$5:$M$3004,"&gt;0"),58,"")</f>
        <v/>
      </c>
      <c r="B66" s="30" t="str">
        <f>IF($A66="","",INDEX(Movimientos!$A$5:$A$3004,MATCH($A66,Movimientos!$M$5:$M$3004,0)))</f>
        <v/>
      </c>
      <c r="C66" s="14" t="str">
        <f>IF($A66="","",INDEX(Movimientos!$B$5:$B$3004,MATCH($A66,Movimientos!$M$5:$M$3004,0)))</f>
        <v/>
      </c>
      <c r="D66" s="14" t="str">
        <f>IF($A66="","",INDEX(Movimientos!$J$5:$J$3004,MATCH($A66,Movimientos!$M$5:$M$3004,0))&amp;"")</f>
        <v/>
      </c>
      <c r="E66" s="14" t="str">
        <f>IF($A66="","",IF(C66="Entrada",INDEX(Movimientos!$F$5:$F$3004,MATCH($A66,Movimientos!$M$5:$M$3004,0)),""))</f>
        <v/>
      </c>
      <c r="F66" s="14" t="str">
        <f>IF($A66="","",IF(C66="Salida",INDEX(Movimientos!$F$5:$F$3004,MATCH($A66,Movimientos!$M$5:$M$3004,0)),""))</f>
        <v/>
      </c>
      <c r="G66" s="14" t="str">
        <f>IF($A66="","",INDEX(Movimientos!$I$5:$I$3004,MATCH($A66,Movimientos!$M$5:$M$3004,0)))</f>
        <v/>
      </c>
      <c r="H66" s="22" t="str">
        <f>IF($A66="","",INDEX(Movimientos!$G$5:$G$3004,MATCH($A66,Movimientos!$M$5:$M$3004,0)))</f>
        <v/>
      </c>
      <c r="I66" s="22" t="str">
        <f>IF($A66="","",INDEX(Movimientos!$H$5:$H$3004,MATCH($A66,Movimientos!$M$5:$M$3004,0)))</f>
        <v/>
      </c>
      <c r="J66" s="14" t="str">
        <f>IF($A66="","",INDEX(Movimientos!$K$5:$K$3004,MATCH($A66,Movimientos!$M$5:$M$3004,0))&amp;"")</f>
        <v/>
      </c>
    </row>
    <row r="67" spans="1:10" x14ac:dyDescent="0.25">
      <c r="A67" s="14" t="str">
        <f>IF(59&lt;=COUNTIF(Movimientos!$M$5:$M$3004,"&gt;0"),59,"")</f>
        <v/>
      </c>
      <c r="B67" s="30" t="str">
        <f>IF($A67="","",INDEX(Movimientos!$A$5:$A$3004,MATCH($A67,Movimientos!$M$5:$M$3004,0)))</f>
        <v/>
      </c>
      <c r="C67" s="14" t="str">
        <f>IF($A67="","",INDEX(Movimientos!$B$5:$B$3004,MATCH($A67,Movimientos!$M$5:$M$3004,0)))</f>
        <v/>
      </c>
      <c r="D67" s="14" t="str">
        <f>IF($A67="","",INDEX(Movimientos!$J$5:$J$3004,MATCH($A67,Movimientos!$M$5:$M$3004,0))&amp;"")</f>
        <v/>
      </c>
      <c r="E67" s="14" t="str">
        <f>IF($A67="","",IF(C67="Entrada",INDEX(Movimientos!$F$5:$F$3004,MATCH($A67,Movimientos!$M$5:$M$3004,0)),""))</f>
        <v/>
      </c>
      <c r="F67" s="14" t="str">
        <f>IF($A67="","",IF(C67="Salida",INDEX(Movimientos!$F$5:$F$3004,MATCH($A67,Movimientos!$M$5:$M$3004,0)),""))</f>
        <v/>
      </c>
      <c r="G67" s="14" t="str">
        <f>IF($A67="","",INDEX(Movimientos!$I$5:$I$3004,MATCH($A67,Movimientos!$M$5:$M$3004,0)))</f>
        <v/>
      </c>
      <c r="H67" s="22" t="str">
        <f>IF($A67="","",INDEX(Movimientos!$G$5:$G$3004,MATCH($A67,Movimientos!$M$5:$M$3004,0)))</f>
        <v/>
      </c>
      <c r="I67" s="22" t="str">
        <f>IF($A67="","",INDEX(Movimientos!$H$5:$H$3004,MATCH($A67,Movimientos!$M$5:$M$3004,0)))</f>
        <v/>
      </c>
      <c r="J67" s="14" t="str">
        <f>IF($A67="","",INDEX(Movimientos!$K$5:$K$3004,MATCH($A67,Movimientos!$M$5:$M$3004,0))&amp;"")</f>
        <v/>
      </c>
    </row>
    <row r="68" spans="1:10" x14ac:dyDescent="0.25">
      <c r="A68" s="14" t="str">
        <f>IF(60&lt;=COUNTIF(Movimientos!$M$5:$M$3004,"&gt;0"),60,"")</f>
        <v/>
      </c>
      <c r="B68" s="30" t="str">
        <f>IF($A68="","",INDEX(Movimientos!$A$5:$A$3004,MATCH($A68,Movimientos!$M$5:$M$3004,0)))</f>
        <v/>
      </c>
      <c r="C68" s="14" t="str">
        <f>IF($A68="","",INDEX(Movimientos!$B$5:$B$3004,MATCH($A68,Movimientos!$M$5:$M$3004,0)))</f>
        <v/>
      </c>
      <c r="D68" s="14" t="str">
        <f>IF($A68="","",INDEX(Movimientos!$J$5:$J$3004,MATCH($A68,Movimientos!$M$5:$M$3004,0))&amp;"")</f>
        <v/>
      </c>
      <c r="E68" s="14" t="str">
        <f>IF($A68="","",IF(C68="Entrada",INDEX(Movimientos!$F$5:$F$3004,MATCH($A68,Movimientos!$M$5:$M$3004,0)),""))</f>
        <v/>
      </c>
      <c r="F68" s="14" t="str">
        <f>IF($A68="","",IF(C68="Salida",INDEX(Movimientos!$F$5:$F$3004,MATCH($A68,Movimientos!$M$5:$M$3004,0)),""))</f>
        <v/>
      </c>
      <c r="G68" s="14" t="str">
        <f>IF($A68="","",INDEX(Movimientos!$I$5:$I$3004,MATCH($A68,Movimientos!$M$5:$M$3004,0)))</f>
        <v/>
      </c>
      <c r="H68" s="22" t="str">
        <f>IF($A68="","",INDEX(Movimientos!$G$5:$G$3004,MATCH($A68,Movimientos!$M$5:$M$3004,0)))</f>
        <v/>
      </c>
      <c r="I68" s="22" t="str">
        <f>IF($A68="","",INDEX(Movimientos!$H$5:$H$3004,MATCH($A68,Movimientos!$M$5:$M$3004,0)))</f>
        <v/>
      </c>
      <c r="J68" s="14" t="str">
        <f>IF($A68="","",INDEX(Movimientos!$K$5:$K$3004,MATCH($A68,Movimientos!$M$5:$M$3004,0))&amp;"")</f>
        <v/>
      </c>
    </row>
    <row r="69" spans="1:10" x14ac:dyDescent="0.25">
      <c r="A69" s="14" t="str">
        <f>IF(61&lt;=COUNTIF(Movimientos!$M$5:$M$3004,"&gt;0"),61,"")</f>
        <v/>
      </c>
      <c r="B69" s="30" t="str">
        <f>IF($A69="","",INDEX(Movimientos!$A$5:$A$3004,MATCH($A69,Movimientos!$M$5:$M$3004,0)))</f>
        <v/>
      </c>
      <c r="C69" s="14" t="str">
        <f>IF($A69="","",INDEX(Movimientos!$B$5:$B$3004,MATCH($A69,Movimientos!$M$5:$M$3004,0)))</f>
        <v/>
      </c>
      <c r="D69" s="14" t="str">
        <f>IF($A69="","",INDEX(Movimientos!$J$5:$J$3004,MATCH($A69,Movimientos!$M$5:$M$3004,0))&amp;"")</f>
        <v/>
      </c>
      <c r="E69" s="14" t="str">
        <f>IF($A69="","",IF(C69="Entrada",INDEX(Movimientos!$F$5:$F$3004,MATCH($A69,Movimientos!$M$5:$M$3004,0)),""))</f>
        <v/>
      </c>
      <c r="F69" s="14" t="str">
        <f>IF($A69="","",IF(C69="Salida",INDEX(Movimientos!$F$5:$F$3004,MATCH($A69,Movimientos!$M$5:$M$3004,0)),""))</f>
        <v/>
      </c>
      <c r="G69" s="14" t="str">
        <f>IF($A69="","",INDEX(Movimientos!$I$5:$I$3004,MATCH($A69,Movimientos!$M$5:$M$3004,0)))</f>
        <v/>
      </c>
      <c r="H69" s="22" t="str">
        <f>IF($A69="","",INDEX(Movimientos!$G$5:$G$3004,MATCH($A69,Movimientos!$M$5:$M$3004,0)))</f>
        <v/>
      </c>
      <c r="I69" s="22" t="str">
        <f>IF($A69="","",INDEX(Movimientos!$H$5:$H$3004,MATCH($A69,Movimientos!$M$5:$M$3004,0)))</f>
        <v/>
      </c>
      <c r="J69" s="14" t="str">
        <f>IF($A69="","",INDEX(Movimientos!$K$5:$K$3004,MATCH($A69,Movimientos!$M$5:$M$3004,0))&amp;"")</f>
        <v/>
      </c>
    </row>
    <row r="70" spans="1:10" x14ac:dyDescent="0.25">
      <c r="A70" s="14" t="str">
        <f>IF(62&lt;=COUNTIF(Movimientos!$M$5:$M$3004,"&gt;0"),62,"")</f>
        <v/>
      </c>
      <c r="B70" s="30" t="str">
        <f>IF($A70="","",INDEX(Movimientos!$A$5:$A$3004,MATCH($A70,Movimientos!$M$5:$M$3004,0)))</f>
        <v/>
      </c>
      <c r="C70" s="14" t="str">
        <f>IF($A70="","",INDEX(Movimientos!$B$5:$B$3004,MATCH($A70,Movimientos!$M$5:$M$3004,0)))</f>
        <v/>
      </c>
      <c r="D70" s="14" t="str">
        <f>IF($A70="","",INDEX(Movimientos!$J$5:$J$3004,MATCH($A70,Movimientos!$M$5:$M$3004,0))&amp;"")</f>
        <v/>
      </c>
      <c r="E70" s="14" t="str">
        <f>IF($A70="","",IF(C70="Entrada",INDEX(Movimientos!$F$5:$F$3004,MATCH($A70,Movimientos!$M$5:$M$3004,0)),""))</f>
        <v/>
      </c>
      <c r="F70" s="14" t="str">
        <f>IF($A70="","",IF(C70="Salida",INDEX(Movimientos!$F$5:$F$3004,MATCH($A70,Movimientos!$M$5:$M$3004,0)),""))</f>
        <v/>
      </c>
      <c r="G70" s="14" t="str">
        <f>IF($A70="","",INDEX(Movimientos!$I$5:$I$3004,MATCH($A70,Movimientos!$M$5:$M$3004,0)))</f>
        <v/>
      </c>
      <c r="H70" s="22" t="str">
        <f>IF($A70="","",INDEX(Movimientos!$G$5:$G$3004,MATCH($A70,Movimientos!$M$5:$M$3004,0)))</f>
        <v/>
      </c>
      <c r="I70" s="22" t="str">
        <f>IF($A70="","",INDEX(Movimientos!$H$5:$H$3004,MATCH($A70,Movimientos!$M$5:$M$3004,0)))</f>
        <v/>
      </c>
      <c r="J70" s="14" t="str">
        <f>IF($A70="","",INDEX(Movimientos!$K$5:$K$3004,MATCH($A70,Movimientos!$M$5:$M$3004,0))&amp;"")</f>
        <v/>
      </c>
    </row>
    <row r="71" spans="1:10" x14ac:dyDescent="0.25">
      <c r="A71" s="14" t="str">
        <f>IF(63&lt;=COUNTIF(Movimientos!$M$5:$M$3004,"&gt;0"),63,"")</f>
        <v/>
      </c>
      <c r="B71" s="30" t="str">
        <f>IF($A71="","",INDEX(Movimientos!$A$5:$A$3004,MATCH($A71,Movimientos!$M$5:$M$3004,0)))</f>
        <v/>
      </c>
      <c r="C71" s="14" t="str">
        <f>IF($A71="","",INDEX(Movimientos!$B$5:$B$3004,MATCH($A71,Movimientos!$M$5:$M$3004,0)))</f>
        <v/>
      </c>
      <c r="D71" s="14" t="str">
        <f>IF($A71="","",INDEX(Movimientos!$J$5:$J$3004,MATCH($A71,Movimientos!$M$5:$M$3004,0))&amp;"")</f>
        <v/>
      </c>
      <c r="E71" s="14" t="str">
        <f>IF($A71="","",IF(C71="Entrada",INDEX(Movimientos!$F$5:$F$3004,MATCH($A71,Movimientos!$M$5:$M$3004,0)),""))</f>
        <v/>
      </c>
      <c r="F71" s="14" t="str">
        <f>IF($A71="","",IF(C71="Salida",INDEX(Movimientos!$F$5:$F$3004,MATCH($A71,Movimientos!$M$5:$M$3004,0)),""))</f>
        <v/>
      </c>
      <c r="G71" s="14" t="str">
        <f>IF($A71="","",INDEX(Movimientos!$I$5:$I$3004,MATCH($A71,Movimientos!$M$5:$M$3004,0)))</f>
        <v/>
      </c>
      <c r="H71" s="22" t="str">
        <f>IF($A71="","",INDEX(Movimientos!$G$5:$G$3004,MATCH($A71,Movimientos!$M$5:$M$3004,0)))</f>
        <v/>
      </c>
      <c r="I71" s="22" t="str">
        <f>IF($A71="","",INDEX(Movimientos!$H$5:$H$3004,MATCH($A71,Movimientos!$M$5:$M$3004,0)))</f>
        <v/>
      </c>
      <c r="J71" s="14" t="str">
        <f>IF($A71="","",INDEX(Movimientos!$K$5:$K$3004,MATCH($A71,Movimientos!$M$5:$M$3004,0))&amp;"")</f>
        <v/>
      </c>
    </row>
    <row r="72" spans="1:10" x14ac:dyDescent="0.25">
      <c r="A72" s="14" t="str">
        <f>IF(64&lt;=COUNTIF(Movimientos!$M$5:$M$3004,"&gt;0"),64,"")</f>
        <v/>
      </c>
      <c r="B72" s="30" t="str">
        <f>IF($A72="","",INDEX(Movimientos!$A$5:$A$3004,MATCH($A72,Movimientos!$M$5:$M$3004,0)))</f>
        <v/>
      </c>
      <c r="C72" s="14" t="str">
        <f>IF($A72="","",INDEX(Movimientos!$B$5:$B$3004,MATCH($A72,Movimientos!$M$5:$M$3004,0)))</f>
        <v/>
      </c>
      <c r="D72" s="14" t="str">
        <f>IF($A72="","",INDEX(Movimientos!$J$5:$J$3004,MATCH($A72,Movimientos!$M$5:$M$3004,0))&amp;"")</f>
        <v/>
      </c>
      <c r="E72" s="14" t="str">
        <f>IF($A72="","",IF(C72="Entrada",INDEX(Movimientos!$F$5:$F$3004,MATCH($A72,Movimientos!$M$5:$M$3004,0)),""))</f>
        <v/>
      </c>
      <c r="F72" s="14" t="str">
        <f>IF($A72="","",IF(C72="Salida",INDEX(Movimientos!$F$5:$F$3004,MATCH($A72,Movimientos!$M$5:$M$3004,0)),""))</f>
        <v/>
      </c>
      <c r="G72" s="14" t="str">
        <f>IF($A72="","",INDEX(Movimientos!$I$5:$I$3004,MATCH($A72,Movimientos!$M$5:$M$3004,0)))</f>
        <v/>
      </c>
      <c r="H72" s="22" t="str">
        <f>IF($A72="","",INDEX(Movimientos!$G$5:$G$3004,MATCH($A72,Movimientos!$M$5:$M$3004,0)))</f>
        <v/>
      </c>
      <c r="I72" s="22" t="str">
        <f>IF($A72="","",INDEX(Movimientos!$H$5:$H$3004,MATCH($A72,Movimientos!$M$5:$M$3004,0)))</f>
        <v/>
      </c>
      <c r="J72" s="14" t="str">
        <f>IF($A72="","",INDEX(Movimientos!$K$5:$K$3004,MATCH($A72,Movimientos!$M$5:$M$3004,0))&amp;"")</f>
        <v/>
      </c>
    </row>
    <row r="73" spans="1:10" x14ac:dyDescent="0.25">
      <c r="A73" s="14" t="str">
        <f>IF(65&lt;=COUNTIF(Movimientos!$M$5:$M$3004,"&gt;0"),65,"")</f>
        <v/>
      </c>
      <c r="B73" s="30" t="str">
        <f>IF($A73="","",INDEX(Movimientos!$A$5:$A$3004,MATCH($A73,Movimientos!$M$5:$M$3004,0)))</f>
        <v/>
      </c>
      <c r="C73" s="14" t="str">
        <f>IF($A73="","",INDEX(Movimientos!$B$5:$B$3004,MATCH($A73,Movimientos!$M$5:$M$3004,0)))</f>
        <v/>
      </c>
      <c r="D73" s="14" t="str">
        <f>IF($A73="","",INDEX(Movimientos!$J$5:$J$3004,MATCH($A73,Movimientos!$M$5:$M$3004,0))&amp;"")</f>
        <v/>
      </c>
      <c r="E73" s="14" t="str">
        <f>IF($A73="","",IF(C73="Entrada",INDEX(Movimientos!$F$5:$F$3004,MATCH($A73,Movimientos!$M$5:$M$3004,0)),""))</f>
        <v/>
      </c>
      <c r="F73" s="14" t="str">
        <f>IF($A73="","",IF(C73="Salida",INDEX(Movimientos!$F$5:$F$3004,MATCH($A73,Movimientos!$M$5:$M$3004,0)),""))</f>
        <v/>
      </c>
      <c r="G73" s="14" t="str">
        <f>IF($A73="","",INDEX(Movimientos!$I$5:$I$3004,MATCH($A73,Movimientos!$M$5:$M$3004,0)))</f>
        <v/>
      </c>
      <c r="H73" s="22" t="str">
        <f>IF($A73="","",INDEX(Movimientos!$G$5:$G$3004,MATCH($A73,Movimientos!$M$5:$M$3004,0)))</f>
        <v/>
      </c>
      <c r="I73" s="22" t="str">
        <f>IF($A73="","",INDEX(Movimientos!$H$5:$H$3004,MATCH($A73,Movimientos!$M$5:$M$3004,0)))</f>
        <v/>
      </c>
      <c r="J73" s="14" t="str">
        <f>IF($A73="","",INDEX(Movimientos!$K$5:$K$3004,MATCH($A73,Movimientos!$M$5:$M$3004,0))&amp;"")</f>
        <v/>
      </c>
    </row>
    <row r="74" spans="1:10" x14ac:dyDescent="0.25">
      <c r="A74" s="14" t="str">
        <f>IF(66&lt;=COUNTIF(Movimientos!$M$5:$M$3004,"&gt;0"),66,"")</f>
        <v/>
      </c>
      <c r="B74" s="30" t="str">
        <f>IF($A74="","",INDEX(Movimientos!$A$5:$A$3004,MATCH($A74,Movimientos!$M$5:$M$3004,0)))</f>
        <v/>
      </c>
      <c r="C74" s="14" t="str">
        <f>IF($A74="","",INDEX(Movimientos!$B$5:$B$3004,MATCH($A74,Movimientos!$M$5:$M$3004,0)))</f>
        <v/>
      </c>
      <c r="D74" s="14" t="str">
        <f>IF($A74="","",INDEX(Movimientos!$J$5:$J$3004,MATCH($A74,Movimientos!$M$5:$M$3004,0))&amp;"")</f>
        <v/>
      </c>
      <c r="E74" s="14" t="str">
        <f>IF($A74="","",IF(C74="Entrada",INDEX(Movimientos!$F$5:$F$3004,MATCH($A74,Movimientos!$M$5:$M$3004,0)),""))</f>
        <v/>
      </c>
      <c r="F74" s="14" t="str">
        <f>IF($A74="","",IF(C74="Salida",INDEX(Movimientos!$F$5:$F$3004,MATCH($A74,Movimientos!$M$5:$M$3004,0)),""))</f>
        <v/>
      </c>
      <c r="G74" s="14" t="str">
        <f>IF($A74="","",INDEX(Movimientos!$I$5:$I$3004,MATCH($A74,Movimientos!$M$5:$M$3004,0)))</f>
        <v/>
      </c>
      <c r="H74" s="22" t="str">
        <f>IF($A74="","",INDEX(Movimientos!$G$5:$G$3004,MATCH($A74,Movimientos!$M$5:$M$3004,0)))</f>
        <v/>
      </c>
      <c r="I74" s="22" t="str">
        <f>IF($A74="","",INDEX(Movimientos!$H$5:$H$3004,MATCH($A74,Movimientos!$M$5:$M$3004,0)))</f>
        <v/>
      </c>
      <c r="J74" s="14" t="str">
        <f>IF($A74="","",INDEX(Movimientos!$K$5:$K$3004,MATCH($A74,Movimientos!$M$5:$M$3004,0))&amp;"")</f>
        <v/>
      </c>
    </row>
    <row r="75" spans="1:10" x14ac:dyDescent="0.25">
      <c r="A75" s="14" t="str">
        <f>IF(67&lt;=COUNTIF(Movimientos!$M$5:$M$3004,"&gt;0"),67,"")</f>
        <v/>
      </c>
      <c r="B75" s="30" t="str">
        <f>IF($A75="","",INDEX(Movimientos!$A$5:$A$3004,MATCH($A75,Movimientos!$M$5:$M$3004,0)))</f>
        <v/>
      </c>
      <c r="C75" s="14" t="str">
        <f>IF($A75="","",INDEX(Movimientos!$B$5:$B$3004,MATCH($A75,Movimientos!$M$5:$M$3004,0)))</f>
        <v/>
      </c>
      <c r="D75" s="14" t="str">
        <f>IF($A75="","",INDEX(Movimientos!$J$5:$J$3004,MATCH($A75,Movimientos!$M$5:$M$3004,0))&amp;"")</f>
        <v/>
      </c>
      <c r="E75" s="14" t="str">
        <f>IF($A75="","",IF(C75="Entrada",INDEX(Movimientos!$F$5:$F$3004,MATCH($A75,Movimientos!$M$5:$M$3004,0)),""))</f>
        <v/>
      </c>
      <c r="F75" s="14" t="str">
        <f>IF($A75="","",IF(C75="Salida",INDEX(Movimientos!$F$5:$F$3004,MATCH($A75,Movimientos!$M$5:$M$3004,0)),""))</f>
        <v/>
      </c>
      <c r="G75" s="14" t="str">
        <f>IF($A75="","",INDEX(Movimientos!$I$5:$I$3004,MATCH($A75,Movimientos!$M$5:$M$3004,0)))</f>
        <v/>
      </c>
      <c r="H75" s="22" t="str">
        <f>IF($A75="","",INDEX(Movimientos!$G$5:$G$3004,MATCH($A75,Movimientos!$M$5:$M$3004,0)))</f>
        <v/>
      </c>
      <c r="I75" s="22" t="str">
        <f>IF($A75="","",INDEX(Movimientos!$H$5:$H$3004,MATCH($A75,Movimientos!$M$5:$M$3004,0)))</f>
        <v/>
      </c>
      <c r="J75" s="14" t="str">
        <f>IF($A75="","",INDEX(Movimientos!$K$5:$K$3004,MATCH($A75,Movimientos!$M$5:$M$3004,0))&amp;"")</f>
        <v/>
      </c>
    </row>
    <row r="76" spans="1:10" x14ac:dyDescent="0.25">
      <c r="A76" s="14" t="str">
        <f>IF(68&lt;=COUNTIF(Movimientos!$M$5:$M$3004,"&gt;0"),68,"")</f>
        <v/>
      </c>
      <c r="B76" s="30" t="str">
        <f>IF($A76="","",INDEX(Movimientos!$A$5:$A$3004,MATCH($A76,Movimientos!$M$5:$M$3004,0)))</f>
        <v/>
      </c>
      <c r="C76" s="14" t="str">
        <f>IF($A76="","",INDEX(Movimientos!$B$5:$B$3004,MATCH($A76,Movimientos!$M$5:$M$3004,0)))</f>
        <v/>
      </c>
      <c r="D76" s="14" t="str">
        <f>IF($A76="","",INDEX(Movimientos!$J$5:$J$3004,MATCH($A76,Movimientos!$M$5:$M$3004,0))&amp;"")</f>
        <v/>
      </c>
      <c r="E76" s="14" t="str">
        <f>IF($A76="","",IF(C76="Entrada",INDEX(Movimientos!$F$5:$F$3004,MATCH($A76,Movimientos!$M$5:$M$3004,0)),""))</f>
        <v/>
      </c>
      <c r="F76" s="14" t="str">
        <f>IF($A76="","",IF(C76="Salida",INDEX(Movimientos!$F$5:$F$3004,MATCH($A76,Movimientos!$M$5:$M$3004,0)),""))</f>
        <v/>
      </c>
      <c r="G76" s="14" t="str">
        <f>IF($A76="","",INDEX(Movimientos!$I$5:$I$3004,MATCH($A76,Movimientos!$M$5:$M$3004,0)))</f>
        <v/>
      </c>
      <c r="H76" s="22" t="str">
        <f>IF($A76="","",INDEX(Movimientos!$G$5:$G$3004,MATCH($A76,Movimientos!$M$5:$M$3004,0)))</f>
        <v/>
      </c>
      <c r="I76" s="22" t="str">
        <f>IF($A76="","",INDEX(Movimientos!$H$5:$H$3004,MATCH($A76,Movimientos!$M$5:$M$3004,0)))</f>
        <v/>
      </c>
      <c r="J76" s="14" t="str">
        <f>IF($A76="","",INDEX(Movimientos!$K$5:$K$3004,MATCH($A76,Movimientos!$M$5:$M$3004,0))&amp;"")</f>
        <v/>
      </c>
    </row>
    <row r="77" spans="1:10" x14ac:dyDescent="0.25">
      <c r="A77" s="14" t="str">
        <f>IF(69&lt;=COUNTIF(Movimientos!$M$5:$M$3004,"&gt;0"),69,"")</f>
        <v/>
      </c>
      <c r="B77" s="30" t="str">
        <f>IF($A77="","",INDEX(Movimientos!$A$5:$A$3004,MATCH($A77,Movimientos!$M$5:$M$3004,0)))</f>
        <v/>
      </c>
      <c r="C77" s="14" t="str">
        <f>IF($A77="","",INDEX(Movimientos!$B$5:$B$3004,MATCH($A77,Movimientos!$M$5:$M$3004,0)))</f>
        <v/>
      </c>
      <c r="D77" s="14" t="str">
        <f>IF($A77="","",INDEX(Movimientos!$J$5:$J$3004,MATCH($A77,Movimientos!$M$5:$M$3004,0))&amp;"")</f>
        <v/>
      </c>
      <c r="E77" s="14" t="str">
        <f>IF($A77="","",IF(C77="Entrada",INDEX(Movimientos!$F$5:$F$3004,MATCH($A77,Movimientos!$M$5:$M$3004,0)),""))</f>
        <v/>
      </c>
      <c r="F77" s="14" t="str">
        <f>IF($A77="","",IF(C77="Salida",INDEX(Movimientos!$F$5:$F$3004,MATCH($A77,Movimientos!$M$5:$M$3004,0)),""))</f>
        <v/>
      </c>
      <c r="G77" s="14" t="str">
        <f>IF($A77="","",INDEX(Movimientos!$I$5:$I$3004,MATCH($A77,Movimientos!$M$5:$M$3004,0)))</f>
        <v/>
      </c>
      <c r="H77" s="22" t="str">
        <f>IF($A77="","",INDEX(Movimientos!$G$5:$G$3004,MATCH($A77,Movimientos!$M$5:$M$3004,0)))</f>
        <v/>
      </c>
      <c r="I77" s="22" t="str">
        <f>IF($A77="","",INDEX(Movimientos!$H$5:$H$3004,MATCH($A77,Movimientos!$M$5:$M$3004,0)))</f>
        <v/>
      </c>
      <c r="J77" s="14" t="str">
        <f>IF($A77="","",INDEX(Movimientos!$K$5:$K$3004,MATCH($A77,Movimientos!$M$5:$M$3004,0))&amp;"")</f>
        <v/>
      </c>
    </row>
    <row r="78" spans="1:10" x14ac:dyDescent="0.25">
      <c r="A78" s="14" t="str">
        <f>IF(70&lt;=COUNTIF(Movimientos!$M$5:$M$3004,"&gt;0"),70,"")</f>
        <v/>
      </c>
      <c r="B78" s="30" t="str">
        <f>IF($A78="","",INDEX(Movimientos!$A$5:$A$3004,MATCH($A78,Movimientos!$M$5:$M$3004,0)))</f>
        <v/>
      </c>
      <c r="C78" s="14" t="str">
        <f>IF($A78="","",INDEX(Movimientos!$B$5:$B$3004,MATCH($A78,Movimientos!$M$5:$M$3004,0)))</f>
        <v/>
      </c>
      <c r="D78" s="14" t="str">
        <f>IF($A78="","",INDEX(Movimientos!$J$5:$J$3004,MATCH($A78,Movimientos!$M$5:$M$3004,0))&amp;"")</f>
        <v/>
      </c>
      <c r="E78" s="14" t="str">
        <f>IF($A78="","",IF(C78="Entrada",INDEX(Movimientos!$F$5:$F$3004,MATCH($A78,Movimientos!$M$5:$M$3004,0)),""))</f>
        <v/>
      </c>
      <c r="F78" s="14" t="str">
        <f>IF($A78="","",IF(C78="Salida",INDEX(Movimientos!$F$5:$F$3004,MATCH($A78,Movimientos!$M$5:$M$3004,0)),""))</f>
        <v/>
      </c>
      <c r="G78" s="14" t="str">
        <f>IF($A78="","",INDEX(Movimientos!$I$5:$I$3004,MATCH($A78,Movimientos!$M$5:$M$3004,0)))</f>
        <v/>
      </c>
      <c r="H78" s="22" t="str">
        <f>IF($A78="","",INDEX(Movimientos!$G$5:$G$3004,MATCH($A78,Movimientos!$M$5:$M$3004,0)))</f>
        <v/>
      </c>
      <c r="I78" s="22" t="str">
        <f>IF($A78="","",INDEX(Movimientos!$H$5:$H$3004,MATCH($A78,Movimientos!$M$5:$M$3004,0)))</f>
        <v/>
      </c>
      <c r="J78" s="14" t="str">
        <f>IF($A78="","",INDEX(Movimientos!$K$5:$K$3004,MATCH($A78,Movimientos!$M$5:$M$3004,0))&amp;"")</f>
        <v/>
      </c>
    </row>
    <row r="79" spans="1:10" x14ac:dyDescent="0.25">
      <c r="A79" s="14" t="str">
        <f>IF(71&lt;=COUNTIF(Movimientos!$M$5:$M$3004,"&gt;0"),71,"")</f>
        <v/>
      </c>
      <c r="B79" s="30" t="str">
        <f>IF($A79="","",INDEX(Movimientos!$A$5:$A$3004,MATCH($A79,Movimientos!$M$5:$M$3004,0)))</f>
        <v/>
      </c>
      <c r="C79" s="14" t="str">
        <f>IF($A79="","",INDEX(Movimientos!$B$5:$B$3004,MATCH($A79,Movimientos!$M$5:$M$3004,0)))</f>
        <v/>
      </c>
      <c r="D79" s="14" t="str">
        <f>IF($A79="","",INDEX(Movimientos!$J$5:$J$3004,MATCH($A79,Movimientos!$M$5:$M$3004,0))&amp;"")</f>
        <v/>
      </c>
      <c r="E79" s="14" t="str">
        <f>IF($A79="","",IF(C79="Entrada",INDEX(Movimientos!$F$5:$F$3004,MATCH($A79,Movimientos!$M$5:$M$3004,0)),""))</f>
        <v/>
      </c>
      <c r="F79" s="14" t="str">
        <f>IF($A79="","",IF(C79="Salida",INDEX(Movimientos!$F$5:$F$3004,MATCH($A79,Movimientos!$M$5:$M$3004,0)),""))</f>
        <v/>
      </c>
      <c r="G79" s="14" t="str">
        <f>IF($A79="","",INDEX(Movimientos!$I$5:$I$3004,MATCH($A79,Movimientos!$M$5:$M$3004,0)))</f>
        <v/>
      </c>
      <c r="H79" s="22" t="str">
        <f>IF($A79="","",INDEX(Movimientos!$G$5:$G$3004,MATCH($A79,Movimientos!$M$5:$M$3004,0)))</f>
        <v/>
      </c>
      <c r="I79" s="22" t="str">
        <f>IF($A79="","",INDEX(Movimientos!$H$5:$H$3004,MATCH($A79,Movimientos!$M$5:$M$3004,0)))</f>
        <v/>
      </c>
      <c r="J79" s="14" t="str">
        <f>IF($A79="","",INDEX(Movimientos!$K$5:$K$3004,MATCH($A79,Movimientos!$M$5:$M$3004,0))&amp;"")</f>
        <v/>
      </c>
    </row>
    <row r="80" spans="1:10" x14ac:dyDescent="0.25">
      <c r="A80" s="14" t="str">
        <f>IF(72&lt;=COUNTIF(Movimientos!$M$5:$M$3004,"&gt;0"),72,"")</f>
        <v/>
      </c>
      <c r="B80" s="30" t="str">
        <f>IF($A80="","",INDEX(Movimientos!$A$5:$A$3004,MATCH($A80,Movimientos!$M$5:$M$3004,0)))</f>
        <v/>
      </c>
      <c r="C80" s="14" t="str">
        <f>IF($A80="","",INDEX(Movimientos!$B$5:$B$3004,MATCH($A80,Movimientos!$M$5:$M$3004,0)))</f>
        <v/>
      </c>
      <c r="D80" s="14" t="str">
        <f>IF($A80="","",INDEX(Movimientos!$J$5:$J$3004,MATCH($A80,Movimientos!$M$5:$M$3004,0))&amp;"")</f>
        <v/>
      </c>
      <c r="E80" s="14" t="str">
        <f>IF($A80="","",IF(C80="Entrada",INDEX(Movimientos!$F$5:$F$3004,MATCH($A80,Movimientos!$M$5:$M$3004,0)),""))</f>
        <v/>
      </c>
      <c r="F80" s="14" t="str">
        <f>IF($A80="","",IF(C80="Salida",INDEX(Movimientos!$F$5:$F$3004,MATCH($A80,Movimientos!$M$5:$M$3004,0)),""))</f>
        <v/>
      </c>
      <c r="G80" s="14" t="str">
        <f>IF($A80="","",INDEX(Movimientos!$I$5:$I$3004,MATCH($A80,Movimientos!$M$5:$M$3004,0)))</f>
        <v/>
      </c>
      <c r="H80" s="22" t="str">
        <f>IF($A80="","",INDEX(Movimientos!$G$5:$G$3004,MATCH($A80,Movimientos!$M$5:$M$3004,0)))</f>
        <v/>
      </c>
      <c r="I80" s="22" t="str">
        <f>IF($A80="","",INDEX(Movimientos!$H$5:$H$3004,MATCH($A80,Movimientos!$M$5:$M$3004,0)))</f>
        <v/>
      </c>
      <c r="J80" s="14" t="str">
        <f>IF($A80="","",INDEX(Movimientos!$K$5:$K$3004,MATCH($A80,Movimientos!$M$5:$M$3004,0))&amp;"")</f>
        <v/>
      </c>
    </row>
    <row r="81" spans="1:10" x14ac:dyDescent="0.25">
      <c r="A81" s="14" t="str">
        <f>IF(73&lt;=COUNTIF(Movimientos!$M$5:$M$3004,"&gt;0"),73,"")</f>
        <v/>
      </c>
      <c r="B81" s="30" t="str">
        <f>IF($A81="","",INDEX(Movimientos!$A$5:$A$3004,MATCH($A81,Movimientos!$M$5:$M$3004,0)))</f>
        <v/>
      </c>
      <c r="C81" s="14" t="str">
        <f>IF($A81="","",INDEX(Movimientos!$B$5:$B$3004,MATCH($A81,Movimientos!$M$5:$M$3004,0)))</f>
        <v/>
      </c>
      <c r="D81" s="14" t="str">
        <f>IF($A81="","",INDEX(Movimientos!$J$5:$J$3004,MATCH($A81,Movimientos!$M$5:$M$3004,0))&amp;"")</f>
        <v/>
      </c>
      <c r="E81" s="14" t="str">
        <f>IF($A81="","",IF(C81="Entrada",INDEX(Movimientos!$F$5:$F$3004,MATCH($A81,Movimientos!$M$5:$M$3004,0)),""))</f>
        <v/>
      </c>
      <c r="F81" s="14" t="str">
        <f>IF($A81="","",IF(C81="Salida",INDEX(Movimientos!$F$5:$F$3004,MATCH($A81,Movimientos!$M$5:$M$3004,0)),""))</f>
        <v/>
      </c>
      <c r="G81" s="14" t="str">
        <f>IF($A81="","",INDEX(Movimientos!$I$5:$I$3004,MATCH($A81,Movimientos!$M$5:$M$3004,0)))</f>
        <v/>
      </c>
      <c r="H81" s="22" t="str">
        <f>IF($A81="","",INDEX(Movimientos!$G$5:$G$3004,MATCH($A81,Movimientos!$M$5:$M$3004,0)))</f>
        <v/>
      </c>
      <c r="I81" s="22" t="str">
        <f>IF($A81="","",INDEX(Movimientos!$H$5:$H$3004,MATCH($A81,Movimientos!$M$5:$M$3004,0)))</f>
        <v/>
      </c>
      <c r="J81" s="14" t="str">
        <f>IF($A81="","",INDEX(Movimientos!$K$5:$K$3004,MATCH($A81,Movimientos!$M$5:$M$3004,0))&amp;"")</f>
        <v/>
      </c>
    </row>
    <row r="82" spans="1:10" x14ac:dyDescent="0.25">
      <c r="A82" s="14" t="str">
        <f>IF(74&lt;=COUNTIF(Movimientos!$M$5:$M$3004,"&gt;0"),74,"")</f>
        <v/>
      </c>
      <c r="B82" s="30" t="str">
        <f>IF($A82="","",INDEX(Movimientos!$A$5:$A$3004,MATCH($A82,Movimientos!$M$5:$M$3004,0)))</f>
        <v/>
      </c>
      <c r="C82" s="14" t="str">
        <f>IF($A82="","",INDEX(Movimientos!$B$5:$B$3004,MATCH($A82,Movimientos!$M$5:$M$3004,0)))</f>
        <v/>
      </c>
      <c r="D82" s="14" t="str">
        <f>IF($A82="","",INDEX(Movimientos!$J$5:$J$3004,MATCH($A82,Movimientos!$M$5:$M$3004,0))&amp;"")</f>
        <v/>
      </c>
      <c r="E82" s="14" t="str">
        <f>IF($A82="","",IF(C82="Entrada",INDEX(Movimientos!$F$5:$F$3004,MATCH($A82,Movimientos!$M$5:$M$3004,0)),""))</f>
        <v/>
      </c>
      <c r="F82" s="14" t="str">
        <f>IF($A82="","",IF(C82="Salida",INDEX(Movimientos!$F$5:$F$3004,MATCH($A82,Movimientos!$M$5:$M$3004,0)),""))</f>
        <v/>
      </c>
      <c r="G82" s="14" t="str">
        <f>IF($A82="","",INDEX(Movimientos!$I$5:$I$3004,MATCH($A82,Movimientos!$M$5:$M$3004,0)))</f>
        <v/>
      </c>
      <c r="H82" s="22" t="str">
        <f>IF($A82="","",INDEX(Movimientos!$G$5:$G$3004,MATCH($A82,Movimientos!$M$5:$M$3004,0)))</f>
        <v/>
      </c>
      <c r="I82" s="22" t="str">
        <f>IF($A82="","",INDEX(Movimientos!$H$5:$H$3004,MATCH($A82,Movimientos!$M$5:$M$3004,0)))</f>
        <v/>
      </c>
      <c r="J82" s="14" t="str">
        <f>IF($A82="","",INDEX(Movimientos!$K$5:$K$3004,MATCH($A82,Movimientos!$M$5:$M$3004,0))&amp;"")</f>
        <v/>
      </c>
    </row>
    <row r="83" spans="1:10" x14ac:dyDescent="0.25">
      <c r="A83" s="14" t="str">
        <f>IF(75&lt;=COUNTIF(Movimientos!$M$5:$M$3004,"&gt;0"),75,"")</f>
        <v/>
      </c>
      <c r="B83" s="30" t="str">
        <f>IF($A83="","",INDEX(Movimientos!$A$5:$A$3004,MATCH($A83,Movimientos!$M$5:$M$3004,0)))</f>
        <v/>
      </c>
      <c r="C83" s="14" t="str">
        <f>IF($A83="","",INDEX(Movimientos!$B$5:$B$3004,MATCH($A83,Movimientos!$M$5:$M$3004,0)))</f>
        <v/>
      </c>
      <c r="D83" s="14" t="str">
        <f>IF($A83="","",INDEX(Movimientos!$J$5:$J$3004,MATCH($A83,Movimientos!$M$5:$M$3004,0))&amp;"")</f>
        <v/>
      </c>
      <c r="E83" s="14" t="str">
        <f>IF($A83="","",IF(C83="Entrada",INDEX(Movimientos!$F$5:$F$3004,MATCH($A83,Movimientos!$M$5:$M$3004,0)),""))</f>
        <v/>
      </c>
      <c r="F83" s="14" t="str">
        <f>IF($A83="","",IF(C83="Salida",INDEX(Movimientos!$F$5:$F$3004,MATCH($A83,Movimientos!$M$5:$M$3004,0)),""))</f>
        <v/>
      </c>
      <c r="G83" s="14" t="str">
        <f>IF($A83="","",INDEX(Movimientos!$I$5:$I$3004,MATCH($A83,Movimientos!$M$5:$M$3004,0)))</f>
        <v/>
      </c>
      <c r="H83" s="22" t="str">
        <f>IF($A83="","",INDEX(Movimientos!$G$5:$G$3004,MATCH($A83,Movimientos!$M$5:$M$3004,0)))</f>
        <v/>
      </c>
      <c r="I83" s="22" t="str">
        <f>IF($A83="","",INDEX(Movimientos!$H$5:$H$3004,MATCH($A83,Movimientos!$M$5:$M$3004,0)))</f>
        <v/>
      </c>
      <c r="J83" s="14" t="str">
        <f>IF($A83="","",INDEX(Movimientos!$K$5:$K$3004,MATCH($A83,Movimientos!$M$5:$M$3004,0))&amp;"")</f>
        <v/>
      </c>
    </row>
    <row r="84" spans="1:10" x14ac:dyDescent="0.25">
      <c r="A84" s="14" t="str">
        <f>IF(76&lt;=COUNTIF(Movimientos!$M$5:$M$3004,"&gt;0"),76,"")</f>
        <v/>
      </c>
      <c r="B84" s="30" t="str">
        <f>IF($A84="","",INDEX(Movimientos!$A$5:$A$3004,MATCH($A84,Movimientos!$M$5:$M$3004,0)))</f>
        <v/>
      </c>
      <c r="C84" s="14" t="str">
        <f>IF($A84="","",INDEX(Movimientos!$B$5:$B$3004,MATCH($A84,Movimientos!$M$5:$M$3004,0)))</f>
        <v/>
      </c>
      <c r="D84" s="14" t="str">
        <f>IF($A84="","",INDEX(Movimientos!$J$5:$J$3004,MATCH($A84,Movimientos!$M$5:$M$3004,0))&amp;"")</f>
        <v/>
      </c>
      <c r="E84" s="14" t="str">
        <f>IF($A84="","",IF(C84="Entrada",INDEX(Movimientos!$F$5:$F$3004,MATCH($A84,Movimientos!$M$5:$M$3004,0)),""))</f>
        <v/>
      </c>
      <c r="F84" s="14" t="str">
        <f>IF($A84="","",IF(C84="Salida",INDEX(Movimientos!$F$5:$F$3004,MATCH($A84,Movimientos!$M$5:$M$3004,0)),""))</f>
        <v/>
      </c>
      <c r="G84" s="14" t="str">
        <f>IF($A84="","",INDEX(Movimientos!$I$5:$I$3004,MATCH($A84,Movimientos!$M$5:$M$3004,0)))</f>
        <v/>
      </c>
      <c r="H84" s="22" t="str">
        <f>IF($A84="","",INDEX(Movimientos!$G$5:$G$3004,MATCH($A84,Movimientos!$M$5:$M$3004,0)))</f>
        <v/>
      </c>
      <c r="I84" s="22" t="str">
        <f>IF($A84="","",INDEX(Movimientos!$H$5:$H$3004,MATCH($A84,Movimientos!$M$5:$M$3004,0)))</f>
        <v/>
      </c>
      <c r="J84" s="14" t="str">
        <f>IF($A84="","",INDEX(Movimientos!$K$5:$K$3004,MATCH($A84,Movimientos!$M$5:$M$3004,0))&amp;"")</f>
        <v/>
      </c>
    </row>
    <row r="85" spans="1:10" x14ac:dyDescent="0.25">
      <c r="A85" s="14" t="str">
        <f>IF(77&lt;=COUNTIF(Movimientos!$M$5:$M$3004,"&gt;0"),77,"")</f>
        <v/>
      </c>
      <c r="B85" s="30" t="str">
        <f>IF($A85="","",INDEX(Movimientos!$A$5:$A$3004,MATCH($A85,Movimientos!$M$5:$M$3004,0)))</f>
        <v/>
      </c>
      <c r="C85" s="14" t="str">
        <f>IF($A85="","",INDEX(Movimientos!$B$5:$B$3004,MATCH($A85,Movimientos!$M$5:$M$3004,0)))</f>
        <v/>
      </c>
      <c r="D85" s="14" t="str">
        <f>IF($A85="","",INDEX(Movimientos!$J$5:$J$3004,MATCH($A85,Movimientos!$M$5:$M$3004,0))&amp;"")</f>
        <v/>
      </c>
      <c r="E85" s="14" t="str">
        <f>IF($A85="","",IF(C85="Entrada",INDEX(Movimientos!$F$5:$F$3004,MATCH($A85,Movimientos!$M$5:$M$3004,0)),""))</f>
        <v/>
      </c>
      <c r="F85" s="14" t="str">
        <f>IF($A85="","",IF(C85="Salida",INDEX(Movimientos!$F$5:$F$3004,MATCH($A85,Movimientos!$M$5:$M$3004,0)),""))</f>
        <v/>
      </c>
      <c r="G85" s="14" t="str">
        <f>IF($A85="","",INDEX(Movimientos!$I$5:$I$3004,MATCH($A85,Movimientos!$M$5:$M$3004,0)))</f>
        <v/>
      </c>
      <c r="H85" s="22" t="str">
        <f>IF($A85="","",INDEX(Movimientos!$G$5:$G$3004,MATCH($A85,Movimientos!$M$5:$M$3004,0)))</f>
        <v/>
      </c>
      <c r="I85" s="22" t="str">
        <f>IF($A85="","",INDEX(Movimientos!$H$5:$H$3004,MATCH($A85,Movimientos!$M$5:$M$3004,0)))</f>
        <v/>
      </c>
      <c r="J85" s="14" t="str">
        <f>IF($A85="","",INDEX(Movimientos!$K$5:$K$3004,MATCH($A85,Movimientos!$M$5:$M$3004,0))&amp;"")</f>
        <v/>
      </c>
    </row>
    <row r="86" spans="1:10" x14ac:dyDescent="0.25">
      <c r="A86" s="14" t="str">
        <f>IF(78&lt;=COUNTIF(Movimientos!$M$5:$M$3004,"&gt;0"),78,"")</f>
        <v/>
      </c>
      <c r="B86" s="30" t="str">
        <f>IF($A86="","",INDEX(Movimientos!$A$5:$A$3004,MATCH($A86,Movimientos!$M$5:$M$3004,0)))</f>
        <v/>
      </c>
      <c r="C86" s="14" t="str">
        <f>IF($A86="","",INDEX(Movimientos!$B$5:$B$3004,MATCH($A86,Movimientos!$M$5:$M$3004,0)))</f>
        <v/>
      </c>
      <c r="D86" s="14" t="str">
        <f>IF($A86="","",INDEX(Movimientos!$J$5:$J$3004,MATCH($A86,Movimientos!$M$5:$M$3004,0))&amp;"")</f>
        <v/>
      </c>
      <c r="E86" s="14" t="str">
        <f>IF($A86="","",IF(C86="Entrada",INDEX(Movimientos!$F$5:$F$3004,MATCH($A86,Movimientos!$M$5:$M$3004,0)),""))</f>
        <v/>
      </c>
      <c r="F86" s="14" t="str">
        <f>IF($A86="","",IF(C86="Salida",INDEX(Movimientos!$F$5:$F$3004,MATCH($A86,Movimientos!$M$5:$M$3004,0)),""))</f>
        <v/>
      </c>
      <c r="G86" s="14" t="str">
        <f>IF($A86="","",INDEX(Movimientos!$I$5:$I$3004,MATCH($A86,Movimientos!$M$5:$M$3004,0)))</f>
        <v/>
      </c>
      <c r="H86" s="22" t="str">
        <f>IF($A86="","",INDEX(Movimientos!$G$5:$G$3004,MATCH($A86,Movimientos!$M$5:$M$3004,0)))</f>
        <v/>
      </c>
      <c r="I86" s="22" t="str">
        <f>IF($A86="","",INDEX(Movimientos!$H$5:$H$3004,MATCH($A86,Movimientos!$M$5:$M$3004,0)))</f>
        <v/>
      </c>
      <c r="J86" s="14" t="str">
        <f>IF($A86="","",INDEX(Movimientos!$K$5:$K$3004,MATCH($A86,Movimientos!$M$5:$M$3004,0))&amp;"")</f>
        <v/>
      </c>
    </row>
    <row r="87" spans="1:10" x14ac:dyDescent="0.25">
      <c r="A87" s="14" t="str">
        <f>IF(79&lt;=COUNTIF(Movimientos!$M$5:$M$3004,"&gt;0"),79,"")</f>
        <v/>
      </c>
      <c r="B87" s="30" t="str">
        <f>IF($A87="","",INDEX(Movimientos!$A$5:$A$3004,MATCH($A87,Movimientos!$M$5:$M$3004,0)))</f>
        <v/>
      </c>
      <c r="C87" s="14" t="str">
        <f>IF($A87="","",INDEX(Movimientos!$B$5:$B$3004,MATCH($A87,Movimientos!$M$5:$M$3004,0)))</f>
        <v/>
      </c>
      <c r="D87" s="14" t="str">
        <f>IF($A87="","",INDEX(Movimientos!$J$5:$J$3004,MATCH($A87,Movimientos!$M$5:$M$3004,0))&amp;"")</f>
        <v/>
      </c>
      <c r="E87" s="14" t="str">
        <f>IF($A87="","",IF(C87="Entrada",INDEX(Movimientos!$F$5:$F$3004,MATCH($A87,Movimientos!$M$5:$M$3004,0)),""))</f>
        <v/>
      </c>
      <c r="F87" s="14" t="str">
        <f>IF($A87="","",IF(C87="Salida",INDEX(Movimientos!$F$5:$F$3004,MATCH($A87,Movimientos!$M$5:$M$3004,0)),""))</f>
        <v/>
      </c>
      <c r="G87" s="14" t="str">
        <f>IF($A87="","",INDEX(Movimientos!$I$5:$I$3004,MATCH($A87,Movimientos!$M$5:$M$3004,0)))</f>
        <v/>
      </c>
      <c r="H87" s="22" t="str">
        <f>IF($A87="","",INDEX(Movimientos!$G$5:$G$3004,MATCH($A87,Movimientos!$M$5:$M$3004,0)))</f>
        <v/>
      </c>
      <c r="I87" s="22" t="str">
        <f>IF($A87="","",INDEX(Movimientos!$H$5:$H$3004,MATCH($A87,Movimientos!$M$5:$M$3004,0)))</f>
        <v/>
      </c>
      <c r="J87" s="14" t="str">
        <f>IF($A87="","",INDEX(Movimientos!$K$5:$K$3004,MATCH($A87,Movimientos!$M$5:$M$3004,0))&amp;"")</f>
        <v/>
      </c>
    </row>
    <row r="88" spans="1:10" x14ac:dyDescent="0.25">
      <c r="A88" s="14" t="str">
        <f>IF(80&lt;=COUNTIF(Movimientos!$M$5:$M$3004,"&gt;0"),80,"")</f>
        <v/>
      </c>
      <c r="B88" s="30" t="str">
        <f>IF($A88="","",INDEX(Movimientos!$A$5:$A$3004,MATCH($A88,Movimientos!$M$5:$M$3004,0)))</f>
        <v/>
      </c>
      <c r="C88" s="14" t="str">
        <f>IF($A88="","",INDEX(Movimientos!$B$5:$B$3004,MATCH($A88,Movimientos!$M$5:$M$3004,0)))</f>
        <v/>
      </c>
      <c r="D88" s="14" t="str">
        <f>IF($A88="","",INDEX(Movimientos!$J$5:$J$3004,MATCH($A88,Movimientos!$M$5:$M$3004,0))&amp;"")</f>
        <v/>
      </c>
      <c r="E88" s="14" t="str">
        <f>IF($A88="","",IF(C88="Entrada",INDEX(Movimientos!$F$5:$F$3004,MATCH($A88,Movimientos!$M$5:$M$3004,0)),""))</f>
        <v/>
      </c>
      <c r="F88" s="14" t="str">
        <f>IF($A88="","",IF(C88="Salida",INDEX(Movimientos!$F$5:$F$3004,MATCH($A88,Movimientos!$M$5:$M$3004,0)),""))</f>
        <v/>
      </c>
      <c r="G88" s="14" t="str">
        <f>IF($A88="","",INDEX(Movimientos!$I$5:$I$3004,MATCH($A88,Movimientos!$M$5:$M$3004,0)))</f>
        <v/>
      </c>
      <c r="H88" s="22" t="str">
        <f>IF($A88="","",INDEX(Movimientos!$G$5:$G$3004,MATCH($A88,Movimientos!$M$5:$M$3004,0)))</f>
        <v/>
      </c>
      <c r="I88" s="22" t="str">
        <f>IF($A88="","",INDEX(Movimientos!$H$5:$H$3004,MATCH($A88,Movimientos!$M$5:$M$3004,0)))</f>
        <v/>
      </c>
      <c r="J88" s="14" t="str">
        <f>IF($A88="","",INDEX(Movimientos!$K$5:$K$3004,MATCH($A88,Movimientos!$M$5:$M$3004,0))&amp;"")</f>
        <v/>
      </c>
    </row>
    <row r="89" spans="1:10" x14ac:dyDescent="0.25">
      <c r="A89" s="14" t="str">
        <f>IF(81&lt;=COUNTIF(Movimientos!$M$5:$M$3004,"&gt;0"),81,"")</f>
        <v/>
      </c>
      <c r="B89" s="30" t="str">
        <f>IF($A89="","",INDEX(Movimientos!$A$5:$A$3004,MATCH($A89,Movimientos!$M$5:$M$3004,0)))</f>
        <v/>
      </c>
      <c r="C89" s="14" t="str">
        <f>IF($A89="","",INDEX(Movimientos!$B$5:$B$3004,MATCH($A89,Movimientos!$M$5:$M$3004,0)))</f>
        <v/>
      </c>
      <c r="D89" s="14" t="str">
        <f>IF($A89="","",INDEX(Movimientos!$J$5:$J$3004,MATCH($A89,Movimientos!$M$5:$M$3004,0))&amp;"")</f>
        <v/>
      </c>
      <c r="E89" s="14" t="str">
        <f>IF($A89="","",IF(C89="Entrada",INDEX(Movimientos!$F$5:$F$3004,MATCH($A89,Movimientos!$M$5:$M$3004,0)),""))</f>
        <v/>
      </c>
      <c r="F89" s="14" t="str">
        <f>IF($A89="","",IF(C89="Salida",INDEX(Movimientos!$F$5:$F$3004,MATCH($A89,Movimientos!$M$5:$M$3004,0)),""))</f>
        <v/>
      </c>
      <c r="G89" s="14" t="str">
        <f>IF($A89="","",INDEX(Movimientos!$I$5:$I$3004,MATCH($A89,Movimientos!$M$5:$M$3004,0)))</f>
        <v/>
      </c>
      <c r="H89" s="22" t="str">
        <f>IF($A89="","",INDEX(Movimientos!$G$5:$G$3004,MATCH($A89,Movimientos!$M$5:$M$3004,0)))</f>
        <v/>
      </c>
      <c r="I89" s="22" t="str">
        <f>IF($A89="","",INDEX(Movimientos!$H$5:$H$3004,MATCH($A89,Movimientos!$M$5:$M$3004,0)))</f>
        <v/>
      </c>
      <c r="J89" s="14" t="str">
        <f>IF($A89="","",INDEX(Movimientos!$K$5:$K$3004,MATCH($A89,Movimientos!$M$5:$M$3004,0))&amp;"")</f>
        <v/>
      </c>
    </row>
    <row r="90" spans="1:10" x14ac:dyDescent="0.25">
      <c r="A90" s="14" t="str">
        <f>IF(82&lt;=COUNTIF(Movimientos!$M$5:$M$3004,"&gt;0"),82,"")</f>
        <v/>
      </c>
      <c r="B90" s="30" t="str">
        <f>IF($A90="","",INDEX(Movimientos!$A$5:$A$3004,MATCH($A90,Movimientos!$M$5:$M$3004,0)))</f>
        <v/>
      </c>
      <c r="C90" s="14" t="str">
        <f>IF($A90="","",INDEX(Movimientos!$B$5:$B$3004,MATCH($A90,Movimientos!$M$5:$M$3004,0)))</f>
        <v/>
      </c>
      <c r="D90" s="14" t="str">
        <f>IF($A90="","",INDEX(Movimientos!$J$5:$J$3004,MATCH($A90,Movimientos!$M$5:$M$3004,0))&amp;"")</f>
        <v/>
      </c>
      <c r="E90" s="14" t="str">
        <f>IF($A90="","",IF(C90="Entrada",INDEX(Movimientos!$F$5:$F$3004,MATCH($A90,Movimientos!$M$5:$M$3004,0)),""))</f>
        <v/>
      </c>
      <c r="F90" s="14" t="str">
        <f>IF($A90="","",IF(C90="Salida",INDEX(Movimientos!$F$5:$F$3004,MATCH($A90,Movimientos!$M$5:$M$3004,0)),""))</f>
        <v/>
      </c>
      <c r="G90" s="14" t="str">
        <f>IF($A90="","",INDEX(Movimientos!$I$5:$I$3004,MATCH($A90,Movimientos!$M$5:$M$3004,0)))</f>
        <v/>
      </c>
      <c r="H90" s="22" t="str">
        <f>IF($A90="","",INDEX(Movimientos!$G$5:$G$3004,MATCH($A90,Movimientos!$M$5:$M$3004,0)))</f>
        <v/>
      </c>
      <c r="I90" s="22" t="str">
        <f>IF($A90="","",INDEX(Movimientos!$H$5:$H$3004,MATCH($A90,Movimientos!$M$5:$M$3004,0)))</f>
        <v/>
      </c>
      <c r="J90" s="14" t="str">
        <f>IF($A90="","",INDEX(Movimientos!$K$5:$K$3004,MATCH($A90,Movimientos!$M$5:$M$3004,0))&amp;"")</f>
        <v/>
      </c>
    </row>
    <row r="91" spans="1:10" x14ac:dyDescent="0.25">
      <c r="A91" s="14" t="str">
        <f>IF(83&lt;=COUNTIF(Movimientos!$M$5:$M$3004,"&gt;0"),83,"")</f>
        <v/>
      </c>
      <c r="B91" s="30" t="str">
        <f>IF($A91="","",INDEX(Movimientos!$A$5:$A$3004,MATCH($A91,Movimientos!$M$5:$M$3004,0)))</f>
        <v/>
      </c>
      <c r="C91" s="14" t="str">
        <f>IF($A91="","",INDEX(Movimientos!$B$5:$B$3004,MATCH($A91,Movimientos!$M$5:$M$3004,0)))</f>
        <v/>
      </c>
      <c r="D91" s="14" t="str">
        <f>IF($A91="","",INDEX(Movimientos!$J$5:$J$3004,MATCH($A91,Movimientos!$M$5:$M$3004,0))&amp;"")</f>
        <v/>
      </c>
      <c r="E91" s="14" t="str">
        <f>IF($A91="","",IF(C91="Entrada",INDEX(Movimientos!$F$5:$F$3004,MATCH($A91,Movimientos!$M$5:$M$3004,0)),""))</f>
        <v/>
      </c>
      <c r="F91" s="14" t="str">
        <f>IF($A91="","",IF(C91="Salida",INDEX(Movimientos!$F$5:$F$3004,MATCH($A91,Movimientos!$M$5:$M$3004,0)),""))</f>
        <v/>
      </c>
      <c r="G91" s="14" t="str">
        <f>IF($A91="","",INDEX(Movimientos!$I$5:$I$3004,MATCH($A91,Movimientos!$M$5:$M$3004,0)))</f>
        <v/>
      </c>
      <c r="H91" s="22" t="str">
        <f>IF($A91="","",INDEX(Movimientos!$G$5:$G$3004,MATCH($A91,Movimientos!$M$5:$M$3004,0)))</f>
        <v/>
      </c>
      <c r="I91" s="22" t="str">
        <f>IF($A91="","",INDEX(Movimientos!$H$5:$H$3004,MATCH($A91,Movimientos!$M$5:$M$3004,0)))</f>
        <v/>
      </c>
      <c r="J91" s="14" t="str">
        <f>IF($A91="","",INDEX(Movimientos!$K$5:$K$3004,MATCH($A91,Movimientos!$M$5:$M$3004,0))&amp;"")</f>
        <v/>
      </c>
    </row>
    <row r="92" spans="1:10" x14ac:dyDescent="0.25">
      <c r="A92" s="14" t="str">
        <f>IF(84&lt;=COUNTIF(Movimientos!$M$5:$M$3004,"&gt;0"),84,"")</f>
        <v/>
      </c>
      <c r="B92" s="30" t="str">
        <f>IF($A92="","",INDEX(Movimientos!$A$5:$A$3004,MATCH($A92,Movimientos!$M$5:$M$3004,0)))</f>
        <v/>
      </c>
      <c r="C92" s="14" t="str">
        <f>IF($A92="","",INDEX(Movimientos!$B$5:$B$3004,MATCH($A92,Movimientos!$M$5:$M$3004,0)))</f>
        <v/>
      </c>
      <c r="D92" s="14" t="str">
        <f>IF($A92="","",INDEX(Movimientos!$J$5:$J$3004,MATCH($A92,Movimientos!$M$5:$M$3004,0))&amp;"")</f>
        <v/>
      </c>
      <c r="E92" s="14" t="str">
        <f>IF($A92="","",IF(C92="Entrada",INDEX(Movimientos!$F$5:$F$3004,MATCH($A92,Movimientos!$M$5:$M$3004,0)),""))</f>
        <v/>
      </c>
      <c r="F92" s="14" t="str">
        <f>IF($A92="","",IF(C92="Salida",INDEX(Movimientos!$F$5:$F$3004,MATCH($A92,Movimientos!$M$5:$M$3004,0)),""))</f>
        <v/>
      </c>
      <c r="G92" s="14" t="str">
        <f>IF($A92="","",INDEX(Movimientos!$I$5:$I$3004,MATCH($A92,Movimientos!$M$5:$M$3004,0)))</f>
        <v/>
      </c>
      <c r="H92" s="22" t="str">
        <f>IF($A92="","",INDEX(Movimientos!$G$5:$G$3004,MATCH($A92,Movimientos!$M$5:$M$3004,0)))</f>
        <v/>
      </c>
      <c r="I92" s="22" t="str">
        <f>IF($A92="","",INDEX(Movimientos!$H$5:$H$3004,MATCH($A92,Movimientos!$M$5:$M$3004,0)))</f>
        <v/>
      </c>
      <c r="J92" s="14" t="str">
        <f>IF($A92="","",INDEX(Movimientos!$K$5:$K$3004,MATCH($A92,Movimientos!$M$5:$M$3004,0))&amp;"")</f>
        <v/>
      </c>
    </row>
    <row r="93" spans="1:10" x14ac:dyDescent="0.25">
      <c r="A93" s="14" t="str">
        <f>IF(85&lt;=COUNTIF(Movimientos!$M$5:$M$3004,"&gt;0"),85,"")</f>
        <v/>
      </c>
      <c r="B93" s="30" t="str">
        <f>IF($A93="","",INDEX(Movimientos!$A$5:$A$3004,MATCH($A93,Movimientos!$M$5:$M$3004,0)))</f>
        <v/>
      </c>
      <c r="C93" s="14" t="str">
        <f>IF($A93="","",INDEX(Movimientos!$B$5:$B$3004,MATCH($A93,Movimientos!$M$5:$M$3004,0)))</f>
        <v/>
      </c>
      <c r="D93" s="14" t="str">
        <f>IF($A93="","",INDEX(Movimientos!$J$5:$J$3004,MATCH($A93,Movimientos!$M$5:$M$3004,0))&amp;"")</f>
        <v/>
      </c>
      <c r="E93" s="14" t="str">
        <f>IF($A93="","",IF(C93="Entrada",INDEX(Movimientos!$F$5:$F$3004,MATCH($A93,Movimientos!$M$5:$M$3004,0)),""))</f>
        <v/>
      </c>
      <c r="F93" s="14" t="str">
        <f>IF($A93="","",IF(C93="Salida",INDEX(Movimientos!$F$5:$F$3004,MATCH($A93,Movimientos!$M$5:$M$3004,0)),""))</f>
        <v/>
      </c>
      <c r="G93" s="14" t="str">
        <f>IF($A93="","",INDEX(Movimientos!$I$5:$I$3004,MATCH($A93,Movimientos!$M$5:$M$3004,0)))</f>
        <v/>
      </c>
      <c r="H93" s="22" t="str">
        <f>IF($A93="","",INDEX(Movimientos!$G$5:$G$3004,MATCH($A93,Movimientos!$M$5:$M$3004,0)))</f>
        <v/>
      </c>
      <c r="I93" s="22" t="str">
        <f>IF($A93="","",INDEX(Movimientos!$H$5:$H$3004,MATCH($A93,Movimientos!$M$5:$M$3004,0)))</f>
        <v/>
      </c>
      <c r="J93" s="14" t="str">
        <f>IF($A93="","",INDEX(Movimientos!$K$5:$K$3004,MATCH($A93,Movimientos!$M$5:$M$3004,0))&amp;"")</f>
        <v/>
      </c>
    </row>
    <row r="94" spans="1:10" x14ac:dyDescent="0.25">
      <c r="A94" s="14" t="str">
        <f>IF(86&lt;=COUNTIF(Movimientos!$M$5:$M$3004,"&gt;0"),86,"")</f>
        <v/>
      </c>
      <c r="B94" s="30" t="str">
        <f>IF($A94="","",INDEX(Movimientos!$A$5:$A$3004,MATCH($A94,Movimientos!$M$5:$M$3004,0)))</f>
        <v/>
      </c>
      <c r="C94" s="14" t="str">
        <f>IF($A94="","",INDEX(Movimientos!$B$5:$B$3004,MATCH($A94,Movimientos!$M$5:$M$3004,0)))</f>
        <v/>
      </c>
      <c r="D94" s="14" t="str">
        <f>IF($A94="","",INDEX(Movimientos!$J$5:$J$3004,MATCH($A94,Movimientos!$M$5:$M$3004,0))&amp;"")</f>
        <v/>
      </c>
      <c r="E94" s="14" t="str">
        <f>IF($A94="","",IF(C94="Entrada",INDEX(Movimientos!$F$5:$F$3004,MATCH($A94,Movimientos!$M$5:$M$3004,0)),""))</f>
        <v/>
      </c>
      <c r="F94" s="14" t="str">
        <f>IF($A94="","",IF(C94="Salida",INDEX(Movimientos!$F$5:$F$3004,MATCH($A94,Movimientos!$M$5:$M$3004,0)),""))</f>
        <v/>
      </c>
      <c r="G94" s="14" t="str">
        <f>IF($A94="","",INDEX(Movimientos!$I$5:$I$3004,MATCH($A94,Movimientos!$M$5:$M$3004,0)))</f>
        <v/>
      </c>
      <c r="H94" s="22" t="str">
        <f>IF($A94="","",INDEX(Movimientos!$G$5:$G$3004,MATCH($A94,Movimientos!$M$5:$M$3004,0)))</f>
        <v/>
      </c>
      <c r="I94" s="22" t="str">
        <f>IF($A94="","",INDEX(Movimientos!$H$5:$H$3004,MATCH($A94,Movimientos!$M$5:$M$3004,0)))</f>
        <v/>
      </c>
      <c r="J94" s="14" t="str">
        <f>IF($A94="","",INDEX(Movimientos!$K$5:$K$3004,MATCH($A94,Movimientos!$M$5:$M$3004,0))&amp;"")</f>
        <v/>
      </c>
    </row>
    <row r="95" spans="1:10" x14ac:dyDescent="0.25">
      <c r="A95" s="14" t="str">
        <f>IF(87&lt;=COUNTIF(Movimientos!$M$5:$M$3004,"&gt;0"),87,"")</f>
        <v/>
      </c>
      <c r="B95" s="30" t="str">
        <f>IF($A95="","",INDEX(Movimientos!$A$5:$A$3004,MATCH($A95,Movimientos!$M$5:$M$3004,0)))</f>
        <v/>
      </c>
      <c r="C95" s="14" t="str">
        <f>IF($A95="","",INDEX(Movimientos!$B$5:$B$3004,MATCH($A95,Movimientos!$M$5:$M$3004,0)))</f>
        <v/>
      </c>
      <c r="D95" s="14" t="str">
        <f>IF($A95="","",INDEX(Movimientos!$J$5:$J$3004,MATCH($A95,Movimientos!$M$5:$M$3004,0))&amp;"")</f>
        <v/>
      </c>
      <c r="E95" s="14" t="str">
        <f>IF($A95="","",IF(C95="Entrada",INDEX(Movimientos!$F$5:$F$3004,MATCH($A95,Movimientos!$M$5:$M$3004,0)),""))</f>
        <v/>
      </c>
      <c r="F95" s="14" t="str">
        <f>IF($A95="","",IF(C95="Salida",INDEX(Movimientos!$F$5:$F$3004,MATCH($A95,Movimientos!$M$5:$M$3004,0)),""))</f>
        <v/>
      </c>
      <c r="G95" s="14" t="str">
        <f>IF($A95="","",INDEX(Movimientos!$I$5:$I$3004,MATCH($A95,Movimientos!$M$5:$M$3004,0)))</f>
        <v/>
      </c>
      <c r="H95" s="22" t="str">
        <f>IF($A95="","",INDEX(Movimientos!$G$5:$G$3004,MATCH($A95,Movimientos!$M$5:$M$3004,0)))</f>
        <v/>
      </c>
      <c r="I95" s="22" t="str">
        <f>IF($A95="","",INDEX(Movimientos!$H$5:$H$3004,MATCH($A95,Movimientos!$M$5:$M$3004,0)))</f>
        <v/>
      </c>
      <c r="J95" s="14" t="str">
        <f>IF($A95="","",INDEX(Movimientos!$K$5:$K$3004,MATCH($A95,Movimientos!$M$5:$M$3004,0))&amp;"")</f>
        <v/>
      </c>
    </row>
    <row r="96" spans="1:10" x14ac:dyDescent="0.25">
      <c r="A96" s="14" t="str">
        <f>IF(88&lt;=COUNTIF(Movimientos!$M$5:$M$3004,"&gt;0"),88,"")</f>
        <v/>
      </c>
      <c r="B96" s="30" t="str">
        <f>IF($A96="","",INDEX(Movimientos!$A$5:$A$3004,MATCH($A96,Movimientos!$M$5:$M$3004,0)))</f>
        <v/>
      </c>
      <c r="C96" s="14" t="str">
        <f>IF($A96="","",INDEX(Movimientos!$B$5:$B$3004,MATCH($A96,Movimientos!$M$5:$M$3004,0)))</f>
        <v/>
      </c>
      <c r="D96" s="14" t="str">
        <f>IF($A96="","",INDEX(Movimientos!$J$5:$J$3004,MATCH($A96,Movimientos!$M$5:$M$3004,0))&amp;"")</f>
        <v/>
      </c>
      <c r="E96" s="14" t="str">
        <f>IF($A96="","",IF(C96="Entrada",INDEX(Movimientos!$F$5:$F$3004,MATCH($A96,Movimientos!$M$5:$M$3004,0)),""))</f>
        <v/>
      </c>
      <c r="F96" s="14" t="str">
        <f>IF($A96="","",IF(C96="Salida",INDEX(Movimientos!$F$5:$F$3004,MATCH($A96,Movimientos!$M$5:$M$3004,0)),""))</f>
        <v/>
      </c>
      <c r="G96" s="14" t="str">
        <f>IF($A96="","",INDEX(Movimientos!$I$5:$I$3004,MATCH($A96,Movimientos!$M$5:$M$3004,0)))</f>
        <v/>
      </c>
      <c r="H96" s="22" t="str">
        <f>IF($A96="","",INDEX(Movimientos!$G$5:$G$3004,MATCH($A96,Movimientos!$M$5:$M$3004,0)))</f>
        <v/>
      </c>
      <c r="I96" s="22" t="str">
        <f>IF($A96="","",INDEX(Movimientos!$H$5:$H$3004,MATCH($A96,Movimientos!$M$5:$M$3004,0)))</f>
        <v/>
      </c>
      <c r="J96" s="14" t="str">
        <f>IF($A96="","",INDEX(Movimientos!$K$5:$K$3004,MATCH($A96,Movimientos!$M$5:$M$3004,0))&amp;"")</f>
        <v/>
      </c>
    </row>
    <row r="97" spans="1:10" x14ac:dyDescent="0.25">
      <c r="A97" s="14" t="str">
        <f>IF(89&lt;=COUNTIF(Movimientos!$M$5:$M$3004,"&gt;0"),89,"")</f>
        <v/>
      </c>
      <c r="B97" s="30" t="str">
        <f>IF($A97="","",INDEX(Movimientos!$A$5:$A$3004,MATCH($A97,Movimientos!$M$5:$M$3004,0)))</f>
        <v/>
      </c>
      <c r="C97" s="14" t="str">
        <f>IF($A97="","",INDEX(Movimientos!$B$5:$B$3004,MATCH($A97,Movimientos!$M$5:$M$3004,0)))</f>
        <v/>
      </c>
      <c r="D97" s="14" t="str">
        <f>IF($A97="","",INDEX(Movimientos!$J$5:$J$3004,MATCH($A97,Movimientos!$M$5:$M$3004,0))&amp;"")</f>
        <v/>
      </c>
      <c r="E97" s="14" t="str">
        <f>IF($A97="","",IF(C97="Entrada",INDEX(Movimientos!$F$5:$F$3004,MATCH($A97,Movimientos!$M$5:$M$3004,0)),""))</f>
        <v/>
      </c>
      <c r="F97" s="14" t="str">
        <f>IF($A97="","",IF(C97="Salida",INDEX(Movimientos!$F$5:$F$3004,MATCH($A97,Movimientos!$M$5:$M$3004,0)),""))</f>
        <v/>
      </c>
      <c r="G97" s="14" t="str">
        <f>IF($A97="","",INDEX(Movimientos!$I$5:$I$3004,MATCH($A97,Movimientos!$M$5:$M$3004,0)))</f>
        <v/>
      </c>
      <c r="H97" s="22" t="str">
        <f>IF($A97="","",INDEX(Movimientos!$G$5:$G$3004,MATCH($A97,Movimientos!$M$5:$M$3004,0)))</f>
        <v/>
      </c>
      <c r="I97" s="22" t="str">
        <f>IF($A97="","",INDEX(Movimientos!$H$5:$H$3004,MATCH($A97,Movimientos!$M$5:$M$3004,0)))</f>
        <v/>
      </c>
      <c r="J97" s="14" t="str">
        <f>IF($A97="","",INDEX(Movimientos!$K$5:$K$3004,MATCH($A97,Movimientos!$M$5:$M$3004,0))&amp;"")</f>
        <v/>
      </c>
    </row>
    <row r="98" spans="1:10" x14ac:dyDescent="0.25">
      <c r="A98" s="14" t="str">
        <f>IF(90&lt;=COUNTIF(Movimientos!$M$5:$M$3004,"&gt;0"),90,"")</f>
        <v/>
      </c>
      <c r="B98" s="30" t="str">
        <f>IF($A98="","",INDEX(Movimientos!$A$5:$A$3004,MATCH($A98,Movimientos!$M$5:$M$3004,0)))</f>
        <v/>
      </c>
      <c r="C98" s="14" t="str">
        <f>IF($A98="","",INDEX(Movimientos!$B$5:$B$3004,MATCH($A98,Movimientos!$M$5:$M$3004,0)))</f>
        <v/>
      </c>
      <c r="D98" s="14" t="str">
        <f>IF($A98="","",INDEX(Movimientos!$J$5:$J$3004,MATCH($A98,Movimientos!$M$5:$M$3004,0))&amp;"")</f>
        <v/>
      </c>
      <c r="E98" s="14" t="str">
        <f>IF($A98="","",IF(C98="Entrada",INDEX(Movimientos!$F$5:$F$3004,MATCH($A98,Movimientos!$M$5:$M$3004,0)),""))</f>
        <v/>
      </c>
      <c r="F98" s="14" t="str">
        <f>IF($A98="","",IF(C98="Salida",INDEX(Movimientos!$F$5:$F$3004,MATCH($A98,Movimientos!$M$5:$M$3004,0)),""))</f>
        <v/>
      </c>
      <c r="G98" s="14" t="str">
        <f>IF($A98="","",INDEX(Movimientos!$I$5:$I$3004,MATCH($A98,Movimientos!$M$5:$M$3004,0)))</f>
        <v/>
      </c>
      <c r="H98" s="22" t="str">
        <f>IF($A98="","",INDEX(Movimientos!$G$5:$G$3004,MATCH($A98,Movimientos!$M$5:$M$3004,0)))</f>
        <v/>
      </c>
      <c r="I98" s="22" t="str">
        <f>IF($A98="","",INDEX(Movimientos!$H$5:$H$3004,MATCH($A98,Movimientos!$M$5:$M$3004,0)))</f>
        <v/>
      </c>
      <c r="J98" s="14" t="str">
        <f>IF($A98="","",INDEX(Movimientos!$K$5:$K$3004,MATCH($A98,Movimientos!$M$5:$M$3004,0))&amp;"")</f>
        <v/>
      </c>
    </row>
    <row r="99" spans="1:10" x14ac:dyDescent="0.25">
      <c r="A99" s="14" t="str">
        <f>IF(91&lt;=COUNTIF(Movimientos!$M$5:$M$3004,"&gt;0"),91,"")</f>
        <v/>
      </c>
      <c r="B99" s="30" t="str">
        <f>IF($A99="","",INDEX(Movimientos!$A$5:$A$3004,MATCH($A99,Movimientos!$M$5:$M$3004,0)))</f>
        <v/>
      </c>
      <c r="C99" s="14" t="str">
        <f>IF($A99="","",INDEX(Movimientos!$B$5:$B$3004,MATCH($A99,Movimientos!$M$5:$M$3004,0)))</f>
        <v/>
      </c>
      <c r="D99" s="14" t="str">
        <f>IF($A99="","",INDEX(Movimientos!$J$5:$J$3004,MATCH($A99,Movimientos!$M$5:$M$3004,0))&amp;"")</f>
        <v/>
      </c>
      <c r="E99" s="14" t="str">
        <f>IF($A99="","",IF(C99="Entrada",INDEX(Movimientos!$F$5:$F$3004,MATCH($A99,Movimientos!$M$5:$M$3004,0)),""))</f>
        <v/>
      </c>
      <c r="F99" s="14" t="str">
        <f>IF($A99="","",IF(C99="Salida",INDEX(Movimientos!$F$5:$F$3004,MATCH($A99,Movimientos!$M$5:$M$3004,0)),""))</f>
        <v/>
      </c>
      <c r="G99" s="14" t="str">
        <f>IF($A99="","",INDEX(Movimientos!$I$5:$I$3004,MATCH($A99,Movimientos!$M$5:$M$3004,0)))</f>
        <v/>
      </c>
      <c r="H99" s="22" t="str">
        <f>IF($A99="","",INDEX(Movimientos!$G$5:$G$3004,MATCH($A99,Movimientos!$M$5:$M$3004,0)))</f>
        <v/>
      </c>
      <c r="I99" s="22" t="str">
        <f>IF($A99="","",INDEX(Movimientos!$H$5:$H$3004,MATCH($A99,Movimientos!$M$5:$M$3004,0)))</f>
        <v/>
      </c>
      <c r="J99" s="14" t="str">
        <f>IF($A99="","",INDEX(Movimientos!$K$5:$K$3004,MATCH($A99,Movimientos!$M$5:$M$3004,0))&amp;"")</f>
        <v/>
      </c>
    </row>
    <row r="100" spans="1:10" x14ac:dyDescent="0.25">
      <c r="A100" s="14" t="str">
        <f>IF(92&lt;=COUNTIF(Movimientos!$M$5:$M$3004,"&gt;0"),92,"")</f>
        <v/>
      </c>
      <c r="B100" s="30" t="str">
        <f>IF($A100="","",INDEX(Movimientos!$A$5:$A$3004,MATCH($A100,Movimientos!$M$5:$M$3004,0)))</f>
        <v/>
      </c>
      <c r="C100" s="14" t="str">
        <f>IF($A100="","",INDEX(Movimientos!$B$5:$B$3004,MATCH($A100,Movimientos!$M$5:$M$3004,0)))</f>
        <v/>
      </c>
      <c r="D100" s="14" t="str">
        <f>IF($A100="","",INDEX(Movimientos!$J$5:$J$3004,MATCH($A100,Movimientos!$M$5:$M$3004,0))&amp;"")</f>
        <v/>
      </c>
      <c r="E100" s="14" t="str">
        <f>IF($A100="","",IF(C100="Entrada",INDEX(Movimientos!$F$5:$F$3004,MATCH($A100,Movimientos!$M$5:$M$3004,0)),""))</f>
        <v/>
      </c>
      <c r="F100" s="14" t="str">
        <f>IF($A100="","",IF(C100="Salida",INDEX(Movimientos!$F$5:$F$3004,MATCH($A100,Movimientos!$M$5:$M$3004,0)),""))</f>
        <v/>
      </c>
      <c r="G100" s="14" t="str">
        <f>IF($A100="","",INDEX(Movimientos!$I$5:$I$3004,MATCH($A100,Movimientos!$M$5:$M$3004,0)))</f>
        <v/>
      </c>
      <c r="H100" s="22" t="str">
        <f>IF($A100="","",INDEX(Movimientos!$G$5:$G$3004,MATCH($A100,Movimientos!$M$5:$M$3004,0)))</f>
        <v/>
      </c>
      <c r="I100" s="22" t="str">
        <f>IF($A100="","",INDEX(Movimientos!$H$5:$H$3004,MATCH($A100,Movimientos!$M$5:$M$3004,0)))</f>
        <v/>
      </c>
      <c r="J100" s="14" t="str">
        <f>IF($A100="","",INDEX(Movimientos!$K$5:$K$3004,MATCH($A100,Movimientos!$M$5:$M$3004,0))&amp;"")</f>
        <v/>
      </c>
    </row>
    <row r="101" spans="1:10" x14ac:dyDescent="0.25">
      <c r="A101" s="14" t="str">
        <f>IF(93&lt;=COUNTIF(Movimientos!$M$5:$M$3004,"&gt;0"),93,"")</f>
        <v/>
      </c>
      <c r="B101" s="30" t="str">
        <f>IF($A101="","",INDEX(Movimientos!$A$5:$A$3004,MATCH($A101,Movimientos!$M$5:$M$3004,0)))</f>
        <v/>
      </c>
      <c r="C101" s="14" t="str">
        <f>IF($A101="","",INDEX(Movimientos!$B$5:$B$3004,MATCH($A101,Movimientos!$M$5:$M$3004,0)))</f>
        <v/>
      </c>
      <c r="D101" s="14" t="str">
        <f>IF($A101="","",INDEX(Movimientos!$J$5:$J$3004,MATCH($A101,Movimientos!$M$5:$M$3004,0))&amp;"")</f>
        <v/>
      </c>
      <c r="E101" s="14" t="str">
        <f>IF($A101="","",IF(C101="Entrada",INDEX(Movimientos!$F$5:$F$3004,MATCH($A101,Movimientos!$M$5:$M$3004,0)),""))</f>
        <v/>
      </c>
      <c r="F101" s="14" t="str">
        <f>IF($A101="","",IF(C101="Salida",INDEX(Movimientos!$F$5:$F$3004,MATCH($A101,Movimientos!$M$5:$M$3004,0)),""))</f>
        <v/>
      </c>
      <c r="G101" s="14" t="str">
        <f>IF($A101="","",INDEX(Movimientos!$I$5:$I$3004,MATCH($A101,Movimientos!$M$5:$M$3004,0)))</f>
        <v/>
      </c>
      <c r="H101" s="22" t="str">
        <f>IF($A101="","",INDEX(Movimientos!$G$5:$G$3004,MATCH($A101,Movimientos!$M$5:$M$3004,0)))</f>
        <v/>
      </c>
      <c r="I101" s="22" t="str">
        <f>IF($A101="","",INDEX(Movimientos!$H$5:$H$3004,MATCH($A101,Movimientos!$M$5:$M$3004,0)))</f>
        <v/>
      </c>
      <c r="J101" s="14" t="str">
        <f>IF($A101="","",INDEX(Movimientos!$K$5:$K$3004,MATCH($A101,Movimientos!$M$5:$M$3004,0))&amp;"")</f>
        <v/>
      </c>
    </row>
    <row r="102" spans="1:10" x14ac:dyDescent="0.25">
      <c r="A102" s="14" t="str">
        <f>IF(94&lt;=COUNTIF(Movimientos!$M$5:$M$3004,"&gt;0"),94,"")</f>
        <v/>
      </c>
      <c r="B102" s="30" t="str">
        <f>IF($A102="","",INDEX(Movimientos!$A$5:$A$3004,MATCH($A102,Movimientos!$M$5:$M$3004,0)))</f>
        <v/>
      </c>
      <c r="C102" s="14" t="str">
        <f>IF($A102="","",INDEX(Movimientos!$B$5:$B$3004,MATCH($A102,Movimientos!$M$5:$M$3004,0)))</f>
        <v/>
      </c>
      <c r="D102" s="14" t="str">
        <f>IF($A102="","",INDEX(Movimientos!$J$5:$J$3004,MATCH($A102,Movimientos!$M$5:$M$3004,0))&amp;"")</f>
        <v/>
      </c>
      <c r="E102" s="14" t="str">
        <f>IF($A102="","",IF(C102="Entrada",INDEX(Movimientos!$F$5:$F$3004,MATCH($A102,Movimientos!$M$5:$M$3004,0)),""))</f>
        <v/>
      </c>
      <c r="F102" s="14" t="str">
        <f>IF($A102="","",IF(C102="Salida",INDEX(Movimientos!$F$5:$F$3004,MATCH($A102,Movimientos!$M$5:$M$3004,0)),""))</f>
        <v/>
      </c>
      <c r="G102" s="14" t="str">
        <f>IF($A102="","",INDEX(Movimientos!$I$5:$I$3004,MATCH($A102,Movimientos!$M$5:$M$3004,0)))</f>
        <v/>
      </c>
      <c r="H102" s="22" t="str">
        <f>IF($A102="","",INDEX(Movimientos!$G$5:$G$3004,MATCH($A102,Movimientos!$M$5:$M$3004,0)))</f>
        <v/>
      </c>
      <c r="I102" s="22" t="str">
        <f>IF($A102="","",INDEX(Movimientos!$H$5:$H$3004,MATCH($A102,Movimientos!$M$5:$M$3004,0)))</f>
        <v/>
      </c>
      <c r="J102" s="14" t="str">
        <f>IF($A102="","",INDEX(Movimientos!$K$5:$K$3004,MATCH($A102,Movimientos!$M$5:$M$3004,0))&amp;"")</f>
        <v/>
      </c>
    </row>
    <row r="103" spans="1:10" x14ac:dyDescent="0.25">
      <c r="A103" s="14" t="str">
        <f>IF(95&lt;=COUNTIF(Movimientos!$M$5:$M$3004,"&gt;0"),95,"")</f>
        <v/>
      </c>
      <c r="B103" s="30" t="str">
        <f>IF($A103="","",INDEX(Movimientos!$A$5:$A$3004,MATCH($A103,Movimientos!$M$5:$M$3004,0)))</f>
        <v/>
      </c>
      <c r="C103" s="14" t="str">
        <f>IF($A103="","",INDEX(Movimientos!$B$5:$B$3004,MATCH($A103,Movimientos!$M$5:$M$3004,0)))</f>
        <v/>
      </c>
      <c r="D103" s="14" t="str">
        <f>IF($A103="","",INDEX(Movimientos!$J$5:$J$3004,MATCH($A103,Movimientos!$M$5:$M$3004,0))&amp;"")</f>
        <v/>
      </c>
      <c r="E103" s="14" t="str">
        <f>IF($A103="","",IF(C103="Entrada",INDEX(Movimientos!$F$5:$F$3004,MATCH($A103,Movimientos!$M$5:$M$3004,0)),""))</f>
        <v/>
      </c>
      <c r="F103" s="14" t="str">
        <f>IF($A103="","",IF(C103="Salida",INDEX(Movimientos!$F$5:$F$3004,MATCH($A103,Movimientos!$M$5:$M$3004,0)),""))</f>
        <v/>
      </c>
      <c r="G103" s="14" t="str">
        <f>IF($A103="","",INDEX(Movimientos!$I$5:$I$3004,MATCH($A103,Movimientos!$M$5:$M$3004,0)))</f>
        <v/>
      </c>
      <c r="H103" s="22" t="str">
        <f>IF($A103="","",INDEX(Movimientos!$G$5:$G$3004,MATCH($A103,Movimientos!$M$5:$M$3004,0)))</f>
        <v/>
      </c>
      <c r="I103" s="22" t="str">
        <f>IF($A103="","",INDEX(Movimientos!$H$5:$H$3004,MATCH($A103,Movimientos!$M$5:$M$3004,0)))</f>
        <v/>
      </c>
      <c r="J103" s="14" t="str">
        <f>IF($A103="","",INDEX(Movimientos!$K$5:$K$3004,MATCH($A103,Movimientos!$M$5:$M$3004,0))&amp;"")</f>
        <v/>
      </c>
    </row>
    <row r="104" spans="1:10" x14ac:dyDescent="0.25">
      <c r="A104" s="14" t="str">
        <f>IF(96&lt;=COUNTIF(Movimientos!$M$5:$M$3004,"&gt;0"),96,"")</f>
        <v/>
      </c>
      <c r="B104" s="30" t="str">
        <f>IF($A104="","",INDEX(Movimientos!$A$5:$A$3004,MATCH($A104,Movimientos!$M$5:$M$3004,0)))</f>
        <v/>
      </c>
      <c r="C104" s="14" t="str">
        <f>IF($A104="","",INDEX(Movimientos!$B$5:$B$3004,MATCH($A104,Movimientos!$M$5:$M$3004,0)))</f>
        <v/>
      </c>
      <c r="D104" s="14" t="str">
        <f>IF($A104="","",INDEX(Movimientos!$J$5:$J$3004,MATCH($A104,Movimientos!$M$5:$M$3004,0))&amp;"")</f>
        <v/>
      </c>
      <c r="E104" s="14" t="str">
        <f>IF($A104="","",IF(C104="Entrada",INDEX(Movimientos!$F$5:$F$3004,MATCH($A104,Movimientos!$M$5:$M$3004,0)),""))</f>
        <v/>
      </c>
      <c r="F104" s="14" t="str">
        <f>IF($A104="","",IF(C104="Salida",INDEX(Movimientos!$F$5:$F$3004,MATCH($A104,Movimientos!$M$5:$M$3004,0)),""))</f>
        <v/>
      </c>
      <c r="G104" s="14" t="str">
        <f>IF($A104="","",INDEX(Movimientos!$I$5:$I$3004,MATCH($A104,Movimientos!$M$5:$M$3004,0)))</f>
        <v/>
      </c>
      <c r="H104" s="22" t="str">
        <f>IF($A104="","",INDEX(Movimientos!$G$5:$G$3004,MATCH($A104,Movimientos!$M$5:$M$3004,0)))</f>
        <v/>
      </c>
      <c r="I104" s="22" t="str">
        <f>IF($A104="","",INDEX(Movimientos!$H$5:$H$3004,MATCH($A104,Movimientos!$M$5:$M$3004,0)))</f>
        <v/>
      </c>
      <c r="J104" s="14" t="str">
        <f>IF($A104="","",INDEX(Movimientos!$K$5:$K$3004,MATCH($A104,Movimientos!$M$5:$M$3004,0))&amp;"")</f>
        <v/>
      </c>
    </row>
    <row r="105" spans="1:10" x14ac:dyDescent="0.25">
      <c r="A105" s="14" t="str">
        <f>IF(97&lt;=COUNTIF(Movimientos!$M$5:$M$3004,"&gt;0"),97,"")</f>
        <v/>
      </c>
      <c r="B105" s="30" t="str">
        <f>IF($A105="","",INDEX(Movimientos!$A$5:$A$3004,MATCH($A105,Movimientos!$M$5:$M$3004,0)))</f>
        <v/>
      </c>
      <c r="C105" s="14" t="str">
        <f>IF($A105="","",INDEX(Movimientos!$B$5:$B$3004,MATCH($A105,Movimientos!$M$5:$M$3004,0)))</f>
        <v/>
      </c>
      <c r="D105" s="14" t="str">
        <f>IF($A105="","",INDEX(Movimientos!$J$5:$J$3004,MATCH($A105,Movimientos!$M$5:$M$3004,0))&amp;"")</f>
        <v/>
      </c>
      <c r="E105" s="14" t="str">
        <f>IF($A105="","",IF(C105="Entrada",INDEX(Movimientos!$F$5:$F$3004,MATCH($A105,Movimientos!$M$5:$M$3004,0)),""))</f>
        <v/>
      </c>
      <c r="F105" s="14" t="str">
        <f>IF($A105="","",IF(C105="Salida",INDEX(Movimientos!$F$5:$F$3004,MATCH($A105,Movimientos!$M$5:$M$3004,0)),""))</f>
        <v/>
      </c>
      <c r="G105" s="14" t="str">
        <f>IF($A105="","",INDEX(Movimientos!$I$5:$I$3004,MATCH($A105,Movimientos!$M$5:$M$3004,0)))</f>
        <v/>
      </c>
      <c r="H105" s="22" t="str">
        <f>IF($A105="","",INDEX(Movimientos!$G$5:$G$3004,MATCH($A105,Movimientos!$M$5:$M$3004,0)))</f>
        <v/>
      </c>
      <c r="I105" s="22" t="str">
        <f>IF($A105="","",INDEX(Movimientos!$H$5:$H$3004,MATCH($A105,Movimientos!$M$5:$M$3004,0)))</f>
        <v/>
      </c>
      <c r="J105" s="14" t="str">
        <f>IF($A105="","",INDEX(Movimientos!$K$5:$K$3004,MATCH($A105,Movimientos!$M$5:$M$3004,0))&amp;"")</f>
        <v/>
      </c>
    </row>
    <row r="106" spans="1:10" x14ac:dyDescent="0.25">
      <c r="A106" s="14" t="str">
        <f>IF(98&lt;=COUNTIF(Movimientos!$M$5:$M$3004,"&gt;0"),98,"")</f>
        <v/>
      </c>
      <c r="B106" s="30" t="str">
        <f>IF($A106="","",INDEX(Movimientos!$A$5:$A$3004,MATCH($A106,Movimientos!$M$5:$M$3004,0)))</f>
        <v/>
      </c>
      <c r="C106" s="14" t="str">
        <f>IF($A106="","",INDEX(Movimientos!$B$5:$B$3004,MATCH($A106,Movimientos!$M$5:$M$3004,0)))</f>
        <v/>
      </c>
      <c r="D106" s="14" t="str">
        <f>IF($A106="","",INDEX(Movimientos!$J$5:$J$3004,MATCH($A106,Movimientos!$M$5:$M$3004,0))&amp;"")</f>
        <v/>
      </c>
      <c r="E106" s="14" t="str">
        <f>IF($A106="","",IF(C106="Entrada",INDEX(Movimientos!$F$5:$F$3004,MATCH($A106,Movimientos!$M$5:$M$3004,0)),""))</f>
        <v/>
      </c>
      <c r="F106" s="14" t="str">
        <f>IF($A106="","",IF(C106="Salida",INDEX(Movimientos!$F$5:$F$3004,MATCH($A106,Movimientos!$M$5:$M$3004,0)),""))</f>
        <v/>
      </c>
      <c r="G106" s="14" t="str">
        <f>IF($A106="","",INDEX(Movimientos!$I$5:$I$3004,MATCH($A106,Movimientos!$M$5:$M$3004,0)))</f>
        <v/>
      </c>
      <c r="H106" s="22" t="str">
        <f>IF($A106="","",INDEX(Movimientos!$G$5:$G$3004,MATCH($A106,Movimientos!$M$5:$M$3004,0)))</f>
        <v/>
      </c>
      <c r="I106" s="22" t="str">
        <f>IF($A106="","",INDEX(Movimientos!$H$5:$H$3004,MATCH($A106,Movimientos!$M$5:$M$3004,0)))</f>
        <v/>
      </c>
      <c r="J106" s="14" t="str">
        <f>IF($A106="","",INDEX(Movimientos!$K$5:$K$3004,MATCH($A106,Movimientos!$M$5:$M$3004,0))&amp;"")</f>
        <v/>
      </c>
    </row>
    <row r="107" spans="1:10" x14ac:dyDescent="0.25">
      <c r="A107" s="14" t="str">
        <f>IF(99&lt;=COUNTIF(Movimientos!$M$5:$M$3004,"&gt;0"),99,"")</f>
        <v/>
      </c>
      <c r="B107" s="30" t="str">
        <f>IF($A107="","",INDEX(Movimientos!$A$5:$A$3004,MATCH($A107,Movimientos!$M$5:$M$3004,0)))</f>
        <v/>
      </c>
      <c r="C107" s="14" t="str">
        <f>IF($A107="","",INDEX(Movimientos!$B$5:$B$3004,MATCH($A107,Movimientos!$M$5:$M$3004,0)))</f>
        <v/>
      </c>
      <c r="D107" s="14" t="str">
        <f>IF($A107="","",INDEX(Movimientos!$J$5:$J$3004,MATCH($A107,Movimientos!$M$5:$M$3004,0))&amp;"")</f>
        <v/>
      </c>
      <c r="E107" s="14" t="str">
        <f>IF($A107="","",IF(C107="Entrada",INDEX(Movimientos!$F$5:$F$3004,MATCH($A107,Movimientos!$M$5:$M$3004,0)),""))</f>
        <v/>
      </c>
      <c r="F107" s="14" t="str">
        <f>IF($A107="","",IF(C107="Salida",INDEX(Movimientos!$F$5:$F$3004,MATCH($A107,Movimientos!$M$5:$M$3004,0)),""))</f>
        <v/>
      </c>
      <c r="G107" s="14" t="str">
        <f>IF($A107="","",INDEX(Movimientos!$I$5:$I$3004,MATCH($A107,Movimientos!$M$5:$M$3004,0)))</f>
        <v/>
      </c>
      <c r="H107" s="22" t="str">
        <f>IF($A107="","",INDEX(Movimientos!$G$5:$G$3004,MATCH($A107,Movimientos!$M$5:$M$3004,0)))</f>
        <v/>
      </c>
      <c r="I107" s="22" t="str">
        <f>IF($A107="","",INDEX(Movimientos!$H$5:$H$3004,MATCH($A107,Movimientos!$M$5:$M$3004,0)))</f>
        <v/>
      </c>
      <c r="J107" s="14" t="str">
        <f>IF($A107="","",INDEX(Movimientos!$K$5:$K$3004,MATCH($A107,Movimientos!$M$5:$M$3004,0))&amp;"")</f>
        <v/>
      </c>
    </row>
    <row r="108" spans="1:10" x14ac:dyDescent="0.25">
      <c r="A108" s="14" t="str">
        <f>IF(100&lt;=COUNTIF(Movimientos!$M$5:$M$3004,"&gt;0"),100,"")</f>
        <v/>
      </c>
      <c r="B108" s="30" t="str">
        <f>IF($A108="","",INDEX(Movimientos!$A$5:$A$3004,MATCH($A108,Movimientos!$M$5:$M$3004,0)))</f>
        <v/>
      </c>
      <c r="C108" s="14" t="str">
        <f>IF($A108="","",INDEX(Movimientos!$B$5:$B$3004,MATCH($A108,Movimientos!$M$5:$M$3004,0)))</f>
        <v/>
      </c>
      <c r="D108" s="14" t="str">
        <f>IF($A108="","",INDEX(Movimientos!$J$5:$J$3004,MATCH($A108,Movimientos!$M$5:$M$3004,0))&amp;"")</f>
        <v/>
      </c>
      <c r="E108" s="14" t="str">
        <f>IF($A108="","",IF(C108="Entrada",INDEX(Movimientos!$F$5:$F$3004,MATCH($A108,Movimientos!$M$5:$M$3004,0)),""))</f>
        <v/>
      </c>
      <c r="F108" s="14" t="str">
        <f>IF($A108="","",IF(C108="Salida",INDEX(Movimientos!$F$5:$F$3004,MATCH($A108,Movimientos!$M$5:$M$3004,0)),""))</f>
        <v/>
      </c>
      <c r="G108" s="14" t="str">
        <f>IF($A108="","",INDEX(Movimientos!$I$5:$I$3004,MATCH($A108,Movimientos!$M$5:$M$3004,0)))</f>
        <v/>
      </c>
      <c r="H108" s="22" t="str">
        <f>IF($A108="","",INDEX(Movimientos!$G$5:$G$3004,MATCH($A108,Movimientos!$M$5:$M$3004,0)))</f>
        <v/>
      </c>
      <c r="I108" s="22" t="str">
        <f>IF($A108="","",INDEX(Movimientos!$H$5:$H$3004,MATCH($A108,Movimientos!$M$5:$M$3004,0)))</f>
        <v/>
      </c>
      <c r="J108" s="14" t="str">
        <f>IF($A108="","",INDEX(Movimientos!$K$5:$K$3004,MATCH($A108,Movimientos!$M$5:$M$3004,0))&amp;"")</f>
        <v/>
      </c>
    </row>
    <row r="109" spans="1:10" x14ac:dyDescent="0.25">
      <c r="A109" s="14" t="str">
        <f>IF(101&lt;=COUNTIF(Movimientos!$M$5:$M$3004,"&gt;0"),101,"")</f>
        <v/>
      </c>
      <c r="B109" s="30" t="str">
        <f>IF($A109="","",INDEX(Movimientos!$A$5:$A$3004,MATCH($A109,Movimientos!$M$5:$M$3004,0)))</f>
        <v/>
      </c>
      <c r="C109" s="14" t="str">
        <f>IF($A109="","",INDEX(Movimientos!$B$5:$B$3004,MATCH($A109,Movimientos!$M$5:$M$3004,0)))</f>
        <v/>
      </c>
      <c r="D109" s="14" t="str">
        <f>IF($A109="","",INDEX(Movimientos!$J$5:$J$3004,MATCH($A109,Movimientos!$M$5:$M$3004,0))&amp;"")</f>
        <v/>
      </c>
      <c r="E109" s="14" t="str">
        <f>IF($A109="","",IF(C109="Entrada",INDEX(Movimientos!$F$5:$F$3004,MATCH($A109,Movimientos!$M$5:$M$3004,0)),""))</f>
        <v/>
      </c>
      <c r="F109" s="14" t="str">
        <f>IF($A109="","",IF(C109="Salida",INDEX(Movimientos!$F$5:$F$3004,MATCH($A109,Movimientos!$M$5:$M$3004,0)),""))</f>
        <v/>
      </c>
      <c r="G109" s="14" t="str">
        <f>IF($A109="","",INDEX(Movimientos!$I$5:$I$3004,MATCH($A109,Movimientos!$M$5:$M$3004,0)))</f>
        <v/>
      </c>
      <c r="H109" s="22" t="str">
        <f>IF($A109="","",INDEX(Movimientos!$G$5:$G$3004,MATCH($A109,Movimientos!$M$5:$M$3004,0)))</f>
        <v/>
      </c>
      <c r="I109" s="22" t="str">
        <f>IF($A109="","",INDEX(Movimientos!$H$5:$H$3004,MATCH($A109,Movimientos!$M$5:$M$3004,0)))</f>
        <v/>
      </c>
      <c r="J109" s="14" t="str">
        <f>IF($A109="","",INDEX(Movimientos!$K$5:$K$3004,MATCH($A109,Movimientos!$M$5:$M$3004,0))&amp;"")</f>
        <v/>
      </c>
    </row>
    <row r="110" spans="1:10" x14ac:dyDescent="0.25">
      <c r="A110" s="14" t="str">
        <f>IF(102&lt;=COUNTIF(Movimientos!$M$5:$M$3004,"&gt;0"),102,"")</f>
        <v/>
      </c>
      <c r="B110" s="30" t="str">
        <f>IF($A110="","",INDEX(Movimientos!$A$5:$A$3004,MATCH($A110,Movimientos!$M$5:$M$3004,0)))</f>
        <v/>
      </c>
      <c r="C110" s="14" t="str">
        <f>IF($A110="","",INDEX(Movimientos!$B$5:$B$3004,MATCH($A110,Movimientos!$M$5:$M$3004,0)))</f>
        <v/>
      </c>
      <c r="D110" s="14" t="str">
        <f>IF($A110="","",INDEX(Movimientos!$J$5:$J$3004,MATCH($A110,Movimientos!$M$5:$M$3004,0))&amp;"")</f>
        <v/>
      </c>
      <c r="E110" s="14" t="str">
        <f>IF($A110="","",IF(C110="Entrada",INDEX(Movimientos!$F$5:$F$3004,MATCH($A110,Movimientos!$M$5:$M$3004,0)),""))</f>
        <v/>
      </c>
      <c r="F110" s="14" t="str">
        <f>IF($A110="","",IF(C110="Salida",INDEX(Movimientos!$F$5:$F$3004,MATCH($A110,Movimientos!$M$5:$M$3004,0)),""))</f>
        <v/>
      </c>
      <c r="G110" s="14" t="str">
        <f>IF($A110="","",INDEX(Movimientos!$I$5:$I$3004,MATCH($A110,Movimientos!$M$5:$M$3004,0)))</f>
        <v/>
      </c>
      <c r="H110" s="22" t="str">
        <f>IF($A110="","",INDEX(Movimientos!$G$5:$G$3004,MATCH($A110,Movimientos!$M$5:$M$3004,0)))</f>
        <v/>
      </c>
      <c r="I110" s="22" t="str">
        <f>IF($A110="","",INDEX(Movimientos!$H$5:$H$3004,MATCH($A110,Movimientos!$M$5:$M$3004,0)))</f>
        <v/>
      </c>
      <c r="J110" s="14" t="str">
        <f>IF($A110="","",INDEX(Movimientos!$K$5:$K$3004,MATCH($A110,Movimientos!$M$5:$M$3004,0))&amp;"")</f>
        <v/>
      </c>
    </row>
    <row r="111" spans="1:10" x14ac:dyDescent="0.25">
      <c r="A111" s="14" t="str">
        <f>IF(103&lt;=COUNTIF(Movimientos!$M$5:$M$3004,"&gt;0"),103,"")</f>
        <v/>
      </c>
      <c r="B111" s="30" t="str">
        <f>IF($A111="","",INDEX(Movimientos!$A$5:$A$3004,MATCH($A111,Movimientos!$M$5:$M$3004,0)))</f>
        <v/>
      </c>
      <c r="C111" s="14" t="str">
        <f>IF($A111="","",INDEX(Movimientos!$B$5:$B$3004,MATCH($A111,Movimientos!$M$5:$M$3004,0)))</f>
        <v/>
      </c>
      <c r="D111" s="14" t="str">
        <f>IF($A111="","",INDEX(Movimientos!$J$5:$J$3004,MATCH($A111,Movimientos!$M$5:$M$3004,0))&amp;"")</f>
        <v/>
      </c>
      <c r="E111" s="14" t="str">
        <f>IF($A111="","",IF(C111="Entrada",INDEX(Movimientos!$F$5:$F$3004,MATCH($A111,Movimientos!$M$5:$M$3004,0)),""))</f>
        <v/>
      </c>
      <c r="F111" s="14" t="str">
        <f>IF($A111="","",IF(C111="Salida",INDEX(Movimientos!$F$5:$F$3004,MATCH($A111,Movimientos!$M$5:$M$3004,0)),""))</f>
        <v/>
      </c>
      <c r="G111" s="14" t="str">
        <f>IF($A111="","",INDEX(Movimientos!$I$5:$I$3004,MATCH($A111,Movimientos!$M$5:$M$3004,0)))</f>
        <v/>
      </c>
      <c r="H111" s="22" t="str">
        <f>IF($A111="","",INDEX(Movimientos!$G$5:$G$3004,MATCH($A111,Movimientos!$M$5:$M$3004,0)))</f>
        <v/>
      </c>
      <c r="I111" s="22" t="str">
        <f>IF($A111="","",INDEX(Movimientos!$H$5:$H$3004,MATCH($A111,Movimientos!$M$5:$M$3004,0)))</f>
        <v/>
      </c>
      <c r="J111" s="14" t="str">
        <f>IF($A111="","",INDEX(Movimientos!$K$5:$K$3004,MATCH($A111,Movimientos!$M$5:$M$3004,0))&amp;"")</f>
        <v/>
      </c>
    </row>
    <row r="112" spans="1:10" x14ac:dyDescent="0.25">
      <c r="A112" s="14" t="str">
        <f>IF(104&lt;=COUNTIF(Movimientos!$M$5:$M$3004,"&gt;0"),104,"")</f>
        <v/>
      </c>
      <c r="B112" s="30" t="str">
        <f>IF($A112="","",INDEX(Movimientos!$A$5:$A$3004,MATCH($A112,Movimientos!$M$5:$M$3004,0)))</f>
        <v/>
      </c>
      <c r="C112" s="14" t="str">
        <f>IF($A112="","",INDEX(Movimientos!$B$5:$B$3004,MATCH($A112,Movimientos!$M$5:$M$3004,0)))</f>
        <v/>
      </c>
      <c r="D112" s="14" t="str">
        <f>IF($A112="","",INDEX(Movimientos!$J$5:$J$3004,MATCH($A112,Movimientos!$M$5:$M$3004,0))&amp;"")</f>
        <v/>
      </c>
      <c r="E112" s="14" t="str">
        <f>IF($A112="","",IF(C112="Entrada",INDEX(Movimientos!$F$5:$F$3004,MATCH($A112,Movimientos!$M$5:$M$3004,0)),""))</f>
        <v/>
      </c>
      <c r="F112" s="14" t="str">
        <f>IF($A112="","",IF(C112="Salida",INDEX(Movimientos!$F$5:$F$3004,MATCH($A112,Movimientos!$M$5:$M$3004,0)),""))</f>
        <v/>
      </c>
      <c r="G112" s="14" t="str">
        <f>IF($A112="","",INDEX(Movimientos!$I$5:$I$3004,MATCH($A112,Movimientos!$M$5:$M$3004,0)))</f>
        <v/>
      </c>
      <c r="H112" s="22" t="str">
        <f>IF($A112="","",INDEX(Movimientos!$G$5:$G$3004,MATCH($A112,Movimientos!$M$5:$M$3004,0)))</f>
        <v/>
      </c>
      <c r="I112" s="22" t="str">
        <f>IF($A112="","",INDEX(Movimientos!$H$5:$H$3004,MATCH($A112,Movimientos!$M$5:$M$3004,0)))</f>
        <v/>
      </c>
      <c r="J112" s="14" t="str">
        <f>IF($A112="","",INDEX(Movimientos!$K$5:$K$3004,MATCH($A112,Movimientos!$M$5:$M$3004,0))&amp;"")</f>
        <v/>
      </c>
    </row>
    <row r="113" spans="1:10" x14ac:dyDescent="0.25">
      <c r="A113" s="14" t="str">
        <f>IF(105&lt;=COUNTIF(Movimientos!$M$5:$M$3004,"&gt;0"),105,"")</f>
        <v/>
      </c>
      <c r="B113" s="30" t="str">
        <f>IF($A113="","",INDEX(Movimientos!$A$5:$A$3004,MATCH($A113,Movimientos!$M$5:$M$3004,0)))</f>
        <v/>
      </c>
      <c r="C113" s="14" t="str">
        <f>IF($A113="","",INDEX(Movimientos!$B$5:$B$3004,MATCH($A113,Movimientos!$M$5:$M$3004,0)))</f>
        <v/>
      </c>
      <c r="D113" s="14" t="str">
        <f>IF($A113="","",INDEX(Movimientos!$J$5:$J$3004,MATCH($A113,Movimientos!$M$5:$M$3004,0))&amp;"")</f>
        <v/>
      </c>
      <c r="E113" s="14" t="str">
        <f>IF($A113="","",IF(C113="Entrada",INDEX(Movimientos!$F$5:$F$3004,MATCH($A113,Movimientos!$M$5:$M$3004,0)),""))</f>
        <v/>
      </c>
      <c r="F113" s="14" t="str">
        <f>IF($A113="","",IF(C113="Salida",INDEX(Movimientos!$F$5:$F$3004,MATCH($A113,Movimientos!$M$5:$M$3004,0)),""))</f>
        <v/>
      </c>
      <c r="G113" s="14" t="str">
        <f>IF($A113="","",INDEX(Movimientos!$I$5:$I$3004,MATCH($A113,Movimientos!$M$5:$M$3004,0)))</f>
        <v/>
      </c>
      <c r="H113" s="22" t="str">
        <f>IF($A113="","",INDEX(Movimientos!$G$5:$G$3004,MATCH($A113,Movimientos!$M$5:$M$3004,0)))</f>
        <v/>
      </c>
      <c r="I113" s="22" t="str">
        <f>IF($A113="","",INDEX(Movimientos!$H$5:$H$3004,MATCH($A113,Movimientos!$M$5:$M$3004,0)))</f>
        <v/>
      </c>
      <c r="J113" s="14" t="str">
        <f>IF($A113="","",INDEX(Movimientos!$K$5:$K$3004,MATCH($A113,Movimientos!$M$5:$M$3004,0))&amp;"")</f>
        <v/>
      </c>
    </row>
    <row r="114" spans="1:10" x14ac:dyDescent="0.25">
      <c r="A114" s="14" t="str">
        <f>IF(106&lt;=COUNTIF(Movimientos!$M$5:$M$3004,"&gt;0"),106,"")</f>
        <v/>
      </c>
      <c r="B114" s="30" t="str">
        <f>IF($A114="","",INDEX(Movimientos!$A$5:$A$3004,MATCH($A114,Movimientos!$M$5:$M$3004,0)))</f>
        <v/>
      </c>
      <c r="C114" s="14" t="str">
        <f>IF($A114="","",INDEX(Movimientos!$B$5:$B$3004,MATCH($A114,Movimientos!$M$5:$M$3004,0)))</f>
        <v/>
      </c>
      <c r="D114" s="14" t="str">
        <f>IF($A114="","",INDEX(Movimientos!$J$5:$J$3004,MATCH($A114,Movimientos!$M$5:$M$3004,0))&amp;"")</f>
        <v/>
      </c>
      <c r="E114" s="14" t="str">
        <f>IF($A114="","",IF(C114="Entrada",INDEX(Movimientos!$F$5:$F$3004,MATCH($A114,Movimientos!$M$5:$M$3004,0)),""))</f>
        <v/>
      </c>
      <c r="F114" s="14" t="str">
        <f>IF($A114="","",IF(C114="Salida",INDEX(Movimientos!$F$5:$F$3004,MATCH($A114,Movimientos!$M$5:$M$3004,0)),""))</f>
        <v/>
      </c>
      <c r="G114" s="14" t="str">
        <f>IF($A114="","",INDEX(Movimientos!$I$5:$I$3004,MATCH($A114,Movimientos!$M$5:$M$3004,0)))</f>
        <v/>
      </c>
      <c r="H114" s="22" t="str">
        <f>IF($A114="","",INDEX(Movimientos!$G$5:$G$3004,MATCH($A114,Movimientos!$M$5:$M$3004,0)))</f>
        <v/>
      </c>
      <c r="I114" s="22" t="str">
        <f>IF($A114="","",INDEX(Movimientos!$H$5:$H$3004,MATCH($A114,Movimientos!$M$5:$M$3004,0)))</f>
        <v/>
      </c>
      <c r="J114" s="14" t="str">
        <f>IF($A114="","",INDEX(Movimientos!$K$5:$K$3004,MATCH($A114,Movimientos!$M$5:$M$3004,0))&amp;"")</f>
        <v/>
      </c>
    </row>
    <row r="115" spans="1:10" x14ac:dyDescent="0.25">
      <c r="A115" s="14" t="str">
        <f>IF(107&lt;=COUNTIF(Movimientos!$M$5:$M$3004,"&gt;0"),107,"")</f>
        <v/>
      </c>
      <c r="B115" s="30" t="str">
        <f>IF($A115="","",INDEX(Movimientos!$A$5:$A$3004,MATCH($A115,Movimientos!$M$5:$M$3004,0)))</f>
        <v/>
      </c>
      <c r="C115" s="14" t="str">
        <f>IF($A115="","",INDEX(Movimientos!$B$5:$B$3004,MATCH($A115,Movimientos!$M$5:$M$3004,0)))</f>
        <v/>
      </c>
      <c r="D115" s="14" t="str">
        <f>IF($A115="","",INDEX(Movimientos!$J$5:$J$3004,MATCH($A115,Movimientos!$M$5:$M$3004,0))&amp;"")</f>
        <v/>
      </c>
      <c r="E115" s="14" t="str">
        <f>IF($A115="","",IF(C115="Entrada",INDEX(Movimientos!$F$5:$F$3004,MATCH($A115,Movimientos!$M$5:$M$3004,0)),""))</f>
        <v/>
      </c>
      <c r="F115" s="14" t="str">
        <f>IF($A115="","",IF(C115="Salida",INDEX(Movimientos!$F$5:$F$3004,MATCH($A115,Movimientos!$M$5:$M$3004,0)),""))</f>
        <v/>
      </c>
      <c r="G115" s="14" t="str">
        <f>IF($A115="","",INDEX(Movimientos!$I$5:$I$3004,MATCH($A115,Movimientos!$M$5:$M$3004,0)))</f>
        <v/>
      </c>
      <c r="H115" s="22" t="str">
        <f>IF($A115="","",INDEX(Movimientos!$G$5:$G$3004,MATCH($A115,Movimientos!$M$5:$M$3004,0)))</f>
        <v/>
      </c>
      <c r="I115" s="22" t="str">
        <f>IF($A115="","",INDEX(Movimientos!$H$5:$H$3004,MATCH($A115,Movimientos!$M$5:$M$3004,0)))</f>
        <v/>
      </c>
      <c r="J115" s="14" t="str">
        <f>IF($A115="","",INDEX(Movimientos!$K$5:$K$3004,MATCH($A115,Movimientos!$M$5:$M$3004,0))&amp;"")</f>
        <v/>
      </c>
    </row>
    <row r="116" spans="1:10" x14ac:dyDescent="0.25">
      <c r="A116" s="14" t="str">
        <f>IF(108&lt;=COUNTIF(Movimientos!$M$5:$M$3004,"&gt;0"),108,"")</f>
        <v/>
      </c>
      <c r="B116" s="30" t="str">
        <f>IF($A116="","",INDEX(Movimientos!$A$5:$A$3004,MATCH($A116,Movimientos!$M$5:$M$3004,0)))</f>
        <v/>
      </c>
      <c r="C116" s="14" t="str">
        <f>IF($A116="","",INDEX(Movimientos!$B$5:$B$3004,MATCH($A116,Movimientos!$M$5:$M$3004,0)))</f>
        <v/>
      </c>
      <c r="D116" s="14" t="str">
        <f>IF($A116="","",INDEX(Movimientos!$J$5:$J$3004,MATCH($A116,Movimientos!$M$5:$M$3004,0))&amp;"")</f>
        <v/>
      </c>
      <c r="E116" s="14" t="str">
        <f>IF($A116="","",IF(C116="Entrada",INDEX(Movimientos!$F$5:$F$3004,MATCH($A116,Movimientos!$M$5:$M$3004,0)),""))</f>
        <v/>
      </c>
      <c r="F116" s="14" t="str">
        <f>IF($A116="","",IF(C116="Salida",INDEX(Movimientos!$F$5:$F$3004,MATCH($A116,Movimientos!$M$5:$M$3004,0)),""))</f>
        <v/>
      </c>
      <c r="G116" s="14" t="str">
        <f>IF($A116="","",INDEX(Movimientos!$I$5:$I$3004,MATCH($A116,Movimientos!$M$5:$M$3004,0)))</f>
        <v/>
      </c>
      <c r="H116" s="22" t="str">
        <f>IF($A116="","",INDEX(Movimientos!$G$5:$G$3004,MATCH($A116,Movimientos!$M$5:$M$3004,0)))</f>
        <v/>
      </c>
      <c r="I116" s="22" t="str">
        <f>IF($A116="","",INDEX(Movimientos!$H$5:$H$3004,MATCH($A116,Movimientos!$M$5:$M$3004,0)))</f>
        <v/>
      </c>
      <c r="J116" s="14" t="str">
        <f>IF($A116="","",INDEX(Movimientos!$K$5:$K$3004,MATCH($A116,Movimientos!$M$5:$M$3004,0))&amp;"")</f>
        <v/>
      </c>
    </row>
    <row r="117" spans="1:10" x14ac:dyDescent="0.25">
      <c r="A117" s="14" t="str">
        <f>IF(109&lt;=COUNTIF(Movimientos!$M$5:$M$3004,"&gt;0"),109,"")</f>
        <v/>
      </c>
      <c r="B117" s="30" t="str">
        <f>IF($A117="","",INDEX(Movimientos!$A$5:$A$3004,MATCH($A117,Movimientos!$M$5:$M$3004,0)))</f>
        <v/>
      </c>
      <c r="C117" s="14" t="str">
        <f>IF($A117="","",INDEX(Movimientos!$B$5:$B$3004,MATCH($A117,Movimientos!$M$5:$M$3004,0)))</f>
        <v/>
      </c>
      <c r="D117" s="14" t="str">
        <f>IF($A117="","",INDEX(Movimientos!$J$5:$J$3004,MATCH($A117,Movimientos!$M$5:$M$3004,0))&amp;"")</f>
        <v/>
      </c>
      <c r="E117" s="14" t="str">
        <f>IF($A117="","",IF(C117="Entrada",INDEX(Movimientos!$F$5:$F$3004,MATCH($A117,Movimientos!$M$5:$M$3004,0)),""))</f>
        <v/>
      </c>
      <c r="F117" s="14" t="str">
        <f>IF($A117="","",IF(C117="Salida",INDEX(Movimientos!$F$5:$F$3004,MATCH($A117,Movimientos!$M$5:$M$3004,0)),""))</f>
        <v/>
      </c>
      <c r="G117" s="14" t="str">
        <f>IF($A117="","",INDEX(Movimientos!$I$5:$I$3004,MATCH($A117,Movimientos!$M$5:$M$3004,0)))</f>
        <v/>
      </c>
      <c r="H117" s="22" t="str">
        <f>IF($A117="","",INDEX(Movimientos!$G$5:$G$3004,MATCH($A117,Movimientos!$M$5:$M$3004,0)))</f>
        <v/>
      </c>
      <c r="I117" s="22" t="str">
        <f>IF($A117="","",INDEX(Movimientos!$H$5:$H$3004,MATCH($A117,Movimientos!$M$5:$M$3004,0)))</f>
        <v/>
      </c>
      <c r="J117" s="14" t="str">
        <f>IF($A117="","",INDEX(Movimientos!$K$5:$K$3004,MATCH($A117,Movimientos!$M$5:$M$3004,0))&amp;"")</f>
        <v/>
      </c>
    </row>
    <row r="118" spans="1:10" x14ac:dyDescent="0.25">
      <c r="A118" s="14" t="str">
        <f>IF(110&lt;=COUNTIF(Movimientos!$M$5:$M$3004,"&gt;0"),110,"")</f>
        <v/>
      </c>
      <c r="B118" s="30" t="str">
        <f>IF($A118="","",INDEX(Movimientos!$A$5:$A$3004,MATCH($A118,Movimientos!$M$5:$M$3004,0)))</f>
        <v/>
      </c>
      <c r="C118" s="14" t="str">
        <f>IF($A118="","",INDEX(Movimientos!$B$5:$B$3004,MATCH($A118,Movimientos!$M$5:$M$3004,0)))</f>
        <v/>
      </c>
      <c r="D118" s="14" t="str">
        <f>IF($A118="","",INDEX(Movimientos!$J$5:$J$3004,MATCH($A118,Movimientos!$M$5:$M$3004,0))&amp;"")</f>
        <v/>
      </c>
      <c r="E118" s="14" t="str">
        <f>IF($A118="","",IF(C118="Entrada",INDEX(Movimientos!$F$5:$F$3004,MATCH($A118,Movimientos!$M$5:$M$3004,0)),""))</f>
        <v/>
      </c>
      <c r="F118" s="14" t="str">
        <f>IF($A118="","",IF(C118="Salida",INDEX(Movimientos!$F$5:$F$3004,MATCH($A118,Movimientos!$M$5:$M$3004,0)),""))</f>
        <v/>
      </c>
      <c r="G118" s="14" t="str">
        <f>IF($A118="","",INDEX(Movimientos!$I$5:$I$3004,MATCH($A118,Movimientos!$M$5:$M$3004,0)))</f>
        <v/>
      </c>
      <c r="H118" s="22" t="str">
        <f>IF($A118="","",INDEX(Movimientos!$G$5:$G$3004,MATCH($A118,Movimientos!$M$5:$M$3004,0)))</f>
        <v/>
      </c>
      <c r="I118" s="22" t="str">
        <f>IF($A118="","",INDEX(Movimientos!$H$5:$H$3004,MATCH($A118,Movimientos!$M$5:$M$3004,0)))</f>
        <v/>
      </c>
      <c r="J118" s="14" t="str">
        <f>IF($A118="","",INDEX(Movimientos!$K$5:$K$3004,MATCH($A118,Movimientos!$M$5:$M$3004,0))&amp;"")</f>
        <v/>
      </c>
    </row>
    <row r="119" spans="1:10" x14ac:dyDescent="0.25">
      <c r="A119" s="14" t="str">
        <f>IF(111&lt;=COUNTIF(Movimientos!$M$5:$M$3004,"&gt;0"),111,"")</f>
        <v/>
      </c>
      <c r="B119" s="30" t="str">
        <f>IF($A119="","",INDEX(Movimientos!$A$5:$A$3004,MATCH($A119,Movimientos!$M$5:$M$3004,0)))</f>
        <v/>
      </c>
      <c r="C119" s="14" t="str">
        <f>IF($A119="","",INDEX(Movimientos!$B$5:$B$3004,MATCH($A119,Movimientos!$M$5:$M$3004,0)))</f>
        <v/>
      </c>
      <c r="D119" s="14" t="str">
        <f>IF($A119="","",INDEX(Movimientos!$J$5:$J$3004,MATCH($A119,Movimientos!$M$5:$M$3004,0))&amp;"")</f>
        <v/>
      </c>
      <c r="E119" s="14" t="str">
        <f>IF($A119="","",IF(C119="Entrada",INDEX(Movimientos!$F$5:$F$3004,MATCH($A119,Movimientos!$M$5:$M$3004,0)),""))</f>
        <v/>
      </c>
      <c r="F119" s="14" t="str">
        <f>IF($A119="","",IF(C119="Salida",INDEX(Movimientos!$F$5:$F$3004,MATCH($A119,Movimientos!$M$5:$M$3004,0)),""))</f>
        <v/>
      </c>
      <c r="G119" s="14" t="str">
        <f>IF($A119="","",INDEX(Movimientos!$I$5:$I$3004,MATCH($A119,Movimientos!$M$5:$M$3004,0)))</f>
        <v/>
      </c>
      <c r="H119" s="22" t="str">
        <f>IF($A119="","",INDEX(Movimientos!$G$5:$G$3004,MATCH($A119,Movimientos!$M$5:$M$3004,0)))</f>
        <v/>
      </c>
      <c r="I119" s="22" t="str">
        <f>IF($A119="","",INDEX(Movimientos!$H$5:$H$3004,MATCH($A119,Movimientos!$M$5:$M$3004,0)))</f>
        <v/>
      </c>
      <c r="J119" s="14" t="str">
        <f>IF($A119="","",INDEX(Movimientos!$K$5:$K$3004,MATCH($A119,Movimientos!$M$5:$M$3004,0))&amp;"")</f>
        <v/>
      </c>
    </row>
    <row r="120" spans="1:10" x14ac:dyDescent="0.25">
      <c r="A120" s="14" t="str">
        <f>IF(112&lt;=COUNTIF(Movimientos!$M$5:$M$3004,"&gt;0"),112,"")</f>
        <v/>
      </c>
      <c r="B120" s="30" t="str">
        <f>IF($A120="","",INDEX(Movimientos!$A$5:$A$3004,MATCH($A120,Movimientos!$M$5:$M$3004,0)))</f>
        <v/>
      </c>
      <c r="C120" s="14" t="str">
        <f>IF($A120="","",INDEX(Movimientos!$B$5:$B$3004,MATCH($A120,Movimientos!$M$5:$M$3004,0)))</f>
        <v/>
      </c>
      <c r="D120" s="14" t="str">
        <f>IF($A120="","",INDEX(Movimientos!$J$5:$J$3004,MATCH($A120,Movimientos!$M$5:$M$3004,0))&amp;"")</f>
        <v/>
      </c>
      <c r="E120" s="14" t="str">
        <f>IF($A120="","",IF(C120="Entrada",INDEX(Movimientos!$F$5:$F$3004,MATCH($A120,Movimientos!$M$5:$M$3004,0)),""))</f>
        <v/>
      </c>
      <c r="F120" s="14" t="str">
        <f>IF($A120="","",IF(C120="Salida",INDEX(Movimientos!$F$5:$F$3004,MATCH($A120,Movimientos!$M$5:$M$3004,0)),""))</f>
        <v/>
      </c>
      <c r="G120" s="14" t="str">
        <f>IF($A120="","",INDEX(Movimientos!$I$5:$I$3004,MATCH($A120,Movimientos!$M$5:$M$3004,0)))</f>
        <v/>
      </c>
      <c r="H120" s="22" t="str">
        <f>IF($A120="","",INDEX(Movimientos!$G$5:$G$3004,MATCH($A120,Movimientos!$M$5:$M$3004,0)))</f>
        <v/>
      </c>
      <c r="I120" s="22" t="str">
        <f>IF($A120="","",INDEX(Movimientos!$H$5:$H$3004,MATCH($A120,Movimientos!$M$5:$M$3004,0)))</f>
        <v/>
      </c>
      <c r="J120" s="14" t="str">
        <f>IF($A120="","",INDEX(Movimientos!$K$5:$K$3004,MATCH($A120,Movimientos!$M$5:$M$3004,0))&amp;"")</f>
        <v/>
      </c>
    </row>
    <row r="121" spans="1:10" x14ac:dyDescent="0.25">
      <c r="A121" s="14" t="str">
        <f>IF(113&lt;=COUNTIF(Movimientos!$M$5:$M$3004,"&gt;0"),113,"")</f>
        <v/>
      </c>
      <c r="B121" s="30" t="str">
        <f>IF($A121="","",INDEX(Movimientos!$A$5:$A$3004,MATCH($A121,Movimientos!$M$5:$M$3004,0)))</f>
        <v/>
      </c>
      <c r="C121" s="14" t="str">
        <f>IF($A121="","",INDEX(Movimientos!$B$5:$B$3004,MATCH($A121,Movimientos!$M$5:$M$3004,0)))</f>
        <v/>
      </c>
      <c r="D121" s="14" t="str">
        <f>IF($A121="","",INDEX(Movimientos!$J$5:$J$3004,MATCH($A121,Movimientos!$M$5:$M$3004,0))&amp;"")</f>
        <v/>
      </c>
      <c r="E121" s="14" t="str">
        <f>IF($A121="","",IF(C121="Entrada",INDEX(Movimientos!$F$5:$F$3004,MATCH($A121,Movimientos!$M$5:$M$3004,0)),""))</f>
        <v/>
      </c>
      <c r="F121" s="14" t="str">
        <f>IF($A121="","",IF(C121="Salida",INDEX(Movimientos!$F$5:$F$3004,MATCH($A121,Movimientos!$M$5:$M$3004,0)),""))</f>
        <v/>
      </c>
      <c r="G121" s="14" t="str">
        <f>IF($A121="","",INDEX(Movimientos!$I$5:$I$3004,MATCH($A121,Movimientos!$M$5:$M$3004,0)))</f>
        <v/>
      </c>
      <c r="H121" s="22" t="str">
        <f>IF($A121="","",INDEX(Movimientos!$G$5:$G$3004,MATCH($A121,Movimientos!$M$5:$M$3004,0)))</f>
        <v/>
      </c>
      <c r="I121" s="22" t="str">
        <f>IF($A121="","",INDEX(Movimientos!$H$5:$H$3004,MATCH($A121,Movimientos!$M$5:$M$3004,0)))</f>
        <v/>
      </c>
      <c r="J121" s="14" t="str">
        <f>IF($A121="","",INDEX(Movimientos!$K$5:$K$3004,MATCH($A121,Movimientos!$M$5:$M$3004,0))&amp;"")</f>
        <v/>
      </c>
    </row>
    <row r="122" spans="1:10" x14ac:dyDescent="0.25">
      <c r="A122" s="14" t="str">
        <f>IF(114&lt;=COUNTIF(Movimientos!$M$5:$M$3004,"&gt;0"),114,"")</f>
        <v/>
      </c>
      <c r="B122" s="30" t="str">
        <f>IF($A122="","",INDEX(Movimientos!$A$5:$A$3004,MATCH($A122,Movimientos!$M$5:$M$3004,0)))</f>
        <v/>
      </c>
      <c r="C122" s="14" t="str">
        <f>IF($A122="","",INDEX(Movimientos!$B$5:$B$3004,MATCH($A122,Movimientos!$M$5:$M$3004,0)))</f>
        <v/>
      </c>
      <c r="D122" s="14" t="str">
        <f>IF($A122="","",INDEX(Movimientos!$J$5:$J$3004,MATCH($A122,Movimientos!$M$5:$M$3004,0))&amp;"")</f>
        <v/>
      </c>
      <c r="E122" s="14" t="str">
        <f>IF($A122="","",IF(C122="Entrada",INDEX(Movimientos!$F$5:$F$3004,MATCH($A122,Movimientos!$M$5:$M$3004,0)),""))</f>
        <v/>
      </c>
      <c r="F122" s="14" t="str">
        <f>IF($A122="","",IF(C122="Salida",INDEX(Movimientos!$F$5:$F$3004,MATCH($A122,Movimientos!$M$5:$M$3004,0)),""))</f>
        <v/>
      </c>
      <c r="G122" s="14" t="str">
        <f>IF($A122="","",INDEX(Movimientos!$I$5:$I$3004,MATCH($A122,Movimientos!$M$5:$M$3004,0)))</f>
        <v/>
      </c>
      <c r="H122" s="22" t="str">
        <f>IF($A122="","",INDEX(Movimientos!$G$5:$G$3004,MATCH($A122,Movimientos!$M$5:$M$3004,0)))</f>
        <v/>
      </c>
      <c r="I122" s="22" t="str">
        <f>IF($A122="","",INDEX(Movimientos!$H$5:$H$3004,MATCH($A122,Movimientos!$M$5:$M$3004,0)))</f>
        <v/>
      </c>
      <c r="J122" s="14" t="str">
        <f>IF($A122="","",INDEX(Movimientos!$K$5:$K$3004,MATCH($A122,Movimientos!$M$5:$M$3004,0))&amp;"")</f>
        <v/>
      </c>
    </row>
    <row r="123" spans="1:10" x14ac:dyDescent="0.25">
      <c r="A123" s="14" t="str">
        <f>IF(115&lt;=COUNTIF(Movimientos!$M$5:$M$3004,"&gt;0"),115,"")</f>
        <v/>
      </c>
      <c r="B123" s="30" t="str">
        <f>IF($A123="","",INDEX(Movimientos!$A$5:$A$3004,MATCH($A123,Movimientos!$M$5:$M$3004,0)))</f>
        <v/>
      </c>
      <c r="C123" s="14" t="str">
        <f>IF($A123="","",INDEX(Movimientos!$B$5:$B$3004,MATCH($A123,Movimientos!$M$5:$M$3004,0)))</f>
        <v/>
      </c>
      <c r="D123" s="14" t="str">
        <f>IF($A123="","",INDEX(Movimientos!$J$5:$J$3004,MATCH($A123,Movimientos!$M$5:$M$3004,0))&amp;"")</f>
        <v/>
      </c>
      <c r="E123" s="14" t="str">
        <f>IF($A123="","",IF(C123="Entrada",INDEX(Movimientos!$F$5:$F$3004,MATCH($A123,Movimientos!$M$5:$M$3004,0)),""))</f>
        <v/>
      </c>
      <c r="F123" s="14" t="str">
        <f>IF($A123="","",IF(C123="Salida",INDEX(Movimientos!$F$5:$F$3004,MATCH($A123,Movimientos!$M$5:$M$3004,0)),""))</f>
        <v/>
      </c>
      <c r="G123" s="14" t="str">
        <f>IF($A123="","",INDEX(Movimientos!$I$5:$I$3004,MATCH($A123,Movimientos!$M$5:$M$3004,0)))</f>
        <v/>
      </c>
      <c r="H123" s="22" t="str">
        <f>IF($A123="","",INDEX(Movimientos!$G$5:$G$3004,MATCH($A123,Movimientos!$M$5:$M$3004,0)))</f>
        <v/>
      </c>
      <c r="I123" s="22" t="str">
        <f>IF($A123="","",INDEX(Movimientos!$H$5:$H$3004,MATCH($A123,Movimientos!$M$5:$M$3004,0)))</f>
        <v/>
      </c>
      <c r="J123" s="14" t="str">
        <f>IF($A123="","",INDEX(Movimientos!$K$5:$K$3004,MATCH($A123,Movimientos!$M$5:$M$3004,0))&amp;"")</f>
        <v/>
      </c>
    </row>
    <row r="124" spans="1:10" x14ac:dyDescent="0.25">
      <c r="A124" s="14" t="str">
        <f>IF(116&lt;=COUNTIF(Movimientos!$M$5:$M$3004,"&gt;0"),116,"")</f>
        <v/>
      </c>
      <c r="B124" s="30" t="str">
        <f>IF($A124="","",INDEX(Movimientos!$A$5:$A$3004,MATCH($A124,Movimientos!$M$5:$M$3004,0)))</f>
        <v/>
      </c>
      <c r="C124" s="14" t="str">
        <f>IF($A124="","",INDEX(Movimientos!$B$5:$B$3004,MATCH($A124,Movimientos!$M$5:$M$3004,0)))</f>
        <v/>
      </c>
      <c r="D124" s="14" t="str">
        <f>IF($A124="","",INDEX(Movimientos!$J$5:$J$3004,MATCH($A124,Movimientos!$M$5:$M$3004,0))&amp;"")</f>
        <v/>
      </c>
      <c r="E124" s="14" t="str">
        <f>IF($A124="","",IF(C124="Entrada",INDEX(Movimientos!$F$5:$F$3004,MATCH($A124,Movimientos!$M$5:$M$3004,0)),""))</f>
        <v/>
      </c>
      <c r="F124" s="14" t="str">
        <f>IF($A124="","",IF(C124="Salida",INDEX(Movimientos!$F$5:$F$3004,MATCH($A124,Movimientos!$M$5:$M$3004,0)),""))</f>
        <v/>
      </c>
      <c r="G124" s="14" t="str">
        <f>IF($A124="","",INDEX(Movimientos!$I$5:$I$3004,MATCH($A124,Movimientos!$M$5:$M$3004,0)))</f>
        <v/>
      </c>
      <c r="H124" s="22" t="str">
        <f>IF($A124="","",INDEX(Movimientos!$G$5:$G$3004,MATCH($A124,Movimientos!$M$5:$M$3004,0)))</f>
        <v/>
      </c>
      <c r="I124" s="22" t="str">
        <f>IF($A124="","",INDEX(Movimientos!$H$5:$H$3004,MATCH($A124,Movimientos!$M$5:$M$3004,0)))</f>
        <v/>
      </c>
      <c r="J124" s="14" t="str">
        <f>IF($A124="","",INDEX(Movimientos!$K$5:$K$3004,MATCH($A124,Movimientos!$M$5:$M$3004,0))&amp;"")</f>
        <v/>
      </c>
    </row>
    <row r="125" spans="1:10" x14ac:dyDescent="0.25">
      <c r="A125" s="14" t="str">
        <f>IF(117&lt;=COUNTIF(Movimientos!$M$5:$M$3004,"&gt;0"),117,"")</f>
        <v/>
      </c>
      <c r="B125" s="30" t="str">
        <f>IF($A125="","",INDEX(Movimientos!$A$5:$A$3004,MATCH($A125,Movimientos!$M$5:$M$3004,0)))</f>
        <v/>
      </c>
      <c r="C125" s="14" t="str">
        <f>IF($A125="","",INDEX(Movimientos!$B$5:$B$3004,MATCH($A125,Movimientos!$M$5:$M$3004,0)))</f>
        <v/>
      </c>
      <c r="D125" s="14" t="str">
        <f>IF($A125="","",INDEX(Movimientos!$J$5:$J$3004,MATCH($A125,Movimientos!$M$5:$M$3004,0))&amp;"")</f>
        <v/>
      </c>
      <c r="E125" s="14" t="str">
        <f>IF($A125="","",IF(C125="Entrada",INDEX(Movimientos!$F$5:$F$3004,MATCH($A125,Movimientos!$M$5:$M$3004,0)),""))</f>
        <v/>
      </c>
      <c r="F125" s="14" t="str">
        <f>IF($A125="","",IF(C125="Salida",INDEX(Movimientos!$F$5:$F$3004,MATCH($A125,Movimientos!$M$5:$M$3004,0)),""))</f>
        <v/>
      </c>
      <c r="G125" s="14" t="str">
        <f>IF($A125="","",INDEX(Movimientos!$I$5:$I$3004,MATCH($A125,Movimientos!$M$5:$M$3004,0)))</f>
        <v/>
      </c>
      <c r="H125" s="22" t="str">
        <f>IF($A125="","",INDEX(Movimientos!$G$5:$G$3004,MATCH($A125,Movimientos!$M$5:$M$3004,0)))</f>
        <v/>
      </c>
      <c r="I125" s="22" t="str">
        <f>IF($A125="","",INDEX(Movimientos!$H$5:$H$3004,MATCH($A125,Movimientos!$M$5:$M$3004,0)))</f>
        <v/>
      </c>
      <c r="J125" s="14" t="str">
        <f>IF($A125="","",INDEX(Movimientos!$K$5:$K$3004,MATCH($A125,Movimientos!$M$5:$M$3004,0))&amp;"")</f>
        <v/>
      </c>
    </row>
    <row r="126" spans="1:10" x14ac:dyDescent="0.25">
      <c r="A126" s="14" t="str">
        <f>IF(118&lt;=COUNTIF(Movimientos!$M$5:$M$3004,"&gt;0"),118,"")</f>
        <v/>
      </c>
      <c r="B126" s="30" t="str">
        <f>IF($A126="","",INDEX(Movimientos!$A$5:$A$3004,MATCH($A126,Movimientos!$M$5:$M$3004,0)))</f>
        <v/>
      </c>
      <c r="C126" s="14" t="str">
        <f>IF($A126="","",INDEX(Movimientos!$B$5:$B$3004,MATCH($A126,Movimientos!$M$5:$M$3004,0)))</f>
        <v/>
      </c>
      <c r="D126" s="14" t="str">
        <f>IF($A126="","",INDEX(Movimientos!$J$5:$J$3004,MATCH($A126,Movimientos!$M$5:$M$3004,0))&amp;"")</f>
        <v/>
      </c>
      <c r="E126" s="14" t="str">
        <f>IF($A126="","",IF(C126="Entrada",INDEX(Movimientos!$F$5:$F$3004,MATCH($A126,Movimientos!$M$5:$M$3004,0)),""))</f>
        <v/>
      </c>
      <c r="F126" s="14" t="str">
        <f>IF($A126="","",IF(C126="Salida",INDEX(Movimientos!$F$5:$F$3004,MATCH($A126,Movimientos!$M$5:$M$3004,0)),""))</f>
        <v/>
      </c>
      <c r="G126" s="14" t="str">
        <f>IF($A126="","",INDEX(Movimientos!$I$5:$I$3004,MATCH($A126,Movimientos!$M$5:$M$3004,0)))</f>
        <v/>
      </c>
      <c r="H126" s="22" t="str">
        <f>IF($A126="","",INDEX(Movimientos!$G$5:$G$3004,MATCH($A126,Movimientos!$M$5:$M$3004,0)))</f>
        <v/>
      </c>
      <c r="I126" s="22" t="str">
        <f>IF($A126="","",INDEX(Movimientos!$H$5:$H$3004,MATCH($A126,Movimientos!$M$5:$M$3004,0)))</f>
        <v/>
      </c>
      <c r="J126" s="14" t="str">
        <f>IF($A126="","",INDEX(Movimientos!$K$5:$K$3004,MATCH($A126,Movimientos!$M$5:$M$3004,0))&amp;"")</f>
        <v/>
      </c>
    </row>
    <row r="127" spans="1:10" x14ac:dyDescent="0.25">
      <c r="A127" s="14" t="str">
        <f>IF(119&lt;=COUNTIF(Movimientos!$M$5:$M$3004,"&gt;0"),119,"")</f>
        <v/>
      </c>
      <c r="B127" s="30" t="str">
        <f>IF($A127="","",INDEX(Movimientos!$A$5:$A$3004,MATCH($A127,Movimientos!$M$5:$M$3004,0)))</f>
        <v/>
      </c>
      <c r="C127" s="14" t="str">
        <f>IF($A127="","",INDEX(Movimientos!$B$5:$B$3004,MATCH($A127,Movimientos!$M$5:$M$3004,0)))</f>
        <v/>
      </c>
      <c r="D127" s="14" t="str">
        <f>IF($A127="","",INDEX(Movimientos!$J$5:$J$3004,MATCH($A127,Movimientos!$M$5:$M$3004,0))&amp;"")</f>
        <v/>
      </c>
      <c r="E127" s="14" t="str">
        <f>IF($A127="","",IF(C127="Entrada",INDEX(Movimientos!$F$5:$F$3004,MATCH($A127,Movimientos!$M$5:$M$3004,0)),""))</f>
        <v/>
      </c>
      <c r="F127" s="14" t="str">
        <f>IF($A127="","",IF(C127="Salida",INDEX(Movimientos!$F$5:$F$3004,MATCH($A127,Movimientos!$M$5:$M$3004,0)),""))</f>
        <v/>
      </c>
      <c r="G127" s="14" t="str">
        <f>IF($A127="","",INDEX(Movimientos!$I$5:$I$3004,MATCH($A127,Movimientos!$M$5:$M$3004,0)))</f>
        <v/>
      </c>
      <c r="H127" s="22" t="str">
        <f>IF($A127="","",INDEX(Movimientos!$G$5:$G$3004,MATCH($A127,Movimientos!$M$5:$M$3004,0)))</f>
        <v/>
      </c>
      <c r="I127" s="22" t="str">
        <f>IF($A127="","",INDEX(Movimientos!$H$5:$H$3004,MATCH($A127,Movimientos!$M$5:$M$3004,0)))</f>
        <v/>
      </c>
      <c r="J127" s="14" t="str">
        <f>IF($A127="","",INDEX(Movimientos!$K$5:$K$3004,MATCH($A127,Movimientos!$M$5:$M$3004,0))&amp;"")</f>
        <v/>
      </c>
    </row>
    <row r="128" spans="1:10" x14ac:dyDescent="0.25">
      <c r="A128" s="14" t="str">
        <f>IF(120&lt;=COUNTIF(Movimientos!$M$5:$M$3004,"&gt;0"),120,"")</f>
        <v/>
      </c>
      <c r="B128" s="30" t="str">
        <f>IF($A128="","",INDEX(Movimientos!$A$5:$A$3004,MATCH($A128,Movimientos!$M$5:$M$3004,0)))</f>
        <v/>
      </c>
      <c r="C128" s="14" t="str">
        <f>IF($A128="","",INDEX(Movimientos!$B$5:$B$3004,MATCH($A128,Movimientos!$M$5:$M$3004,0)))</f>
        <v/>
      </c>
      <c r="D128" s="14" t="str">
        <f>IF($A128="","",INDEX(Movimientos!$J$5:$J$3004,MATCH($A128,Movimientos!$M$5:$M$3004,0))&amp;"")</f>
        <v/>
      </c>
      <c r="E128" s="14" t="str">
        <f>IF($A128="","",IF(C128="Entrada",INDEX(Movimientos!$F$5:$F$3004,MATCH($A128,Movimientos!$M$5:$M$3004,0)),""))</f>
        <v/>
      </c>
      <c r="F128" s="14" t="str">
        <f>IF($A128="","",IF(C128="Salida",INDEX(Movimientos!$F$5:$F$3004,MATCH($A128,Movimientos!$M$5:$M$3004,0)),""))</f>
        <v/>
      </c>
      <c r="G128" s="14" t="str">
        <f>IF($A128="","",INDEX(Movimientos!$I$5:$I$3004,MATCH($A128,Movimientos!$M$5:$M$3004,0)))</f>
        <v/>
      </c>
      <c r="H128" s="22" t="str">
        <f>IF($A128="","",INDEX(Movimientos!$G$5:$G$3004,MATCH($A128,Movimientos!$M$5:$M$3004,0)))</f>
        <v/>
      </c>
      <c r="I128" s="22" t="str">
        <f>IF($A128="","",INDEX(Movimientos!$H$5:$H$3004,MATCH($A128,Movimientos!$M$5:$M$3004,0)))</f>
        <v/>
      </c>
      <c r="J128" s="14" t="str">
        <f>IF($A128="","",INDEX(Movimientos!$K$5:$K$3004,MATCH($A128,Movimientos!$M$5:$M$3004,0))&amp;"")</f>
        <v/>
      </c>
    </row>
    <row r="129" spans="1:10" x14ac:dyDescent="0.25">
      <c r="A129" s="14" t="str">
        <f>IF(121&lt;=COUNTIF(Movimientos!$M$5:$M$3004,"&gt;0"),121,"")</f>
        <v/>
      </c>
      <c r="B129" s="30" t="str">
        <f>IF($A129="","",INDEX(Movimientos!$A$5:$A$3004,MATCH($A129,Movimientos!$M$5:$M$3004,0)))</f>
        <v/>
      </c>
      <c r="C129" s="14" t="str">
        <f>IF($A129="","",INDEX(Movimientos!$B$5:$B$3004,MATCH($A129,Movimientos!$M$5:$M$3004,0)))</f>
        <v/>
      </c>
      <c r="D129" s="14" t="str">
        <f>IF($A129="","",INDEX(Movimientos!$J$5:$J$3004,MATCH($A129,Movimientos!$M$5:$M$3004,0))&amp;"")</f>
        <v/>
      </c>
      <c r="E129" s="14" t="str">
        <f>IF($A129="","",IF(C129="Entrada",INDEX(Movimientos!$F$5:$F$3004,MATCH($A129,Movimientos!$M$5:$M$3004,0)),""))</f>
        <v/>
      </c>
      <c r="F129" s="14" t="str">
        <f>IF($A129="","",IF(C129="Salida",INDEX(Movimientos!$F$5:$F$3004,MATCH($A129,Movimientos!$M$5:$M$3004,0)),""))</f>
        <v/>
      </c>
      <c r="G129" s="14" t="str">
        <f>IF($A129="","",INDEX(Movimientos!$I$5:$I$3004,MATCH($A129,Movimientos!$M$5:$M$3004,0)))</f>
        <v/>
      </c>
      <c r="H129" s="22" t="str">
        <f>IF($A129="","",INDEX(Movimientos!$G$5:$G$3004,MATCH($A129,Movimientos!$M$5:$M$3004,0)))</f>
        <v/>
      </c>
      <c r="I129" s="22" t="str">
        <f>IF($A129="","",INDEX(Movimientos!$H$5:$H$3004,MATCH($A129,Movimientos!$M$5:$M$3004,0)))</f>
        <v/>
      </c>
      <c r="J129" s="14" t="str">
        <f>IF($A129="","",INDEX(Movimientos!$K$5:$K$3004,MATCH($A129,Movimientos!$M$5:$M$3004,0))&amp;"")</f>
        <v/>
      </c>
    </row>
    <row r="130" spans="1:10" x14ac:dyDescent="0.25">
      <c r="A130" s="14" t="str">
        <f>IF(122&lt;=COUNTIF(Movimientos!$M$5:$M$3004,"&gt;0"),122,"")</f>
        <v/>
      </c>
      <c r="B130" s="30" t="str">
        <f>IF($A130="","",INDEX(Movimientos!$A$5:$A$3004,MATCH($A130,Movimientos!$M$5:$M$3004,0)))</f>
        <v/>
      </c>
      <c r="C130" s="14" t="str">
        <f>IF($A130="","",INDEX(Movimientos!$B$5:$B$3004,MATCH($A130,Movimientos!$M$5:$M$3004,0)))</f>
        <v/>
      </c>
      <c r="D130" s="14" t="str">
        <f>IF($A130="","",INDEX(Movimientos!$J$5:$J$3004,MATCH($A130,Movimientos!$M$5:$M$3004,0))&amp;"")</f>
        <v/>
      </c>
      <c r="E130" s="14" t="str">
        <f>IF($A130="","",IF(C130="Entrada",INDEX(Movimientos!$F$5:$F$3004,MATCH($A130,Movimientos!$M$5:$M$3004,0)),""))</f>
        <v/>
      </c>
      <c r="F130" s="14" t="str">
        <f>IF($A130="","",IF(C130="Salida",INDEX(Movimientos!$F$5:$F$3004,MATCH($A130,Movimientos!$M$5:$M$3004,0)),""))</f>
        <v/>
      </c>
      <c r="G130" s="14" t="str">
        <f>IF($A130="","",INDEX(Movimientos!$I$5:$I$3004,MATCH($A130,Movimientos!$M$5:$M$3004,0)))</f>
        <v/>
      </c>
      <c r="H130" s="22" t="str">
        <f>IF($A130="","",INDEX(Movimientos!$G$5:$G$3004,MATCH($A130,Movimientos!$M$5:$M$3004,0)))</f>
        <v/>
      </c>
      <c r="I130" s="22" t="str">
        <f>IF($A130="","",INDEX(Movimientos!$H$5:$H$3004,MATCH($A130,Movimientos!$M$5:$M$3004,0)))</f>
        <v/>
      </c>
      <c r="J130" s="14" t="str">
        <f>IF($A130="","",INDEX(Movimientos!$K$5:$K$3004,MATCH($A130,Movimientos!$M$5:$M$3004,0))&amp;"")</f>
        <v/>
      </c>
    </row>
    <row r="131" spans="1:10" x14ac:dyDescent="0.25">
      <c r="A131" s="14" t="str">
        <f>IF(123&lt;=COUNTIF(Movimientos!$M$5:$M$3004,"&gt;0"),123,"")</f>
        <v/>
      </c>
      <c r="B131" s="30" t="str">
        <f>IF($A131="","",INDEX(Movimientos!$A$5:$A$3004,MATCH($A131,Movimientos!$M$5:$M$3004,0)))</f>
        <v/>
      </c>
      <c r="C131" s="14" t="str">
        <f>IF($A131="","",INDEX(Movimientos!$B$5:$B$3004,MATCH($A131,Movimientos!$M$5:$M$3004,0)))</f>
        <v/>
      </c>
      <c r="D131" s="14" t="str">
        <f>IF($A131="","",INDEX(Movimientos!$J$5:$J$3004,MATCH($A131,Movimientos!$M$5:$M$3004,0))&amp;"")</f>
        <v/>
      </c>
      <c r="E131" s="14" t="str">
        <f>IF($A131="","",IF(C131="Entrada",INDEX(Movimientos!$F$5:$F$3004,MATCH($A131,Movimientos!$M$5:$M$3004,0)),""))</f>
        <v/>
      </c>
      <c r="F131" s="14" t="str">
        <f>IF($A131="","",IF(C131="Salida",INDEX(Movimientos!$F$5:$F$3004,MATCH($A131,Movimientos!$M$5:$M$3004,0)),""))</f>
        <v/>
      </c>
      <c r="G131" s="14" t="str">
        <f>IF($A131="","",INDEX(Movimientos!$I$5:$I$3004,MATCH($A131,Movimientos!$M$5:$M$3004,0)))</f>
        <v/>
      </c>
      <c r="H131" s="22" t="str">
        <f>IF($A131="","",INDEX(Movimientos!$G$5:$G$3004,MATCH($A131,Movimientos!$M$5:$M$3004,0)))</f>
        <v/>
      </c>
      <c r="I131" s="22" t="str">
        <f>IF($A131="","",INDEX(Movimientos!$H$5:$H$3004,MATCH($A131,Movimientos!$M$5:$M$3004,0)))</f>
        <v/>
      </c>
      <c r="J131" s="14" t="str">
        <f>IF($A131="","",INDEX(Movimientos!$K$5:$K$3004,MATCH($A131,Movimientos!$M$5:$M$3004,0))&amp;"")</f>
        <v/>
      </c>
    </row>
    <row r="132" spans="1:10" x14ac:dyDescent="0.25">
      <c r="A132" s="14" t="str">
        <f>IF(124&lt;=COUNTIF(Movimientos!$M$5:$M$3004,"&gt;0"),124,"")</f>
        <v/>
      </c>
      <c r="B132" s="30" t="str">
        <f>IF($A132="","",INDEX(Movimientos!$A$5:$A$3004,MATCH($A132,Movimientos!$M$5:$M$3004,0)))</f>
        <v/>
      </c>
      <c r="C132" s="14" t="str">
        <f>IF($A132="","",INDEX(Movimientos!$B$5:$B$3004,MATCH($A132,Movimientos!$M$5:$M$3004,0)))</f>
        <v/>
      </c>
      <c r="D132" s="14" t="str">
        <f>IF($A132="","",INDEX(Movimientos!$J$5:$J$3004,MATCH($A132,Movimientos!$M$5:$M$3004,0))&amp;"")</f>
        <v/>
      </c>
      <c r="E132" s="14" t="str">
        <f>IF($A132="","",IF(C132="Entrada",INDEX(Movimientos!$F$5:$F$3004,MATCH($A132,Movimientos!$M$5:$M$3004,0)),""))</f>
        <v/>
      </c>
      <c r="F132" s="14" t="str">
        <f>IF($A132="","",IF(C132="Salida",INDEX(Movimientos!$F$5:$F$3004,MATCH($A132,Movimientos!$M$5:$M$3004,0)),""))</f>
        <v/>
      </c>
      <c r="G132" s="14" t="str">
        <f>IF($A132="","",INDEX(Movimientos!$I$5:$I$3004,MATCH($A132,Movimientos!$M$5:$M$3004,0)))</f>
        <v/>
      </c>
      <c r="H132" s="22" t="str">
        <f>IF($A132="","",INDEX(Movimientos!$G$5:$G$3004,MATCH($A132,Movimientos!$M$5:$M$3004,0)))</f>
        <v/>
      </c>
      <c r="I132" s="22" t="str">
        <f>IF($A132="","",INDEX(Movimientos!$H$5:$H$3004,MATCH($A132,Movimientos!$M$5:$M$3004,0)))</f>
        <v/>
      </c>
      <c r="J132" s="14" t="str">
        <f>IF($A132="","",INDEX(Movimientos!$K$5:$K$3004,MATCH($A132,Movimientos!$M$5:$M$3004,0))&amp;"")</f>
        <v/>
      </c>
    </row>
    <row r="133" spans="1:10" x14ac:dyDescent="0.25">
      <c r="A133" s="14" t="str">
        <f>IF(125&lt;=COUNTIF(Movimientos!$M$5:$M$3004,"&gt;0"),125,"")</f>
        <v/>
      </c>
      <c r="B133" s="30" t="str">
        <f>IF($A133="","",INDEX(Movimientos!$A$5:$A$3004,MATCH($A133,Movimientos!$M$5:$M$3004,0)))</f>
        <v/>
      </c>
      <c r="C133" s="14" t="str">
        <f>IF($A133="","",INDEX(Movimientos!$B$5:$B$3004,MATCH($A133,Movimientos!$M$5:$M$3004,0)))</f>
        <v/>
      </c>
      <c r="D133" s="14" t="str">
        <f>IF($A133="","",INDEX(Movimientos!$J$5:$J$3004,MATCH($A133,Movimientos!$M$5:$M$3004,0))&amp;"")</f>
        <v/>
      </c>
      <c r="E133" s="14" t="str">
        <f>IF($A133="","",IF(C133="Entrada",INDEX(Movimientos!$F$5:$F$3004,MATCH($A133,Movimientos!$M$5:$M$3004,0)),""))</f>
        <v/>
      </c>
      <c r="F133" s="14" t="str">
        <f>IF($A133="","",IF(C133="Salida",INDEX(Movimientos!$F$5:$F$3004,MATCH($A133,Movimientos!$M$5:$M$3004,0)),""))</f>
        <v/>
      </c>
      <c r="G133" s="14" t="str">
        <f>IF($A133="","",INDEX(Movimientos!$I$5:$I$3004,MATCH($A133,Movimientos!$M$5:$M$3004,0)))</f>
        <v/>
      </c>
      <c r="H133" s="22" t="str">
        <f>IF($A133="","",INDEX(Movimientos!$G$5:$G$3004,MATCH($A133,Movimientos!$M$5:$M$3004,0)))</f>
        <v/>
      </c>
      <c r="I133" s="22" t="str">
        <f>IF($A133="","",INDEX(Movimientos!$H$5:$H$3004,MATCH($A133,Movimientos!$M$5:$M$3004,0)))</f>
        <v/>
      </c>
      <c r="J133" s="14" t="str">
        <f>IF($A133="","",INDEX(Movimientos!$K$5:$K$3004,MATCH($A133,Movimientos!$M$5:$M$3004,0))&amp;"")</f>
        <v/>
      </c>
    </row>
    <row r="134" spans="1:10" x14ac:dyDescent="0.25">
      <c r="A134" s="14" t="str">
        <f>IF(126&lt;=COUNTIF(Movimientos!$M$5:$M$3004,"&gt;0"),126,"")</f>
        <v/>
      </c>
      <c r="B134" s="30" t="str">
        <f>IF($A134="","",INDEX(Movimientos!$A$5:$A$3004,MATCH($A134,Movimientos!$M$5:$M$3004,0)))</f>
        <v/>
      </c>
      <c r="C134" s="14" t="str">
        <f>IF($A134="","",INDEX(Movimientos!$B$5:$B$3004,MATCH($A134,Movimientos!$M$5:$M$3004,0)))</f>
        <v/>
      </c>
      <c r="D134" s="14" t="str">
        <f>IF($A134="","",INDEX(Movimientos!$J$5:$J$3004,MATCH($A134,Movimientos!$M$5:$M$3004,0))&amp;"")</f>
        <v/>
      </c>
      <c r="E134" s="14" t="str">
        <f>IF($A134="","",IF(C134="Entrada",INDEX(Movimientos!$F$5:$F$3004,MATCH($A134,Movimientos!$M$5:$M$3004,0)),""))</f>
        <v/>
      </c>
      <c r="F134" s="14" t="str">
        <f>IF($A134="","",IF(C134="Salida",INDEX(Movimientos!$F$5:$F$3004,MATCH($A134,Movimientos!$M$5:$M$3004,0)),""))</f>
        <v/>
      </c>
      <c r="G134" s="14" t="str">
        <f>IF($A134="","",INDEX(Movimientos!$I$5:$I$3004,MATCH($A134,Movimientos!$M$5:$M$3004,0)))</f>
        <v/>
      </c>
      <c r="H134" s="22" t="str">
        <f>IF($A134="","",INDEX(Movimientos!$G$5:$G$3004,MATCH($A134,Movimientos!$M$5:$M$3004,0)))</f>
        <v/>
      </c>
      <c r="I134" s="22" t="str">
        <f>IF($A134="","",INDEX(Movimientos!$H$5:$H$3004,MATCH($A134,Movimientos!$M$5:$M$3004,0)))</f>
        <v/>
      </c>
      <c r="J134" s="14" t="str">
        <f>IF($A134="","",INDEX(Movimientos!$K$5:$K$3004,MATCH($A134,Movimientos!$M$5:$M$3004,0))&amp;"")</f>
        <v/>
      </c>
    </row>
    <row r="135" spans="1:10" x14ac:dyDescent="0.25">
      <c r="A135" s="14" t="str">
        <f>IF(127&lt;=COUNTIF(Movimientos!$M$5:$M$3004,"&gt;0"),127,"")</f>
        <v/>
      </c>
      <c r="B135" s="30" t="str">
        <f>IF($A135="","",INDEX(Movimientos!$A$5:$A$3004,MATCH($A135,Movimientos!$M$5:$M$3004,0)))</f>
        <v/>
      </c>
      <c r="C135" s="14" t="str">
        <f>IF($A135="","",INDEX(Movimientos!$B$5:$B$3004,MATCH($A135,Movimientos!$M$5:$M$3004,0)))</f>
        <v/>
      </c>
      <c r="D135" s="14" t="str">
        <f>IF($A135="","",INDEX(Movimientos!$J$5:$J$3004,MATCH($A135,Movimientos!$M$5:$M$3004,0))&amp;"")</f>
        <v/>
      </c>
      <c r="E135" s="14" t="str">
        <f>IF($A135="","",IF(C135="Entrada",INDEX(Movimientos!$F$5:$F$3004,MATCH($A135,Movimientos!$M$5:$M$3004,0)),""))</f>
        <v/>
      </c>
      <c r="F135" s="14" t="str">
        <f>IF($A135="","",IF(C135="Salida",INDEX(Movimientos!$F$5:$F$3004,MATCH($A135,Movimientos!$M$5:$M$3004,0)),""))</f>
        <v/>
      </c>
      <c r="G135" s="14" t="str">
        <f>IF($A135="","",INDEX(Movimientos!$I$5:$I$3004,MATCH($A135,Movimientos!$M$5:$M$3004,0)))</f>
        <v/>
      </c>
      <c r="H135" s="22" t="str">
        <f>IF($A135="","",INDEX(Movimientos!$G$5:$G$3004,MATCH($A135,Movimientos!$M$5:$M$3004,0)))</f>
        <v/>
      </c>
      <c r="I135" s="22" t="str">
        <f>IF($A135="","",INDEX(Movimientos!$H$5:$H$3004,MATCH($A135,Movimientos!$M$5:$M$3004,0)))</f>
        <v/>
      </c>
      <c r="J135" s="14" t="str">
        <f>IF($A135="","",INDEX(Movimientos!$K$5:$K$3004,MATCH($A135,Movimientos!$M$5:$M$3004,0))&amp;"")</f>
        <v/>
      </c>
    </row>
    <row r="136" spans="1:10" x14ac:dyDescent="0.25">
      <c r="A136" s="14" t="str">
        <f>IF(128&lt;=COUNTIF(Movimientos!$M$5:$M$3004,"&gt;0"),128,"")</f>
        <v/>
      </c>
      <c r="B136" s="30" t="str">
        <f>IF($A136="","",INDEX(Movimientos!$A$5:$A$3004,MATCH($A136,Movimientos!$M$5:$M$3004,0)))</f>
        <v/>
      </c>
      <c r="C136" s="14" t="str">
        <f>IF($A136="","",INDEX(Movimientos!$B$5:$B$3004,MATCH($A136,Movimientos!$M$5:$M$3004,0)))</f>
        <v/>
      </c>
      <c r="D136" s="14" t="str">
        <f>IF($A136="","",INDEX(Movimientos!$J$5:$J$3004,MATCH($A136,Movimientos!$M$5:$M$3004,0))&amp;"")</f>
        <v/>
      </c>
      <c r="E136" s="14" t="str">
        <f>IF($A136="","",IF(C136="Entrada",INDEX(Movimientos!$F$5:$F$3004,MATCH($A136,Movimientos!$M$5:$M$3004,0)),""))</f>
        <v/>
      </c>
      <c r="F136" s="14" t="str">
        <f>IF($A136="","",IF(C136="Salida",INDEX(Movimientos!$F$5:$F$3004,MATCH($A136,Movimientos!$M$5:$M$3004,0)),""))</f>
        <v/>
      </c>
      <c r="G136" s="14" t="str">
        <f>IF($A136="","",INDEX(Movimientos!$I$5:$I$3004,MATCH($A136,Movimientos!$M$5:$M$3004,0)))</f>
        <v/>
      </c>
      <c r="H136" s="22" t="str">
        <f>IF($A136="","",INDEX(Movimientos!$G$5:$G$3004,MATCH($A136,Movimientos!$M$5:$M$3004,0)))</f>
        <v/>
      </c>
      <c r="I136" s="22" t="str">
        <f>IF($A136="","",INDEX(Movimientos!$H$5:$H$3004,MATCH($A136,Movimientos!$M$5:$M$3004,0)))</f>
        <v/>
      </c>
      <c r="J136" s="14" t="str">
        <f>IF($A136="","",INDEX(Movimientos!$K$5:$K$3004,MATCH($A136,Movimientos!$M$5:$M$3004,0))&amp;"")</f>
        <v/>
      </c>
    </row>
    <row r="137" spans="1:10" x14ac:dyDescent="0.25">
      <c r="A137" s="14" t="str">
        <f>IF(129&lt;=COUNTIF(Movimientos!$M$5:$M$3004,"&gt;0"),129,"")</f>
        <v/>
      </c>
      <c r="B137" s="30" t="str">
        <f>IF($A137="","",INDEX(Movimientos!$A$5:$A$3004,MATCH($A137,Movimientos!$M$5:$M$3004,0)))</f>
        <v/>
      </c>
      <c r="C137" s="14" t="str">
        <f>IF($A137="","",INDEX(Movimientos!$B$5:$B$3004,MATCH($A137,Movimientos!$M$5:$M$3004,0)))</f>
        <v/>
      </c>
      <c r="D137" s="14" t="str">
        <f>IF($A137="","",INDEX(Movimientos!$J$5:$J$3004,MATCH($A137,Movimientos!$M$5:$M$3004,0))&amp;"")</f>
        <v/>
      </c>
      <c r="E137" s="14" t="str">
        <f>IF($A137="","",IF(C137="Entrada",INDEX(Movimientos!$F$5:$F$3004,MATCH($A137,Movimientos!$M$5:$M$3004,0)),""))</f>
        <v/>
      </c>
      <c r="F137" s="14" t="str">
        <f>IF($A137="","",IF(C137="Salida",INDEX(Movimientos!$F$5:$F$3004,MATCH($A137,Movimientos!$M$5:$M$3004,0)),""))</f>
        <v/>
      </c>
      <c r="G137" s="14" t="str">
        <f>IF($A137="","",INDEX(Movimientos!$I$5:$I$3004,MATCH($A137,Movimientos!$M$5:$M$3004,0)))</f>
        <v/>
      </c>
      <c r="H137" s="22" t="str">
        <f>IF($A137="","",INDEX(Movimientos!$G$5:$G$3004,MATCH($A137,Movimientos!$M$5:$M$3004,0)))</f>
        <v/>
      </c>
      <c r="I137" s="22" t="str">
        <f>IF($A137="","",INDEX(Movimientos!$H$5:$H$3004,MATCH($A137,Movimientos!$M$5:$M$3004,0)))</f>
        <v/>
      </c>
      <c r="J137" s="14" t="str">
        <f>IF($A137="","",INDEX(Movimientos!$K$5:$K$3004,MATCH($A137,Movimientos!$M$5:$M$3004,0))&amp;"")</f>
        <v/>
      </c>
    </row>
    <row r="138" spans="1:10" x14ac:dyDescent="0.25">
      <c r="A138" s="14" t="str">
        <f>IF(130&lt;=COUNTIF(Movimientos!$M$5:$M$3004,"&gt;0"),130,"")</f>
        <v/>
      </c>
      <c r="B138" s="30" t="str">
        <f>IF($A138="","",INDEX(Movimientos!$A$5:$A$3004,MATCH($A138,Movimientos!$M$5:$M$3004,0)))</f>
        <v/>
      </c>
      <c r="C138" s="14" t="str">
        <f>IF($A138="","",INDEX(Movimientos!$B$5:$B$3004,MATCH($A138,Movimientos!$M$5:$M$3004,0)))</f>
        <v/>
      </c>
      <c r="D138" s="14" t="str">
        <f>IF($A138="","",INDEX(Movimientos!$J$5:$J$3004,MATCH($A138,Movimientos!$M$5:$M$3004,0))&amp;"")</f>
        <v/>
      </c>
      <c r="E138" s="14" t="str">
        <f>IF($A138="","",IF(C138="Entrada",INDEX(Movimientos!$F$5:$F$3004,MATCH($A138,Movimientos!$M$5:$M$3004,0)),""))</f>
        <v/>
      </c>
      <c r="F138" s="14" t="str">
        <f>IF($A138="","",IF(C138="Salida",INDEX(Movimientos!$F$5:$F$3004,MATCH($A138,Movimientos!$M$5:$M$3004,0)),""))</f>
        <v/>
      </c>
      <c r="G138" s="14" t="str">
        <f>IF($A138="","",INDEX(Movimientos!$I$5:$I$3004,MATCH($A138,Movimientos!$M$5:$M$3004,0)))</f>
        <v/>
      </c>
      <c r="H138" s="22" t="str">
        <f>IF($A138="","",INDEX(Movimientos!$G$5:$G$3004,MATCH($A138,Movimientos!$M$5:$M$3004,0)))</f>
        <v/>
      </c>
      <c r="I138" s="22" t="str">
        <f>IF($A138="","",INDEX(Movimientos!$H$5:$H$3004,MATCH($A138,Movimientos!$M$5:$M$3004,0)))</f>
        <v/>
      </c>
      <c r="J138" s="14" t="str">
        <f>IF($A138="","",INDEX(Movimientos!$K$5:$K$3004,MATCH($A138,Movimientos!$M$5:$M$3004,0))&amp;"")</f>
        <v/>
      </c>
    </row>
    <row r="139" spans="1:10" x14ac:dyDescent="0.25">
      <c r="A139" s="14" t="str">
        <f>IF(131&lt;=COUNTIF(Movimientos!$M$5:$M$3004,"&gt;0"),131,"")</f>
        <v/>
      </c>
      <c r="B139" s="30" t="str">
        <f>IF($A139="","",INDEX(Movimientos!$A$5:$A$3004,MATCH($A139,Movimientos!$M$5:$M$3004,0)))</f>
        <v/>
      </c>
      <c r="C139" s="14" t="str">
        <f>IF($A139="","",INDEX(Movimientos!$B$5:$B$3004,MATCH($A139,Movimientos!$M$5:$M$3004,0)))</f>
        <v/>
      </c>
      <c r="D139" s="14" t="str">
        <f>IF($A139="","",INDEX(Movimientos!$J$5:$J$3004,MATCH($A139,Movimientos!$M$5:$M$3004,0))&amp;"")</f>
        <v/>
      </c>
      <c r="E139" s="14" t="str">
        <f>IF($A139="","",IF(C139="Entrada",INDEX(Movimientos!$F$5:$F$3004,MATCH($A139,Movimientos!$M$5:$M$3004,0)),""))</f>
        <v/>
      </c>
      <c r="F139" s="14" t="str">
        <f>IF($A139="","",IF(C139="Salida",INDEX(Movimientos!$F$5:$F$3004,MATCH($A139,Movimientos!$M$5:$M$3004,0)),""))</f>
        <v/>
      </c>
      <c r="G139" s="14" t="str">
        <f>IF($A139="","",INDEX(Movimientos!$I$5:$I$3004,MATCH($A139,Movimientos!$M$5:$M$3004,0)))</f>
        <v/>
      </c>
      <c r="H139" s="22" t="str">
        <f>IF($A139="","",INDEX(Movimientos!$G$5:$G$3004,MATCH($A139,Movimientos!$M$5:$M$3004,0)))</f>
        <v/>
      </c>
      <c r="I139" s="22" t="str">
        <f>IF($A139="","",INDEX(Movimientos!$H$5:$H$3004,MATCH($A139,Movimientos!$M$5:$M$3004,0)))</f>
        <v/>
      </c>
      <c r="J139" s="14" t="str">
        <f>IF($A139="","",INDEX(Movimientos!$K$5:$K$3004,MATCH($A139,Movimientos!$M$5:$M$3004,0))&amp;"")</f>
        <v/>
      </c>
    </row>
    <row r="140" spans="1:10" x14ac:dyDescent="0.25">
      <c r="A140" s="14" t="str">
        <f>IF(132&lt;=COUNTIF(Movimientos!$M$5:$M$3004,"&gt;0"),132,"")</f>
        <v/>
      </c>
      <c r="B140" s="30" t="str">
        <f>IF($A140="","",INDEX(Movimientos!$A$5:$A$3004,MATCH($A140,Movimientos!$M$5:$M$3004,0)))</f>
        <v/>
      </c>
      <c r="C140" s="14" t="str">
        <f>IF($A140="","",INDEX(Movimientos!$B$5:$B$3004,MATCH($A140,Movimientos!$M$5:$M$3004,0)))</f>
        <v/>
      </c>
      <c r="D140" s="14" t="str">
        <f>IF($A140="","",INDEX(Movimientos!$J$5:$J$3004,MATCH($A140,Movimientos!$M$5:$M$3004,0))&amp;"")</f>
        <v/>
      </c>
      <c r="E140" s="14" t="str">
        <f>IF($A140="","",IF(C140="Entrada",INDEX(Movimientos!$F$5:$F$3004,MATCH($A140,Movimientos!$M$5:$M$3004,0)),""))</f>
        <v/>
      </c>
      <c r="F140" s="14" t="str">
        <f>IF($A140="","",IF(C140="Salida",INDEX(Movimientos!$F$5:$F$3004,MATCH($A140,Movimientos!$M$5:$M$3004,0)),""))</f>
        <v/>
      </c>
      <c r="G140" s="14" t="str">
        <f>IF($A140="","",INDEX(Movimientos!$I$5:$I$3004,MATCH($A140,Movimientos!$M$5:$M$3004,0)))</f>
        <v/>
      </c>
      <c r="H140" s="22" t="str">
        <f>IF($A140="","",INDEX(Movimientos!$G$5:$G$3004,MATCH($A140,Movimientos!$M$5:$M$3004,0)))</f>
        <v/>
      </c>
      <c r="I140" s="22" t="str">
        <f>IF($A140="","",INDEX(Movimientos!$H$5:$H$3004,MATCH($A140,Movimientos!$M$5:$M$3004,0)))</f>
        <v/>
      </c>
      <c r="J140" s="14" t="str">
        <f>IF($A140="","",INDEX(Movimientos!$K$5:$K$3004,MATCH($A140,Movimientos!$M$5:$M$3004,0))&amp;"")</f>
        <v/>
      </c>
    </row>
    <row r="141" spans="1:10" x14ac:dyDescent="0.25">
      <c r="A141" s="14" t="str">
        <f>IF(133&lt;=COUNTIF(Movimientos!$M$5:$M$3004,"&gt;0"),133,"")</f>
        <v/>
      </c>
      <c r="B141" s="30" t="str">
        <f>IF($A141="","",INDEX(Movimientos!$A$5:$A$3004,MATCH($A141,Movimientos!$M$5:$M$3004,0)))</f>
        <v/>
      </c>
      <c r="C141" s="14" t="str">
        <f>IF($A141="","",INDEX(Movimientos!$B$5:$B$3004,MATCH($A141,Movimientos!$M$5:$M$3004,0)))</f>
        <v/>
      </c>
      <c r="D141" s="14" t="str">
        <f>IF($A141="","",INDEX(Movimientos!$J$5:$J$3004,MATCH($A141,Movimientos!$M$5:$M$3004,0))&amp;"")</f>
        <v/>
      </c>
      <c r="E141" s="14" t="str">
        <f>IF($A141="","",IF(C141="Entrada",INDEX(Movimientos!$F$5:$F$3004,MATCH($A141,Movimientos!$M$5:$M$3004,0)),""))</f>
        <v/>
      </c>
      <c r="F141" s="14" t="str">
        <f>IF($A141="","",IF(C141="Salida",INDEX(Movimientos!$F$5:$F$3004,MATCH($A141,Movimientos!$M$5:$M$3004,0)),""))</f>
        <v/>
      </c>
      <c r="G141" s="14" t="str">
        <f>IF($A141="","",INDEX(Movimientos!$I$5:$I$3004,MATCH($A141,Movimientos!$M$5:$M$3004,0)))</f>
        <v/>
      </c>
      <c r="H141" s="22" t="str">
        <f>IF($A141="","",INDEX(Movimientos!$G$5:$G$3004,MATCH($A141,Movimientos!$M$5:$M$3004,0)))</f>
        <v/>
      </c>
      <c r="I141" s="22" t="str">
        <f>IF($A141="","",INDEX(Movimientos!$H$5:$H$3004,MATCH($A141,Movimientos!$M$5:$M$3004,0)))</f>
        <v/>
      </c>
      <c r="J141" s="14" t="str">
        <f>IF($A141="","",INDEX(Movimientos!$K$5:$K$3004,MATCH($A141,Movimientos!$M$5:$M$3004,0))&amp;"")</f>
        <v/>
      </c>
    </row>
    <row r="142" spans="1:10" x14ac:dyDescent="0.25">
      <c r="A142" s="14" t="str">
        <f>IF(134&lt;=COUNTIF(Movimientos!$M$5:$M$3004,"&gt;0"),134,"")</f>
        <v/>
      </c>
      <c r="B142" s="30" t="str">
        <f>IF($A142="","",INDEX(Movimientos!$A$5:$A$3004,MATCH($A142,Movimientos!$M$5:$M$3004,0)))</f>
        <v/>
      </c>
      <c r="C142" s="14" t="str">
        <f>IF($A142="","",INDEX(Movimientos!$B$5:$B$3004,MATCH($A142,Movimientos!$M$5:$M$3004,0)))</f>
        <v/>
      </c>
      <c r="D142" s="14" t="str">
        <f>IF($A142="","",INDEX(Movimientos!$J$5:$J$3004,MATCH($A142,Movimientos!$M$5:$M$3004,0))&amp;"")</f>
        <v/>
      </c>
      <c r="E142" s="14" t="str">
        <f>IF($A142="","",IF(C142="Entrada",INDEX(Movimientos!$F$5:$F$3004,MATCH($A142,Movimientos!$M$5:$M$3004,0)),""))</f>
        <v/>
      </c>
      <c r="F142" s="14" t="str">
        <f>IF($A142="","",IF(C142="Salida",INDEX(Movimientos!$F$5:$F$3004,MATCH($A142,Movimientos!$M$5:$M$3004,0)),""))</f>
        <v/>
      </c>
      <c r="G142" s="14" t="str">
        <f>IF($A142="","",INDEX(Movimientos!$I$5:$I$3004,MATCH($A142,Movimientos!$M$5:$M$3004,0)))</f>
        <v/>
      </c>
      <c r="H142" s="22" t="str">
        <f>IF($A142="","",INDEX(Movimientos!$G$5:$G$3004,MATCH($A142,Movimientos!$M$5:$M$3004,0)))</f>
        <v/>
      </c>
      <c r="I142" s="22" t="str">
        <f>IF($A142="","",INDEX(Movimientos!$H$5:$H$3004,MATCH($A142,Movimientos!$M$5:$M$3004,0)))</f>
        <v/>
      </c>
      <c r="J142" s="14" t="str">
        <f>IF($A142="","",INDEX(Movimientos!$K$5:$K$3004,MATCH($A142,Movimientos!$M$5:$M$3004,0))&amp;"")</f>
        <v/>
      </c>
    </row>
    <row r="143" spans="1:10" x14ac:dyDescent="0.25">
      <c r="A143" s="14" t="str">
        <f>IF(135&lt;=COUNTIF(Movimientos!$M$5:$M$3004,"&gt;0"),135,"")</f>
        <v/>
      </c>
      <c r="B143" s="30" t="str">
        <f>IF($A143="","",INDEX(Movimientos!$A$5:$A$3004,MATCH($A143,Movimientos!$M$5:$M$3004,0)))</f>
        <v/>
      </c>
      <c r="C143" s="14" t="str">
        <f>IF($A143="","",INDEX(Movimientos!$B$5:$B$3004,MATCH($A143,Movimientos!$M$5:$M$3004,0)))</f>
        <v/>
      </c>
      <c r="D143" s="14" t="str">
        <f>IF($A143="","",INDEX(Movimientos!$J$5:$J$3004,MATCH($A143,Movimientos!$M$5:$M$3004,0))&amp;"")</f>
        <v/>
      </c>
      <c r="E143" s="14" t="str">
        <f>IF($A143="","",IF(C143="Entrada",INDEX(Movimientos!$F$5:$F$3004,MATCH($A143,Movimientos!$M$5:$M$3004,0)),""))</f>
        <v/>
      </c>
      <c r="F143" s="14" t="str">
        <f>IF($A143="","",IF(C143="Salida",INDEX(Movimientos!$F$5:$F$3004,MATCH($A143,Movimientos!$M$5:$M$3004,0)),""))</f>
        <v/>
      </c>
      <c r="G143" s="14" t="str">
        <f>IF($A143="","",INDEX(Movimientos!$I$5:$I$3004,MATCH($A143,Movimientos!$M$5:$M$3004,0)))</f>
        <v/>
      </c>
      <c r="H143" s="22" t="str">
        <f>IF($A143="","",INDEX(Movimientos!$G$5:$G$3004,MATCH($A143,Movimientos!$M$5:$M$3004,0)))</f>
        <v/>
      </c>
      <c r="I143" s="22" t="str">
        <f>IF($A143="","",INDEX(Movimientos!$H$5:$H$3004,MATCH($A143,Movimientos!$M$5:$M$3004,0)))</f>
        <v/>
      </c>
      <c r="J143" s="14" t="str">
        <f>IF($A143="","",INDEX(Movimientos!$K$5:$K$3004,MATCH($A143,Movimientos!$M$5:$M$3004,0))&amp;"")</f>
        <v/>
      </c>
    </row>
    <row r="144" spans="1:10" x14ac:dyDescent="0.25">
      <c r="A144" s="14" t="str">
        <f>IF(136&lt;=COUNTIF(Movimientos!$M$5:$M$3004,"&gt;0"),136,"")</f>
        <v/>
      </c>
      <c r="B144" s="30" t="str">
        <f>IF($A144="","",INDEX(Movimientos!$A$5:$A$3004,MATCH($A144,Movimientos!$M$5:$M$3004,0)))</f>
        <v/>
      </c>
      <c r="C144" s="14" t="str">
        <f>IF($A144="","",INDEX(Movimientos!$B$5:$B$3004,MATCH($A144,Movimientos!$M$5:$M$3004,0)))</f>
        <v/>
      </c>
      <c r="D144" s="14" t="str">
        <f>IF($A144="","",INDEX(Movimientos!$J$5:$J$3004,MATCH($A144,Movimientos!$M$5:$M$3004,0))&amp;"")</f>
        <v/>
      </c>
      <c r="E144" s="14" t="str">
        <f>IF($A144="","",IF(C144="Entrada",INDEX(Movimientos!$F$5:$F$3004,MATCH($A144,Movimientos!$M$5:$M$3004,0)),""))</f>
        <v/>
      </c>
      <c r="F144" s="14" t="str">
        <f>IF($A144="","",IF(C144="Salida",INDEX(Movimientos!$F$5:$F$3004,MATCH($A144,Movimientos!$M$5:$M$3004,0)),""))</f>
        <v/>
      </c>
      <c r="G144" s="14" t="str">
        <f>IF($A144="","",INDEX(Movimientos!$I$5:$I$3004,MATCH($A144,Movimientos!$M$5:$M$3004,0)))</f>
        <v/>
      </c>
      <c r="H144" s="22" t="str">
        <f>IF($A144="","",INDEX(Movimientos!$G$5:$G$3004,MATCH($A144,Movimientos!$M$5:$M$3004,0)))</f>
        <v/>
      </c>
      <c r="I144" s="22" t="str">
        <f>IF($A144="","",INDEX(Movimientos!$H$5:$H$3004,MATCH($A144,Movimientos!$M$5:$M$3004,0)))</f>
        <v/>
      </c>
      <c r="J144" s="14" t="str">
        <f>IF($A144="","",INDEX(Movimientos!$K$5:$K$3004,MATCH($A144,Movimientos!$M$5:$M$3004,0))&amp;"")</f>
        <v/>
      </c>
    </row>
    <row r="145" spans="1:10" x14ac:dyDescent="0.25">
      <c r="A145" s="14" t="str">
        <f>IF(137&lt;=COUNTIF(Movimientos!$M$5:$M$3004,"&gt;0"),137,"")</f>
        <v/>
      </c>
      <c r="B145" s="30" t="str">
        <f>IF($A145="","",INDEX(Movimientos!$A$5:$A$3004,MATCH($A145,Movimientos!$M$5:$M$3004,0)))</f>
        <v/>
      </c>
      <c r="C145" s="14" t="str">
        <f>IF($A145="","",INDEX(Movimientos!$B$5:$B$3004,MATCH($A145,Movimientos!$M$5:$M$3004,0)))</f>
        <v/>
      </c>
      <c r="D145" s="14" t="str">
        <f>IF($A145="","",INDEX(Movimientos!$J$5:$J$3004,MATCH($A145,Movimientos!$M$5:$M$3004,0))&amp;"")</f>
        <v/>
      </c>
      <c r="E145" s="14" t="str">
        <f>IF($A145="","",IF(C145="Entrada",INDEX(Movimientos!$F$5:$F$3004,MATCH($A145,Movimientos!$M$5:$M$3004,0)),""))</f>
        <v/>
      </c>
      <c r="F145" s="14" t="str">
        <f>IF($A145="","",IF(C145="Salida",INDEX(Movimientos!$F$5:$F$3004,MATCH($A145,Movimientos!$M$5:$M$3004,0)),""))</f>
        <v/>
      </c>
      <c r="G145" s="14" t="str">
        <f>IF($A145="","",INDEX(Movimientos!$I$5:$I$3004,MATCH($A145,Movimientos!$M$5:$M$3004,0)))</f>
        <v/>
      </c>
      <c r="H145" s="22" t="str">
        <f>IF($A145="","",INDEX(Movimientos!$G$5:$G$3004,MATCH($A145,Movimientos!$M$5:$M$3004,0)))</f>
        <v/>
      </c>
      <c r="I145" s="22" t="str">
        <f>IF($A145="","",INDEX(Movimientos!$H$5:$H$3004,MATCH($A145,Movimientos!$M$5:$M$3004,0)))</f>
        <v/>
      </c>
      <c r="J145" s="14" t="str">
        <f>IF($A145="","",INDEX(Movimientos!$K$5:$K$3004,MATCH($A145,Movimientos!$M$5:$M$3004,0))&amp;"")</f>
        <v/>
      </c>
    </row>
    <row r="146" spans="1:10" x14ac:dyDescent="0.25">
      <c r="A146" s="14" t="str">
        <f>IF(138&lt;=COUNTIF(Movimientos!$M$5:$M$3004,"&gt;0"),138,"")</f>
        <v/>
      </c>
      <c r="B146" s="30" t="str">
        <f>IF($A146="","",INDEX(Movimientos!$A$5:$A$3004,MATCH($A146,Movimientos!$M$5:$M$3004,0)))</f>
        <v/>
      </c>
      <c r="C146" s="14" t="str">
        <f>IF($A146="","",INDEX(Movimientos!$B$5:$B$3004,MATCH($A146,Movimientos!$M$5:$M$3004,0)))</f>
        <v/>
      </c>
      <c r="D146" s="14" t="str">
        <f>IF($A146="","",INDEX(Movimientos!$J$5:$J$3004,MATCH($A146,Movimientos!$M$5:$M$3004,0))&amp;"")</f>
        <v/>
      </c>
      <c r="E146" s="14" t="str">
        <f>IF($A146="","",IF(C146="Entrada",INDEX(Movimientos!$F$5:$F$3004,MATCH($A146,Movimientos!$M$5:$M$3004,0)),""))</f>
        <v/>
      </c>
      <c r="F146" s="14" t="str">
        <f>IF($A146="","",IF(C146="Salida",INDEX(Movimientos!$F$5:$F$3004,MATCH($A146,Movimientos!$M$5:$M$3004,0)),""))</f>
        <v/>
      </c>
      <c r="G146" s="14" t="str">
        <f>IF($A146="","",INDEX(Movimientos!$I$5:$I$3004,MATCH($A146,Movimientos!$M$5:$M$3004,0)))</f>
        <v/>
      </c>
      <c r="H146" s="22" t="str">
        <f>IF($A146="","",INDEX(Movimientos!$G$5:$G$3004,MATCH($A146,Movimientos!$M$5:$M$3004,0)))</f>
        <v/>
      </c>
      <c r="I146" s="22" t="str">
        <f>IF($A146="","",INDEX(Movimientos!$H$5:$H$3004,MATCH($A146,Movimientos!$M$5:$M$3004,0)))</f>
        <v/>
      </c>
      <c r="J146" s="14" t="str">
        <f>IF($A146="","",INDEX(Movimientos!$K$5:$K$3004,MATCH($A146,Movimientos!$M$5:$M$3004,0))&amp;"")</f>
        <v/>
      </c>
    </row>
    <row r="147" spans="1:10" x14ac:dyDescent="0.25">
      <c r="A147" s="14" t="str">
        <f>IF(139&lt;=COUNTIF(Movimientos!$M$5:$M$3004,"&gt;0"),139,"")</f>
        <v/>
      </c>
      <c r="B147" s="30" t="str">
        <f>IF($A147="","",INDEX(Movimientos!$A$5:$A$3004,MATCH($A147,Movimientos!$M$5:$M$3004,0)))</f>
        <v/>
      </c>
      <c r="C147" s="14" t="str">
        <f>IF($A147="","",INDEX(Movimientos!$B$5:$B$3004,MATCH($A147,Movimientos!$M$5:$M$3004,0)))</f>
        <v/>
      </c>
      <c r="D147" s="14" t="str">
        <f>IF($A147="","",INDEX(Movimientos!$J$5:$J$3004,MATCH($A147,Movimientos!$M$5:$M$3004,0))&amp;"")</f>
        <v/>
      </c>
      <c r="E147" s="14" t="str">
        <f>IF($A147="","",IF(C147="Entrada",INDEX(Movimientos!$F$5:$F$3004,MATCH($A147,Movimientos!$M$5:$M$3004,0)),""))</f>
        <v/>
      </c>
      <c r="F147" s="14" t="str">
        <f>IF($A147="","",IF(C147="Salida",INDEX(Movimientos!$F$5:$F$3004,MATCH($A147,Movimientos!$M$5:$M$3004,0)),""))</f>
        <v/>
      </c>
      <c r="G147" s="14" t="str">
        <f>IF($A147="","",INDEX(Movimientos!$I$5:$I$3004,MATCH($A147,Movimientos!$M$5:$M$3004,0)))</f>
        <v/>
      </c>
      <c r="H147" s="22" t="str">
        <f>IF($A147="","",INDEX(Movimientos!$G$5:$G$3004,MATCH($A147,Movimientos!$M$5:$M$3004,0)))</f>
        <v/>
      </c>
      <c r="I147" s="22" t="str">
        <f>IF($A147="","",INDEX(Movimientos!$H$5:$H$3004,MATCH($A147,Movimientos!$M$5:$M$3004,0)))</f>
        <v/>
      </c>
      <c r="J147" s="14" t="str">
        <f>IF($A147="","",INDEX(Movimientos!$K$5:$K$3004,MATCH($A147,Movimientos!$M$5:$M$3004,0))&amp;"")</f>
        <v/>
      </c>
    </row>
    <row r="148" spans="1:10" x14ac:dyDescent="0.25">
      <c r="A148" s="14" t="str">
        <f>IF(140&lt;=COUNTIF(Movimientos!$M$5:$M$3004,"&gt;0"),140,"")</f>
        <v/>
      </c>
      <c r="B148" s="30" t="str">
        <f>IF($A148="","",INDEX(Movimientos!$A$5:$A$3004,MATCH($A148,Movimientos!$M$5:$M$3004,0)))</f>
        <v/>
      </c>
      <c r="C148" s="14" t="str">
        <f>IF($A148="","",INDEX(Movimientos!$B$5:$B$3004,MATCH($A148,Movimientos!$M$5:$M$3004,0)))</f>
        <v/>
      </c>
      <c r="D148" s="14" t="str">
        <f>IF($A148="","",INDEX(Movimientos!$J$5:$J$3004,MATCH($A148,Movimientos!$M$5:$M$3004,0))&amp;"")</f>
        <v/>
      </c>
      <c r="E148" s="14" t="str">
        <f>IF($A148="","",IF(C148="Entrada",INDEX(Movimientos!$F$5:$F$3004,MATCH($A148,Movimientos!$M$5:$M$3004,0)),""))</f>
        <v/>
      </c>
      <c r="F148" s="14" t="str">
        <f>IF($A148="","",IF(C148="Salida",INDEX(Movimientos!$F$5:$F$3004,MATCH($A148,Movimientos!$M$5:$M$3004,0)),""))</f>
        <v/>
      </c>
      <c r="G148" s="14" t="str">
        <f>IF($A148="","",INDEX(Movimientos!$I$5:$I$3004,MATCH($A148,Movimientos!$M$5:$M$3004,0)))</f>
        <v/>
      </c>
      <c r="H148" s="22" t="str">
        <f>IF($A148="","",INDEX(Movimientos!$G$5:$G$3004,MATCH($A148,Movimientos!$M$5:$M$3004,0)))</f>
        <v/>
      </c>
      <c r="I148" s="22" t="str">
        <f>IF($A148="","",INDEX(Movimientos!$H$5:$H$3004,MATCH($A148,Movimientos!$M$5:$M$3004,0)))</f>
        <v/>
      </c>
      <c r="J148" s="14" t="str">
        <f>IF($A148="","",INDEX(Movimientos!$K$5:$K$3004,MATCH($A148,Movimientos!$M$5:$M$3004,0))&amp;"")</f>
        <v/>
      </c>
    </row>
    <row r="149" spans="1:10" x14ac:dyDescent="0.25">
      <c r="A149" s="14" t="str">
        <f>IF(141&lt;=COUNTIF(Movimientos!$M$5:$M$3004,"&gt;0"),141,"")</f>
        <v/>
      </c>
      <c r="B149" s="30" t="str">
        <f>IF($A149="","",INDEX(Movimientos!$A$5:$A$3004,MATCH($A149,Movimientos!$M$5:$M$3004,0)))</f>
        <v/>
      </c>
      <c r="C149" s="14" t="str">
        <f>IF($A149="","",INDEX(Movimientos!$B$5:$B$3004,MATCH($A149,Movimientos!$M$5:$M$3004,0)))</f>
        <v/>
      </c>
      <c r="D149" s="14" t="str">
        <f>IF($A149="","",INDEX(Movimientos!$J$5:$J$3004,MATCH($A149,Movimientos!$M$5:$M$3004,0))&amp;"")</f>
        <v/>
      </c>
      <c r="E149" s="14" t="str">
        <f>IF($A149="","",IF(C149="Entrada",INDEX(Movimientos!$F$5:$F$3004,MATCH($A149,Movimientos!$M$5:$M$3004,0)),""))</f>
        <v/>
      </c>
      <c r="F149" s="14" t="str">
        <f>IF($A149="","",IF(C149="Salida",INDEX(Movimientos!$F$5:$F$3004,MATCH($A149,Movimientos!$M$5:$M$3004,0)),""))</f>
        <v/>
      </c>
      <c r="G149" s="14" t="str">
        <f>IF($A149="","",INDEX(Movimientos!$I$5:$I$3004,MATCH($A149,Movimientos!$M$5:$M$3004,0)))</f>
        <v/>
      </c>
      <c r="H149" s="22" t="str">
        <f>IF($A149="","",INDEX(Movimientos!$G$5:$G$3004,MATCH($A149,Movimientos!$M$5:$M$3004,0)))</f>
        <v/>
      </c>
      <c r="I149" s="22" t="str">
        <f>IF($A149="","",INDEX(Movimientos!$H$5:$H$3004,MATCH($A149,Movimientos!$M$5:$M$3004,0)))</f>
        <v/>
      </c>
      <c r="J149" s="14" t="str">
        <f>IF($A149="","",INDEX(Movimientos!$K$5:$K$3004,MATCH($A149,Movimientos!$M$5:$M$3004,0))&amp;"")</f>
        <v/>
      </c>
    </row>
    <row r="150" spans="1:10" x14ac:dyDescent="0.25">
      <c r="A150" s="14" t="str">
        <f>IF(142&lt;=COUNTIF(Movimientos!$M$5:$M$3004,"&gt;0"),142,"")</f>
        <v/>
      </c>
      <c r="B150" s="30" t="str">
        <f>IF($A150="","",INDEX(Movimientos!$A$5:$A$3004,MATCH($A150,Movimientos!$M$5:$M$3004,0)))</f>
        <v/>
      </c>
      <c r="C150" s="14" t="str">
        <f>IF($A150="","",INDEX(Movimientos!$B$5:$B$3004,MATCH($A150,Movimientos!$M$5:$M$3004,0)))</f>
        <v/>
      </c>
      <c r="D150" s="14" t="str">
        <f>IF($A150="","",INDEX(Movimientos!$J$5:$J$3004,MATCH($A150,Movimientos!$M$5:$M$3004,0))&amp;"")</f>
        <v/>
      </c>
      <c r="E150" s="14" t="str">
        <f>IF($A150="","",IF(C150="Entrada",INDEX(Movimientos!$F$5:$F$3004,MATCH($A150,Movimientos!$M$5:$M$3004,0)),""))</f>
        <v/>
      </c>
      <c r="F150" s="14" t="str">
        <f>IF($A150="","",IF(C150="Salida",INDEX(Movimientos!$F$5:$F$3004,MATCH($A150,Movimientos!$M$5:$M$3004,0)),""))</f>
        <v/>
      </c>
      <c r="G150" s="14" t="str">
        <f>IF($A150="","",INDEX(Movimientos!$I$5:$I$3004,MATCH($A150,Movimientos!$M$5:$M$3004,0)))</f>
        <v/>
      </c>
      <c r="H150" s="22" t="str">
        <f>IF($A150="","",INDEX(Movimientos!$G$5:$G$3004,MATCH($A150,Movimientos!$M$5:$M$3004,0)))</f>
        <v/>
      </c>
      <c r="I150" s="22" t="str">
        <f>IF($A150="","",INDEX(Movimientos!$H$5:$H$3004,MATCH($A150,Movimientos!$M$5:$M$3004,0)))</f>
        <v/>
      </c>
      <c r="J150" s="14" t="str">
        <f>IF($A150="","",INDEX(Movimientos!$K$5:$K$3004,MATCH($A150,Movimientos!$M$5:$M$3004,0))&amp;"")</f>
        <v/>
      </c>
    </row>
    <row r="151" spans="1:10" x14ac:dyDescent="0.25">
      <c r="A151" s="14" t="str">
        <f>IF(143&lt;=COUNTIF(Movimientos!$M$5:$M$3004,"&gt;0"),143,"")</f>
        <v/>
      </c>
      <c r="B151" s="30" t="str">
        <f>IF($A151="","",INDEX(Movimientos!$A$5:$A$3004,MATCH($A151,Movimientos!$M$5:$M$3004,0)))</f>
        <v/>
      </c>
      <c r="C151" s="14" t="str">
        <f>IF($A151="","",INDEX(Movimientos!$B$5:$B$3004,MATCH($A151,Movimientos!$M$5:$M$3004,0)))</f>
        <v/>
      </c>
      <c r="D151" s="14" t="str">
        <f>IF($A151="","",INDEX(Movimientos!$J$5:$J$3004,MATCH($A151,Movimientos!$M$5:$M$3004,0))&amp;"")</f>
        <v/>
      </c>
      <c r="E151" s="14" t="str">
        <f>IF($A151="","",IF(C151="Entrada",INDEX(Movimientos!$F$5:$F$3004,MATCH($A151,Movimientos!$M$5:$M$3004,0)),""))</f>
        <v/>
      </c>
      <c r="F151" s="14" t="str">
        <f>IF($A151="","",IF(C151="Salida",INDEX(Movimientos!$F$5:$F$3004,MATCH($A151,Movimientos!$M$5:$M$3004,0)),""))</f>
        <v/>
      </c>
      <c r="G151" s="14" t="str">
        <f>IF($A151="","",INDEX(Movimientos!$I$5:$I$3004,MATCH($A151,Movimientos!$M$5:$M$3004,0)))</f>
        <v/>
      </c>
      <c r="H151" s="22" t="str">
        <f>IF($A151="","",INDEX(Movimientos!$G$5:$G$3004,MATCH($A151,Movimientos!$M$5:$M$3004,0)))</f>
        <v/>
      </c>
      <c r="I151" s="22" t="str">
        <f>IF($A151="","",INDEX(Movimientos!$H$5:$H$3004,MATCH($A151,Movimientos!$M$5:$M$3004,0)))</f>
        <v/>
      </c>
      <c r="J151" s="14" t="str">
        <f>IF($A151="","",INDEX(Movimientos!$K$5:$K$3004,MATCH($A151,Movimientos!$M$5:$M$3004,0))&amp;"")</f>
        <v/>
      </c>
    </row>
    <row r="152" spans="1:10" x14ac:dyDescent="0.25">
      <c r="A152" s="14" t="str">
        <f>IF(144&lt;=COUNTIF(Movimientos!$M$5:$M$3004,"&gt;0"),144,"")</f>
        <v/>
      </c>
      <c r="B152" s="30" t="str">
        <f>IF($A152="","",INDEX(Movimientos!$A$5:$A$3004,MATCH($A152,Movimientos!$M$5:$M$3004,0)))</f>
        <v/>
      </c>
      <c r="C152" s="14" t="str">
        <f>IF($A152="","",INDEX(Movimientos!$B$5:$B$3004,MATCH($A152,Movimientos!$M$5:$M$3004,0)))</f>
        <v/>
      </c>
      <c r="D152" s="14" t="str">
        <f>IF($A152="","",INDEX(Movimientos!$J$5:$J$3004,MATCH($A152,Movimientos!$M$5:$M$3004,0))&amp;"")</f>
        <v/>
      </c>
      <c r="E152" s="14" t="str">
        <f>IF($A152="","",IF(C152="Entrada",INDEX(Movimientos!$F$5:$F$3004,MATCH($A152,Movimientos!$M$5:$M$3004,0)),""))</f>
        <v/>
      </c>
      <c r="F152" s="14" t="str">
        <f>IF($A152="","",IF(C152="Salida",INDEX(Movimientos!$F$5:$F$3004,MATCH($A152,Movimientos!$M$5:$M$3004,0)),""))</f>
        <v/>
      </c>
      <c r="G152" s="14" t="str">
        <f>IF($A152="","",INDEX(Movimientos!$I$5:$I$3004,MATCH($A152,Movimientos!$M$5:$M$3004,0)))</f>
        <v/>
      </c>
      <c r="H152" s="22" t="str">
        <f>IF($A152="","",INDEX(Movimientos!$G$5:$G$3004,MATCH($A152,Movimientos!$M$5:$M$3004,0)))</f>
        <v/>
      </c>
      <c r="I152" s="22" t="str">
        <f>IF($A152="","",INDEX(Movimientos!$H$5:$H$3004,MATCH($A152,Movimientos!$M$5:$M$3004,0)))</f>
        <v/>
      </c>
      <c r="J152" s="14" t="str">
        <f>IF($A152="","",INDEX(Movimientos!$K$5:$K$3004,MATCH($A152,Movimientos!$M$5:$M$3004,0))&amp;"")</f>
        <v/>
      </c>
    </row>
    <row r="153" spans="1:10" x14ac:dyDescent="0.25">
      <c r="A153" s="14" t="str">
        <f>IF(145&lt;=COUNTIF(Movimientos!$M$5:$M$3004,"&gt;0"),145,"")</f>
        <v/>
      </c>
      <c r="B153" s="30" t="str">
        <f>IF($A153="","",INDEX(Movimientos!$A$5:$A$3004,MATCH($A153,Movimientos!$M$5:$M$3004,0)))</f>
        <v/>
      </c>
      <c r="C153" s="14" t="str">
        <f>IF($A153="","",INDEX(Movimientos!$B$5:$B$3004,MATCH($A153,Movimientos!$M$5:$M$3004,0)))</f>
        <v/>
      </c>
      <c r="D153" s="14" t="str">
        <f>IF($A153="","",INDEX(Movimientos!$J$5:$J$3004,MATCH($A153,Movimientos!$M$5:$M$3004,0))&amp;"")</f>
        <v/>
      </c>
      <c r="E153" s="14" t="str">
        <f>IF($A153="","",IF(C153="Entrada",INDEX(Movimientos!$F$5:$F$3004,MATCH($A153,Movimientos!$M$5:$M$3004,0)),""))</f>
        <v/>
      </c>
      <c r="F153" s="14" t="str">
        <f>IF($A153="","",IF(C153="Salida",INDEX(Movimientos!$F$5:$F$3004,MATCH($A153,Movimientos!$M$5:$M$3004,0)),""))</f>
        <v/>
      </c>
      <c r="G153" s="14" t="str">
        <f>IF($A153="","",INDEX(Movimientos!$I$5:$I$3004,MATCH($A153,Movimientos!$M$5:$M$3004,0)))</f>
        <v/>
      </c>
      <c r="H153" s="22" t="str">
        <f>IF($A153="","",INDEX(Movimientos!$G$5:$G$3004,MATCH($A153,Movimientos!$M$5:$M$3004,0)))</f>
        <v/>
      </c>
      <c r="I153" s="22" t="str">
        <f>IF($A153="","",INDEX(Movimientos!$H$5:$H$3004,MATCH($A153,Movimientos!$M$5:$M$3004,0)))</f>
        <v/>
      </c>
      <c r="J153" s="14" t="str">
        <f>IF($A153="","",INDEX(Movimientos!$K$5:$K$3004,MATCH($A153,Movimientos!$M$5:$M$3004,0))&amp;"")</f>
        <v/>
      </c>
    </row>
    <row r="154" spans="1:10" x14ac:dyDescent="0.25">
      <c r="A154" s="14" t="str">
        <f>IF(146&lt;=COUNTIF(Movimientos!$M$5:$M$3004,"&gt;0"),146,"")</f>
        <v/>
      </c>
      <c r="B154" s="30" t="str">
        <f>IF($A154="","",INDEX(Movimientos!$A$5:$A$3004,MATCH($A154,Movimientos!$M$5:$M$3004,0)))</f>
        <v/>
      </c>
      <c r="C154" s="14" t="str">
        <f>IF($A154="","",INDEX(Movimientos!$B$5:$B$3004,MATCH($A154,Movimientos!$M$5:$M$3004,0)))</f>
        <v/>
      </c>
      <c r="D154" s="14" t="str">
        <f>IF($A154="","",INDEX(Movimientos!$J$5:$J$3004,MATCH($A154,Movimientos!$M$5:$M$3004,0))&amp;"")</f>
        <v/>
      </c>
      <c r="E154" s="14" t="str">
        <f>IF($A154="","",IF(C154="Entrada",INDEX(Movimientos!$F$5:$F$3004,MATCH($A154,Movimientos!$M$5:$M$3004,0)),""))</f>
        <v/>
      </c>
      <c r="F154" s="14" t="str">
        <f>IF($A154="","",IF(C154="Salida",INDEX(Movimientos!$F$5:$F$3004,MATCH($A154,Movimientos!$M$5:$M$3004,0)),""))</f>
        <v/>
      </c>
      <c r="G154" s="14" t="str">
        <f>IF($A154="","",INDEX(Movimientos!$I$5:$I$3004,MATCH($A154,Movimientos!$M$5:$M$3004,0)))</f>
        <v/>
      </c>
      <c r="H154" s="22" t="str">
        <f>IF($A154="","",INDEX(Movimientos!$G$5:$G$3004,MATCH($A154,Movimientos!$M$5:$M$3004,0)))</f>
        <v/>
      </c>
      <c r="I154" s="22" t="str">
        <f>IF($A154="","",INDEX(Movimientos!$H$5:$H$3004,MATCH($A154,Movimientos!$M$5:$M$3004,0)))</f>
        <v/>
      </c>
      <c r="J154" s="14" t="str">
        <f>IF($A154="","",INDEX(Movimientos!$K$5:$K$3004,MATCH($A154,Movimientos!$M$5:$M$3004,0))&amp;"")</f>
        <v/>
      </c>
    </row>
    <row r="155" spans="1:10" x14ac:dyDescent="0.25">
      <c r="A155" s="14" t="str">
        <f>IF(147&lt;=COUNTIF(Movimientos!$M$5:$M$3004,"&gt;0"),147,"")</f>
        <v/>
      </c>
      <c r="B155" s="30" t="str">
        <f>IF($A155="","",INDEX(Movimientos!$A$5:$A$3004,MATCH($A155,Movimientos!$M$5:$M$3004,0)))</f>
        <v/>
      </c>
      <c r="C155" s="14" t="str">
        <f>IF($A155="","",INDEX(Movimientos!$B$5:$B$3004,MATCH($A155,Movimientos!$M$5:$M$3004,0)))</f>
        <v/>
      </c>
      <c r="D155" s="14" t="str">
        <f>IF($A155="","",INDEX(Movimientos!$J$5:$J$3004,MATCH($A155,Movimientos!$M$5:$M$3004,0))&amp;"")</f>
        <v/>
      </c>
      <c r="E155" s="14" t="str">
        <f>IF($A155="","",IF(C155="Entrada",INDEX(Movimientos!$F$5:$F$3004,MATCH($A155,Movimientos!$M$5:$M$3004,0)),""))</f>
        <v/>
      </c>
      <c r="F155" s="14" t="str">
        <f>IF($A155="","",IF(C155="Salida",INDEX(Movimientos!$F$5:$F$3004,MATCH($A155,Movimientos!$M$5:$M$3004,0)),""))</f>
        <v/>
      </c>
      <c r="G155" s="14" t="str">
        <f>IF($A155="","",INDEX(Movimientos!$I$5:$I$3004,MATCH($A155,Movimientos!$M$5:$M$3004,0)))</f>
        <v/>
      </c>
      <c r="H155" s="22" t="str">
        <f>IF($A155="","",INDEX(Movimientos!$G$5:$G$3004,MATCH($A155,Movimientos!$M$5:$M$3004,0)))</f>
        <v/>
      </c>
      <c r="I155" s="22" t="str">
        <f>IF($A155="","",INDEX(Movimientos!$H$5:$H$3004,MATCH($A155,Movimientos!$M$5:$M$3004,0)))</f>
        <v/>
      </c>
      <c r="J155" s="14" t="str">
        <f>IF($A155="","",INDEX(Movimientos!$K$5:$K$3004,MATCH($A155,Movimientos!$M$5:$M$3004,0))&amp;"")</f>
        <v/>
      </c>
    </row>
    <row r="156" spans="1:10" x14ac:dyDescent="0.25">
      <c r="A156" s="14" t="str">
        <f>IF(148&lt;=COUNTIF(Movimientos!$M$5:$M$3004,"&gt;0"),148,"")</f>
        <v/>
      </c>
      <c r="B156" s="30" t="str">
        <f>IF($A156="","",INDEX(Movimientos!$A$5:$A$3004,MATCH($A156,Movimientos!$M$5:$M$3004,0)))</f>
        <v/>
      </c>
      <c r="C156" s="14" t="str">
        <f>IF($A156="","",INDEX(Movimientos!$B$5:$B$3004,MATCH($A156,Movimientos!$M$5:$M$3004,0)))</f>
        <v/>
      </c>
      <c r="D156" s="14" t="str">
        <f>IF($A156="","",INDEX(Movimientos!$J$5:$J$3004,MATCH($A156,Movimientos!$M$5:$M$3004,0))&amp;"")</f>
        <v/>
      </c>
      <c r="E156" s="14" t="str">
        <f>IF($A156="","",IF(C156="Entrada",INDEX(Movimientos!$F$5:$F$3004,MATCH($A156,Movimientos!$M$5:$M$3004,0)),""))</f>
        <v/>
      </c>
      <c r="F156" s="14" t="str">
        <f>IF($A156="","",IF(C156="Salida",INDEX(Movimientos!$F$5:$F$3004,MATCH($A156,Movimientos!$M$5:$M$3004,0)),""))</f>
        <v/>
      </c>
      <c r="G156" s="14" t="str">
        <f>IF($A156="","",INDEX(Movimientos!$I$5:$I$3004,MATCH($A156,Movimientos!$M$5:$M$3004,0)))</f>
        <v/>
      </c>
      <c r="H156" s="22" t="str">
        <f>IF($A156="","",INDEX(Movimientos!$G$5:$G$3004,MATCH($A156,Movimientos!$M$5:$M$3004,0)))</f>
        <v/>
      </c>
      <c r="I156" s="22" t="str">
        <f>IF($A156="","",INDEX(Movimientos!$H$5:$H$3004,MATCH($A156,Movimientos!$M$5:$M$3004,0)))</f>
        <v/>
      </c>
      <c r="J156" s="14" t="str">
        <f>IF($A156="","",INDEX(Movimientos!$K$5:$K$3004,MATCH($A156,Movimientos!$M$5:$M$3004,0))&amp;"")</f>
        <v/>
      </c>
    </row>
    <row r="157" spans="1:10" x14ac:dyDescent="0.25">
      <c r="A157" s="14" t="str">
        <f>IF(149&lt;=COUNTIF(Movimientos!$M$5:$M$3004,"&gt;0"),149,"")</f>
        <v/>
      </c>
      <c r="B157" s="30" t="str">
        <f>IF($A157="","",INDEX(Movimientos!$A$5:$A$3004,MATCH($A157,Movimientos!$M$5:$M$3004,0)))</f>
        <v/>
      </c>
      <c r="C157" s="14" t="str">
        <f>IF($A157="","",INDEX(Movimientos!$B$5:$B$3004,MATCH($A157,Movimientos!$M$5:$M$3004,0)))</f>
        <v/>
      </c>
      <c r="D157" s="14" t="str">
        <f>IF($A157="","",INDEX(Movimientos!$J$5:$J$3004,MATCH($A157,Movimientos!$M$5:$M$3004,0))&amp;"")</f>
        <v/>
      </c>
      <c r="E157" s="14" t="str">
        <f>IF($A157="","",IF(C157="Entrada",INDEX(Movimientos!$F$5:$F$3004,MATCH($A157,Movimientos!$M$5:$M$3004,0)),""))</f>
        <v/>
      </c>
      <c r="F157" s="14" t="str">
        <f>IF($A157="","",IF(C157="Salida",INDEX(Movimientos!$F$5:$F$3004,MATCH($A157,Movimientos!$M$5:$M$3004,0)),""))</f>
        <v/>
      </c>
      <c r="G157" s="14" t="str">
        <f>IF($A157="","",INDEX(Movimientos!$I$5:$I$3004,MATCH($A157,Movimientos!$M$5:$M$3004,0)))</f>
        <v/>
      </c>
      <c r="H157" s="22" t="str">
        <f>IF($A157="","",INDEX(Movimientos!$G$5:$G$3004,MATCH($A157,Movimientos!$M$5:$M$3004,0)))</f>
        <v/>
      </c>
      <c r="I157" s="22" t="str">
        <f>IF($A157="","",INDEX(Movimientos!$H$5:$H$3004,MATCH($A157,Movimientos!$M$5:$M$3004,0)))</f>
        <v/>
      </c>
      <c r="J157" s="14" t="str">
        <f>IF($A157="","",INDEX(Movimientos!$K$5:$K$3004,MATCH($A157,Movimientos!$M$5:$M$3004,0))&amp;"")</f>
        <v/>
      </c>
    </row>
    <row r="158" spans="1:10" x14ac:dyDescent="0.25">
      <c r="A158" s="14" t="str">
        <f>IF(150&lt;=COUNTIF(Movimientos!$M$5:$M$3004,"&gt;0"),150,"")</f>
        <v/>
      </c>
      <c r="B158" s="30" t="str">
        <f>IF($A158="","",INDEX(Movimientos!$A$5:$A$3004,MATCH($A158,Movimientos!$M$5:$M$3004,0)))</f>
        <v/>
      </c>
      <c r="C158" s="14" t="str">
        <f>IF($A158="","",INDEX(Movimientos!$B$5:$B$3004,MATCH($A158,Movimientos!$M$5:$M$3004,0)))</f>
        <v/>
      </c>
      <c r="D158" s="14" t="str">
        <f>IF($A158="","",INDEX(Movimientos!$J$5:$J$3004,MATCH($A158,Movimientos!$M$5:$M$3004,0))&amp;"")</f>
        <v/>
      </c>
      <c r="E158" s="14" t="str">
        <f>IF($A158="","",IF(C158="Entrada",INDEX(Movimientos!$F$5:$F$3004,MATCH($A158,Movimientos!$M$5:$M$3004,0)),""))</f>
        <v/>
      </c>
      <c r="F158" s="14" t="str">
        <f>IF($A158="","",IF(C158="Salida",INDEX(Movimientos!$F$5:$F$3004,MATCH($A158,Movimientos!$M$5:$M$3004,0)),""))</f>
        <v/>
      </c>
      <c r="G158" s="14" t="str">
        <f>IF($A158="","",INDEX(Movimientos!$I$5:$I$3004,MATCH($A158,Movimientos!$M$5:$M$3004,0)))</f>
        <v/>
      </c>
      <c r="H158" s="22" t="str">
        <f>IF($A158="","",INDEX(Movimientos!$G$5:$G$3004,MATCH($A158,Movimientos!$M$5:$M$3004,0)))</f>
        <v/>
      </c>
      <c r="I158" s="22" t="str">
        <f>IF($A158="","",INDEX(Movimientos!$H$5:$H$3004,MATCH($A158,Movimientos!$M$5:$M$3004,0)))</f>
        <v/>
      </c>
      <c r="J158" s="14" t="str">
        <f>IF($A158="","",INDEX(Movimientos!$K$5:$K$3004,MATCH($A158,Movimientos!$M$5:$M$3004,0))&amp;"")</f>
        <v/>
      </c>
    </row>
    <row r="159" spans="1:10" x14ac:dyDescent="0.25">
      <c r="A159" s="14" t="str">
        <f>IF(151&lt;=COUNTIF(Movimientos!$M$5:$M$3004,"&gt;0"),151,"")</f>
        <v/>
      </c>
      <c r="B159" s="30" t="str">
        <f>IF($A159="","",INDEX(Movimientos!$A$5:$A$3004,MATCH($A159,Movimientos!$M$5:$M$3004,0)))</f>
        <v/>
      </c>
      <c r="C159" s="14" t="str">
        <f>IF($A159="","",INDEX(Movimientos!$B$5:$B$3004,MATCH($A159,Movimientos!$M$5:$M$3004,0)))</f>
        <v/>
      </c>
      <c r="D159" s="14" t="str">
        <f>IF($A159="","",INDEX(Movimientos!$J$5:$J$3004,MATCH($A159,Movimientos!$M$5:$M$3004,0))&amp;"")</f>
        <v/>
      </c>
      <c r="E159" s="14" t="str">
        <f>IF($A159="","",IF(C159="Entrada",INDEX(Movimientos!$F$5:$F$3004,MATCH($A159,Movimientos!$M$5:$M$3004,0)),""))</f>
        <v/>
      </c>
      <c r="F159" s="14" t="str">
        <f>IF($A159="","",IF(C159="Salida",INDEX(Movimientos!$F$5:$F$3004,MATCH($A159,Movimientos!$M$5:$M$3004,0)),""))</f>
        <v/>
      </c>
      <c r="G159" s="14" t="str">
        <f>IF($A159="","",INDEX(Movimientos!$I$5:$I$3004,MATCH($A159,Movimientos!$M$5:$M$3004,0)))</f>
        <v/>
      </c>
      <c r="H159" s="22" t="str">
        <f>IF($A159="","",INDEX(Movimientos!$G$5:$G$3004,MATCH($A159,Movimientos!$M$5:$M$3004,0)))</f>
        <v/>
      </c>
      <c r="I159" s="22" t="str">
        <f>IF($A159="","",INDEX(Movimientos!$H$5:$H$3004,MATCH($A159,Movimientos!$M$5:$M$3004,0)))</f>
        <v/>
      </c>
      <c r="J159" s="14" t="str">
        <f>IF($A159="","",INDEX(Movimientos!$K$5:$K$3004,MATCH($A159,Movimientos!$M$5:$M$3004,0))&amp;"")</f>
        <v/>
      </c>
    </row>
    <row r="160" spans="1:10" x14ac:dyDescent="0.25">
      <c r="A160" s="14" t="str">
        <f>IF(152&lt;=COUNTIF(Movimientos!$M$5:$M$3004,"&gt;0"),152,"")</f>
        <v/>
      </c>
      <c r="B160" s="30" t="str">
        <f>IF($A160="","",INDEX(Movimientos!$A$5:$A$3004,MATCH($A160,Movimientos!$M$5:$M$3004,0)))</f>
        <v/>
      </c>
      <c r="C160" s="14" t="str">
        <f>IF($A160="","",INDEX(Movimientos!$B$5:$B$3004,MATCH($A160,Movimientos!$M$5:$M$3004,0)))</f>
        <v/>
      </c>
      <c r="D160" s="14" t="str">
        <f>IF($A160="","",INDEX(Movimientos!$J$5:$J$3004,MATCH($A160,Movimientos!$M$5:$M$3004,0))&amp;"")</f>
        <v/>
      </c>
      <c r="E160" s="14" t="str">
        <f>IF($A160="","",IF(C160="Entrada",INDEX(Movimientos!$F$5:$F$3004,MATCH($A160,Movimientos!$M$5:$M$3004,0)),""))</f>
        <v/>
      </c>
      <c r="F160" s="14" t="str">
        <f>IF($A160="","",IF(C160="Salida",INDEX(Movimientos!$F$5:$F$3004,MATCH($A160,Movimientos!$M$5:$M$3004,0)),""))</f>
        <v/>
      </c>
      <c r="G160" s="14" t="str">
        <f>IF($A160="","",INDEX(Movimientos!$I$5:$I$3004,MATCH($A160,Movimientos!$M$5:$M$3004,0)))</f>
        <v/>
      </c>
      <c r="H160" s="22" t="str">
        <f>IF($A160="","",INDEX(Movimientos!$G$5:$G$3004,MATCH($A160,Movimientos!$M$5:$M$3004,0)))</f>
        <v/>
      </c>
      <c r="I160" s="22" t="str">
        <f>IF($A160="","",INDEX(Movimientos!$H$5:$H$3004,MATCH($A160,Movimientos!$M$5:$M$3004,0)))</f>
        <v/>
      </c>
      <c r="J160" s="14" t="str">
        <f>IF($A160="","",INDEX(Movimientos!$K$5:$K$3004,MATCH($A160,Movimientos!$M$5:$M$3004,0))&amp;"")</f>
        <v/>
      </c>
    </row>
    <row r="161" spans="1:10" x14ac:dyDescent="0.25">
      <c r="A161" s="14" t="str">
        <f>IF(153&lt;=COUNTIF(Movimientos!$M$5:$M$3004,"&gt;0"),153,"")</f>
        <v/>
      </c>
      <c r="B161" s="30" t="str">
        <f>IF($A161="","",INDEX(Movimientos!$A$5:$A$3004,MATCH($A161,Movimientos!$M$5:$M$3004,0)))</f>
        <v/>
      </c>
      <c r="C161" s="14" t="str">
        <f>IF($A161="","",INDEX(Movimientos!$B$5:$B$3004,MATCH($A161,Movimientos!$M$5:$M$3004,0)))</f>
        <v/>
      </c>
      <c r="D161" s="14" t="str">
        <f>IF($A161="","",INDEX(Movimientos!$J$5:$J$3004,MATCH($A161,Movimientos!$M$5:$M$3004,0))&amp;"")</f>
        <v/>
      </c>
      <c r="E161" s="14" t="str">
        <f>IF($A161="","",IF(C161="Entrada",INDEX(Movimientos!$F$5:$F$3004,MATCH($A161,Movimientos!$M$5:$M$3004,0)),""))</f>
        <v/>
      </c>
      <c r="F161" s="14" t="str">
        <f>IF($A161="","",IF(C161="Salida",INDEX(Movimientos!$F$5:$F$3004,MATCH($A161,Movimientos!$M$5:$M$3004,0)),""))</f>
        <v/>
      </c>
      <c r="G161" s="14" t="str">
        <f>IF($A161="","",INDEX(Movimientos!$I$5:$I$3004,MATCH($A161,Movimientos!$M$5:$M$3004,0)))</f>
        <v/>
      </c>
      <c r="H161" s="22" t="str">
        <f>IF($A161="","",INDEX(Movimientos!$G$5:$G$3004,MATCH($A161,Movimientos!$M$5:$M$3004,0)))</f>
        <v/>
      </c>
      <c r="I161" s="22" t="str">
        <f>IF($A161="","",INDEX(Movimientos!$H$5:$H$3004,MATCH($A161,Movimientos!$M$5:$M$3004,0)))</f>
        <v/>
      </c>
      <c r="J161" s="14" t="str">
        <f>IF($A161="","",INDEX(Movimientos!$K$5:$K$3004,MATCH($A161,Movimientos!$M$5:$M$3004,0))&amp;"")</f>
        <v/>
      </c>
    </row>
    <row r="162" spans="1:10" x14ac:dyDescent="0.25">
      <c r="A162" s="14" t="str">
        <f>IF(154&lt;=COUNTIF(Movimientos!$M$5:$M$3004,"&gt;0"),154,"")</f>
        <v/>
      </c>
      <c r="B162" s="30" t="str">
        <f>IF($A162="","",INDEX(Movimientos!$A$5:$A$3004,MATCH($A162,Movimientos!$M$5:$M$3004,0)))</f>
        <v/>
      </c>
      <c r="C162" s="14" t="str">
        <f>IF($A162="","",INDEX(Movimientos!$B$5:$B$3004,MATCH($A162,Movimientos!$M$5:$M$3004,0)))</f>
        <v/>
      </c>
      <c r="D162" s="14" t="str">
        <f>IF($A162="","",INDEX(Movimientos!$J$5:$J$3004,MATCH($A162,Movimientos!$M$5:$M$3004,0))&amp;"")</f>
        <v/>
      </c>
      <c r="E162" s="14" t="str">
        <f>IF($A162="","",IF(C162="Entrada",INDEX(Movimientos!$F$5:$F$3004,MATCH($A162,Movimientos!$M$5:$M$3004,0)),""))</f>
        <v/>
      </c>
      <c r="F162" s="14" t="str">
        <f>IF($A162="","",IF(C162="Salida",INDEX(Movimientos!$F$5:$F$3004,MATCH($A162,Movimientos!$M$5:$M$3004,0)),""))</f>
        <v/>
      </c>
      <c r="G162" s="14" t="str">
        <f>IF($A162="","",INDEX(Movimientos!$I$5:$I$3004,MATCH($A162,Movimientos!$M$5:$M$3004,0)))</f>
        <v/>
      </c>
      <c r="H162" s="22" t="str">
        <f>IF($A162="","",INDEX(Movimientos!$G$5:$G$3004,MATCH($A162,Movimientos!$M$5:$M$3004,0)))</f>
        <v/>
      </c>
      <c r="I162" s="22" t="str">
        <f>IF($A162="","",INDEX(Movimientos!$H$5:$H$3004,MATCH($A162,Movimientos!$M$5:$M$3004,0)))</f>
        <v/>
      </c>
      <c r="J162" s="14" t="str">
        <f>IF($A162="","",INDEX(Movimientos!$K$5:$K$3004,MATCH($A162,Movimientos!$M$5:$M$3004,0))&amp;"")</f>
        <v/>
      </c>
    </row>
    <row r="163" spans="1:10" x14ac:dyDescent="0.25">
      <c r="A163" s="14" t="str">
        <f>IF(155&lt;=COUNTIF(Movimientos!$M$5:$M$3004,"&gt;0"),155,"")</f>
        <v/>
      </c>
      <c r="B163" s="30" t="str">
        <f>IF($A163="","",INDEX(Movimientos!$A$5:$A$3004,MATCH($A163,Movimientos!$M$5:$M$3004,0)))</f>
        <v/>
      </c>
      <c r="C163" s="14" t="str">
        <f>IF($A163="","",INDEX(Movimientos!$B$5:$B$3004,MATCH($A163,Movimientos!$M$5:$M$3004,0)))</f>
        <v/>
      </c>
      <c r="D163" s="14" t="str">
        <f>IF($A163="","",INDEX(Movimientos!$J$5:$J$3004,MATCH($A163,Movimientos!$M$5:$M$3004,0))&amp;"")</f>
        <v/>
      </c>
      <c r="E163" s="14" t="str">
        <f>IF($A163="","",IF(C163="Entrada",INDEX(Movimientos!$F$5:$F$3004,MATCH($A163,Movimientos!$M$5:$M$3004,0)),""))</f>
        <v/>
      </c>
      <c r="F163" s="14" t="str">
        <f>IF($A163="","",IF(C163="Salida",INDEX(Movimientos!$F$5:$F$3004,MATCH($A163,Movimientos!$M$5:$M$3004,0)),""))</f>
        <v/>
      </c>
      <c r="G163" s="14" t="str">
        <f>IF($A163="","",INDEX(Movimientos!$I$5:$I$3004,MATCH($A163,Movimientos!$M$5:$M$3004,0)))</f>
        <v/>
      </c>
      <c r="H163" s="22" t="str">
        <f>IF($A163="","",INDEX(Movimientos!$G$5:$G$3004,MATCH($A163,Movimientos!$M$5:$M$3004,0)))</f>
        <v/>
      </c>
      <c r="I163" s="22" t="str">
        <f>IF($A163="","",INDEX(Movimientos!$H$5:$H$3004,MATCH($A163,Movimientos!$M$5:$M$3004,0)))</f>
        <v/>
      </c>
      <c r="J163" s="14" t="str">
        <f>IF($A163="","",INDEX(Movimientos!$K$5:$K$3004,MATCH($A163,Movimientos!$M$5:$M$3004,0))&amp;"")</f>
        <v/>
      </c>
    </row>
    <row r="164" spans="1:10" x14ac:dyDescent="0.25">
      <c r="A164" s="14" t="str">
        <f>IF(156&lt;=COUNTIF(Movimientos!$M$5:$M$3004,"&gt;0"),156,"")</f>
        <v/>
      </c>
      <c r="B164" s="30" t="str">
        <f>IF($A164="","",INDEX(Movimientos!$A$5:$A$3004,MATCH($A164,Movimientos!$M$5:$M$3004,0)))</f>
        <v/>
      </c>
      <c r="C164" s="14" t="str">
        <f>IF($A164="","",INDEX(Movimientos!$B$5:$B$3004,MATCH($A164,Movimientos!$M$5:$M$3004,0)))</f>
        <v/>
      </c>
      <c r="D164" s="14" t="str">
        <f>IF($A164="","",INDEX(Movimientos!$J$5:$J$3004,MATCH($A164,Movimientos!$M$5:$M$3004,0))&amp;"")</f>
        <v/>
      </c>
      <c r="E164" s="14" t="str">
        <f>IF($A164="","",IF(C164="Entrada",INDEX(Movimientos!$F$5:$F$3004,MATCH($A164,Movimientos!$M$5:$M$3004,0)),""))</f>
        <v/>
      </c>
      <c r="F164" s="14" t="str">
        <f>IF($A164="","",IF(C164="Salida",INDEX(Movimientos!$F$5:$F$3004,MATCH($A164,Movimientos!$M$5:$M$3004,0)),""))</f>
        <v/>
      </c>
      <c r="G164" s="14" t="str">
        <f>IF($A164="","",INDEX(Movimientos!$I$5:$I$3004,MATCH($A164,Movimientos!$M$5:$M$3004,0)))</f>
        <v/>
      </c>
      <c r="H164" s="22" t="str">
        <f>IF($A164="","",INDEX(Movimientos!$G$5:$G$3004,MATCH($A164,Movimientos!$M$5:$M$3004,0)))</f>
        <v/>
      </c>
      <c r="I164" s="22" t="str">
        <f>IF($A164="","",INDEX(Movimientos!$H$5:$H$3004,MATCH($A164,Movimientos!$M$5:$M$3004,0)))</f>
        <v/>
      </c>
      <c r="J164" s="14" t="str">
        <f>IF($A164="","",INDEX(Movimientos!$K$5:$K$3004,MATCH($A164,Movimientos!$M$5:$M$3004,0))&amp;"")</f>
        <v/>
      </c>
    </row>
    <row r="165" spans="1:10" x14ac:dyDescent="0.25">
      <c r="A165" s="14" t="str">
        <f>IF(157&lt;=COUNTIF(Movimientos!$M$5:$M$3004,"&gt;0"),157,"")</f>
        <v/>
      </c>
      <c r="B165" s="30" t="str">
        <f>IF($A165="","",INDEX(Movimientos!$A$5:$A$3004,MATCH($A165,Movimientos!$M$5:$M$3004,0)))</f>
        <v/>
      </c>
      <c r="C165" s="14" t="str">
        <f>IF($A165="","",INDEX(Movimientos!$B$5:$B$3004,MATCH($A165,Movimientos!$M$5:$M$3004,0)))</f>
        <v/>
      </c>
      <c r="D165" s="14" t="str">
        <f>IF($A165="","",INDEX(Movimientos!$J$5:$J$3004,MATCH($A165,Movimientos!$M$5:$M$3004,0))&amp;"")</f>
        <v/>
      </c>
      <c r="E165" s="14" t="str">
        <f>IF($A165="","",IF(C165="Entrada",INDEX(Movimientos!$F$5:$F$3004,MATCH($A165,Movimientos!$M$5:$M$3004,0)),""))</f>
        <v/>
      </c>
      <c r="F165" s="14" t="str">
        <f>IF($A165="","",IF(C165="Salida",INDEX(Movimientos!$F$5:$F$3004,MATCH($A165,Movimientos!$M$5:$M$3004,0)),""))</f>
        <v/>
      </c>
      <c r="G165" s="14" t="str">
        <f>IF($A165="","",INDEX(Movimientos!$I$5:$I$3004,MATCH($A165,Movimientos!$M$5:$M$3004,0)))</f>
        <v/>
      </c>
      <c r="H165" s="22" t="str">
        <f>IF($A165="","",INDEX(Movimientos!$G$5:$G$3004,MATCH($A165,Movimientos!$M$5:$M$3004,0)))</f>
        <v/>
      </c>
      <c r="I165" s="22" t="str">
        <f>IF($A165="","",INDEX(Movimientos!$H$5:$H$3004,MATCH($A165,Movimientos!$M$5:$M$3004,0)))</f>
        <v/>
      </c>
      <c r="J165" s="14" t="str">
        <f>IF($A165="","",INDEX(Movimientos!$K$5:$K$3004,MATCH($A165,Movimientos!$M$5:$M$3004,0))&amp;"")</f>
        <v/>
      </c>
    </row>
    <row r="166" spans="1:10" x14ac:dyDescent="0.25">
      <c r="A166" s="14" t="str">
        <f>IF(158&lt;=COUNTIF(Movimientos!$M$5:$M$3004,"&gt;0"),158,"")</f>
        <v/>
      </c>
      <c r="B166" s="30" t="str">
        <f>IF($A166="","",INDEX(Movimientos!$A$5:$A$3004,MATCH($A166,Movimientos!$M$5:$M$3004,0)))</f>
        <v/>
      </c>
      <c r="C166" s="14" t="str">
        <f>IF($A166="","",INDEX(Movimientos!$B$5:$B$3004,MATCH($A166,Movimientos!$M$5:$M$3004,0)))</f>
        <v/>
      </c>
      <c r="D166" s="14" t="str">
        <f>IF($A166="","",INDEX(Movimientos!$J$5:$J$3004,MATCH($A166,Movimientos!$M$5:$M$3004,0))&amp;"")</f>
        <v/>
      </c>
      <c r="E166" s="14" t="str">
        <f>IF($A166="","",IF(C166="Entrada",INDEX(Movimientos!$F$5:$F$3004,MATCH($A166,Movimientos!$M$5:$M$3004,0)),""))</f>
        <v/>
      </c>
      <c r="F166" s="14" t="str">
        <f>IF($A166="","",IF(C166="Salida",INDEX(Movimientos!$F$5:$F$3004,MATCH($A166,Movimientos!$M$5:$M$3004,0)),""))</f>
        <v/>
      </c>
      <c r="G166" s="14" t="str">
        <f>IF($A166="","",INDEX(Movimientos!$I$5:$I$3004,MATCH($A166,Movimientos!$M$5:$M$3004,0)))</f>
        <v/>
      </c>
      <c r="H166" s="22" t="str">
        <f>IF($A166="","",INDEX(Movimientos!$G$5:$G$3004,MATCH($A166,Movimientos!$M$5:$M$3004,0)))</f>
        <v/>
      </c>
      <c r="I166" s="22" t="str">
        <f>IF($A166="","",INDEX(Movimientos!$H$5:$H$3004,MATCH($A166,Movimientos!$M$5:$M$3004,0)))</f>
        <v/>
      </c>
      <c r="J166" s="14" t="str">
        <f>IF($A166="","",INDEX(Movimientos!$K$5:$K$3004,MATCH($A166,Movimientos!$M$5:$M$3004,0))&amp;"")</f>
        <v/>
      </c>
    </row>
    <row r="167" spans="1:10" x14ac:dyDescent="0.25">
      <c r="A167" s="14" t="str">
        <f>IF(159&lt;=COUNTIF(Movimientos!$M$5:$M$3004,"&gt;0"),159,"")</f>
        <v/>
      </c>
      <c r="B167" s="30" t="str">
        <f>IF($A167="","",INDEX(Movimientos!$A$5:$A$3004,MATCH($A167,Movimientos!$M$5:$M$3004,0)))</f>
        <v/>
      </c>
      <c r="C167" s="14" t="str">
        <f>IF($A167="","",INDEX(Movimientos!$B$5:$B$3004,MATCH($A167,Movimientos!$M$5:$M$3004,0)))</f>
        <v/>
      </c>
      <c r="D167" s="14" t="str">
        <f>IF($A167="","",INDEX(Movimientos!$J$5:$J$3004,MATCH($A167,Movimientos!$M$5:$M$3004,0))&amp;"")</f>
        <v/>
      </c>
      <c r="E167" s="14" t="str">
        <f>IF($A167="","",IF(C167="Entrada",INDEX(Movimientos!$F$5:$F$3004,MATCH($A167,Movimientos!$M$5:$M$3004,0)),""))</f>
        <v/>
      </c>
      <c r="F167" s="14" t="str">
        <f>IF($A167="","",IF(C167="Salida",INDEX(Movimientos!$F$5:$F$3004,MATCH($A167,Movimientos!$M$5:$M$3004,0)),""))</f>
        <v/>
      </c>
      <c r="G167" s="14" t="str">
        <f>IF($A167="","",INDEX(Movimientos!$I$5:$I$3004,MATCH($A167,Movimientos!$M$5:$M$3004,0)))</f>
        <v/>
      </c>
      <c r="H167" s="22" t="str">
        <f>IF($A167="","",INDEX(Movimientos!$G$5:$G$3004,MATCH($A167,Movimientos!$M$5:$M$3004,0)))</f>
        <v/>
      </c>
      <c r="I167" s="22" t="str">
        <f>IF($A167="","",INDEX(Movimientos!$H$5:$H$3004,MATCH($A167,Movimientos!$M$5:$M$3004,0)))</f>
        <v/>
      </c>
      <c r="J167" s="14" t="str">
        <f>IF($A167="","",INDEX(Movimientos!$K$5:$K$3004,MATCH($A167,Movimientos!$M$5:$M$3004,0))&amp;"")</f>
        <v/>
      </c>
    </row>
    <row r="168" spans="1:10" x14ac:dyDescent="0.25">
      <c r="A168" s="14" t="str">
        <f>IF(160&lt;=COUNTIF(Movimientos!$M$5:$M$3004,"&gt;0"),160,"")</f>
        <v/>
      </c>
      <c r="B168" s="30" t="str">
        <f>IF($A168="","",INDEX(Movimientos!$A$5:$A$3004,MATCH($A168,Movimientos!$M$5:$M$3004,0)))</f>
        <v/>
      </c>
      <c r="C168" s="14" t="str">
        <f>IF($A168="","",INDEX(Movimientos!$B$5:$B$3004,MATCH($A168,Movimientos!$M$5:$M$3004,0)))</f>
        <v/>
      </c>
      <c r="D168" s="14" t="str">
        <f>IF($A168="","",INDEX(Movimientos!$J$5:$J$3004,MATCH($A168,Movimientos!$M$5:$M$3004,0))&amp;"")</f>
        <v/>
      </c>
      <c r="E168" s="14" t="str">
        <f>IF($A168="","",IF(C168="Entrada",INDEX(Movimientos!$F$5:$F$3004,MATCH($A168,Movimientos!$M$5:$M$3004,0)),""))</f>
        <v/>
      </c>
      <c r="F168" s="14" t="str">
        <f>IF($A168="","",IF(C168="Salida",INDEX(Movimientos!$F$5:$F$3004,MATCH($A168,Movimientos!$M$5:$M$3004,0)),""))</f>
        <v/>
      </c>
      <c r="G168" s="14" t="str">
        <f>IF($A168="","",INDEX(Movimientos!$I$5:$I$3004,MATCH($A168,Movimientos!$M$5:$M$3004,0)))</f>
        <v/>
      </c>
      <c r="H168" s="22" t="str">
        <f>IF($A168="","",INDEX(Movimientos!$G$5:$G$3004,MATCH($A168,Movimientos!$M$5:$M$3004,0)))</f>
        <v/>
      </c>
      <c r="I168" s="22" t="str">
        <f>IF($A168="","",INDEX(Movimientos!$H$5:$H$3004,MATCH($A168,Movimientos!$M$5:$M$3004,0)))</f>
        <v/>
      </c>
      <c r="J168" s="14" t="str">
        <f>IF($A168="","",INDEX(Movimientos!$K$5:$K$3004,MATCH($A168,Movimientos!$M$5:$M$3004,0))&amp;"")</f>
        <v/>
      </c>
    </row>
    <row r="169" spans="1:10" x14ac:dyDescent="0.25">
      <c r="A169" s="14" t="str">
        <f>IF(161&lt;=COUNTIF(Movimientos!$M$5:$M$3004,"&gt;0"),161,"")</f>
        <v/>
      </c>
      <c r="B169" s="30" t="str">
        <f>IF($A169="","",INDEX(Movimientos!$A$5:$A$3004,MATCH($A169,Movimientos!$M$5:$M$3004,0)))</f>
        <v/>
      </c>
      <c r="C169" s="14" t="str">
        <f>IF($A169="","",INDEX(Movimientos!$B$5:$B$3004,MATCH($A169,Movimientos!$M$5:$M$3004,0)))</f>
        <v/>
      </c>
      <c r="D169" s="14" t="str">
        <f>IF($A169="","",INDEX(Movimientos!$J$5:$J$3004,MATCH($A169,Movimientos!$M$5:$M$3004,0))&amp;"")</f>
        <v/>
      </c>
      <c r="E169" s="14" t="str">
        <f>IF($A169="","",IF(C169="Entrada",INDEX(Movimientos!$F$5:$F$3004,MATCH($A169,Movimientos!$M$5:$M$3004,0)),""))</f>
        <v/>
      </c>
      <c r="F169" s="14" t="str">
        <f>IF($A169="","",IF(C169="Salida",INDEX(Movimientos!$F$5:$F$3004,MATCH($A169,Movimientos!$M$5:$M$3004,0)),""))</f>
        <v/>
      </c>
      <c r="G169" s="14" t="str">
        <f>IF($A169="","",INDEX(Movimientos!$I$5:$I$3004,MATCH($A169,Movimientos!$M$5:$M$3004,0)))</f>
        <v/>
      </c>
      <c r="H169" s="22" t="str">
        <f>IF($A169="","",INDEX(Movimientos!$G$5:$G$3004,MATCH($A169,Movimientos!$M$5:$M$3004,0)))</f>
        <v/>
      </c>
      <c r="I169" s="22" t="str">
        <f>IF($A169="","",INDEX(Movimientos!$H$5:$H$3004,MATCH($A169,Movimientos!$M$5:$M$3004,0)))</f>
        <v/>
      </c>
      <c r="J169" s="14" t="str">
        <f>IF($A169="","",INDEX(Movimientos!$K$5:$K$3004,MATCH($A169,Movimientos!$M$5:$M$3004,0))&amp;"")</f>
        <v/>
      </c>
    </row>
    <row r="170" spans="1:10" x14ac:dyDescent="0.25">
      <c r="A170" s="14" t="str">
        <f>IF(162&lt;=COUNTIF(Movimientos!$M$5:$M$3004,"&gt;0"),162,"")</f>
        <v/>
      </c>
      <c r="B170" s="30" t="str">
        <f>IF($A170="","",INDEX(Movimientos!$A$5:$A$3004,MATCH($A170,Movimientos!$M$5:$M$3004,0)))</f>
        <v/>
      </c>
      <c r="C170" s="14" t="str">
        <f>IF($A170="","",INDEX(Movimientos!$B$5:$B$3004,MATCH($A170,Movimientos!$M$5:$M$3004,0)))</f>
        <v/>
      </c>
      <c r="D170" s="14" t="str">
        <f>IF($A170="","",INDEX(Movimientos!$J$5:$J$3004,MATCH($A170,Movimientos!$M$5:$M$3004,0))&amp;"")</f>
        <v/>
      </c>
      <c r="E170" s="14" t="str">
        <f>IF($A170="","",IF(C170="Entrada",INDEX(Movimientos!$F$5:$F$3004,MATCH($A170,Movimientos!$M$5:$M$3004,0)),""))</f>
        <v/>
      </c>
      <c r="F170" s="14" t="str">
        <f>IF($A170="","",IF(C170="Salida",INDEX(Movimientos!$F$5:$F$3004,MATCH($A170,Movimientos!$M$5:$M$3004,0)),""))</f>
        <v/>
      </c>
      <c r="G170" s="14" t="str">
        <f>IF($A170="","",INDEX(Movimientos!$I$5:$I$3004,MATCH($A170,Movimientos!$M$5:$M$3004,0)))</f>
        <v/>
      </c>
      <c r="H170" s="22" t="str">
        <f>IF($A170="","",INDEX(Movimientos!$G$5:$G$3004,MATCH($A170,Movimientos!$M$5:$M$3004,0)))</f>
        <v/>
      </c>
      <c r="I170" s="22" t="str">
        <f>IF($A170="","",INDEX(Movimientos!$H$5:$H$3004,MATCH($A170,Movimientos!$M$5:$M$3004,0)))</f>
        <v/>
      </c>
      <c r="J170" s="14" t="str">
        <f>IF($A170="","",INDEX(Movimientos!$K$5:$K$3004,MATCH($A170,Movimientos!$M$5:$M$3004,0))&amp;"")</f>
        <v/>
      </c>
    </row>
    <row r="171" spans="1:10" x14ac:dyDescent="0.25">
      <c r="A171" s="14" t="str">
        <f>IF(163&lt;=COUNTIF(Movimientos!$M$5:$M$3004,"&gt;0"),163,"")</f>
        <v/>
      </c>
      <c r="B171" s="30" t="str">
        <f>IF($A171="","",INDEX(Movimientos!$A$5:$A$3004,MATCH($A171,Movimientos!$M$5:$M$3004,0)))</f>
        <v/>
      </c>
      <c r="C171" s="14" t="str">
        <f>IF($A171="","",INDEX(Movimientos!$B$5:$B$3004,MATCH($A171,Movimientos!$M$5:$M$3004,0)))</f>
        <v/>
      </c>
      <c r="D171" s="14" t="str">
        <f>IF($A171="","",INDEX(Movimientos!$J$5:$J$3004,MATCH($A171,Movimientos!$M$5:$M$3004,0))&amp;"")</f>
        <v/>
      </c>
      <c r="E171" s="14" t="str">
        <f>IF($A171="","",IF(C171="Entrada",INDEX(Movimientos!$F$5:$F$3004,MATCH($A171,Movimientos!$M$5:$M$3004,0)),""))</f>
        <v/>
      </c>
      <c r="F171" s="14" t="str">
        <f>IF($A171="","",IF(C171="Salida",INDEX(Movimientos!$F$5:$F$3004,MATCH($A171,Movimientos!$M$5:$M$3004,0)),""))</f>
        <v/>
      </c>
      <c r="G171" s="14" t="str">
        <f>IF($A171="","",INDEX(Movimientos!$I$5:$I$3004,MATCH($A171,Movimientos!$M$5:$M$3004,0)))</f>
        <v/>
      </c>
      <c r="H171" s="22" t="str">
        <f>IF($A171="","",INDEX(Movimientos!$G$5:$G$3004,MATCH($A171,Movimientos!$M$5:$M$3004,0)))</f>
        <v/>
      </c>
      <c r="I171" s="22" t="str">
        <f>IF($A171="","",INDEX(Movimientos!$H$5:$H$3004,MATCH($A171,Movimientos!$M$5:$M$3004,0)))</f>
        <v/>
      </c>
      <c r="J171" s="14" t="str">
        <f>IF($A171="","",INDEX(Movimientos!$K$5:$K$3004,MATCH($A171,Movimientos!$M$5:$M$3004,0))&amp;"")</f>
        <v/>
      </c>
    </row>
    <row r="172" spans="1:10" x14ac:dyDescent="0.25">
      <c r="A172" s="14" t="str">
        <f>IF(164&lt;=COUNTIF(Movimientos!$M$5:$M$3004,"&gt;0"),164,"")</f>
        <v/>
      </c>
      <c r="B172" s="30" t="str">
        <f>IF($A172="","",INDEX(Movimientos!$A$5:$A$3004,MATCH($A172,Movimientos!$M$5:$M$3004,0)))</f>
        <v/>
      </c>
      <c r="C172" s="14" t="str">
        <f>IF($A172="","",INDEX(Movimientos!$B$5:$B$3004,MATCH($A172,Movimientos!$M$5:$M$3004,0)))</f>
        <v/>
      </c>
      <c r="D172" s="14" t="str">
        <f>IF($A172="","",INDEX(Movimientos!$J$5:$J$3004,MATCH($A172,Movimientos!$M$5:$M$3004,0))&amp;"")</f>
        <v/>
      </c>
      <c r="E172" s="14" t="str">
        <f>IF($A172="","",IF(C172="Entrada",INDEX(Movimientos!$F$5:$F$3004,MATCH($A172,Movimientos!$M$5:$M$3004,0)),""))</f>
        <v/>
      </c>
      <c r="F172" s="14" t="str">
        <f>IF($A172="","",IF(C172="Salida",INDEX(Movimientos!$F$5:$F$3004,MATCH($A172,Movimientos!$M$5:$M$3004,0)),""))</f>
        <v/>
      </c>
      <c r="G172" s="14" t="str">
        <f>IF($A172="","",INDEX(Movimientos!$I$5:$I$3004,MATCH($A172,Movimientos!$M$5:$M$3004,0)))</f>
        <v/>
      </c>
      <c r="H172" s="22" t="str">
        <f>IF($A172="","",INDEX(Movimientos!$G$5:$G$3004,MATCH($A172,Movimientos!$M$5:$M$3004,0)))</f>
        <v/>
      </c>
      <c r="I172" s="22" t="str">
        <f>IF($A172="","",INDEX(Movimientos!$H$5:$H$3004,MATCH($A172,Movimientos!$M$5:$M$3004,0)))</f>
        <v/>
      </c>
      <c r="J172" s="14" t="str">
        <f>IF($A172="","",INDEX(Movimientos!$K$5:$K$3004,MATCH($A172,Movimientos!$M$5:$M$3004,0))&amp;"")</f>
        <v/>
      </c>
    </row>
    <row r="173" spans="1:10" x14ac:dyDescent="0.25">
      <c r="A173" s="14" t="str">
        <f>IF(165&lt;=COUNTIF(Movimientos!$M$5:$M$3004,"&gt;0"),165,"")</f>
        <v/>
      </c>
      <c r="B173" s="30" t="str">
        <f>IF($A173="","",INDEX(Movimientos!$A$5:$A$3004,MATCH($A173,Movimientos!$M$5:$M$3004,0)))</f>
        <v/>
      </c>
      <c r="C173" s="14" t="str">
        <f>IF($A173="","",INDEX(Movimientos!$B$5:$B$3004,MATCH($A173,Movimientos!$M$5:$M$3004,0)))</f>
        <v/>
      </c>
      <c r="D173" s="14" t="str">
        <f>IF($A173="","",INDEX(Movimientos!$J$5:$J$3004,MATCH($A173,Movimientos!$M$5:$M$3004,0))&amp;"")</f>
        <v/>
      </c>
      <c r="E173" s="14" t="str">
        <f>IF($A173="","",IF(C173="Entrada",INDEX(Movimientos!$F$5:$F$3004,MATCH($A173,Movimientos!$M$5:$M$3004,0)),""))</f>
        <v/>
      </c>
      <c r="F173" s="14" t="str">
        <f>IF($A173="","",IF(C173="Salida",INDEX(Movimientos!$F$5:$F$3004,MATCH($A173,Movimientos!$M$5:$M$3004,0)),""))</f>
        <v/>
      </c>
      <c r="G173" s="14" t="str">
        <f>IF($A173="","",INDEX(Movimientos!$I$5:$I$3004,MATCH($A173,Movimientos!$M$5:$M$3004,0)))</f>
        <v/>
      </c>
      <c r="H173" s="22" t="str">
        <f>IF($A173="","",INDEX(Movimientos!$G$5:$G$3004,MATCH($A173,Movimientos!$M$5:$M$3004,0)))</f>
        <v/>
      </c>
      <c r="I173" s="22" t="str">
        <f>IF($A173="","",INDEX(Movimientos!$H$5:$H$3004,MATCH($A173,Movimientos!$M$5:$M$3004,0)))</f>
        <v/>
      </c>
      <c r="J173" s="14" t="str">
        <f>IF($A173="","",INDEX(Movimientos!$K$5:$K$3004,MATCH($A173,Movimientos!$M$5:$M$3004,0))&amp;"")</f>
        <v/>
      </c>
    </row>
    <row r="174" spans="1:10" x14ac:dyDescent="0.25">
      <c r="A174" s="14" t="str">
        <f>IF(166&lt;=COUNTIF(Movimientos!$M$5:$M$3004,"&gt;0"),166,"")</f>
        <v/>
      </c>
      <c r="B174" s="30" t="str">
        <f>IF($A174="","",INDEX(Movimientos!$A$5:$A$3004,MATCH($A174,Movimientos!$M$5:$M$3004,0)))</f>
        <v/>
      </c>
      <c r="C174" s="14" t="str">
        <f>IF($A174="","",INDEX(Movimientos!$B$5:$B$3004,MATCH($A174,Movimientos!$M$5:$M$3004,0)))</f>
        <v/>
      </c>
      <c r="D174" s="14" t="str">
        <f>IF($A174="","",INDEX(Movimientos!$J$5:$J$3004,MATCH($A174,Movimientos!$M$5:$M$3004,0))&amp;"")</f>
        <v/>
      </c>
      <c r="E174" s="14" t="str">
        <f>IF($A174="","",IF(C174="Entrada",INDEX(Movimientos!$F$5:$F$3004,MATCH($A174,Movimientos!$M$5:$M$3004,0)),""))</f>
        <v/>
      </c>
      <c r="F174" s="14" t="str">
        <f>IF($A174="","",IF(C174="Salida",INDEX(Movimientos!$F$5:$F$3004,MATCH($A174,Movimientos!$M$5:$M$3004,0)),""))</f>
        <v/>
      </c>
      <c r="G174" s="14" t="str">
        <f>IF($A174="","",INDEX(Movimientos!$I$5:$I$3004,MATCH($A174,Movimientos!$M$5:$M$3004,0)))</f>
        <v/>
      </c>
      <c r="H174" s="22" t="str">
        <f>IF($A174="","",INDEX(Movimientos!$G$5:$G$3004,MATCH($A174,Movimientos!$M$5:$M$3004,0)))</f>
        <v/>
      </c>
      <c r="I174" s="22" t="str">
        <f>IF($A174="","",INDEX(Movimientos!$H$5:$H$3004,MATCH($A174,Movimientos!$M$5:$M$3004,0)))</f>
        <v/>
      </c>
      <c r="J174" s="14" t="str">
        <f>IF($A174="","",INDEX(Movimientos!$K$5:$K$3004,MATCH($A174,Movimientos!$M$5:$M$3004,0))&amp;"")</f>
        <v/>
      </c>
    </row>
    <row r="175" spans="1:10" x14ac:dyDescent="0.25">
      <c r="A175" s="14" t="str">
        <f>IF(167&lt;=COUNTIF(Movimientos!$M$5:$M$3004,"&gt;0"),167,"")</f>
        <v/>
      </c>
      <c r="B175" s="30" t="str">
        <f>IF($A175="","",INDEX(Movimientos!$A$5:$A$3004,MATCH($A175,Movimientos!$M$5:$M$3004,0)))</f>
        <v/>
      </c>
      <c r="C175" s="14" t="str">
        <f>IF($A175="","",INDEX(Movimientos!$B$5:$B$3004,MATCH($A175,Movimientos!$M$5:$M$3004,0)))</f>
        <v/>
      </c>
      <c r="D175" s="14" t="str">
        <f>IF($A175="","",INDEX(Movimientos!$J$5:$J$3004,MATCH($A175,Movimientos!$M$5:$M$3004,0))&amp;"")</f>
        <v/>
      </c>
      <c r="E175" s="14" t="str">
        <f>IF($A175="","",IF(C175="Entrada",INDEX(Movimientos!$F$5:$F$3004,MATCH($A175,Movimientos!$M$5:$M$3004,0)),""))</f>
        <v/>
      </c>
      <c r="F175" s="14" t="str">
        <f>IF($A175="","",IF(C175="Salida",INDEX(Movimientos!$F$5:$F$3004,MATCH($A175,Movimientos!$M$5:$M$3004,0)),""))</f>
        <v/>
      </c>
      <c r="G175" s="14" t="str">
        <f>IF($A175="","",INDEX(Movimientos!$I$5:$I$3004,MATCH($A175,Movimientos!$M$5:$M$3004,0)))</f>
        <v/>
      </c>
      <c r="H175" s="22" t="str">
        <f>IF($A175="","",INDEX(Movimientos!$G$5:$G$3004,MATCH($A175,Movimientos!$M$5:$M$3004,0)))</f>
        <v/>
      </c>
      <c r="I175" s="22" t="str">
        <f>IF($A175="","",INDEX(Movimientos!$H$5:$H$3004,MATCH($A175,Movimientos!$M$5:$M$3004,0)))</f>
        <v/>
      </c>
      <c r="J175" s="14" t="str">
        <f>IF($A175="","",INDEX(Movimientos!$K$5:$K$3004,MATCH($A175,Movimientos!$M$5:$M$3004,0))&amp;"")</f>
        <v/>
      </c>
    </row>
    <row r="176" spans="1:10" x14ac:dyDescent="0.25">
      <c r="A176" s="14" t="str">
        <f>IF(168&lt;=COUNTIF(Movimientos!$M$5:$M$3004,"&gt;0"),168,"")</f>
        <v/>
      </c>
      <c r="B176" s="30" t="str">
        <f>IF($A176="","",INDEX(Movimientos!$A$5:$A$3004,MATCH($A176,Movimientos!$M$5:$M$3004,0)))</f>
        <v/>
      </c>
      <c r="C176" s="14" t="str">
        <f>IF($A176="","",INDEX(Movimientos!$B$5:$B$3004,MATCH($A176,Movimientos!$M$5:$M$3004,0)))</f>
        <v/>
      </c>
      <c r="D176" s="14" t="str">
        <f>IF($A176="","",INDEX(Movimientos!$J$5:$J$3004,MATCH($A176,Movimientos!$M$5:$M$3004,0))&amp;"")</f>
        <v/>
      </c>
      <c r="E176" s="14" t="str">
        <f>IF($A176="","",IF(C176="Entrada",INDEX(Movimientos!$F$5:$F$3004,MATCH($A176,Movimientos!$M$5:$M$3004,0)),""))</f>
        <v/>
      </c>
      <c r="F176" s="14" t="str">
        <f>IF($A176="","",IF(C176="Salida",INDEX(Movimientos!$F$5:$F$3004,MATCH($A176,Movimientos!$M$5:$M$3004,0)),""))</f>
        <v/>
      </c>
      <c r="G176" s="14" t="str">
        <f>IF($A176="","",INDEX(Movimientos!$I$5:$I$3004,MATCH($A176,Movimientos!$M$5:$M$3004,0)))</f>
        <v/>
      </c>
      <c r="H176" s="22" t="str">
        <f>IF($A176="","",INDEX(Movimientos!$G$5:$G$3004,MATCH($A176,Movimientos!$M$5:$M$3004,0)))</f>
        <v/>
      </c>
      <c r="I176" s="22" t="str">
        <f>IF($A176="","",INDEX(Movimientos!$H$5:$H$3004,MATCH($A176,Movimientos!$M$5:$M$3004,0)))</f>
        <v/>
      </c>
      <c r="J176" s="14" t="str">
        <f>IF($A176="","",INDEX(Movimientos!$K$5:$K$3004,MATCH($A176,Movimientos!$M$5:$M$3004,0))&amp;"")</f>
        <v/>
      </c>
    </row>
    <row r="177" spans="1:10" x14ac:dyDescent="0.25">
      <c r="A177" s="14" t="str">
        <f>IF(169&lt;=COUNTIF(Movimientos!$M$5:$M$3004,"&gt;0"),169,"")</f>
        <v/>
      </c>
      <c r="B177" s="30" t="str">
        <f>IF($A177="","",INDEX(Movimientos!$A$5:$A$3004,MATCH($A177,Movimientos!$M$5:$M$3004,0)))</f>
        <v/>
      </c>
      <c r="C177" s="14" t="str">
        <f>IF($A177="","",INDEX(Movimientos!$B$5:$B$3004,MATCH($A177,Movimientos!$M$5:$M$3004,0)))</f>
        <v/>
      </c>
      <c r="D177" s="14" t="str">
        <f>IF($A177="","",INDEX(Movimientos!$J$5:$J$3004,MATCH($A177,Movimientos!$M$5:$M$3004,0))&amp;"")</f>
        <v/>
      </c>
      <c r="E177" s="14" t="str">
        <f>IF($A177="","",IF(C177="Entrada",INDEX(Movimientos!$F$5:$F$3004,MATCH($A177,Movimientos!$M$5:$M$3004,0)),""))</f>
        <v/>
      </c>
      <c r="F177" s="14" t="str">
        <f>IF($A177="","",IF(C177="Salida",INDEX(Movimientos!$F$5:$F$3004,MATCH($A177,Movimientos!$M$5:$M$3004,0)),""))</f>
        <v/>
      </c>
      <c r="G177" s="14" t="str">
        <f>IF($A177="","",INDEX(Movimientos!$I$5:$I$3004,MATCH($A177,Movimientos!$M$5:$M$3004,0)))</f>
        <v/>
      </c>
      <c r="H177" s="22" t="str">
        <f>IF($A177="","",INDEX(Movimientos!$G$5:$G$3004,MATCH($A177,Movimientos!$M$5:$M$3004,0)))</f>
        <v/>
      </c>
      <c r="I177" s="22" t="str">
        <f>IF($A177="","",INDEX(Movimientos!$H$5:$H$3004,MATCH($A177,Movimientos!$M$5:$M$3004,0)))</f>
        <v/>
      </c>
      <c r="J177" s="14" t="str">
        <f>IF($A177="","",INDEX(Movimientos!$K$5:$K$3004,MATCH($A177,Movimientos!$M$5:$M$3004,0))&amp;"")</f>
        <v/>
      </c>
    </row>
    <row r="178" spans="1:10" x14ac:dyDescent="0.25">
      <c r="A178" s="14" t="str">
        <f>IF(170&lt;=COUNTIF(Movimientos!$M$5:$M$3004,"&gt;0"),170,"")</f>
        <v/>
      </c>
      <c r="B178" s="30" t="str">
        <f>IF($A178="","",INDEX(Movimientos!$A$5:$A$3004,MATCH($A178,Movimientos!$M$5:$M$3004,0)))</f>
        <v/>
      </c>
      <c r="C178" s="14" t="str">
        <f>IF($A178="","",INDEX(Movimientos!$B$5:$B$3004,MATCH($A178,Movimientos!$M$5:$M$3004,0)))</f>
        <v/>
      </c>
      <c r="D178" s="14" t="str">
        <f>IF($A178="","",INDEX(Movimientos!$J$5:$J$3004,MATCH($A178,Movimientos!$M$5:$M$3004,0))&amp;"")</f>
        <v/>
      </c>
      <c r="E178" s="14" t="str">
        <f>IF($A178="","",IF(C178="Entrada",INDEX(Movimientos!$F$5:$F$3004,MATCH($A178,Movimientos!$M$5:$M$3004,0)),""))</f>
        <v/>
      </c>
      <c r="F178" s="14" t="str">
        <f>IF($A178="","",IF(C178="Salida",INDEX(Movimientos!$F$5:$F$3004,MATCH($A178,Movimientos!$M$5:$M$3004,0)),""))</f>
        <v/>
      </c>
      <c r="G178" s="14" t="str">
        <f>IF($A178="","",INDEX(Movimientos!$I$5:$I$3004,MATCH($A178,Movimientos!$M$5:$M$3004,0)))</f>
        <v/>
      </c>
      <c r="H178" s="22" t="str">
        <f>IF($A178="","",INDEX(Movimientos!$G$5:$G$3004,MATCH($A178,Movimientos!$M$5:$M$3004,0)))</f>
        <v/>
      </c>
      <c r="I178" s="22" t="str">
        <f>IF($A178="","",INDEX(Movimientos!$H$5:$H$3004,MATCH($A178,Movimientos!$M$5:$M$3004,0)))</f>
        <v/>
      </c>
      <c r="J178" s="14" t="str">
        <f>IF($A178="","",INDEX(Movimientos!$K$5:$K$3004,MATCH($A178,Movimientos!$M$5:$M$3004,0))&amp;"")</f>
        <v/>
      </c>
    </row>
    <row r="179" spans="1:10" x14ac:dyDescent="0.25">
      <c r="A179" s="14" t="str">
        <f>IF(171&lt;=COUNTIF(Movimientos!$M$5:$M$3004,"&gt;0"),171,"")</f>
        <v/>
      </c>
      <c r="B179" s="30" t="str">
        <f>IF($A179="","",INDEX(Movimientos!$A$5:$A$3004,MATCH($A179,Movimientos!$M$5:$M$3004,0)))</f>
        <v/>
      </c>
      <c r="C179" s="14" t="str">
        <f>IF($A179="","",INDEX(Movimientos!$B$5:$B$3004,MATCH($A179,Movimientos!$M$5:$M$3004,0)))</f>
        <v/>
      </c>
      <c r="D179" s="14" t="str">
        <f>IF($A179="","",INDEX(Movimientos!$J$5:$J$3004,MATCH($A179,Movimientos!$M$5:$M$3004,0))&amp;"")</f>
        <v/>
      </c>
      <c r="E179" s="14" t="str">
        <f>IF($A179="","",IF(C179="Entrada",INDEX(Movimientos!$F$5:$F$3004,MATCH($A179,Movimientos!$M$5:$M$3004,0)),""))</f>
        <v/>
      </c>
      <c r="F179" s="14" t="str">
        <f>IF($A179="","",IF(C179="Salida",INDEX(Movimientos!$F$5:$F$3004,MATCH($A179,Movimientos!$M$5:$M$3004,0)),""))</f>
        <v/>
      </c>
      <c r="G179" s="14" t="str">
        <f>IF($A179="","",INDEX(Movimientos!$I$5:$I$3004,MATCH($A179,Movimientos!$M$5:$M$3004,0)))</f>
        <v/>
      </c>
      <c r="H179" s="22" t="str">
        <f>IF($A179="","",INDEX(Movimientos!$G$5:$G$3004,MATCH($A179,Movimientos!$M$5:$M$3004,0)))</f>
        <v/>
      </c>
      <c r="I179" s="22" t="str">
        <f>IF($A179="","",INDEX(Movimientos!$H$5:$H$3004,MATCH($A179,Movimientos!$M$5:$M$3004,0)))</f>
        <v/>
      </c>
      <c r="J179" s="14" t="str">
        <f>IF($A179="","",INDEX(Movimientos!$K$5:$K$3004,MATCH($A179,Movimientos!$M$5:$M$3004,0))&amp;"")</f>
        <v/>
      </c>
    </row>
    <row r="180" spans="1:10" x14ac:dyDescent="0.25">
      <c r="A180" s="14" t="str">
        <f>IF(172&lt;=COUNTIF(Movimientos!$M$5:$M$3004,"&gt;0"),172,"")</f>
        <v/>
      </c>
      <c r="B180" s="30" t="str">
        <f>IF($A180="","",INDEX(Movimientos!$A$5:$A$3004,MATCH($A180,Movimientos!$M$5:$M$3004,0)))</f>
        <v/>
      </c>
      <c r="C180" s="14" t="str">
        <f>IF($A180="","",INDEX(Movimientos!$B$5:$B$3004,MATCH($A180,Movimientos!$M$5:$M$3004,0)))</f>
        <v/>
      </c>
      <c r="D180" s="14" t="str">
        <f>IF($A180="","",INDEX(Movimientos!$J$5:$J$3004,MATCH($A180,Movimientos!$M$5:$M$3004,0))&amp;"")</f>
        <v/>
      </c>
      <c r="E180" s="14" t="str">
        <f>IF($A180="","",IF(C180="Entrada",INDEX(Movimientos!$F$5:$F$3004,MATCH($A180,Movimientos!$M$5:$M$3004,0)),""))</f>
        <v/>
      </c>
      <c r="F180" s="14" t="str">
        <f>IF($A180="","",IF(C180="Salida",INDEX(Movimientos!$F$5:$F$3004,MATCH($A180,Movimientos!$M$5:$M$3004,0)),""))</f>
        <v/>
      </c>
      <c r="G180" s="14" t="str">
        <f>IF($A180="","",INDEX(Movimientos!$I$5:$I$3004,MATCH($A180,Movimientos!$M$5:$M$3004,0)))</f>
        <v/>
      </c>
      <c r="H180" s="22" t="str">
        <f>IF($A180="","",INDEX(Movimientos!$G$5:$G$3004,MATCH($A180,Movimientos!$M$5:$M$3004,0)))</f>
        <v/>
      </c>
      <c r="I180" s="22" t="str">
        <f>IF($A180="","",INDEX(Movimientos!$H$5:$H$3004,MATCH($A180,Movimientos!$M$5:$M$3004,0)))</f>
        <v/>
      </c>
      <c r="J180" s="14" t="str">
        <f>IF($A180="","",INDEX(Movimientos!$K$5:$K$3004,MATCH($A180,Movimientos!$M$5:$M$3004,0))&amp;"")</f>
        <v/>
      </c>
    </row>
    <row r="181" spans="1:10" x14ac:dyDescent="0.25">
      <c r="A181" s="14" t="str">
        <f>IF(173&lt;=COUNTIF(Movimientos!$M$5:$M$3004,"&gt;0"),173,"")</f>
        <v/>
      </c>
      <c r="B181" s="30" t="str">
        <f>IF($A181="","",INDEX(Movimientos!$A$5:$A$3004,MATCH($A181,Movimientos!$M$5:$M$3004,0)))</f>
        <v/>
      </c>
      <c r="C181" s="14" t="str">
        <f>IF($A181="","",INDEX(Movimientos!$B$5:$B$3004,MATCH($A181,Movimientos!$M$5:$M$3004,0)))</f>
        <v/>
      </c>
      <c r="D181" s="14" t="str">
        <f>IF($A181="","",INDEX(Movimientos!$J$5:$J$3004,MATCH($A181,Movimientos!$M$5:$M$3004,0))&amp;"")</f>
        <v/>
      </c>
      <c r="E181" s="14" t="str">
        <f>IF($A181="","",IF(C181="Entrada",INDEX(Movimientos!$F$5:$F$3004,MATCH($A181,Movimientos!$M$5:$M$3004,0)),""))</f>
        <v/>
      </c>
      <c r="F181" s="14" t="str">
        <f>IF($A181="","",IF(C181="Salida",INDEX(Movimientos!$F$5:$F$3004,MATCH($A181,Movimientos!$M$5:$M$3004,0)),""))</f>
        <v/>
      </c>
      <c r="G181" s="14" t="str">
        <f>IF($A181="","",INDEX(Movimientos!$I$5:$I$3004,MATCH($A181,Movimientos!$M$5:$M$3004,0)))</f>
        <v/>
      </c>
      <c r="H181" s="22" t="str">
        <f>IF($A181="","",INDEX(Movimientos!$G$5:$G$3004,MATCH($A181,Movimientos!$M$5:$M$3004,0)))</f>
        <v/>
      </c>
      <c r="I181" s="22" t="str">
        <f>IF($A181="","",INDEX(Movimientos!$H$5:$H$3004,MATCH($A181,Movimientos!$M$5:$M$3004,0)))</f>
        <v/>
      </c>
      <c r="J181" s="14" t="str">
        <f>IF($A181="","",INDEX(Movimientos!$K$5:$K$3004,MATCH($A181,Movimientos!$M$5:$M$3004,0))&amp;"")</f>
        <v/>
      </c>
    </row>
    <row r="182" spans="1:10" x14ac:dyDescent="0.25">
      <c r="A182" s="14" t="str">
        <f>IF(174&lt;=COUNTIF(Movimientos!$M$5:$M$3004,"&gt;0"),174,"")</f>
        <v/>
      </c>
      <c r="B182" s="30" t="str">
        <f>IF($A182="","",INDEX(Movimientos!$A$5:$A$3004,MATCH($A182,Movimientos!$M$5:$M$3004,0)))</f>
        <v/>
      </c>
      <c r="C182" s="14" t="str">
        <f>IF($A182="","",INDEX(Movimientos!$B$5:$B$3004,MATCH($A182,Movimientos!$M$5:$M$3004,0)))</f>
        <v/>
      </c>
      <c r="D182" s="14" t="str">
        <f>IF($A182="","",INDEX(Movimientos!$J$5:$J$3004,MATCH($A182,Movimientos!$M$5:$M$3004,0))&amp;"")</f>
        <v/>
      </c>
      <c r="E182" s="14" t="str">
        <f>IF($A182="","",IF(C182="Entrada",INDEX(Movimientos!$F$5:$F$3004,MATCH($A182,Movimientos!$M$5:$M$3004,0)),""))</f>
        <v/>
      </c>
      <c r="F182" s="14" t="str">
        <f>IF($A182="","",IF(C182="Salida",INDEX(Movimientos!$F$5:$F$3004,MATCH($A182,Movimientos!$M$5:$M$3004,0)),""))</f>
        <v/>
      </c>
      <c r="G182" s="14" t="str">
        <f>IF($A182="","",INDEX(Movimientos!$I$5:$I$3004,MATCH($A182,Movimientos!$M$5:$M$3004,0)))</f>
        <v/>
      </c>
      <c r="H182" s="22" t="str">
        <f>IF($A182="","",INDEX(Movimientos!$G$5:$G$3004,MATCH($A182,Movimientos!$M$5:$M$3004,0)))</f>
        <v/>
      </c>
      <c r="I182" s="22" t="str">
        <f>IF($A182="","",INDEX(Movimientos!$H$5:$H$3004,MATCH($A182,Movimientos!$M$5:$M$3004,0)))</f>
        <v/>
      </c>
      <c r="J182" s="14" t="str">
        <f>IF($A182="","",INDEX(Movimientos!$K$5:$K$3004,MATCH($A182,Movimientos!$M$5:$M$3004,0))&amp;"")</f>
        <v/>
      </c>
    </row>
    <row r="183" spans="1:10" x14ac:dyDescent="0.25">
      <c r="A183" s="14" t="str">
        <f>IF(175&lt;=COUNTIF(Movimientos!$M$5:$M$3004,"&gt;0"),175,"")</f>
        <v/>
      </c>
      <c r="B183" s="30" t="str">
        <f>IF($A183="","",INDEX(Movimientos!$A$5:$A$3004,MATCH($A183,Movimientos!$M$5:$M$3004,0)))</f>
        <v/>
      </c>
      <c r="C183" s="14" t="str">
        <f>IF($A183="","",INDEX(Movimientos!$B$5:$B$3004,MATCH($A183,Movimientos!$M$5:$M$3004,0)))</f>
        <v/>
      </c>
      <c r="D183" s="14" t="str">
        <f>IF($A183="","",INDEX(Movimientos!$J$5:$J$3004,MATCH($A183,Movimientos!$M$5:$M$3004,0))&amp;"")</f>
        <v/>
      </c>
      <c r="E183" s="14" t="str">
        <f>IF($A183="","",IF(C183="Entrada",INDEX(Movimientos!$F$5:$F$3004,MATCH($A183,Movimientos!$M$5:$M$3004,0)),""))</f>
        <v/>
      </c>
      <c r="F183" s="14" t="str">
        <f>IF($A183="","",IF(C183="Salida",INDEX(Movimientos!$F$5:$F$3004,MATCH($A183,Movimientos!$M$5:$M$3004,0)),""))</f>
        <v/>
      </c>
      <c r="G183" s="14" t="str">
        <f>IF($A183="","",INDEX(Movimientos!$I$5:$I$3004,MATCH($A183,Movimientos!$M$5:$M$3004,0)))</f>
        <v/>
      </c>
      <c r="H183" s="22" t="str">
        <f>IF($A183="","",INDEX(Movimientos!$G$5:$G$3004,MATCH($A183,Movimientos!$M$5:$M$3004,0)))</f>
        <v/>
      </c>
      <c r="I183" s="22" t="str">
        <f>IF($A183="","",INDEX(Movimientos!$H$5:$H$3004,MATCH($A183,Movimientos!$M$5:$M$3004,0)))</f>
        <v/>
      </c>
      <c r="J183" s="14" t="str">
        <f>IF($A183="","",INDEX(Movimientos!$K$5:$K$3004,MATCH($A183,Movimientos!$M$5:$M$3004,0))&amp;"")</f>
        <v/>
      </c>
    </row>
    <row r="184" spans="1:10" x14ac:dyDescent="0.25">
      <c r="A184" s="14" t="str">
        <f>IF(176&lt;=COUNTIF(Movimientos!$M$5:$M$3004,"&gt;0"),176,"")</f>
        <v/>
      </c>
      <c r="B184" s="30" t="str">
        <f>IF($A184="","",INDEX(Movimientos!$A$5:$A$3004,MATCH($A184,Movimientos!$M$5:$M$3004,0)))</f>
        <v/>
      </c>
      <c r="C184" s="14" t="str">
        <f>IF($A184="","",INDEX(Movimientos!$B$5:$B$3004,MATCH($A184,Movimientos!$M$5:$M$3004,0)))</f>
        <v/>
      </c>
      <c r="D184" s="14" t="str">
        <f>IF($A184="","",INDEX(Movimientos!$J$5:$J$3004,MATCH($A184,Movimientos!$M$5:$M$3004,0))&amp;"")</f>
        <v/>
      </c>
      <c r="E184" s="14" t="str">
        <f>IF($A184="","",IF(C184="Entrada",INDEX(Movimientos!$F$5:$F$3004,MATCH($A184,Movimientos!$M$5:$M$3004,0)),""))</f>
        <v/>
      </c>
      <c r="F184" s="14" t="str">
        <f>IF($A184="","",IF(C184="Salida",INDEX(Movimientos!$F$5:$F$3004,MATCH($A184,Movimientos!$M$5:$M$3004,0)),""))</f>
        <v/>
      </c>
      <c r="G184" s="14" t="str">
        <f>IF($A184="","",INDEX(Movimientos!$I$5:$I$3004,MATCH($A184,Movimientos!$M$5:$M$3004,0)))</f>
        <v/>
      </c>
      <c r="H184" s="22" t="str">
        <f>IF($A184="","",INDEX(Movimientos!$G$5:$G$3004,MATCH($A184,Movimientos!$M$5:$M$3004,0)))</f>
        <v/>
      </c>
      <c r="I184" s="22" t="str">
        <f>IF($A184="","",INDEX(Movimientos!$H$5:$H$3004,MATCH($A184,Movimientos!$M$5:$M$3004,0)))</f>
        <v/>
      </c>
      <c r="J184" s="14" t="str">
        <f>IF($A184="","",INDEX(Movimientos!$K$5:$K$3004,MATCH($A184,Movimientos!$M$5:$M$3004,0))&amp;"")</f>
        <v/>
      </c>
    </row>
    <row r="185" spans="1:10" x14ac:dyDescent="0.25">
      <c r="A185" s="14" t="str">
        <f>IF(177&lt;=COUNTIF(Movimientos!$M$5:$M$3004,"&gt;0"),177,"")</f>
        <v/>
      </c>
      <c r="B185" s="30" t="str">
        <f>IF($A185="","",INDEX(Movimientos!$A$5:$A$3004,MATCH($A185,Movimientos!$M$5:$M$3004,0)))</f>
        <v/>
      </c>
      <c r="C185" s="14" t="str">
        <f>IF($A185="","",INDEX(Movimientos!$B$5:$B$3004,MATCH($A185,Movimientos!$M$5:$M$3004,0)))</f>
        <v/>
      </c>
      <c r="D185" s="14" t="str">
        <f>IF($A185="","",INDEX(Movimientos!$J$5:$J$3004,MATCH($A185,Movimientos!$M$5:$M$3004,0))&amp;"")</f>
        <v/>
      </c>
      <c r="E185" s="14" t="str">
        <f>IF($A185="","",IF(C185="Entrada",INDEX(Movimientos!$F$5:$F$3004,MATCH($A185,Movimientos!$M$5:$M$3004,0)),""))</f>
        <v/>
      </c>
      <c r="F185" s="14" t="str">
        <f>IF($A185="","",IF(C185="Salida",INDEX(Movimientos!$F$5:$F$3004,MATCH($A185,Movimientos!$M$5:$M$3004,0)),""))</f>
        <v/>
      </c>
      <c r="G185" s="14" t="str">
        <f>IF($A185="","",INDEX(Movimientos!$I$5:$I$3004,MATCH($A185,Movimientos!$M$5:$M$3004,0)))</f>
        <v/>
      </c>
      <c r="H185" s="22" t="str">
        <f>IF($A185="","",INDEX(Movimientos!$G$5:$G$3004,MATCH($A185,Movimientos!$M$5:$M$3004,0)))</f>
        <v/>
      </c>
      <c r="I185" s="22" t="str">
        <f>IF($A185="","",INDEX(Movimientos!$H$5:$H$3004,MATCH($A185,Movimientos!$M$5:$M$3004,0)))</f>
        <v/>
      </c>
      <c r="J185" s="14" t="str">
        <f>IF($A185="","",INDEX(Movimientos!$K$5:$K$3004,MATCH($A185,Movimientos!$M$5:$M$3004,0))&amp;"")</f>
        <v/>
      </c>
    </row>
    <row r="186" spans="1:10" x14ac:dyDescent="0.25">
      <c r="A186" s="14" t="str">
        <f>IF(178&lt;=COUNTIF(Movimientos!$M$5:$M$3004,"&gt;0"),178,"")</f>
        <v/>
      </c>
      <c r="B186" s="30" t="str">
        <f>IF($A186="","",INDEX(Movimientos!$A$5:$A$3004,MATCH($A186,Movimientos!$M$5:$M$3004,0)))</f>
        <v/>
      </c>
      <c r="C186" s="14" t="str">
        <f>IF($A186="","",INDEX(Movimientos!$B$5:$B$3004,MATCH($A186,Movimientos!$M$5:$M$3004,0)))</f>
        <v/>
      </c>
      <c r="D186" s="14" t="str">
        <f>IF($A186="","",INDEX(Movimientos!$J$5:$J$3004,MATCH($A186,Movimientos!$M$5:$M$3004,0))&amp;"")</f>
        <v/>
      </c>
      <c r="E186" s="14" t="str">
        <f>IF($A186="","",IF(C186="Entrada",INDEX(Movimientos!$F$5:$F$3004,MATCH($A186,Movimientos!$M$5:$M$3004,0)),""))</f>
        <v/>
      </c>
      <c r="F186" s="14" t="str">
        <f>IF($A186="","",IF(C186="Salida",INDEX(Movimientos!$F$5:$F$3004,MATCH($A186,Movimientos!$M$5:$M$3004,0)),""))</f>
        <v/>
      </c>
      <c r="G186" s="14" t="str">
        <f>IF($A186="","",INDEX(Movimientos!$I$5:$I$3004,MATCH($A186,Movimientos!$M$5:$M$3004,0)))</f>
        <v/>
      </c>
      <c r="H186" s="22" t="str">
        <f>IF($A186="","",INDEX(Movimientos!$G$5:$G$3004,MATCH($A186,Movimientos!$M$5:$M$3004,0)))</f>
        <v/>
      </c>
      <c r="I186" s="22" t="str">
        <f>IF($A186="","",INDEX(Movimientos!$H$5:$H$3004,MATCH($A186,Movimientos!$M$5:$M$3004,0)))</f>
        <v/>
      </c>
      <c r="J186" s="14" t="str">
        <f>IF($A186="","",INDEX(Movimientos!$K$5:$K$3004,MATCH($A186,Movimientos!$M$5:$M$3004,0))&amp;"")</f>
        <v/>
      </c>
    </row>
    <row r="187" spans="1:10" x14ac:dyDescent="0.25">
      <c r="A187" s="14" t="str">
        <f>IF(179&lt;=COUNTIF(Movimientos!$M$5:$M$3004,"&gt;0"),179,"")</f>
        <v/>
      </c>
      <c r="B187" s="30" t="str">
        <f>IF($A187="","",INDEX(Movimientos!$A$5:$A$3004,MATCH($A187,Movimientos!$M$5:$M$3004,0)))</f>
        <v/>
      </c>
      <c r="C187" s="14" t="str">
        <f>IF($A187="","",INDEX(Movimientos!$B$5:$B$3004,MATCH($A187,Movimientos!$M$5:$M$3004,0)))</f>
        <v/>
      </c>
      <c r="D187" s="14" t="str">
        <f>IF($A187="","",INDEX(Movimientos!$J$5:$J$3004,MATCH($A187,Movimientos!$M$5:$M$3004,0))&amp;"")</f>
        <v/>
      </c>
      <c r="E187" s="14" t="str">
        <f>IF($A187="","",IF(C187="Entrada",INDEX(Movimientos!$F$5:$F$3004,MATCH($A187,Movimientos!$M$5:$M$3004,0)),""))</f>
        <v/>
      </c>
      <c r="F187" s="14" t="str">
        <f>IF($A187="","",IF(C187="Salida",INDEX(Movimientos!$F$5:$F$3004,MATCH($A187,Movimientos!$M$5:$M$3004,0)),""))</f>
        <v/>
      </c>
      <c r="G187" s="14" t="str">
        <f>IF($A187="","",INDEX(Movimientos!$I$5:$I$3004,MATCH($A187,Movimientos!$M$5:$M$3004,0)))</f>
        <v/>
      </c>
      <c r="H187" s="22" t="str">
        <f>IF($A187="","",INDEX(Movimientos!$G$5:$G$3004,MATCH($A187,Movimientos!$M$5:$M$3004,0)))</f>
        <v/>
      </c>
      <c r="I187" s="22" t="str">
        <f>IF($A187="","",INDEX(Movimientos!$H$5:$H$3004,MATCH($A187,Movimientos!$M$5:$M$3004,0)))</f>
        <v/>
      </c>
      <c r="J187" s="14" t="str">
        <f>IF($A187="","",INDEX(Movimientos!$K$5:$K$3004,MATCH($A187,Movimientos!$M$5:$M$3004,0))&amp;"")</f>
        <v/>
      </c>
    </row>
    <row r="188" spans="1:10" x14ac:dyDescent="0.25">
      <c r="A188" s="14" t="str">
        <f>IF(180&lt;=COUNTIF(Movimientos!$M$5:$M$3004,"&gt;0"),180,"")</f>
        <v/>
      </c>
      <c r="B188" s="30" t="str">
        <f>IF($A188="","",INDEX(Movimientos!$A$5:$A$3004,MATCH($A188,Movimientos!$M$5:$M$3004,0)))</f>
        <v/>
      </c>
      <c r="C188" s="14" t="str">
        <f>IF($A188="","",INDEX(Movimientos!$B$5:$B$3004,MATCH($A188,Movimientos!$M$5:$M$3004,0)))</f>
        <v/>
      </c>
      <c r="D188" s="14" t="str">
        <f>IF($A188="","",INDEX(Movimientos!$J$5:$J$3004,MATCH($A188,Movimientos!$M$5:$M$3004,0))&amp;"")</f>
        <v/>
      </c>
      <c r="E188" s="14" t="str">
        <f>IF($A188="","",IF(C188="Entrada",INDEX(Movimientos!$F$5:$F$3004,MATCH($A188,Movimientos!$M$5:$M$3004,0)),""))</f>
        <v/>
      </c>
      <c r="F188" s="14" t="str">
        <f>IF($A188="","",IF(C188="Salida",INDEX(Movimientos!$F$5:$F$3004,MATCH($A188,Movimientos!$M$5:$M$3004,0)),""))</f>
        <v/>
      </c>
      <c r="G188" s="14" t="str">
        <f>IF($A188="","",INDEX(Movimientos!$I$5:$I$3004,MATCH($A188,Movimientos!$M$5:$M$3004,0)))</f>
        <v/>
      </c>
      <c r="H188" s="22" t="str">
        <f>IF($A188="","",INDEX(Movimientos!$G$5:$G$3004,MATCH($A188,Movimientos!$M$5:$M$3004,0)))</f>
        <v/>
      </c>
      <c r="I188" s="22" t="str">
        <f>IF($A188="","",INDEX(Movimientos!$H$5:$H$3004,MATCH($A188,Movimientos!$M$5:$M$3004,0)))</f>
        <v/>
      </c>
      <c r="J188" s="14" t="str">
        <f>IF($A188="","",INDEX(Movimientos!$K$5:$K$3004,MATCH($A188,Movimientos!$M$5:$M$3004,0))&amp;"")</f>
        <v/>
      </c>
    </row>
    <row r="189" spans="1:10" x14ac:dyDescent="0.25">
      <c r="A189" s="14" t="str">
        <f>IF(181&lt;=COUNTIF(Movimientos!$M$5:$M$3004,"&gt;0"),181,"")</f>
        <v/>
      </c>
      <c r="B189" s="30" t="str">
        <f>IF($A189="","",INDEX(Movimientos!$A$5:$A$3004,MATCH($A189,Movimientos!$M$5:$M$3004,0)))</f>
        <v/>
      </c>
      <c r="C189" s="14" t="str">
        <f>IF($A189="","",INDEX(Movimientos!$B$5:$B$3004,MATCH($A189,Movimientos!$M$5:$M$3004,0)))</f>
        <v/>
      </c>
      <c r="D189" s="14" t="str">
        <f>IF($A189="","",INDEX(Movimientos!$J$5:$J$3004,MATCH($A189,Movimientos!$M$5:$M$3004,0))&amp;"")</f>
        <v/>
      </c>
      <c r="E189" s="14" t="str">
        <f>IF($A189="","",IF(C189="Entrada",INDEX(Movimientos!$F$5:$F$3004,MATCH($A189,Movimientos!$M$5:$M$3004,0)),""))</f>
        <v/>
      </c>
      <c r="F189" s="14" t="str">
        <f>IF($A189="","",IF(C189="Salida",INDEX(Movimientos!$F$5:$F$3004,MATCH($A189,Movimientos!$M$5:$M$3004,0)),""))</f>
        <v/>
      </c>
      <c r="G189" s="14" t="str">
        <f>IF($A189="","",INDEX(Movimientos!$I$5:$I$3004,MATCH($A189,Movimientos!$M$5:$M$3004,0)))</f>
        <v/>
      </c>
      <c r="H189" s="22" t="str">
        <f>IF($A189="","",INDEX(Movimientos!$G$5:$G$3004,MATCH($A189,Movimientos!$M$5:$M$3004,0)))</f>
        <v/>
      </c>
      <c r="I189" s="22" t="str">
        <f>IF($A189="","",INDEX(Movimientos!$H$5:$H$3004,MATCH($A189,Movimientos!$M$5:$M$3004,0)))</f>
        <v/>
      </c>
      <c r="J189" s="14" t="str">
        <f>IF($A189="","",INDEX(Movimientos!$K$5:$K$3004,MATCH($A189,Movimientos!$M$5:$M$3004,0))&amp;"")</f>
        <v/>
      </c>
    </row>
    <row r="190" spans="1:10" x14ac:dyDescent="0.25">
      <c r="A190" s="14" t="str">
        <f>IF(182&lt;=COUNTIF(Movimientos!$M$5:$M$3004,"&gt;0"),182,"")</f>
        <v/>
      </c>
      <c r="B190" s="30" t="str">
        <f>IF($A190="","",INDEX(Movimientos!$A$5:$A$3004,MATCH($A190,Movimientos!$M$5:$M$3004,0)))</f>
        <v/>
      </c>
      <c r="C190" s="14" t="str">
        <f>IF($A190="","",INDEX(Movimientos!$B$5:$B$3004,MATCH($A190,Movimientos!$M$5:$M$3004,0)))</f>
        <v/>
      </c>
      <c r="D190" s="14" t="str">
        <f>IF($A190="","",INDEX(Movimientos!$J$5:$J$3004,MATCH($A190,Movimientos!$M$5:$M$3004,0))&amp;"")</f>
        <v/>
      </c>
      <c r="E190" s="14" t="str">
        <f>IF($A190="","",IF(C190="Entrada",INDEX(Movimientos!$F$5:$F$3004,MATCH($A190,Movimientos!$M$5:$M$3004,0)),""))</f>
        <v/>
      </c>
      <c r="F190" s="14" t="str">
        <f>IF($A190="","",IF(C190="Salida",INDEX(Movimientos!$F$5:$F$3004,MATCH($A190,Movimientos!$M$5:$M$3004,0)),""))</f>
        <v/>
      </c>
      <c r="G190" s="14" t="str">
        <f>IF($A190="","",INDEX(Movimientos!$I$5:$I$3004,MATCH($A190,Movimientos!$M$5:$M$3004,0)))</f>
        <v/>
      </c>
      <c r="H190" s="22" t="str">
        <f>IF($A190="","",INDEX(Movimientos!$G$5:$G$3004,MATCH($A190,Movimientos!$M$5:$M$3004,0)))</f>
        <v/>
      </c>
      <c r="I190" s="22" t="str">
        <f>IF($A190="","",INDEX(Movimientos!$H$5:$H$3004,MATCH($A190,Movimientos!$M$5:$M$3004,0)))</f>
        <v/>
      </c>
      <c r="J190" s="14" t="str">
        <f>IF($A190="","",INDEX(Movimientos!$K$5:$K$3004,MATCH($A190,Movimientos!$M$5:$M$3004,0))&amp;"")</f>
        <v/>
      </c>
    </row>
    <row r="191" spans="1:10" x14ac:dyDescent="0.25">
      <c r="A191" s="14" t="str">
        <f>IF(183&lt;=COUNTIF(Movimientos!$M$5:$M$3004,"&gt;0"),183,"")</f>
        <v/>
      </c>
      <c r="B191" s="30" t="str">
        <f>IF($A191="","",INDEX(Movimientos!$A$5:$A$3004,MATCH($A191,Movimientos!$M$5:$M$3004,0)))</f>
        <v/>
      </c>
      <c r="C191" s="14" t="str">
        <f>IF($A191="","",INDEX(Movimientos!$B$5:$B$3004,MATCH($A191,Movimientos!$M$5:$M$3004,0)))</f>
        <v/>
      </c>
      <c r="D191" s="14" t="str">
        <f>IF($A191="","",INDEX(Movimientos!$J$5:$J$3004,MATCH($A191,Movimientos!$M$5:$M$3004,0))&amp;"")</f>
        <v/>
      </c>
      <c r="E191" s="14" t="str">
        <f>IF($A191="","",IF(C191="Entrada",INDEX(Movimientos!$F$5:$F$3004,MATCH($A191,Movimientos!$M$5:$M$3004,0)),""))</f>
        <v/>
      </c>
      <c r="F191" s="14" t="str">
        <f>IF($A191="","",IF(C191="Salida",INDEX(Movimientos!$F$5:$F$3004,MATCH($A191,Movimientos!$M$5:$M$3004,0)),""))</f>
        <v/>
      </c>
      <c r="G191" s="14" t="str">
        <f>IF($A191="","",INDEX(Movimientos!$I$5:$I$3004,MATCH($A191,Movimientos!$M$5:$M$3004,0)))</f>
        <v/>
      </c>
      <c r="H191" s="22" t="str">
        <f>IF($A191="","",INDEX(Movimientos!$G$5:$G$3004,MATCH($A191,Movimientos!$M$5:$M$3004,0)))</f>
        <v/>
      </c>
      <c r="I191" s="22" t="str">
        <f>IF($A191="","",INDEX(Movimientos!$H$5:$H$3004,MATCH($A191,Movimientos!$M$5:$M$3004,0)))</f>
        <v/>
      </c>
      <c r="J191" s="14" t="str">
        <f>IF($A191="","",INDEX(Movimientos!$K$5:$K$3004,MATCH($A191,Movimientos!$M$5:$M$3004,0))&amp;"")</f>
        <v/>
      </c>
    </row>
    <row r="192" spans="1:10" x14ac:dyDescent="0.25">
      <c r="A192" s="14" t="str">
        <f>IF(184&lt;=COUNTIF(Movimientos!$M$5:$M$3004,"&gt;0"),184,"")</f>
        <v/>
      </c>
      <c r="B192" s="30" t="str">
        <f>IF($A192="","",INDEX(Movimientos!$A$5:$A$3004,MATCH($A192,Movimientos!$M$5:$M$3004,0)))</f>
        <v/>
      </c>
      <c r="C192" s="14" t="str">
        <f>IF($A192="","",INDEX(Movimientos!$B$5:$B$3004,MATCH($A192,Movimientos!$M$5:$M$3004,0)))</f>
        <v/>
      </c>
      <c r="D192" s="14" t="str">
        <f>IF($A192="","",INDEX(Movimientos!$J$5:$J$3004,MATCH($A192,Movimientos!$M$5:$M$3004,0))&amp;"")</f>
        <v/>
      </c>
      <c r="E192" s="14" t="str">
        <f>IF($A192="","",IF(C192="Entrada",INDEX(Movimientos!$F$5:$F$3004,MATCH($A192,Movimientos!$M$5:$M$3004,0)),""))</f>
        <v/>
      </c>
      <c r="F192" s="14" t="str">
        <f>IF($A192="","",IF(C192="Salida",INDEX(Movimientos!$F$5:$F$3004,MATCH($A192,Movimientos!$M$5:$M$3004,0)),""))</f>
        <v/>
      </c>
      <c r="G192" s="14" t="str">
        <f>IF($A192="","",INDEX(Movimientos!$I$5:$I$3004,MATCH($A192,Movimientos!$M$5:$M$3004,0)))</f>
        <v/>
      </c>
      <c r="H192" s="22" t="str">
        <f>IF($A192="","",INDEX(Movimientos!$G$5:$G$3004,MATCH($A192,Movimientos!$M$5:$M$3004,0)))</f>
        <v/>
      </c>
      <c r="I192" s="22" t="str">
        <f>IF($A192="","",INDEX(Movimientos!$H$5:$H$3004,MATCH($A192,Movimientos!$M$5:$M$3004,0)))</f>
        <v/>
      </c>
      <c r="J192" s="14" t="str">
        <f>IF($A192="","",INDEX(Movimientos!$K$5:$K$3004,MATCH($A192,Movimientos!$M$5:$M$3004,0))&amp;"")</f>
        <v/>
      </c>
    </row>
    <row r="193" spans="1:10" x14ac:dyDescent="0.25">
      <c r="A193" s="14" t="str">
        <f>IF(185&lt;=COUNTIF(Movimientos!$M$5:$M$3004,"&gt;0"),185,"")</f>
        <v/>
      </c>
      <c r="B193" s="30" t="str">
        <f>IF($A193="","",INDEX(Movimientos!$A$5:$A$3004,MATCH($A193,Movimientos!$M$5:$M$3004,0)))</f>
        <v/>
      </c>
      <c r="C193" s="14" t="str">
        <f>IF($A193="","",INDEX(Movimientos!$B$5:$B$3004,MATCH($A193,Movimientos!$M$5:$M$3004,0)))</f>
        <v/>
      </c>
      <c r="D193" s="14" t="str">
        <f>IF($A193="","",INDEX(Movimientos!$J$5:$J$3004,MATCH($A193,Movimientos!$M$5:$M$3004,0))&amp;"")</f>
        <v/>
      </c>
      <c r="E193" s="14" t="str">
        <f>IF($A193="","",IF(C193="Entrada",INDEX(Movimientos!$F$5:$F$3004,MATCH($A193,Movimientos!$M$5:$M$3004,0)),""))</f>
        <v/>
      </c>
      <c r="F193" s="14" t="str">
        <f>IF($A193="","",IF(C193="Salida",INDEX(Movimientos!$F$5:$F$3004,MATCH($A193,Movimientos!$M$5:$M$3004,0)),""))</f>
        <v/>
      </c>
      <c r="G193" s="14" t="str">
        <f>IF($A193="","",INDEX(Movimientos!$I$5:$I$3004,MATCH($A193,Movimientos!$M$5:$M$3004,0)))</f>
        <v/>
      </c>
      <c r="H193" s="22" t="str">
        <f>IF($A193="","",INDEX(Movimientos!$G$5:$G$3004,MATCH($A193,Movimientos!$M$5:$M$3004,0)))</f>
        <v/>
      </c>
      <c r="I193" s="22" t="str">
        <f>IF($A193="","",INDEX(Movimientos!$H$5:$H$3004,MATCH($A193,Movimientos!$M$5:$M$3004,0)))</f>
        <v/>
      </c>
      <c r="J193" s="14" t="str">
        <f>IF($A193="","",INDEX(Movimientos!$K$5:$K$3004,MATCH($A193,Movimientos!$M$5:$M$3004,0))&amp;"")</f>
        <v/>
      </c>
    </row>
    <row r="194" spans="1:10" x14ac:dyDescent="0.25">
      <c r="A194" s="14" t="str">
        <f>IF(186&lt;=COUNTIF(Movimientos!$M$5:$M$3004,"&gt;0"),186,"")</f>
        <v/>
      </c>
      <c r="B194" s="30" t="str">
        <f>IF($A194="","",INDEX(Movimientos!$A$5:$A$3004,MATCH($A194,Movimientos!$M$5:$M$3004,0)))</f>
        <v/>
      </c>
      <c r="C194" s="14" t="str">
        <f>IF($A194="","",INDEX(Movimientos!$B$5:$B$3004,MATCH($A194,Movimientos!$M$5:$M$3004,0)))</f>
        <v/>
      </c>
      <c r="D194" s="14" t="str">
        <f>IF($A194="","",INDEX(Movimientos!$J$5:$J$3004,MATCH($A194,Movimientos!$M$5:$M$3004,0))&amp;"")</f>
        <v/>
      </c>
      <c r="E194" s="14" t="str">
        <f>IF($A194="","",IF(C194="Entrada",INDEX(Movimientos!$F$5:$F$3004,MATCH($A194,Movimientos!$M$5:$M$3004,0)),""))</f>
        <v/>
      </c>
      <c r="F194" s="14" t="str">
        <f>IF($A194="","",IF(C194="Salida",INDEX(Movimientos!$F$5:$F$3004,MATCH($A194,Movimientos!$M$5:$M$3004,0)),""))</f>
        <v/>
      </c>
      <c r="G194" s="14" t="str">
        <f>IF($A194="","",INDEX(Movimientos!$I$5:$I$3004,MATCH($A194,Movimientos!$M$5:$M$3004,0)))</f>
        <v/>
      </c>
      <c r="H194" s="22" t="str">
        <f>IF($A194="","",INDEX(Movimientos!$G$5:$G$3004,MATCH($A194,Movimientos!$M$5:$M$3004,0)))</f>
        <v/>
      </c>
      <c r="I194" s="22" t="str">
        <f>IF($A194="","",INDEX(Movimientos!$H$5:$H$3004,MATCH($A194,Movimientos!$M$5:$M$3004,0)))</f>
        <v/>
      </c>
      <c r="J194" s="14" t="str">
        <f>IF($A194="","",INDEX(Movimientos!$K$5:$K$3004,MATCH($A194,Movimientos!$M$5:$M$3004,0))&amp;"")</f>
        <v/>
      </c>
    </row>
    <row r="195" spans="1:10" x14ac:dyDescent="0.25">
      <c r="A195" s="14" t="str">
        <f>IF(187&lt;=COUNTIF(Movimientos!$M$5:$M$3004,"&gt;0"),187,"")</f>
        <v/>
      </c>
      <c r="B195" s="30" t="str">
        <f>IF($A195="","",INDEX(Movimientos!$A$5:$A$3004,MATCH($A195,Movimientos!$M$5:$M$3004,0)))</f>
        <v/>
      </c>
      <c r="C195" s="14" t="str">
        <f>IF($A195="","",INDEX(Movimientos!$B$5:$B$3004,MATCH($A195,Movimientos!$M$5:$M$3004,0)))</f>
        <v/>
      </c>
      <c r="D195" s="14" t="str">
        <f>IF($A195="","",INDEX(Movimientos!$J$5:$J$3004,MATCH($A195,Movimientos!$M$5:$M$3004,0))&amp;"")</f>
        <v/>
      </c>
      <c r="E195" s="14" t="str">
        <f>IF($A195="","",IF(C195="Entrada",INDEX(Movimientos!$F$5:$F$3004,MATCH($A195,Movimientos!$M$5:$M$3004,0)),""))</f>
        <v/>
      </c>
      <c r="F195" s="14" t="str">
        <f>IF($A195="","",IF(C195="Salida",INDEX(Movimientos!$F$5:$F$3004,MATCH($A195,Movimientos!$M$5:$M$3004,0)),""))</f>
        <v/>
      </c>
      <c r="G195" s="14" t="str">
        <f>IF($A195="","",INDEX(Movimientos!$I$5:$I$3004,MATCH($A195,Movimientos!$M$5:$M$3004,0)))</f>
        <v/>
      </c>
      <c r="H195" s="22" t="str">
        <f>IF($A195="","",INDEX(Movimientos!$G$5:$G$3004,MATCH($A195,Movimientos!$M$5:$M$3004,0)))</f>
        <v/>
      </c>
      <c r="I195" s="22" t="str">
        <f>IF($A195="","",INDEX(Movimientos!$H$5:$H$3004,MATCH($A195,Movimientos!$M$5:$M$3004,0)))</f>
        <v/>
      </c>
      <c r="J195" s="14" t="str">
        <f>IF($A195="","",INDEX(Movimientos!$K$5:$K$3004,MATCH($A195,Movimientos!$M$5:$M$3004,0))&amp;"")</f>
        <v/>
      </c>
    </row>
    <row r="196" spans="1:10" x14ac:dyDescent="0.25">
      <c r="A196" s="14" t="str">
        <f>IF(188&lt;=COUNTIF(Movimientos!$M$5:$M$3004,"&gt;0"),188,"")</f>
        <v/>
      </c>
      <c r="B196" s="30" t="str">
        <f>IF($A196="","",INDEX(Movimientos!$A$5:$A$3004,MATCH($A196,Movimientos!$M$5:$M$3004,0)))</f>
        <v/>
      </c>
      <c r="C196" s="14" t="str">
        <f>IF($A196="","",INDEX(Movimientos!$B$5:$B$3004,MATCH($A196,Movimientos!$M$5:$M$3004,0)))</f>
        <v/>
      </c>
      <c r="D196" s="14" t="str">
        <f>IF($A196="","",INDEX(Movimientos!$J$5:$J$3004,MATCH($A196,Movimientos!$M$5:$M$3004,0))&amp;"")</f>
        <v/>
      </c>
      <c r="E196" s="14" t="str">
        <f>IF($A196="","",IF(C196="Entrada",INDEX(Movimientos!$F$5:$F$3004,MATCH($A196,Movimientos!$M$5:$M$3004,0)),""))</f>
        <v/>
      </c>
      <c r="F196" s="14" t="str">
        <f>IF($A196="","",IF(C196="Salida",INDEX(Movimientos!$F$5:$F$3004,MATCH($A196,Movimientos!$M$5:$M$3004,0)),""))</f>
        <v/>
      </c>
      <c r="G196" s="14" t="str">
        <f>IF($A196="","",INDEX(Movimientos!$I$5:$I$3004,MATCH($A196,Movimientos!$M$5:$M$3004,0)))</f>
        <v/>
      </c>
      <c r="H196" s="22" t="str">
        <f>IF($A196="","",INDEX(Movimientos!$G$5:$G$3004,MATCH($A196,Movimientos!$M$5:$M$3004,0)))</f>
        <v/>
      </c>
      <c r="I196" s="22" t="str">
        <f>IF($A196="","",INDEX(Movimientos!$H$5:$H$3004,MATCH($A196,Movimientos!$M$5:$M$3004,0)))</f>
        <v/>
      </c>
      <c r="J196" s="14" t="str">
        <f>IF($A196="","",INDEX(Movimientos!$K$5:$K$3004,MATCH($A196,Movimientos!$M$5:$M$3004,0))&amp;"")</f>
        <v/>
      </c>
    </row>
    <row r="197" spans="1:10" x14ac:dyDescent="0.25">
      <c r="A197" s="14" t="str">
        <f>IF(189&lt;=COUNTIF(Movimientos!$M$5:$M$3004,"&gt;0"),189,"")</f>
        <v/>
      </c>
      <c r="B197" s="30" t="str">
        <f>IF($A197="","",INDEX(Movimientos!$A$5:$A$3004,MATCH($A197,Movimientos!$M$5:$M$3004,0)))</f>
        <v/>
      </c>
      <c r="C197" s="14" t="str">
        <f>IF($A197="","",INDEX(Movimientos!$B$5:$B$3004,MATCH($A197,Movimientos!$M$5:$M$3004,0)))</f>
        <v/>
      </c>
      <c r="D197" s="14" t="str">
        <f>IF($A197="","",INDEX(Movimientos!$J$5:$J$3004,MATCH($A197,Movimientos!$M$5:$M$3004,0))&amp;"")</f>
        <v/>
      </c>
      <c r="E197" s="14" t="str">
        <f>IF($A197="","",IF(C197="Entrada",INDEX(Movimientos!$F$5:$F$3004,MATCH($A197,Movimientos!$M$5:$M$3004,0)),""))</f>
        <v/>
      </c>
      <c r="F197" s="14" t="str">
        <f>IF($A197="","",IF(C197="Salida",INDEX(Movimientos!$F$5:$F$3004,MATCH($A197,Movimientos!$M$5:$M$3004,0)),""))</f>
        <v/>
      </c>
      <c r="G197" s="14" t="str">
        <f>IF($A197="","",INDEX(Movimientos!$I$5:$I$3004,MATCH($A197,Movimientos!$M$5:$M$3004,0)))</f>
        <v/>
      </c>
      <c r="H197" s="22" t="str">
        <f>IF($A197="","",INDEX(Movimientos!$G$5:$G$3004,MATCH($A197,Movimientos!$M$5:$M$3004,0)))</f>
        <v/>
      </c>
      <c r="I197" s="22" t="str">
        <f>IF($A197="","",INDEX(Movimientos!$H$5:$H$3004,MATCH($A197,Movimientos!$M$5:$M$3004,0)))</f>
        <v/>
      </c>
      <c r="J197" s="14" t="str">
        <f>IF($A197="","",INDEX(Movimientos!$K$5:$K$3004,MATCH($A197,Movimientos!$M$5:$M$3004,0))&amp;"")</f>
        <v/>
      </c>
    </row>
    <row r="198" spans="1:10" x14ac:dyDescent="0.25">
      <c r="A198" s="14" t="str">
        <f>IF(190&lt;=COUNTIF(Movimientos!$M$5:$M$3004,"&gt;0"),190,"")</f>
        <v/>
      </c>
      <c r="B198" s="30" t="str">
        <f>IF($A198="","",INDEX(Movimientos!$A$5:$A$3004,MATCH($A198,Movimientos!$M$5:$M$3004,0)))</f>
        <v/>
      </c>
      <c r="C198" s="14" t="str">
        <f>IF($A198="","",INDEX(Movimientos!$B$5:$B$3004,MATCH($A198,Movimientos!$M$5:$M$3004,0)))</f>
        <v/>
      </c>
      <c r="D198" s="14" t="str">
        <f>IF($A198="","",INDEX(Movimientos!$J$5:$J$3004,MATCH($A198,Movimientos!$M$5:$M$3004,0))&amp;"")</f>
        <v/>
      </c>
      <c r="E198" s="14" t="str">
        <f>IF($A198="","",IF(C198="Entrada",INDEX(Movimientos!$F$5:$F$3004,MATCH($A198,Movimientos!$M$5:$M$3004,0)),""))</f>
        <v/>
      </c>
      <c r="F198" s="14" t="str">
        <f>IF($A198="","",IF(C198="Salida",INDEX(Movimientos!$F$5:$F$3004,MATCH($A198,Movimientos!$M$5:$M$3004,0)),""))</f>
        <v/>
      </c>
      <c r="G198" s="14" t="str">
        <f>IF($A198="","",INDEX(Movimientos!$I$5:$I$3004,MATCH($A198,Movimientos!$M$5:$M$3004,0)))</f>
        <v/>
      </c>
      <c r="H198" s="22" t="str">
        <f>IF($A198="","",INDEX(Movimientos!$G$5:$G$3004,MATCH($A198,Movimientos!$M$5:$M$3004,0)))</f>
        <v/>
      </c>
      <c r="I198" s="22" t="str">
        <f>IF($A198="","",INDEX(Movimientos!$H$5:$H$3004,MATCH($A198,Movimientos!$M$5:$M$3004,0)))</f>
        <v/>
      </c>
      <c r="J198" s="14" t="str">
        <f>IF($A198="","",INDEX(Movimientos!$K$5:$K$3004,MATCH($A198,Movimientos!$M$5:$M$3004,0))&amp;"")</f>
        <v/>
      </c>
    </row>
    <row r="199" spans="1:10" x14ac:dyDescent="0.25">
      <c r="A199" s="14" t="str">
        <f>IF(191&lt;=COUNTIF(Movimientos!$M$5:$M$3004,"&gt;0"),191,"")</f>
        <v/>
      </c>
      <c r="B199" s="30" t="str">
        <f>IF($A199="","",INDEX(Movimientos!$A$5:$A$3004,MATCH($A199,Movimientos!$M$5:$M$3004,0)))</f>
        <v/>
      </c>
      <c r="C199" s="14" t="str">
        <f>IF($A199="","",INDEX(Movimientos!$B$5:$B$3004,MATCH($A199,Movimientos!$M$5:$M$3004,0)))</f>
        <v/>
      </c>
      <c r="D199" s="14" t="str">
        <f>IF($A199="","",INDEX(Movimientos!$J$5:$J$3004,MATCH($A199,Movimientos!$M$5:$M$3004,0))&amp;"")</f>
        <v/>
      </c>
      <c r="E199" s="14" t="str">
        <f>IF($A199="","",IF(C199="Entrada",INDEX(Movimientos!$F$5:$F$3004,MATCH($A199,Movimientos!$M$5:$M$3004,0)),""))</f>
        <v/>
      </c>
      <c r="F199" s="14" t="str">
        <f>IF($A199="","",IF(C199="Salida",INDEX(Movimientos!$F$5:$F$3004,MATCH($A199,Movimientos!$M$5:$M$3004,0)),""))</f>
        <v/>
      </c>
      <c r="G199" s="14" t="str">
        <f>IF($A199="","",INDEX(Movimientos!$I$5:$I$3004,MATCH($A199,Movimientos!$M$5:$M$3004,0)))</f>
        <v/>
      </c>
      <c r="H199" s="22" t="str">
        <f>IF($A199="","",INDEX(Movimientos!$G$5:$G$3004,MATCH($A199,Movimientos!$M$5:$M$3004,0)))</f>
        <v/>
      </c>
      <c r="I199" s="22" t="str">
        <f>IF($A199="","",INDEX(Movimientos!$H$5:$H$3004,MATCH($A199,Movimientos!$M$5:$M$3004,0)))</f>
        <v/>
      </c>
      <c r="J199" s="14" t="str">
        <f>IF($A199="","",INDEX(Movimientos!$K$5:$K$3004,MATCH($A199,Movimientos!$M$5:$M$3004,0))&amp;"")</f>
        <v/>
      </c>
    </row>
    <row r="200" spans="1:10" x14ac:dyDescent="0.25">
      <c r="A200" s="14" t="str">
        <f>IF(192&lt;=COUNTIF(Movimientos!$M$5:$M$3004,"&gt;0"),192,"")</f>
        <v/>
      </c>
      <c r="B200" s="30" t="str">
        <f>IF($A200="","",INDEX(Movimientos!$A$5:$A$3004,MATCH($A200,Movimientos!$M$5:$M$3004,0)))</f>
        <v/>
      </c>
      <c r="C200" s="14" t="str">
        <f>IF($A200="","",INDEX(Movimientos!$B$5:$B$3004,MATCH($A200,Movimientos!$M$5:$M$3004,0)))</f>
        <v/>
      </c>
      <c r="D200" s="14" t="str">
        <f>IF($A200="","",INDEX(Movimientos!$J$5:$J$3004,MATCH($A200,Movimientos!$M$5:$M$3004,0))&amp;"")</f>
        <v/>
      </c>
      <c r="E200" s="14" t="str">
        <f>IF($A200="","",IF(C200="Entrada",INDEX(Movimientos!$F$5:$F$3004,MATCH($A200,Movimientos!$M$5:$M$3004,0)),""))</f>
        <v/>
      </c>
      <c r="F200" s="14" t="str">
        <f>IF($A200="","",IF(C200="Salida",INDEX(Movimientos!$F$5:$F$3004,MATCH($A200,Movimientos!$M$5:$M$3004,0)),""))</f>
        <v/>
      </c>
      <c r="G200" s="14" t="str">
        <f>IF($A200="","",INDEX(Movimientos!$I$5:$I$3004,MATCH($A200,Movimientos!$M$5:$M$3004,0)))</f>
        <v/>
      </c>
      <c r="H200" s="22" t="str">
        <f>IF($A200="","",INDEX(Movimientos!$G$5:$G$3004,MATCH($A200,Movimientos!$M$5:$M$3004,0)))</f>
        <v/>
      </c>
      <c r="I200" s="22" t="str">
        <f>IF($A200="","",INDEX(Movimientos!$H$5:$H$3004,MATCH($A200,Movimientos!$M$5:$M$3004,0)))</f>
        <v/>
      </c>
      <c r="J200" s="14" t="str">
        <f>IF($A200="","",INDEX(Movimientos!$K$5:$K$3004,MATCH($A200,Movimientos!$M$5:$M$3004,0))&amp;"")</f>
        <v/>
      </c>
    </row>
    <row r="201" spans="1:10" x14ac:dyDescent="0.25">
      <c r="A201" s="14" t="str">
        <f>IF(193&lt;=COUNTIF(Movimientos!$M$5:$M$3004,"&gt;0"),193,"")</f>
        <v/>
      </c>
      <c r="B201" s="30" t="str">
        <f>IF($A201="","",INDEX(Movimientos!$A$5:$A$3004,MATCH($A201,Movimientos!$M$5:$M$3004,0)))</f>
        <v/>
      </c>
      <c r="C201" s="14" t="str">
        <f>IF($A201="","",INDEX(Movimientos!$B$5:$B$3004,MATCH($A201,Movimientos!$M$5:$M$3004,0)))</f>
        <v/>
      </c>
      <c r="D201" s="14" t="str">
        <f>IF($A201="","",INDEX(Movimientos!$J$5:$J$3004,MATCH($A201,Movimientos!$M$5:$M$3004,0))&amp;"")</f>
        <v/>
      </c>
      <c r="E201" s="14" t="str">
        <f>IF($A201="","",IF(C201="Entrada",INDEX(Movimientos!$F$5:$F$3004,MATCH($A201,Movimientos!$M$5:$M$3004,0)),""))</f>
        <v/>
      </c>
      <c r="F201" s="14" t="str">
        <f>IF($A201="","",IF(C201="Salida",INDEX(Movimientos!$F$5:$F$3004,MATCH($A201,Movimientos!$M$5:$M$3004,0)),""))</f>
        <v/>
      </c>
      <c r="G201" s="14" t="str">
        <f>IF($A201="","",INDEX(Movimientos!$I$5:$I$3004,MATCH($A201,Movimientos!$M$5:$M$3004,0)))</f>
        <v/>
      </c>
      <c r="H201" s="22" t="str">
        <f>IF($A201="","",INDEX(Movimientos!$G$5:$G$3004,MATCH($A201,Movimientos!$M$5:$M$3004,0)))</f>
        <v/>
      </c>
      <c r="I201" s="22" t="str">
        <f>IF($A201="","",INDEX(Movimientos!$H$5:$H$3004,MATCH($A201,Movimientos!$M$5:$M$3004,0)))</f>
        <v/>
      </c>
      <c r="J201" s="14" t="str">
        <f>IF($A201="","",INDEX(Movimientos!$K$5:$K$3004,MATCH($A201,Movimientos!$M$5:$M$3004,0))&amp;"")</f>
        <v/>
      </c>
    </row>
    <row r="202" spans="1:10" x14ac:dyDescent="0.25">
      <c r="A202" s="14" t="str">
        <f>IF(194&lt;=COUNTIF(Movimientos!$M$5:$M$3004,"&gt;0"),194,"")</f>
        <v/>
      </c>
      <c r="B202" s="30" t="str">
        <f>IF($A202="","",INDEX(Movimientos!$A$5:$A$3004,MATCH($A202,Movimientos!$M$5:$M$3004,0)))</f>
        <v/>
      </c>
      <c r="C202" s="14" t="str">
        <f>IF($A202="","",INDEX(Movimientos!$B$5:$B$3004,MATCH($A202,Movimientos!$M$5:$M$3004,0)))</f>
        <v/>
      </c>
      <c r="D202" s="14" t="str">
        <f>IF($A202="","",INDEX(Movimientos!$J$5:$J$3004,MATCH($A202,Movimientos!$M$5:$M$3004,0))&amp;"")</f>
        <v/>
      </c>
      <c r="E202" s="14" t="str">
        <f>IF($A202="","",IF(C202="Entrada",INDEX(Movimientos!$F$5:$F$3004,MATCH($A202,Movimientos!$M$5:$M$3004,0)),""))</f>
        <v/>
      </c>
      <c r="F202" s="14" t="str">
        <f>IF($A202="","",IF(C202="Salida",INDEX(Movimientos!$F$5:$F$3004,MATCH($A202,Movimientos!$M$5:$M$3004,0)),""))</f>
        <v/>
      </c>
      <c r="G202" s="14" t="str">
        <f>IF($A202="","",INDEX(Movimientos!$I$5:$I$3004,MATCH($A202,Movimientos!$M$5:$M$3004,0)))</f>
        <v/>
      </c>
      <c r="H202" s="22" t="str">
        <f>IF($A202="","",INDEX(Movimientos!$G$5:$G$3004,MATCH($A202,Movimientos!$M$5:$M$3004,0)))</f>
        <v/>
      </c>
      <c r="I202" s="22" t="str">
        <f>IF($A202="","",INDEX(Movimientos!$H$5:$H$3004,MATCH($A202,Movimientos!$M$5:$M$3004,0)))</f>
        <v/>
      </c>
      <c r="J202" s="14" t="str">
        <f>IF($A202="","",INDEX(Movimientos!$K$5:$K$3004,MATCH($A202,Movimientos!$M$5:$M$3004,0))&amp;"")</f>
        <v/>
      </c>
    </row>
    <row r="203" spans="1:10" x14ac:dyDescent="0.25">
      <c r="A203" s="14" t="str">
        <f>IF(195&lt;=COUNTIF(Movimientos!$M$5:$M$3004,"&gt;0"),195,"")</f>
        <v/>
      </c>
      <c r="B203" s="30" t="str">
        <f>IF($A203="","",INDEX(Movimientos!$A$5:$A$3004,MATCH($A203,Movimientos!$M$5:$M$3004,0)))</f>
        <v/>
      </c>
      <c r="C203" s="14" t="str">
        <f>IF($A203="","",INDEX(Movimientos!$B$5:$B$3004,MATCH($A203,Movimientos!$M$5:$M$3004,0)))</f>
        <v/>
      </c>
      <c r="D203" s="14" t="str">
        <f>IF($A203="","",INDEX(Movimientos!$J$5:$J$3004,MATCH($A203,Movimientos!$M$5:$M$3004,0))&amp;"")</f>
        <v/>
      </c>
      <c r="E203" s="14" t="str">
        <f>IF($A203="","",IF(C203="Entrada",INDEX(Movimientos!$F$5:$F$3004,MATCH($A203,Movimientos!$M$5:$M$3004,0)),""))</f>
        <v/>
      </c>
      <c r="F203" s="14" t="str">
        <f>IF($A203="","",IF(C203="Salida",INDEX(Movimientos!$F$5:$F$3004,MATCH($A203,Movimientos!$M$5:$M$3004,0)),""))</f>
        <v/>
      </c>
      <c r="G203" s="14" t="str">
        <f>IF($A203="","",INDEX(Movimientos!$I$5:$I$3004,MATCH($A203,Movimientos!$M$5:$M$3004,0)))</f>
        <v/>
      </c>
      <c r="H203" s="22" t="str">
        <f>IF($A203="","",INDEX(Movimientos!$G$5:$G$3004,MATCH($A203,Movimientos!$M$5:$M$3004,0)))</f>
        <v/>
      </c>
      <c r="I203" s="22" t="str">
        <f>IF($A203="","",INDEX(Movimientos!$H$5:$H$3004,MATCH($A203,Movimientos!$M$5:$M$3004,0)))</f>
        <v/>
      </c>
      <c r="J203" s="14" t="str">
        <f>IF($A203="","",INDEX(Movimientos!$K$5:$K$3004,MATCH($A203,Movimientos!$M$5:$M$3004,0))&amp;"")</f>
        <v/>
      </c>
    </row>
    <row r="204" spans="1:10" x14ac:dyDescent="0.25">
      <c r="A204" s="14" t="str">
        <f>IF(196&lt;=COUNTIF(Movimientos!$M$5:$M$3004,"&gt;0"),196,"")</f>
        <v/>
      </c>
      <c r="B204" s="30" t="str">
        <f>IF($A204="","",INDEX(Movimientos!$A$5:$A$3004,MATCH($A204,Movimientos!$M$5:$M$3004,0)))</f>
        <v/>
      </c>
      <c r="C204" s="14" t="str">
        <f>IF($A204="","",INDEX(Movimientos!$B$5:$B$3004,MATCH($A204,Movimientos!$M$5:$M$3004,0)))</f>
        <v/>
      </c>
      <c r="D204" s="14" t="str">
        <f>IF($A204="","",INDEX(Movimientos!$J$5:$J$3004,MATCH($A204,Movimientos!$M$5:$M$3004,0))&amp;"")</f>
        <v/>
      </c>
      <c r="E204" s="14" t="str">
        <f>IF($A204="","",IF(C204="Entrada",INDEX(Movimientos!$F$5:$F$3004,MATCH($A204,Movimientos!$M$5:$M$3004,0)),""))</f>
        <v/>
      </c>
      <c r="F204" s="14" t="str">
        <f>IF($A204="","",IF(C204="Salida",INDEX(Movimientos!$F$5:$F$3004,MATCH($A204,Movimientos!$M$5:$M$3004,0)),""))</f>
        <v/>
      </c>
      <c r="G204" s="14" t="str">
        <f>IF($A204="","",INDEX(Movimientos!$I$5:$I$3004,MATCH($A204,Movimientos!$M$5:$M$3004,0)))</f>
        <v/>
      </c>
      <c r="H204" s="22" t="str">
        <f>IF($A204="","",INDEX(Movimientos!$G$5:$G$3004,MATCH($A204,Movimientos!$M$5:$M$3004,0)))</f>
        <v/>
      </c>
      <c r="I204" s="22" t="str">
        <f>IF($A204="","",INDEX(Movimientos!$H$5:$H$3004,MATCH($A204,Movimientos!$M$5:$M$3004,0)))</f>
        <v/>
      </c>
      <c r="J204" s="14" t="str">
        <f>IF($A204="","",INDEX(Movimientos!$K$5:$K$3004,MATCH($A204,Movimientos!$M$5:$M$3004,0))&amp;"")</f>
        <v/>
      </c>
    </row>
    <row r="205" spans="1:10" x14ac:dyDescent="0.25">
      <c r="A205" s="14" t="str">
        <f>IF(197&lt;=COUNTIF(Movimientos!$M$5:$M$3004,"&gt;0"),197,"")</f>
        <v/>
      </c>
      <c r="B205" s="30" t="str">
        <f>IF($A205="","",INDEX(Movimientos!$A$5:$A$3004,MATCH($A205,Movimientos!$M$5:$M$3004,0)))</f>
        <v/>
      </c>
      <c r="C205" s="14" t="str">
        <f>IF($A205="","",INDEX(Movimientos!$B$5:$B$3004,MATCH($A205,Movimientos!$M$5:$M$3004,0)))</f>
        <v/>
      </c>
      <c r="D205" s="14" t="str">
        <f>IF($A205="","",INDEX(Movimientos!$J$5:$J$3004,MATCH($A205,Movimientos!$M$5:$M$3004,0))&amp;"")</f>
        <v/>
      </c>
      <c r="E205" s="14" t="str">
        <f>IF($A205="","",IF(C205="Entrada",INDEX(Movimientos!$F$5:$F$3004,MATCH($A205,Movimientos!$M$5:$M$3004,0)),""))</f>
        <v/>
      </c>
      <c r="F205" s="14" t="str">
        <f>IF($A205="","",IF(C205="Salida",INDEX(Movimientos!$F$5:$F$3004,MATCH($A205,Movimientos!$M$5:$M$3004,0)),""))</f>
        <v/>
      </c>
      <c r="G205" s="14" t="str">
        <f>IF($A205="","",INDEX(Movimientos!$I$5:$I$3004,MATCH($A205,Movimientos!$M$5:$M$3004,0)))</f>
        <v/>
      </c>
      <c r="H205" s="22" t="str">
        <f>IF($A205="","",INDEX(Movimientos!$G$5:$G$3004,MATCH($A205,Movimientos!$M$5:$M$3004,0)))</f>
        <v/>
      </c>
      <c r="I205" s="22" t="str">
        <f>IF($A205="","",INDEX(Movimientos!$H$5:$H$3004,MATCH($A205,Movimientos!$M$5:$M$3004,0)))</f>
        <v/>
      </c>
      <c r="J205" s="14" t="str">
        <f>IF($A205="","",INDEX(Movimientos!$K$5:$K$3004,MATCH($A205,Movimientos!$M$5:$M$3004,0))&amp;"")</f>
        <v/>
      </c>
    </row>
    <row r="206" spans="1:10" x14ac:dyDescent="0.25">
      <c r="A206" s="14" t="str">
        <f>IF(198&lt;=COUNTIF(Movimientos!$M$5:$M$3004,"&gt;0"),198,"")</f>
        <v/>
      </c>
      <c r="B206" s="30" t="str">
        <f>IF($A206="","",INDEX(Movimientos!$A$5:$A$3004,MATCH($A206,Movimientos!$M$5:$M$3004,0)))</f>
        <v/>
      </c>
      <c r="C206" s="14" t="str">
        <f>IF($A206="","",INDEX(Movimientos!$B$5:$B$3004,MATCH($A206,Movimientos!$M$5:$M$3004,0)))</f>
        <v/>
      </c>
      <c r="D206" s="14" t="str">
        <f>IF($A206="","",INDEX(Movimientos!$J$5:$J$3004,MATCH($A206,Movimientos!$M$5:$M$3004,0))&amp;"")</f>
        <v/>
      </c>
      <c r="E206" s="14" t="str">
        <f>IF($A206="","",IF(C206="Entrada",INDEX(Movimientos!$F$5:$F$3004,MATCH($A206,Movimientos!$M$5:$M$3004,0)),""))</f>
        <v/>
      </c>
      <c r="F206" s="14" t="str">
        <f>IF($A206="","",IF(C206="Salida",INDEX(Movimientos!$F$5:$F$3004,MATCH($A206,Movimientos!$M$5:$M$3004,0)),""))</f>
        <v/>
      </c>
      <c r="G206" s="14" t="str">
        <f>IF($A206="","",INDEX(Movimientos!$I$5:$I$3004,MATCH($A206,Movimientos!$M$5:$M$3004,0)))</f>
        <v/>
      </c>
      <c r="H206" s="22" t="str">
        <f>IF($A206="","",INDEX(Movimientos!$G$5:$G$3004,MATCH($A206,Movimientos!$M$5:$M$3004,0)))</f>
        <v/>
      </c>
      <c r="I206" s="22" t="str">
        <f>IF($A206="","",INDEX(Movimientos!$H$5:$H$3004,MATCH($A206,Movimientos!$M$5:$M$3004,0)))</f>
        <v/>
      </c>
      <c r="J206" s="14" t="str">
        <f>IF($A206="","",INDEX(Movimientos!$K$5:$K$3004,MATCH($A206,Movimientos!$M$5:$M$3004,0))&amp;"")</f>
        <v/>
      </c>
    </row>
    <row r="207" spans="1:10" x14ac:dyDescent="0.25">
      <c r="A207" s="14" t="str">
        <f>IF(199&lt;=COUNTIF(Movimientos!$M$5:$M$3004,"&gt;0"),199,"")</f>
        <v/>
      </c>
      <c r="B207" s="30" t="str">
        <f>IF($A207="","",INDEX(Movimientos!$A$5:$A$3004,MATCH($A207,Movimientos!$M$5:$M$3004,0)))</f>
        <v/>
      </c>
      <c r="C207" s="14" t="str">
        <f>IF($A207="","",INDEX(Movimientos!$B$5:$B$3004,MATCH($A207,Movimientos!$M$5:$M$3004,0)))</f>
        <v/>
      </c>
      <c r="D207" s="14" t="str">
        <f>IF($A207="","",INDEX(Movimientos!$J$5:$J$3004,MATCH($A207,Movimientos!$M$5:$M$3004,0))&amp;"")</f>
        <v/>
      </c>
      <c r="E207" s="14" t="str">
        <f>IF($A207="","",IF(C207="Entrada",INDEX(Movimientos!$F$5:$F$3004,MATCH($A207,Movimientos!$M$5:$M$3004,0)),""))</f>
        <v/>
      </c>
      <c r="F207" s="14" t="str">
        <f>IF($A207="","",IF(C207="Salida",INDEX(Movimientos!$F$5:$F$3004,MATCH($A207,Movimientos!$M$5:$M$3004,0)),""))</f>
        <v/>
      </c>
      <c r="G207" s="14" t="str">
        <f>IF($A207="","",INDEX(Movimientos!$I$5:$I$3004,MATCH($A207,Movimientos!$M$5:$M$3004,0)))</f>
        <v/>
      </c>
      <c r="H207" s="22" t="str">
        <f>IF($A207="","",INDEX(Movimientos!$G$5:$G$3004,MATCH($A207,Movimientos!$M$5:$M$3004,0)))</f>
        <v/>
      </c>
      <c r="I207" s="22" t="str">
        <f>IF($A207="","",INDEX(Movimientos!$H$5:$H$3004,MATCH($A207,Movimientos!$M$5:$M$3004,0)))</f>
        <v/>
      </c>
      <c r="J207" s="14" t="str">
        <f>IF($A207="","",INDEX(Movimientos!$K$5:$K$3004,MATCH($A207,Movimientos!$M$5:$M$3004,0))&amp;"")</f>
        <v/>
      </c>
    </row>
    <row r="208" spans="1:10" x14ac:dyDescent="0.25">
      <c r="A208" s="14" t="str">
        <f>IF(200&lt;=COUNTIF(Movimientos!$M$5:$M$3004,"&gt;0"),200,"")</f>
        <v/>
      </c>
      <c r="B208" s="30" t="str">
        <f>IF($A208="","",INDEX(Movimientos!$A$5:$A$3004,MATCH($A208,Movimientos!$M$5:$M$3004,0)))</f>
        <v/>
      </c>
      <c r="C208" s="14" t="str">
        <f>IF($A208="","",INDEX(Movimientos!$B$5:$B$3004,MATCH($A208,Movimientos!$M$5:$M$3004,0)))</f>
        <v/>
      </c>
      <c r="D208" s="14" t="str">
        <f>IF($A208="","",INDEX(Movimientos!$J$5:$J$3004,MATCH($A208,Movimientos!$M$5:$M$3004,0))&amp;"")</f>
        <v/>
      </c>
      <c r="E208" s="14" t="str">
        <f>IF($A208="","",IF(C208="Entrada",INDEX(Movimientos!$F$5:$F$3004,MATCH($A208,Movimientos!$M$5:$M$3004,0)),""))</f>
        <v/>
      </c>
      <c r="F208" s="14" t="str">
        <f>IF($A208="","",IF(C208="Salida",INDEX(Movimientos!$F$5:$F$3004,MATCH($A208,Movimientos!$M$5:$M$3004,0)),""))</f>
        <v/>
      </c>
      <c r="G208" s="14" t="str">
        <f>IF($A208="","",INDEX(Movimientos!$I$5:$I$3004,MATCH($A208,Movimientos!$M$5:$M$3004,0)))</f>
        <v/>
      </c>
      <c r="H208" s="22" t="str">
        <f>IF($A208="","",INDEX(Movimientos!$G$5:$G$3004,MATCH($A208,Movimientos!$M$5:$M$3004,0)))</f>
        <v/>
      </c>
      <c r="I208" s="22" t="str">
        <f>IF($A208="","",INDEX(Movimientos!$H$5:$H$3004,MATCH($A208,Movimientos!$M$5:$M$3004,0)))</f>
        <v/>
      </c>
      <c r="J208" s="14" t="str">
        <f>IF($A208="","",INDEX(Movimientos!$K$5:$K$3004,MATCH($A208,Movimientos!$M$5:$M$3004,0))&amp;"")</f>
        <v/>
      </c>
    </row>
    <row r="209" spans="1:10" x14ac:dyDescent="0.25">
      <c r="A209" s="14" t="str">
        <f>IF(201&lt;=COUNTIF(Movimientos!$M$5:$M$3004,"&gt;0"),201,"")</f>
        <v/>
      </c>
      <c r="B209" s="30" t="str">
        <f>IF($A209="","",INDEX(Movimientos!$A$5:$A$3004,MATCH($A209,Movimientos!$M$5:$M$3004,0)))</f>
        <v/>
      </c>
      <c r="C209" s="14" t="str">
        <f>IF($A209="","",INDEX(Movimientos!$B$5:$B$3004,MATCH($A209,Movimientos!$M$5:$M$3004,0)))</f>
        <v/>
      </c>
      <c r="D209" s="14" t="str">
        <f>IF($A209="","",INDEX(Movimientos!$J$5:$J$3004,MATCH($A209,Movimientos!$M$5:$M$3004,0))&amp;"")</f>
        <v/>
      </c>
      <c r="E209" s="14" t="str">
        <f>IF($A209="","",IF(C209="Entrada",INDEX(Movimientos!$F$5:$F$3004,MATCH($A209,Movimientos!$M$5:$M$3004,0)),""))</f>
        <v/>
      </c>
      <c r="F209" s="14" t="str">
        <f>IF($A209="","",IF(C209="Salida",INDEX(Movimientos!$F$5:$F$3004,MATCH($A209,Movimientos!$M$5:$M$3004,0)),""))</f>
        <v/>
      </c>
      <c r="G209" s="14" t="str">
        <f>IF($A209="","",INDEX(Movimientos!$I$5:$I$3004,MATCH($A209,Movimientos!$M$5:$M$3004,0)))</f>
        <v/>
      </c>
      <c r="H209" s="22" t="str">
        <f>IF($A209="","",INDEX(Movimientos!$G$5:$G$3004,MATCH($A209,Movimientos!$M$5:$M$3004,0)))</f>
        <v/>
      </c>
      <c r="I209" s="22" t="str">
        <f>IF($A209="","",INDEX(Movimientos!$H$5:$H$3004,MATCH($A209,Movimientos!$M$5:$M$3004,0)))</f>
        <v/>
      </c>
      <c r="J209" s="14" t="str">
        <f>IF($A209="","",INDEX(Movimientos!$K$5:$K$3004,MATCH($A209,Movimientos!$M$5:$M$3004,0))&amp;"")</f>
        <v/>
      </c>
    </row>
    <row r="210" spans="1:10" x14ac:dyDescent="0.25">
      <c r="A210" s="14" t="str">
        <f>IF(202&lt;=COUNTIF(Movimientos!$M$5:$M$3004,"&gt;0"),202,"")</f>
        <v/>
      </c>
      <c r="B210" s="30" t="str">
        <f>IF($A210="","",INDEX(Movimientos!$A$5:$A$3004,MATCH($A210,Movimientos!$M$5:$M$3004,0)))</f>
        <v/>
      </c>
      <c r="C210" s="14" t="str">
        <f>IF($A210="","",INDEX(Movimientos!$B$5:$B$3004,MATCH($A210,Movimientos!$M$5:$M$3004,0)))</f>
        <v/>
      </c>
      <c r="D210" s="14" t="str">
        <f>IF($A210="","",INDEX(Movimientos!$J$5:$J$3004,MATCH($A210,Movimientos!$M$5:$M$3004,0))&amp;"")</f>
        <v/>
      </c>
      <c r="E210" s="14" t="str">
        <f>IF($A210="","",IF(C210="Entrada",INDEX(Movimientos!$F$5:$F$3004,MATCH($A210,Movimientos!$M$5:$M$3004,0)),""))</f>
        <v/>
      </c>
      <c r="F210" s="14" t="str">
        <f>IF($A210="","",IF(C210="Salida",INDEX(Movimientos!$F$5:$F$3004,MATCH($A210,Movimientos!$M$5:$M$3004,0)),""))</f>
        <v/>
      </c>
      <c r="G210" s="14" t="str">
        <f>IF($A210="","",INDEX(Movimientos!$I$5:$I$3004,MATCH($A210,Movimientos!$M$5:$M$3004,0)))</f>
        <v/>
      </c>
      <c r="H210" s="22" t="str">
        <f>IF($A210="","",INDEX(Movimientos!$G$5:$G$3004,MATCH($A210,Movimientos!$M$5:$M$3004,0)))</f>
        <v/>
      </c>
      <c r="I210" s="22" t="str">
        <f>IF($A210="","",INDEX(Movimientos!$H$5:$H$3004,MATCH($A210,Movimientos!$M$5:$M$3004,0)))</f>
        <v/>
      </c>
      <c r="J210" s="14" t="str">
        <f>IF($A210="","",INDEX(Movimientos!$K$5:$K$3004,MATCH($A210,Movimientos!$M$5:$M$3004,0))&amp;"")</f>
        <v/>
      </c>
    </row>
    <row r="211" spans="1:10" x14ac:dyDescent="0.25">
      <c r="A211" s="14" t="str">
        <f>IF(203&lt;=COUNTIF(Movimientos!$M$5:$M$3004,"&gt;0"),203,"")</f>
        <v/>
      </c>
      <c r="B211" s="30" t="str">
        <f>IF($A211="","",INDEX(Movimientos!$A$5:$A$3004,MATCH($A211,Movimientos!$M$5:$M$3004,0)))</f>
        <v/>
      </c>
      <c r="C211" s="14" t="str">
        <f>IF($A211="","",INDEX(Movimientos!$B$5:$B$3004,MATCH($A211,Movimientos!$M$5:$M$3004,0)))</f>
        <v/>
      </c>
      <c r="D211" s="14" t="str">
        <f>IF($A211="","",INDEX(Movimientos!$J$5:$J$3004,MATCH($A211,Movimientos!$M$5:$M$3004,0))&amp;"")</f>
        <v/>
      </c>
      <c r="E211" s="14" t="str">
        <f>IF($A211="","",IF(C211="Entrada",INDEX(Movimientos!$F$5:$F$3004,MATCH($A211,Movimientos!$M$5:$M$3004,0)),""))</f>
        <v/>
      </c>
      <c r="F211" s="14" t="str">
        <f>IF($A211="","",IF(C211="Salida",INDEX(Movimientos!$F$5:$F$3004,MATCH($A211,Movimientos!$M$5:$M$3004,0)),""))</f>
        <v/>
      </c>
      <c r="G211" s="14" t="str">
        <f>IF($A211="","",INDEX(Movimientos!$I$5:$I$3004,MATCH($A211,Movimientos!$M$5:$M$3004,0)))</f>
        <v/>
      </c>
      <c r="H211" s="22" t="str">
        <f>IF($A211="","",INDEX(Movimientos!$G$5:$G$3004,MATCH($A211,Movimientos!$M$5:$M$3004,0)))</f>
        <v/>
      </c>
      <c r="I211" s="22" t="str">
        <f>IF($A211="","",INDEX(Movimientos!$H$5:$H$3004,MATCH($A211,Movimientos!$M$5:$M$3004,0)))</f>
        <v/>
      </c>
      <c r="J211" s="14" t="str">
        <f>IF($A211="","",INDEX(Movimientos!$K$5:$K$3004,MATCH($A211,Movimientos!$M$5:$M$3004,0))&amp;"")</f>
        <v/>
      </c>
    </row>
    <row r="212" spans="1:10" x14ac:dyDescent="0.25">
      <c r="A212" s="14" t="str">
        <f>IF(204&lt;=COUNTIF(Movimientos!$M$5:$M$3004,"&gt;0"),204,"")</f>
        <v/>
      </c>
      <c r="B212" s="30" t="str">
        <f>IF($A212="","",INDEX(Movimientos!$A$5:$A$3004,MATCH($A212,Movimientos!$M$5:$M$3004,0)))</f>
        <v/>
      </c>
      <c r="C212" s="14" t="str">
        <f>IF($A212="","",INDEX(Movimientos!$B$5:$B$3004,MATCH($A212,Movimientos!$M$5:$M$3004,0)))</f>
        <v/>
      </c>
      <c r="D212" s="14" t="str">
        <f>IF($A212="","",INDEX(Movimientos!$J$5:$J$3004,MATCH($A212,Movimientos!$M$5:$M$3004,0))&amp;"")</f>
        <v/>
      </c>
      <c r="E212" s="14" t="str">
        <f>IF($A212="","",IF(C212="Entrada",INDEX(Movimientos!$F$5:$F$3004,MATCH($A212,Movimientos!$M$5:$M$3004,0)),""))</f>
        <v/>
      </c>
      <c r="F212" s="14" t="str">
        <f>IF($A212="","",IF(C212="Salida",INDEX(Movimientos!$F$5:$F$3004,MATCH($A212,Movimientos!$M$5:$M$3004,0)),""))</f>
        <v/>
      </c>
      <c r="G212" s="14" t="str">
        <f>IF($A212="","",INDEX(Movimientos!$I$5:$I$3004,MATCH($A212,Movimientos!$M$5:$M$3004,0)))</f>
        <v/>
      </c>
      <c r="H212" s="22" t="str">
        <f>IF($A212="","",INDEX(Movimientos!$G$5:$G$3004,MATCH($A212,Movimientos!$M$5:$M$3004,0)))</f>
        <v/>
      </c>
      <c r="I212" s="22" t="str">
        <f>IF($A212="","",INDEX(Movimientos!$H$5:$H$3004,MATCH($A212,Movimientos!$M$5:$M$3004,0)))</f>
        <v/>
      </c>
      <c r="J212" s="14" t="str">
        <f>IF($A212="","",INDEX(Movimientos!$K$5:$K$3004,MATCH($A212,Movimientos!$M$5:$M$3004,0))&amp;"")</f>
        <v/>
      </c>
    </row>
    <row r="213" spans="1:10" x14ac:dyDescent="0.25">
      <c r="A213" s="14" t="str">
        <f>IF(205&lt;=COUNTIF(Movimientos!$M$5:$M$3004,"&gt;0"),205,"")</f>
        <v/>
      </c>
      <c r="B213" s="30" t="str">
        <f>IF($A213="","",INDEX(Movimientos!$A$5:$A$3004,MATCH($A213,Movimientos!$M$5:$M$3004,0)))</f>
        <v/>
      </c>
      <c r="C213" s="14" t="str">
        <f>IF($A213="","",INDEX(Movimientos!$B$5:$B$3004,MATCH($A213,Movimientos!$M$5:$M$3004,0)))</f>
        <v/>
      </c>
      <c r="D213" s="14" t="str">
        <f>IF($A213="","",INDEX(Movimientos!$J$5:$J$3004,MATCH($A213,Movimientos!$M$5:$M$3004,0))&amp;"")</f>
        <v/>
      </c>
      <c r="E213" s="14" t="str">
        <f>IF($A213="","",IF(C213="Entrada",INDEX(Movimientos!$F$5:$F$3004,MATCH($A213,Movimientos!$M$5:$M$3004,0)),""))</f>
        <v/>
      </c>
      <c r="F213" s="14" t="str">
        <f>IF($A213="","",IF(C213="Salida",INDEX(Movimientos!$F$5:$F$3004,MATCH($A213,Movimientos!$M$5:$M$3004,0)),""))</f>
        <v/>
      </c>
      <c r="G213" s="14" t="str">
        <f>IF($A213="","",INDEX(Movimientos!$I$5:$I$3004,MATCH($A213,Movimientos!$M$5:$M$3004,0)))</f>
        <v/>
      </c>
      <c r="H213" s="22" t="str">
        <f>IF($A213="","",INDEX(Movimientos!$G$5:$G$3004,MATCH($A213,Movimientos!$M$5:$M$3004,0)))</f>
        <v/>
      </c>
      <c r="I213" s="22" t="str">
        <f>IF($A213="","",INDEX(Movimientos!$H$5:$H$3004,MATCH($A213,Movimientos!$M$5:$M$3004,0)))</f>
        <v/>
      </c>
      <c r="J213" s="14" t="str">
        <f>IF($A213="","",INDEX(Movimientos!$K$5:$K$3004,MATCH($A213,Movimientos!$M$5:$M$3004,0))&amp;"")</f>
        <v/>
      </c>
    </row>
    <row r="214" spans="1:10" x14ac:dyDescent="0.25">
      <c r="A214" s="14" t="str">
        <f>IF(206&lt;=COUNTIF(Movimientos!$M$5:$M$3004,"&gt;0"),206,"")</f>
        <v/>
      </c>
      <c r="B214" s="30" t="str">
        <f>IF($A214="","",INDEX(Movimientos!$A$5:$A$3004,MATCH($A214,Movimientos!$M$5:$M$3004,0)))</f>
        <v/>
      </c>
      <c r="C214" s="14" t="str">
        <f>IF($A214="","",INDEX(Movimientos!$B$5:$B$3004,MATCH($A214,Movimientos!$M$5:$M$3004,0)))</f>
        <v/>
      </c>
      <c r="D214" s="14" t="str">
        <f>IF($A214="","",INDEX(Movimientos!$J$5:$J$3004,MATCH($A214,Movimientos!$M$5:$M$3004,0))&amp;"")</f>
        <v/>
      </c>
      <c r="E214" s="14" t="str">
        <f>IF($A214="","",IF(C214="Entrada",INDEX(Movimientos!$F$5:$F$3004,MATCH($A214,Movimientos!$M$5:$M$3004,0)),""))</f>
        <v/>
      </c>
      <c r="F214" s="14" t="str">
        <f>IF($A214="","",IF(C214="Salida",INDEX(Movimientos!$F$5:$F$3004,MATCH($A214,Movimientos!$M$5:$M$3004,0)),""))</f>
        <v/>
      </c>
      <c r="G214" s="14" t="str">
        <f>IF($A214="","",INDEX(Movimientos!$I$5:$I$3004,MATCH($A214,Movimientos!$M$5:$M$3004,0)))</f>
        <v/>
      </c>
      <c r="H214" s="22" t="str">
        <f>IF($A214="","",INDEX(Movimientos!$G$5:$G$3004,MATCH($A214,Movimientos!$M$5:$M$3004,0)))</f>
        <v/>
      </c>
      <c r="I214" s="22" t="str">
        <f>IF($A214="","",INDEX(Movimientos!$H$5:$H$3004,MATCH($A214,Movimientos!$M$5:$M$3004,0)))</f>
        <v/>
      </c>
      <c r="J214" s="14" t="str">
        <f>IF($A214="","",INDEX(Movimientos!$K$5:$K$3004,MATCH($A214,Movimientos!$M$5:$M$3004,0))&amp;"")</f>
        <v/>
      </c>
    </row>
    <row r="215" spans="1:10" x14ac:dyDescent="0.25">
      <c r="A215" s="14" t="str">
        <f>IF(207&lt;=COUNTIF(Movimientos!$M$5:$M$3004,"&gt;0"),207,"")</f>
        <v/>
      </c>
      <c r="B215" s="30" t="str">
        <f>IF($A215="","",INDEX(Movimientos!$A$5:$A$3004,MATCH($A215,Movimientos!$M$5:$M$3004,0)))</f>
        <v/>
      </c>
      <c r="C215" s="14" t="str">
        <f>IF($A215="","",INDEX(Movimientos!$B$5:$B$3004,MATCH($A215,Movimientos!$M$5:$M$3004,0)))</f>
        <v/>
      </c>
      <c r="D215" s="14" t="str">
        <f>IF($A215="","",INDEX(Movimientos!$J$5:$J$3004,MATCH($A215,Movimientos!$M$5:$M$3004,0))&amp;"")</f>
        <v/>
      </c>
      <c r="E215" s="14" t="str">
        <f>IF($A215="","",IF(C215="Entrada",INDEX(Movimientos!$F$5:$F$3004,MATCH($A215,Movimientos!$M$5:$M$3004,0)),""))</f>
        <v/>
      </c>
      <c r="F215" s="14" t="str">
        <f>IF($A215="","",IF(C215="Salida",INDEX(Movimientos!$F$5:$F$3004,MATCH($A215,Movimientos!$M$5:$M$3004,0)),""))</f>
        <v/>
      </c>
      <c r="G215" s="14" t="str">
        <f>IF($A215="","",INDEX(Movimientos!$I$5:$I$3004,MATCH($A215,Movimientos!$M$5:$M$3004,0)))</f>
        <v/>
      </c>
      <c r="H215" s="22" t="str">
        <f>IF($A215="","",INDEX(Movimientos!$G$5:$G$3004,MATCH($A215,Movimientos!$M$5:$M$3004,0)))</f>
        <v/>
      </c>
      <c r="I215" s="22" t="str">
        <f>IF($A215="","",INDEX(Movimientos!$H$5:$H$3004,MATCH($A215,Movimientos!$M$5:$M$3004,0)))</f>
        <v/>
      </c>
      <c r="J215" s="14" t="str">
        <f>IF($A215="","",INDEX(Movimientos!$K$5:$K$3004,MATCH($A215,Movimientos!$M$5:$M$3004,0))&amp;"")</f>
        <v/>
      </c>
    </row>
    <row r="216" spans="1:10" x14ac:dyDescent="0.25">
      <c r="A216" s="14" t="str">
        <f>IF(208&lt;=COUNTIF(Movimientos!$M$5:$M$3004,"&gt;0"),208,"")</f>
        <v/>
      </c>
      <c r="B216" s="30" t="str">
        <f>IF($A216="","",INDEX(Movimientos!$A$5:$A$3004,MATCH($A216,Movimientos!$M$5:$M$3004,0)))</f>
        <v/>
      </c>
      <c r="C216" s="14" t="str">
        <f>IF($A216="","",INDEX(Movimientos!$B$5:$B$3004,MATCH($A216,Movimientos!$M$5:$M$3004,0)))</f>
        <v/>
      </c>
      <c r="D216" s="14" t="str">
        <f>IF($A216="","",INDEX(Movimientos!$J$5:$J$3004,MATCH($A216,Movimientos!$M$5:$M$3004,0))&amp;"")</f>
        <v/>
      </c>
      <c r="E216" s="14" t="str">
        <f>IF($A216="","",IF(C216="Entrada",INDEX(Movimientos!$F$5:$F$3004,MATCH($A216,Movimientos!$M$5:$M$3004,0)),""))</f>
        <v/>
      </c>
      <c r="F216" s="14" t="str">
        <f>IF($A216="","",IF(C216="Salida",INDEX(Movimientos!$F$5:$F$3004,MATCH($A216,Movimientos!$M$5:$M$3004,0)),""))</f>
        <v/>
      </c>
      <c r="G216" s="14" t="str">
        <f>IF($A216="","",INDEX(Movimientos!$I$5:$I$3004,MATCH($A216,Movimientos!$M$5:$M$3004,0)))</f>
        <v/>
      </c>
      <c r="H216" s="22" t="str">
        <f>IF($A216="","",INDEX(Movimientos!$G$5:$G$3004,MATCH($A216,Movimientos!$M$5:$M$3004,0)))</f>
        <v/>
      </c>
      <c r="I216" s="22" t="str">
        <f>IF($A216="","",INDEX(Movimientos!$H$5:$H$3004,MATCH($A216,Movimientos!$M$5:$M$3004,0)))</f>
        <v/>
      </c>
      <c r="J216" s="14" t="str">
        <f>IF($A216="","",INDEX(Movimientos!$K$5:$K$3004,MATCH($A216,Movimientos!$M$5:$M$3004,0))&amp;"")</f>
        <v/>
      </c>
    </row>
    <row r="217" spans="1:10" x14ac:dyDescent="0.25">
      <c r="A217" s="14" t="str">
        <f>IF(209&lt;=COUNTIF(Movimientos!$M$5:$M$3004,"&gt;0"),209,"")</f>
        <v/>
      </c>
      <c r="B217" s="30" t="str">
        <f>IF($A217="","",INDEX(Movimientos!$A$5:$A$3004,MATCH($A217,Movimientos!$M$5:$M$3004,0)))</f>
        <v/>
      </c>
      <c r="C217" s="14" t="str">
        <f>IF($A217="","",INDEX(Movimientos!$B$5:$B$3004,MATCH($A217,Movimientos!$M$5:$M$3004,0)))</f>
        <v/>
      </c>
      <c r="D217" s="14" t="str">
        <f>IF($A217="","",INDEX(Movimientos!$J$5:$J$3004,MATCH($A217,Movimientos!$M$5:$M$3004,0))&amp;"")</f>
        <v/>
      </c>
      <c r="E217" s="14" t="str">
        <f>IF($A217="","",IF(C217="Entrada",INDEX(Movimientos!$F$5:$F$3004,MATCH($A217,Movimientos!$M$5:$M$3004,0)),""))</f>
        <v/>
      </c>
      <c r="F217" s="14" t="str">
        <f>IF($A217="","",IF(C217="Salida",INDEX(Movimientos!$F$5:$F$3004,MATCH($A217,Movimientos!$M$5:$M$3004,0)),""))</f>
        <v/>
      </c>
      <c r="G217" s="14" t="str">
        <f>IF($A217="","",INDEX(Movimientos!$I$5:$I$3004,MATCH($A217,Movimientos!$M$5:$M$3004,0)))</f>
        <v/>
      </c>
      <c r="H217" s="22" t="str">
        <f>IF($A217="","",INDEX(Movimientos!$G$5:$G$3004,MATCH($A217,Movimientos!$M$5:$M$3004,0)))</f>
        <v/>
      </c>
      <c r="I217" s="22" t="str">
        <f>IF($A217="","",INDEX(Movimientos!$H$5:$H$3004,MATCH($A217,Movimientos!$M$5:$M$3004,0)))</f>
        <v/>
      </c>
      <c r="J217" s="14" t="str">
        <f>IF($A217="","",INDEX(Movimientos!$K$5:$K$3004,MATCH($A217,Movimientos!$M$5:$M$3004,0))&amp;"")</f>
        <v/>
      </c>
    </row>
    <row r="218" spans="1:10" x14ac:dyDescent="0.25">
      <c r="A218" s="14" t="str">
        <f>IF(210&lt;=COUNTIF(Movimientos!$M$5:$M$3004,"&gt;0"),210,"")</f>
        <v/>
      </c>
      <c r="B218" s="30" t="str">
        <f>IF($A218="","",INDEX(Movimientos!$A$5:$A$3004,MATCH($A218,Movimientos!$M$5:$M$3004,0)))</f>
        <v/>
      </c>
      <c r="C218" s="14" t="str">
        <f>IF($A218="","",INDEX(Movimientos!$B$5:$B$3004,MATCH($A218,Movimientos!$M$5:$M$3004,0)))</f>
        <v/>
      </c>
      <c r="D218" s="14" t="str">
        <f>IF($A218="","",INDEX(Movimientos!$J$5:$J$3004,MATCH($A218,Movimientos!$M$5:$M$3004,0))&amp;"")</f>
        <v/>
      </c>
      <c r="E218" s="14" t="str">
        <f>IF($A218="","",IF(C218="Entrada",INDEX(Movimientos!$F$5:$F$3004,MATCH($A218,Movimientos!$M$5:$M$3004,0)),""))</f>
        <v/>
      </c>
      <c r="F218" s="14" t="str">
        <f>IF($A218="","",IF(C218="Salida",INDEX(Movimientos!$F$5:$F$3004,MATCH($A218,Movimientos!$M$5:$M$3004,0)),""))</f>
        <v/>
      </c>
      <c r="G218" s="14" t="str">
        <f>IF($A218="","",INDEX(Movimientos!$I$5:$I$3004,MATCH($A218,Movimientos!$M$5:$M$3004,0)))</f>
        <v/>
      </c>
      <c r="H218" s="22" t="str">
        <f>IF($A218="","",INDEX(Movimientos!$G$5:$G$3004,MATCH($A218,Movimientos!$M$5:$M$3004,0)))</f>
        <v/>
      </c>
      <c r="I218" s="22" t="str">
        <f>IF($A218="","",INDEX(Movimientos!$H$5:$H$3004,MATCH($A218,Movimientos!$M$5:$M$3004,0)))</f>
        <v/>
      </c>
      <c r="J218" s="14" t="str">
        <f>IF($A218="","",INDEX(Movimientos!$K$5:$K$3004,MATCH($A218,Movimientos!$M$5:$M$3004,0))&amp;"")</f>
        <v/>
      </c>
    </row>
    <row r="219" spans="1:10" x14ac:dyDescent="0.25">
      <c r="A219" s="14" t="str">
        <f>IF(211&lt;=COUNTIF(Movimientos!$M$5:$M$3004,"&gt;0"),211,"")</f>
        <v/>
      </c>
      <c r="B219" s="30" t="str">
        <f>IF($A219="","",INDEX(Movimientos!$A$5:$A$3004,MATCH($A219,Movimientos!$M$5:$M$3004,0)))</f>
        <v/>
      </c>
      <c r="C219" s="14" t="str">
        <f>IF($A219="","",INDEX(Movimientos!$B$5:$B$3004,MATCH($A219,Movimientos!$M$5:$M$3004,0)))</f>
        <v/>
      </c>
      <c r="D219" s="14" t="str">
        <f>IF($A219="","",INDEX(Movimientos!$J$5:$J$3004,MATCH($A219,Movimientos!$M$5:$M$3004,0))&amp;"")</f>
        <v/>
      </c>
      <c r="E219" s="14" t="str">
        <f>IF($A219="","",IF(C219="Entrada",INDEX(Movimientos!$F$5:$F$3004,MATCH($A219,Movimientos!$M$5:$M$3004,0)),""))</f>
        <v/>
      </c>
      <c r="F219" s="14" t="str">
        <f>IF($A219="","",IF(C219="Salida",INDEX(Movimientos!$F$5:$F$3004,MATCH($A219,Movimientos!$M$5:$M$3004,0)),""))</f>
        <v/>
      </c>
      <c r="G219" s="14" t="str">
        <f>IF($A219="","",INDEX(Movimientos!$I$5:$I$3004,MATCH($A219,Movimientos!$M$5:$M$3004,0)))</f>
        <v/>
      </c>
      <c r="H219" s="22" t="str">
        <f>IF($A219="","",INDEX(Movimientos!$G$5:$G$3004,MATCH($A219,Movimientos!$M$5:$M$3004,0)))</f>
        <v/>
      </c>
      <c r="I219" s="22" t="str">
        <f>IF($A219="","",INDEX(Movimientos!$H$5:$H$3004,MATCH($A219,Movimientos!$M$5:$M$3004,0)))</f>
        <v/>
      </c>
      <c r="J219" s="14" t="str">
        <f>IF($A219="","",INDEX(Movimientos!$K$5:$K$3004,MATCH($A219,Movimientos!$M$5:$M$3004,0))&amp;"")</f>
        <v/>
      </c>
    </row>
    <row r="220" spans="1:10" x14ac:dyDescent="0.25">
      <c r="A220" s="14" t="str">
        <f>IF(212&lt;=COUNTIF(Movimientos!$M$5:$M$3004,"&gt;0"),212,"")</f>
        <v/>
      </c>
      <c r="B220" s="30" t="str">
        <f>IF($A220="","",INDEX(Movimientos!$A$5:$A$3004,MATCH($A220,Movimientos!$M$5:$M$3004,0)))</f>
        <v/>
      </c>
      <c r="C220" s="14" t="str">
        <f>IF($A220="","",INDEX(Movimientos!$B$5:$B$3004,MATCH($A220,Movimientos!$M$5:$M$3004,0)))</f>
        <v/>
      </c>
      <c r="D220" s="14" t="str">
        <f>IF($A220="","",INDEX(Movimientos!$J$5:$J$3004,MATCH($A220,Movimientos!$M$5:$M$3004,0))&amp;"")</f>
        <v/>
      </c>
      <c r="E220" s="14" t="str">
        <f>IF($A220="","",IF(C220="Entrada",INDEX(Movimientos!$F$5:$F$3004,MATCH($A220,Movimientos!$M$5:$M$3004,0)),""))</f>
        <v/>
      </c>
      <c r="F220" s="14" t="str">
        <f>IF($A220="","",IF(C220="Salida",INDEX(Movimientos!$F$5:$F$3004,MATCH($A220,Movimientos!$M$5:$M$3004,0)),""))</f>
        <v/>
      </c>
      <c r="G220" s="14" t="str">
        <f>IF($A220="","",INDEX(Movimientos!$I$5:$I$3004,MATCH($A220,Movimientos!$M$5:$M$3004,0)))</f>
        <v/>
      </c>
      <c r="H220" s="22" t="str">
        <f>IF($A220="","",INDEX(Movimientos!$G$5:$G$3004,MATCH($A220,Movimientos!$M$5:$M$3004,0)))</f>
        <v/>
      </c>
      <c r="I220" s="22" t="str">
        <f>IF($A220="","",INDEX(Movimientos!$H$5:$H$3004,MATCH($A220,Movimientos!$M$5:$M$3004,0)))</f>
        <v/>
      </c>
      <c r="J220" s="14" t="str">
        <f>IF($A220="","",INDEX(Movimientos!$K$5:$K$3004,MATCH($A220,Movimientos!$M$5:$M$3004,0))&amp;"")</f>
        <v/>
      </c>
    </row>
    <row r="221" spans="1:10" x14ac:dyDescent="0.25">
      <c r="A221" s="14" t="str">
        <f>IF(213&lt;=COUNTIF(Movimientos!$M$5:$M$3004,"&gt;0"),213,"")</f>
        <v/>
      </c>
      <c r="B221" s="30" t="str">
        <f>IF($A221="","",INDEX(Movimientos!$A$5:$A$3004,MATCH($A221,Movimientos!$M$5:$M$3004,0)))</f>
        <v/>
      </c>
      <c r="C221" s="14" t="str">
        <f>IF($A221="","",INDEX(Movimientos!$B$5:$B$3004,MATCH($A221,Movimientos!$M$5:$M$3004,0)))</f>
        <v/>
      </c>
      <c r="D221" s="14" t="str">
        <f>IF($A221="","",INDEX(Movimientos!$J$5:$J$3004,MATCH($A221,Movimientos!$M$5:$M$3004,0))&amp;"")</f>
        <v/>
      </c>
      <c r="E221" s="14" t="str">
        <f>IF($A221="","",IF(C221="Entrada",INDEX(Movimientos!$F$5:$F$3004,MATCH($A221,Movimientos!$M$5:$M$3004,0)),""))</f>
        <v/>
      </c>
      <c r="F221" s="14" t="str">
        <f>IF($A221="","",IF(C221="Salida",INDEX(Movimientos!$F$5:$F$3004,MATCH($A221,Movimientos!$M$5:$M$3004,0)),""))</f>
        <v/>
      </c>
      <c r="G221" s="14" t="str">
        <f>IF($A221="","",INDEX(Movimientos!$I$5:$I$3004,MATCH($A221,Movimientos!$M$5:$M$3004,0)))</f>
        <v/>
      </c>
      <c r="H221" s="22" t="str">
        <f>IF($A221="","",INDEX(Movimientos!$G$5:$G$3004,MATCH($A221,Movimientos!$M$5:$M$3004,0)))</f>
        <v/>
      </c>
      <c r="I221" s="22" t="str">
        <f>IF($A221="","",INDEX(Movimientos!$H$5:$H$3004,MATCH($A221,Movimientos!$M$5:$M$3004,0)))</f>
        <v/>
      </c>
      <c r="J221" s="14" t="str">
        <f>IF($A221="","",INDEX(Movimientos!$K$5:$K$3004,MATCH($A221,Movimientos!$M$5:$M$3004,0))&amp;"")</f>
        <v/>
      </c>
    </row>
    <row r="222" spans="1:10" x14ac:dyDescent="0.25">
      <c r="A222" s="14" t="str">
        <f>IF(214&lt;=COUNTIF(Movimientos!$M$5:$M$3004,"&gt;0"),214,"")</f>
        <v/>
      </c>
      <c r="B222" s="30" t="str">
        <f>IF($A222="","",INDEX(Movimientos!$A$5:$A$3004,MATCH($A222,Movimientos!$M$5:$M$3004,0)))</f>
        <v/>
      </c>
      <c r="C222" s="14" t="str">
        <f>IF($A222="","",INDEX(Movimientos!$B$5:$B$3004,MATCH($A222,Movimientos!$M$5:$M$3004,0)))</f>
        <v/>
      </c>
      <c r="D222" s="14" t="str">
        <f>IF($A222="","",INDEX(Movimientos!$J$5:$J$3004,MATCH($A222,Movimientos!$M$5:$M$3004,0))&amp;"")</f>
        <v/>
      </c>
      <c r="E222" s="14" t="str">
        <f>IF($A222="","",IF(C222="Entrada",INDEX(Movimientos!$F$5:$F$3004,MATCH($A222,Movimientos!$M$5:$M$3004,0)),""))</f>
        <v/>
      </c>
      <c r="F222" s="14" t="str">
        <f>IF($A222="","",IF(C222="Salida",INDEX(Movimientos!$F$5:$F$3004,MATCH($A222,Movimientos!$M$5:$M$3004,0)),""))</f>
        <v/>
      </c>
      <c r="G222" s="14" t="str">
        <f>IF($A222="","",INDEX(Movimientos!$I$5:$I$3004,MATCH($A222,Movimientos!$M$5:$M$3004,0)))</f>
        <v/>
      </c>
      <c r="H222" s="22" t="str">
        <f>IF($A222="","",INDEX(Movimientos!$G$5:$G$3004,MATCH($A222,Movimientos!$M$5:$M$3004,0)))</f>
        <v/>
      </c>
      <c r="I222" s="22" t="str">
        <f>IF($A222="","",INDEX(Movimientos!$H$5:$H$3004,MATCH($A222,Movimientos!$M$5:$M$3004,0)))</f>
        <v/>
      </c>
      <c r="J222" s="14" t="str">
        <f>IF($A222="","",INDEX(Movimientos!$K$5:$K$3004,MATCH($A222,Movimientos!$M$5:$M$3004,0))&amp;"")</f>
        <v/>
      </c>
    </row>
    <row r="223" spans="1:10" x14ac:dyDescent="0.25">
      <c r="A223" s="14" t="str">
        <f>IF(215&lt;=COUNTIF(Movimientos!$M$5:$M$3004,"&gt;0"),215,"")</f>
        <v/>
      </c>
      <c r="B223" s="30" t="str">
        <f>IF($A223="","",INDEX(Movimientos!$A$5:$A$3004,MATCH($A223,Movimientos!$M$5:$M$3004,0)))</f>
        <v/>
      </c>
      <c r="C223" s="14" t="str">
        <f>IF($A223="","",INDEX(Movimientos!$B$5:$B$3004,MATCH($A223,Movimientos!$M$5:$M$3004,0)))</f>
        <v/>
      </c>
      <c r="D223" s="14" t="str">
        <f>IF($A223="","",INDEX(Movimientos!$J$5:$J$3004,MATCH($A223,Movimientos!$M$5:$M$3004,0))&amp;"")</f>
        <v/>
      </c>
      <c r="E223" s="14" t="str">
        <f>IF($A223="","",IF(C223="Entrada",INDEX(Movimientos!$F$5:$F$3004,MATCH($A223,Movimientos!$M$5:$M$3004,0)),""))</f>
        <v/>
      </c>
      <c r="F223" s="14" t="str">
        <f>IF($A223="","",IF(C223="Salida",INDEX(Movimientos!$F$5:$F$3004,MATCH($A223,Movimientos!$M$5:$M$3004,0)),""))</f>
        <v/>
      </c>
      <c r="G223" s="14" t="str">
        <f>IF($A223="","",INDEX(Movimientos!$I$5:$I$3004,MATCH($A223,Movimientos!$M$5:$M$3004,0)))</f>
        <v/>
      </c>
      <c r="H223" s="22" t="str">
        <f>IF($A223="","",INDEX(Movimientos!$G$5:$G$3004,MATCH($A223,Movimientos!$M$5:$M$3004,0)))</f>
        <v/>
      </c>
      <c r="I223" s="22" t="str">
        <f>IF($A223="","",INDEX(Movimientos!$H$5:$H$3004,MATCH($A223,Movimientos!$M$5:$M$3004,0)))</f>
        <v/>
      </c>
      <c r="J223" s="14" t="str">
        <f>IF($A223="","",INDEX(Movimientos!$K$5:$K$3004,MATCH($A223,Movimientos!$M$5:$M$3004,0))&amp;"")</f>
        <v/>
      </c>
    </row>
    <row r="224" spans="1:10" x14ac:dyDescent="0.25">
      <c r="A224" s="14" t="str">
        <f>IF(216&lt;=COUNTIF(Movimientos!$M$5:$M$3004,"&gt;0"),216,"")</f>
        <v/>
      </c>
      <c r="B224" s="30" t="str">
        <f>IF($A224="","",INDEX(Movimientos!$A$5:$A$3004,MATCH($A224,Movimientos!$M$5:$M$3004,0)))</f>
        <v/>
      </c>
      <c r="C224" s="14" t="str">
        <f>IF($A224="","",INDEX(Movimientos!$B$5:$B$3004,MATCH($A224,Movimientos!$M$5:$M$3004,0)))</f>
        <v/>
      </c>
      <c r="D224" s="14" t="str">
        <f>IF($A224="","",INDEX(Movimientos!$J$5:$J$3004,MATCH($A224,Movimientos!$M$5:$M$3004,0))&amp;"")</f>
        <v/>
      </c>
      <c r="E224" s="14" t="str">
        <f>IF($A224="","",IF(C224="Entrada",INDEX(Movimientos!$F$5:$F$3004,MATCH($A224,Movimientos!$M$5:$M$3004,0)),""))</f>
        <v/>
      </c>
      <c r="F224" s="14" t="str">
        <f>IF($A224="","",IF(C224="Salida",INDEX(Movimientos!$F$5:$F$3004,MATCH($A224,Movimientos!$M$5:$M$3004,0)),""))</f>
        <v/>
      </c>
      <c r="G224" s="14" t="str">
        <f>IF($A224="","",INDEX(Movimientos!$I$5:$I$3004,MATCH($A224,Movimientos!$M$5:$M$3004,0)))</f>
        <v/>
      </c>
      <c r="H224" s="22" t="str">
        <f>IF($A224="","",INDEX(Movimientos!$G$5:$G$3004,MATCH($A224,Movimientos!$M$5:$M$3004,0)))</f>
        <v/>
      </c>
      <c r="I224" s="22" t="str">
        <f>IF($A224="","",INDEX(Movimientos!$H$5:$H$3004,MATCH($A224,Movimientos!$M$5:$M$3004,0)))</f>
        <v/>
      </c>
      <c r="J224" s="14" t="str">
        <f>IF($A224="","",INDEX(Movimientos!$K$5:$K$3004,MATCH($A224,Movimientos!$M$5:$M$3004,0))&amp;"")</f>
        <v/>
      </c>
    </row>
    <row r="225" spans="1:10" x14ac:dyDescent="0.25">
      <c r="A225" s="14" t="str">
        <f>IF(217&lt;=COUNTIF(Movimientos!$M$5:$M$3004,"&gt;0"),217,"")</f>
        <v/>
      </c>
      <c r="B225" s="30" t="str">
        <f>IF($A225="","",INDEX(Movimientos!$A$5:$A$3004,MATCH($A225,Movimientos!$M$5:$M$3004,0)))</f>
        <v/>
      </c>
      <c r="C225" s="14" t="str">
        <f>IF($A225="","",INDEX(Movimientos!$B$5:$B$3004,MATCH($A225,Movimientos!$M$5:$M$3004,0)))</f>
        <v/>
      </c>
      <c r="D225" s="14" t="str">
        <f>IF($A225="","",INDEX(Movimientos!$J$5:$J$3004,MATCH($A225,Movimientos!$M$5:$M$3004,0))&amp;"")</f>
        <v/>
      </c>
      <c r="E225" s="14" t="str">
        <f>IF($A225="","",IF(C225="Entrada",INDEX(Movimientos!$F$5:$F$3004,MATCH($A225,Movimientos!$M$5:$M$3004,0)),""))</f>
        <v/>
      </c>
      <c r="F225" s="14" t="str">
        <f>IF($A225="","",IF(C225="Salida",INDEX(Movimientos!$F$5:$F$3004,MATCH($A225,Movimientos!$M$5:$M$3004,0)),""))</f>
        <v/>
      </c>
      <c r="G225" s="14" t="str">
        <f>IF($A225="","",INDEX(Movimientos!$I$5:$I$3004,MATCH($A225,Movimientos!$M$5:$M$3004,0)))</f>
        <v/>
      </c>
      <c r="H225" s="22" t="str">
        <f>IF($A225="","",INDEX(Movimientos!$G$5:$G$3004,MATCH($A225,Movimientos!$M$5:$M$3004,0)))</f>
        <v/>
      </c>
      <c r="I225" s="22" t="str">
        <f>IF($A225="","",INDEX(Movimientos!$H$5:$H$3004,MATCH($A225,Movimientos!$M$5:$M$3004,0)))</f>
        <v/>
      </c>
      <c r="J225" s="14" t="str">
        <f>IF($A225="","",INDEX(Movimientos!$K$5:$K$3004,MATCH($A225,Movimientos!$M$5:$M$3004,0))&amp;"")</f>
        <v/>
      </c>
    </row>
    <row r="226" spans="1:10" x14ac:dyDescent="0.25">
      <c r="A226" s="14" t="str">
        <f>IF(218&lt;=COUNTIF(Movimientos!$M$5:$M$3004,"&gt;0"),218,"")</f>
        <v/>
      </c>
      <c r="B226" s="30" t="str">
        <f>IF($A226="","",INDEX(Movimientos!$A$5:$A$3004,MATCH($A226,Movimientos!$M$5:$M$3004,0)))</f>
        <v/>
      </c>
      <c r="C226" s="14" t="str">
        <f>IF($A226="","",INDEX(Movimientos!$B$5:$B$3004,MATCH($A226,Movimientos!$M$5:$M$3004,0)))</f>
        <v/>
      </c>
      <c r="D226" s="14" t="str">
        <f>IF($A226="","",INDEX(Movimientos!$J$5:$J$3004,MATCH($A226,Movimientos!$M$5:$M$3004,0))&amp;"")</f>
        <v/>
      </c>
      <c r="E226" s="14" t="str">
        <f>IF($A226="","",IF(C226="Entrada",INDEX(Movimientos!$F$5:$F$3004,MATCH($A226,Movimientos!$M$5:$M$3004,0)),""))</f>
        <v/>
      </c>
      <c r="F226" s="14" t="str">
        <f>IF($A226="","",IF(C226="Salida",INDEX(Movimientos!$F$5:$F$3004,MATCH($A226,Movimientos!$M$5:$M$3004,0)),""))</f>
        <v/>
      </c>
      <c r="G226" s="14" t="str">
        <f>IF($A226="","",INDEX(Movimientos!$I$5:$I$3004,MATCH($A226,Movimientos!$M$5:$M$3004,0)))</f>
        <v/>
      </c>
      <c r="H226" s="22" t="str">
        <f>IF($A226="","",INDEX(Movimientos!$G$5:$G$3004,MATCH($A226,Movimientos!$M$5:$M$3004,0)))</f>
        <v/>
      </c>
      <c r="I226" s="22" t="str">
        <f>IF($A226="","",INDEX(Movimientos!$H$5:$H$3004,MATCH($A226,Movimientos!$M$5:$M$3004,0)))</f>
        <v/>
      </c>
      <c r="J226" s="14" t="str">
        <f>IF($A226="","",INDEX(Movimientos!$K$5:$K$3004,MATCH($A226,Movimientos!$M$5:$M$3004,0))&amp;"")</f>
        <v/>
      </c>
    </row>
    <row r="227" spans="1:10" x14ac:dyDescent="0.25">
      <c r="A227" s="14" t="str">
        <f>IF(219&lt;=COUNTIF(Movimientos!$M$5:$M$3004,"&gt;0"),219,"")</f>
        <v/>
      </c>
      <c r="B227" s="30" t="str">
        <f>IF($A227="","",INDEX(Movimientos!$A$5:$A$3004,MATCH($A227,Movimientos!$M$5:$M$3004,0)))</f>
        <v/>
      </c>
      <c r="C227" s="14" t="str">
        <f>IF($A227="","",INDEX(Movimientos!$B$5:$B$3004,MATCH($A227,Movimientos!$M$5:$M$3004,0)))</f>
        <v/>
      </c>
      <c r="D227" s="14" t="str">
        <f>IF($A227="","",INDEX(Movimientos!$J$5:$J$3004,MATCH($A227,Movimientos!$M$5:$M$3004,0))&amp;"")</f>
        <v/>
      </c>
      <c r="E227" s="14" t="str">
        <f>IF($A227="","",IF(C227="Entrada",INDEX(Movimientos!$F$5:$F$3004,MATCH($A227,Movimientos!$M$5:$M$3004,0)),""))</f>
        <v/>
      </c>
      <c r="F227" s="14" t="str">
        <f>IF($A227="","",IF(C227="Salida",INDEX(Movimientos!$F$5:$F$3004,MATCH($A227,Movimientos!$M$5:$M$3004,0)),""))</f>
        <v/>
      </c>
      <c r="G227" s="14" t="str">
        <f>IF($A227="","",INDEX(Movimientos!$I$5:$I$3004,MATCH($A227,Movimientos!$M$5:$M$3004,0)))</f>
        <v/>
      </c>
      <c r="H227" s="22" t="str">
        <f>IF($A227="","",INDEX(Movimientos!$G$5:$G$3004,MATCH($A227,Movimientos!$M$5:$M$3004,0)))</f>
        <v/>
      </c>
      <c r="I227" s="22" t="str">
        <f>IF($A227="","",INDEX(Movimientos!$H$5:$H$3004,MATCH($A227,Movimientos!$M$5:$M$3004,0)))</f>
        <v/>
      </c>
      <c r="J227" s="14" t="str">
        <f>IF($A227="","",INDEX(Movimientos!$K$5:$K$3004,MATCH($A227,Movimientos!$M$5:$M$3004,0))&amp;"")</f>
        <v/>
      </c>
    </row>
    <row r="228" spans="1:10" x14ac:dyDescent="0.25">
      <c r="A228" s="14" t="str">
        <f>IF(220&lt;=COUNTIF(Movimientos!$M$5:$M$3004,"&gt;0"),220,"")</f>
        <v/>
      </c>
      <c r="B228" s="30" t="str">
        <f>IF($A228="","",INDEX(Movimientos!$A$5:$A$3004,MATCH($A228,Movimientos!$M$5:$M$3004,0)))</f>
        <v/>
      </c>
      <c r="C228" s="14" t="str">
        <f>IF($A228="","",INDEX(Movimientos!$B$5:$B$3004,MATCH($A228,Movimientos!$M$5:$M$3004,0)))</f>
        <v/>
      </c>
      <c r="D228" s="14" t="str">
        <f>IF($A228="","",INDEX(Movimientos!$J$5:$J$3004,MATCH($A228,Movimientos!$M$5:$M$3004,0))&amp;"")</f>
        <v/>
      </c>
      <c r="E228" s="14" t="str">
        <f>IF($A228="","",IF(C228="Entrada",INDEX(Movimientos!$F$5:$F$3004,MATCH($A228,Movimientos!$M$5:$M$3004,0)),""))</f>
        <v/>
      </c>
      <c r="F228" s="14" t="str">
        <f>IF($A228="","",IF(C228="Salida",INDEX(Movimientos!$F$5:$F$3004,MATCH($A228,Movimientos!$M$5:$M$3004,0)),""))</f>
        <v/>
      </c>
      <c r="G228" s="14" t="str">
        <f>IF($A228="","",INDEX(Movimientos!$I$5:$I$3004,MATCH($A228,Movimientos!$M$5:$M$3004,0)))</f>
        <v/>
      </c>
      <c r="H228" s="22" t="str">
        <f>IF($A228="","",INDEX(Movimientos!$G$5:$G$3004,MATCH($A228,Movimientos!$M$5:$M$3004,0)))</f>
        <v/>
      </c>
      <c r="I228" s="22" t="str">
        <f>IF($A228="","",INDEX(Movimientos!$H$5:$H$3004,MATCH($A228,Movimientos!$M$5:$M$3004,0)))</f>
        <v/>
      </c>
      <c r="J228" s="14" t="str">
        <f>IF($A228="","",INDEX(Movimientos!$K$5:$K$3004,MATCH($A228,Movimientos!$M$5:$M$3004,0))&amp;"")</f>
        <v/>
      </c>
    </row>
    <row r="229" spans="1:10" x14ac:dyDescent="0.25">
      <c r="A229" s="14" t="str">
        <f>IF(221&lt;=COUNTIF(Movimientos!$M$5:$M$3004,"&gt;0"),221,"")</f>
        <v/>
      </c>
      <c r="B229" s="30" t="str">
        <f>IF($A229="","",INDEX(Movimientos!$A$5:$A$3004,MATCH($A229,Movimientos!$M$5:$M$3004,0)))</f>
        <v/>
      </c>
      <c r="C229" s="14" t="str">
        <f>IF($A229="","",INDEX(Movimientos!$B$5:$B$3004,MATCH($A229,Movimientos!$M$5:$M$3004,0)))</f>
        <v/>
      </c>
      <c r="D229" s="14" t="str">
        <f>IF($A229="","",INDEX(Movimientos!$J$5:$J$3004,MATCH($A229,Movimientos!$M$5:$M$3004,0))&amp;"")</f>
        <v/>
      </c>
      <c r="E229" s="14" t="str">
        <f>IF($A229="","",IF(C229="Entrada",INDEX(Movimientos!$F$5:$F$3004,MATCH($A229,Movimientos!$M$5:$M$3004,0)),""))</f>
        <v/>
      </c>
      <c r="F229" s="14" t="str">
        <f>IF($A229="","",IF(C229="Salida",INDEX(Movimientos!$F$5:$F$3004,MATCH($A229,Movimientos!$M$5:$M$3004,0)),""))</f>
        <v/>
      </c>
      <c r="G229" s="14" t="str">
        <f>IF($A229="","",INDEX(Movimientos!$I$5:$I$3004,MATCH($A229,Movimientos!$M$5:$M$3004,0)))</f>
        <v/>
      </c>
      <c r="H229" s="22" t="str">
        <f>IF($A229="","",INDEX(Movimientos!$G$5:$G$3004,MATCH($A229,Movimientos!$M$5:$M$3004,0)))</f>
        <v/>
      </c>
      <c r="I229" s="22" t="str">
        <f>IF($A229="","",INDEX(Movimientos!$H$5:$H$3004,MATCH($A229,Movimientos!$M$5:$M$3004,0)))</f>
        <v/>
      </c>
      <c r="J229" s="14" t="str">
        <f>IF($A229="","",INDEX(Movimientos!$K$5:$K$3004,MATCH($A229,Movimientos!$M$5:$M$3004,0))&amp;"")</f>
        <v/>
      </c>
    </row>
    <row r="230" spans="1:10" x14ac:dyDescent="0.25">
      <c r="A230" s="14" t="str">
        <f>IF(222&lt;=COUNTIF(Movimientos!$M$5:$M$3004,"&gt;0"),222,"")</f>
        <v/>
      </c>
      <c r="B230" s="30" t="str">
        <f>IF($A230="","",INDEX(Movimientos!$A$5:$A$3004,MATCH($A230,Movimientos!$M$5:$M$3004,0)))</f>
        <v/>
      </c>
      <c r="C230" s="14" t="str">
        <f>IF($A230="","",INDEX(Movimientos!$B$5:$B$3004,MATCH($A230,Movimientos!$M$5:$M$3004,0)))</f>
        <v/>
      </c>
      <c r="D230" s="14" t="str">
        <f>IF($A230="","",INDEX(Movimientos!$J$5:$J$3004,MATCH($A230,Movimientos!$M$5:$M$3004,0))&amp;"")</f>
        <v/>
      </c>
      <c r="E230" s="14" t="str">
        <f>IF($A230="","",IF(C230="Entrada",INDEX(Movimientos!$F$5:$F$3004,MATCH($A230,Movimientos!$M$5:$M$3004,0)),""))</f>
        <v/>
      </c>
      <c r="F230" s="14" t="str">
        <f>IF($A230="","",IF(C230="Salida",INDEX(Movimientos!$F$5:$F$3004,MATCH($A230,Movimientos!$M$5:$M$3004,0)),""))</f>
        <v/>
      </c>
      <c r="G230" s="14" t="str">
        <f>IF($A230="","",INDEX(Movimientos!$I$5:$I$3004,MATCH($A230,Movimientos!$M$5:$M$3004,0)))</f>
        <v/>
      </c>
      <c r="H230" s="22" t="str">
        <f>IF($A230="","",INDEX(Movimientos!$G$5:$G$3004,MATCH($A230,Movimientos!$M$5:$M$3004,0)))</f>
        <v/>
      </c>
      <c r="I230" s="22" t="str">
        <f>IF($A230="","",INDEX(Movimientos!$H$5:$H$3004,MATCH($A230,Movimientos!$M$5:$M$3004,0)))</f>
        <v/>
      </c>
      <c r="J230" s="14" t="str">
        <f>IF($A230="","",INDEX(Movimientos!$K$5:$K$3004,MATCH($A230,Movimientos!$M$5:$M$3004,0))&amp;"")</f>
        <v/>
      </c>
    </row>
    <row r="231" spans="1:10" x14ac:dyDescent="0.25">
      <c r="A231" s="14" t="str">
        <f>IF(223&lt;=COUNTIF(Movimientos!$M$5:$M$3004,"&gt;0"),223,"")</f>
        <v/>
      </c>
      <c r="B231" s="30" t="str">
        <f>IF($A231="","",INDEX(Movimientos!$A$5:$A$3004,MATCH($A231,Movimientos!$M$5:$M$3004,0)))</f>
        <v/>
      </c>
      <c r="C231" s="14" t="str">
        <f>IF($A231="","",INDEX(Movimientos!$B$5:$B$3004,MATCH($A231,Movimientos!$M$5:$M$3004,0)))</f>
        <v/>
      </c>
      <c r="D231" s="14" t="str">
        <f>IF($A231="","",INDEX(Movimientos!$J$5:$J$3004,MATCH($A231,Movimientos!$M$5:$M$3004,0))&amp;"")</f>
        <v/>
      </c>
      <c r="E231" s="14" t="str">
        <f>IF($A231="","",IF(C231="Entrada",INDEX(Movimientos!$F$5:$F$3004,MATCH($A231,Movimientos!$M$5:$M$3004,0)),""))</f>
        <v/>
      </c>
      <c r="F231" s="14" t="str">
        <f>IF($A231="","",IF(C231="Salida",INDEX(Movimientos!$F$5:$F$3004,MATCH($A231,Movimientos!$M$5:$M$3004,0)),""))</f>
        <v/>
      </c>
      <c r="G231" s="14" t="str">
        <f>IF($A231="","",INDEX(Movimientos!$I$5:$I$3004,MATCH($A231,Movimientos!$M$5:$M$3004,0)))</f>
        <v/>
      </c>
      <c r="H231" s="22" t="str">
        <f>IF($A231="","",INDEX(Movimientos!$G$5:$G$3004,MATCH($A231,Movimientos!$M$5:$M$3004,0)))</f>
        <v/>
      </c>
      <c r="I231" s="22" t="str">
        <f>IF($A231="","",INDEX(Movimientos!$H$5:$H$3004,MATCH($A231,Movimientos!$M$5:$M$3004,0)))</f>
        <v/>
      </c>
      <c r="J231" s="14" t="str">
        <f>IF($A231="","",INDEX(Movimientos!$K$5:$K$3004,MATCH($A231,Movimientos!$M$5:$M$3004,0))&amp;"")</f>
        <v/>
      </c>
    </row>
    <row r="232" spans="1:10" x14ac:dyDescent="0.25">
      <c r="A232" s="14" t="str">
        <f>IF(224&lt;=COUNTIF(Movimientos!$M$5:$M$3004,"&gt;0"),224,"")</f>
        <v/>
      </c>
      <c r="B232" s="30" t="str">
        <f>IF($A232="","",INDEX(Movimientos!$A$5:$A$3004,MATCH($A232,Movimientos!$M$5:$M$3004,0)))</f>
        <v/>
      </c>
      <c r="C232" s="14" t="str">
        <f>IF($A232="","",INDEX(Movimientos!$B$5:$B$3004,MATCH($A232,Movimientos!$M$5:$M$3004,0)))</f>
        <v/>
      </c>
      <c r="D232" s="14" t="str">
        <f>IF($A232="","",INDEX(Movimientos!$J$5:$J$3004,MATCH($A232,Movimientos!$M$5:$M$3004,0))&amp;"")</f>
        <v/>
      </c>
      <c r="E232" s="14" t="str">
        <f>IF($A232="","",IF(C232="Entrada",INDEX(Movimientos!$F$5:$F$3004,MATCH($A232,Movimientos!$M$5:$M$3004,0)),""))</f>
        <v/>
      </c>
      <c r="F232" s="14" t="str">
        <f>IF($A232="","",IF(C232="Salida",INDEX(Movimientos!$F$5:$F$3004,MATCH($A232,Movimientos!$M$5:$M$3004,0)),""))</f>
        <v/>
      </c>
      <c r="G232" s="14" t="str">
        <f>IF($A232="","",INDEX(Movimientos!$I$5:$I$3004,MATCH($A232,Movimientos!$M$5:$M$3004,0)))</f>
        <v/>
      </c>
      <c r="H232" s="22" t="str">
        <f>IF($A232="","",INDEX(Movimientos!$G$5:$G$3004,MATCH($A232,Movimientos!$M$5:$M$3004,0)))</f>
        <v/>
      </c>
      <c r="I232" s="22" t="str">
        <f>IF($A232="","",INDEX(Movimientos!$H$5:$H$3004,MATCH($A232,Movimientos!$M$5:$M$3004,0)))</f>
        <v/>
      </c>
      <c r="J232" s="14" t="str">
        <f>IF($A232="","",INDEX(Movimientos!$K$5:$K$3004,MATCH($A232,Movimientos!$M$5:$M$3004,0))&amp;"")</f>
        <v/>
      </c>
    </row>
    <row r="233" spans="1:10" x14ac:dyDescent="0.25">
      <c r="A233" s="14" t="str">
        <f>IF(225&lt;=COUNTIF(Movimientos!$M$5:$M$3004,"&gt;0"),225,"")</f>
        <v/>
      </c>
      <c r="B233" s="30" t="str">
        <f>IF($A233="","",INDEX(Movimientos!$A$5:$A$3004,MATCH($A233,Movimientos!$M$5:$M$3004,0)))</f>
        <v/>
      </c>
      <c r="C233" s="14" t="str">
        <f>IF($A233="","",INDEX(Movimientos!$B$5:$B$3004,MATCH($A233,Movimientos!$M$5:$M$3004,0)))</f>
        <v/>
      </c>
      <c r="D233" s="14" t="str">
        <f>IF($A233="","",INDEX(Movimientos!$J$5:$J$3004,MATCH($A233,Movimientos!$M$5:$M$3004,0))&amp;"")</f>
        <v/>
      </c>
      <c r="E233" s="14" t="str">
        <f>IF($A233="","",IF(C233="Entrada",INDEX(Movimientos!$F$5:$F$3004,MATCH($A233,Movimientos!$M$5:$M$3004,0)),""))</f>
        <v/>
      </c>
      <c r="F233" s="14" t="str">
        <f>IF($A233="","",IF(C233="Salida",INDEX(Movimientos!$F$5:$F$3004,MATCH($A233,Movimientos!$M$5:$M$3004,0)),""))</f>
        <v/>
      </c>
      <c r="G233" s="14" t="str">
        <f>IF($A233="","",INDEX(Movimientos!$I$5:$I$3004,MATCH($A233,Movimientos!$M$5:$M$3004,0)))</f>
        <v/>
      </c>
      <c r="H233" s="22" t="str">
        <f>IF($A233="","",INDEX(Movimientos!$G$5:$G$3004,MATCH($A233,Movimientos!$M$5:$M$3004,0)))</f>
        <v/>
      </c>
      <c r="I233" s="22" t="str">
        <f>IF($A233="","",INDEX(Movimientos!$H$5:$H$3004,MATCH($A233,Movimientos!$M$5:$M$3004,0)))</f>
        <v/>
      </c>
      <c r="J233" s="14" t="str">
        <f>IF($A233="","",INDEX(Movimientos!$K$5:$K$3004,MATCH($A233,Movimientos!$M$5:$M$3004,0))&amp;"")</f>
        <v/>
      </c>
    </row>
    <row r="234" spans="1:10" x14ac:dyDescent="0.25">
      <c r="A234" s="14" t="str">
        <f>IF(226&lt;=COUNTIF(Movimientos!$M$5:$M$3004,"&gt;0"),226,"")</f>
        <v/>
      </c>
      <c r="B234" s="30" t="str">
        <f>IF($A234="","",INDEX(Movimientos!$A$5:$A$3004,MATCH($A234,Movimientos!$M$5:$M$3004,0)))</f>
        <v/>
      </c>
      <c r="C234" s="14" t="str">
        <f>IF($A234="","",INDEX(Movimientos!$B$5:$B$3004,MATCH($A234,Movimientos!$M$5:$M$3004,0)))</f>
        <v/>
      </c>
      <c r="D234" s="14" t="str">
        <f>IF($A234="","",INDEX(Movimientos!$J$5:$J$3004,MATCH($A234,Movimientos!$M$5:$M$3004,0))&amp;"")</f>
        <v/>
      </c>
      <c r="E234" s="14" t="str">
        <f>IF($A234="","",IF(C234="Entrada",INDEX(Movimientos!$F$5:$F$3004,MATCH($A234,Movimientos!$M$5:$M$3004,0)),""))</f>
        <v/>
      </c>
      <c r="F234" s="14" t="str">
        <f>IF($A234="","",IF(C234="Salida",INDEX(Movimientos!$F$5:$F$3004,MATCH($A234,Movimientos!$M$5:$M$3004,0)),""))</f>
        <v/>
      </c>
      <c r="G234" s="14" t="str">
        <f>IF($A234="","",INDEX(Movimientos!$I$5:$I$3004,MATCH($A234,Movimientos!$M$5:$M$3004,0)))</f>
        <v/>
      </c>
      <c r="H234" s="22" t="str">
        <f>IF($A234="","",INDEX(Movimientos!$G$5:$G$3004,MATCH($A234,Movimientos!$M$5:$M$3004,0)))</f>
        <v/>
      </c>
      <c r="I234" s="22" t="str">
        <f>IF($A234="","",INDEX(Movimientos!$H$5:$H$3004,MATCH($A234,Movimientos!$M$5:$M$3004,0)))</f>
        <v/>
      </c>
      <c r="J234" s="14" t="str">
        <f>IF($A234="","",INDEX(Movimientos!$K$5:$K$3004,MATCH($A234,Movimientos!$M$5:$M$3004,0))&amp;"")</f>
        <v/>
      </c>
    </row>
    <row r="235" spans="1:10" x14ac:dyDescent="0.25">
      <c r="A235" s="14" t="str">
        <f>IF(227&lt;=COUNTIF(Movimientos!$M$5:$M$3004,"&gt;0"),227,"")</f>
        <v/>
      </c>
      <c r="B235" s="30" t="str">
        <f>IF($A235="","",INDEX(Movimientos!$A$5:$A$3004,MATCH($A235,Movimientos!$M$5:$M$3004,0)))</f>
        <v/>
      </c>
      <c r="C235" s="14" t="str">
        <f>IF($A235="","",INDEX(Movimientos!$B$5:$B$3004,MATCH($A235,Movimientos!$M$5:$M$3004,0)))</f>
        <v/>
      </c>
      <c r="D235" s="14" t="str">
        <f>IF($A235="","",INDEX(Movimientos!$J$5:$J$3004,MATCH($A235,Movimientos!$M$5:$M$3004,0))&amp;"")</f>
        <v/>
      </c>
      <c r="E235" s="14" t="str">
        <f>IF($A235="","",IF(C235="Entrada",INDEX(Movimientos!$F$5:$F$3004,MATCH($A235,Movimientos!$M$5:$M$3004,0)),""))</f>
        <v/>
      </c>
      <c r="F235" s="14" t="str">
        <f>IF($A235="","",IF(C235="Salida",INDEX(Movimientos!$F$5:$F$3004,MATCH($A235,Movimientos!$M$5:$M$3004,0)),""))</f>
        <v/>
      </c>
      <c r="G235" s="14" t="str">
        <f>IF($A235="","",INDEX(Movimientos!$I$5:$I$3004,MATCH($A235,Movimientos!$M$5:$M$3004,0)))</f>
        <v/>
      </c>
      <c r="H235" s="22" t="str">
        <f>IF($A235="","",INDEX(Movimientos!$G$5:$G$3004,MATCH($A235,Movimientos!$M$5:$M$3004,0)))</f>
        <v/>
      </c>
      <c r="I235" s="22" t="str">
        <f>IF($A235="","",INDEX(Movimientos!$H$5:$H$3004,MATCH($A235,Movimientos!$M$5:$M$3004,0)))</f>
        <v/>
      </c>
      <c r="J235" s="14" t="str">
        <f>IF($A235="","",INDEX(Movimientos!$K$5:$K$3004,MATCH($A235,Movimientos!$M$5:$M$3004,0))&amp;"")</f>
        <v/>
      </c>
    </row>
    <row r="236" spans="1:10" x14ac:dyDescent="0.25">
      <c r="A236" s="14" t="str">
        <f>IF(228&lt;=COUNTIF(Movimientos!$M$5:$M$3004,"&gt;0"),228,"")</f>
        <v/>
      </c>
      <c r="B236" s="30" t="str">
        <f>IF($A236="","",INDEX(Movimientos!$A$5:$A$3004,MATCH($A236,Movimientos!$M$5:$M$3004,0)))</f>
        <v/>
      </c>
      <c r="C236" s="14" t="str">
        <f>IF($A236="","",INDEX(Movimientos!$B$5:$B$3004,MATCH($A236,Movimientos!$M$5:$M$3004,0)))</f>
        <v/>
      </c>
      <c r="D236" s="14" t="str">
        <f>IF($A236="","",INDEX(Movimientos!$J$5:$J$3004,MATCH($A236,Movimientos!$M$5:$M$3004,0))&amp;"")</f>
        <v/>
      </c>
      <c r="E236" s="14" t="str">
        <f>IF($A236="","",IF(C236="Entrada",INDEX(Movimientos!$F$5:$F$3004,MATCH($A236,Movimientos!$M$5:$M$3004,0)),""))</f>
        <v/>
      </c>
      <c r="F236" s="14" t="str">
        <f>IF($A236="","",IF(C236="Salida",INDEX(Movimientos!$F$5:$F$3004,MATCH($A236,Movimientos!$M$5:$M$3004,0)),""))</f>
        <v/>
      </c>
      <c r="G236" s="14" t="str">
        <f>IF($A236="","",INDEX(Movimientos!$I$5:$I$3004,MATCH($A236,Movimientos!$M$5:$M$3004,0)))</f>
        <v/>
      </c>
      <c r="H236" s="22" t="str">
        <f>IF($A236="","",INDEX(Movimientos!$G$5:$G$3004,MATCH($A236,Movimientos!$M$5:$M$3004,0)))</f>
        <v/>
      </c>
      <c r="I236" s="22" t="str">
        <f>IF($A236="","",INDEX(Movimientos!$H$5:$H$3004,MATCH($A236,Movimientos!$M$5:$M$3004,0)))</f>
        <v/>
      </c>
      <c r="J236" s="14" t="str">
        <f>IF($A236="","",INDEX(Movimientos!$K$5:$K$3004,MATCH($A236,Movimientos!$M$5:$M$3004,0))&amp;"")</f>
        <v/>
      </c>
    </row>
    <row r="237" spans="1:10" x14ac:dyDescent="0.25">
      <c r="A237" s="14" t="str">
        <f>IF(229&lt;=COUNTIF(Movimientos!$M$5:$M$3004,"&gt;0"),229,"")</f>
        <v/>
      </c>
      <c r="B237" s="30" t="str">
        <f>IF($A237="","",INDEX(Movimientos!$A$5:$A$3004,MATCH($A237,Movimientos!$M$5:$M$3004,0)))</f>
        <v/>
      </c>
      <c r="C237" s="14" t="str">
        <f>IF($A237="","",INDEX(Movimientos!$B$5:$B$3004,MATCH($A237,Movimientos!$M$5:$M$3004,0)))</f>
        <v/>
      </c>
      <c r="D237" s="14" t="str">
        <f>IF($A237="","",INDEX(Movimientos!$J$5:$J$3004,MATCH($A237,Movimientos!$M$5:$M$3004,0))&amp;"")</f>
        <v/>
      </c>
      <c r="E237" s="14" t="str">
        <f>IF($A237="","",IF(C237="Entrada",INDEX(Movimientos!$F$5:$F$3004,MATCH($A237,Movimientos!$M$5:$M$3004,0)),""))</f>
        <v/>
      </c>
      <c r="F237" s="14" t="str">
        <f>IF($A237="","",IF(C237="Salida",INDEX(Movimientos!$F$5:$F$3004,MATCH($A237,Movimientos!$M$5:$M$3004,0)),""))</f>
        <v/>
      </c>
      <c r="G237" s="14" t="str">
        <f>IF($A237="","",INDEX(Movimientos!$I$5:$I$3004,MATCH($A237,Movimientos!$M$5:$M$3004,0)))</f>
        <v/>
      </c>
      <c r="H237" s="22" t="str">
        <f>IF($A237="","",INDEX(Movimientos!$G$5:$G$3004,MATCH($A237,Movimientos!$M$5:$M$3004,0)))</f>
        <v/>
      </c>
      <c r="I237" s="22" t="str">
        <f>IF($A237="","",INDEX(Movimientos!$H$5:$H$3004,MATCH($A237,Movimientos!$M$5:$M$3004,0)))</f>
        <v/>
      </c>
      <c r="J237" s="14" t="str">
        <f>IF($A237="","",INDEX(Movimientos!$K$5:$K$3004,MATCH($A237,Movimientos!$M$5:$M$3004,0))&amp;"")</f>
        <v/>
      </c>
    </row>
    <row r="238" spans="1:10" x14ac:dyDescent="0.25">
      <c r="A238" s="14" t="str">
        <f>IF(230&lt;=COUNTIF(Movimientos!$M$5:$M$3004,"&gt;0"),230,"")</f>
        <v/>
      </c>
      <c r="B238" s="30" t="str">
        <f>IF($A238="","",INDEX(Movimientos!$A$5:$A$3004,MATCH($A238,Movimientos!$M$5:$M$3004,0)))</f>
        <v/>
      </c>
      <c r="C238" s="14" t="str">
        <f>IF($A238="","",INDEX(Movimientos!$B$5:$B$3004,MATCH($A238,Movimientos!$M$5:$M$3004,0)))</f>
        <v/>
      </c>
      <c r="D238" s="14" t="str">
        <f>IF($A238="","",INDEX(Movimientos!$J$5:$J$3004,MATCH($A238,Movimientos!$M$5:$M$3004,0))&amp;"")</f>
        <v/>
      </c>
      <c r="E238" s="14" t="str">
        <f>IF($A238="","",IF(C238="Entrada",INDEX(Movimientos!$F$5:$F$3004,MATCH($A238,Movimientos!$M$5:$M$3004,0)),""))</f>
        <v/>
      </c>
      <c r="F238" s="14" t="str">
        <f>IF($A238="","",IF(C238="Salida",INDEX(Movimientos!$F$5:$F$3004,MATCH($A238,Movimientos!$M$5:$M$3004,0)),""))</f>
        <v/>
      </c>
      <c r="G238" s="14" t="str">
        <f>IF($A238="","",INDEX(Movimientos!$I$5:$I$3004,MATCH($A238,Movimientos!$M$5:$M$3004,0)))</f>
        <v/>
      </c>
      <c r="H238" s="22" t="str">
        <f>IF($A238="","",INDEX(Movimientos!$G$5:$G$3004,MATCH($A238,Movimientos!$M$5:$M$3004,0)))</f>
        <v/>
      </c>
      <c r="I238" s="22" t="str">
        <f>IF($A238="","",INDEX(Movimientos!$H$5:$H$3004,MATCH($A238,Movimientos!$M$5:$M$3004,0)))</f>
        <v/>
      </c>
      <c r="J238" s="14" t="str">
        <f>IF($A238="","",INDEX(Movimientos!$K$5:$K$3004,MATCH($A238,Movimientos!$M$5:$M$3004,0))&amp;"")</f>
        <v/>
      </c>
    </row>
    <row r="239" spans="1:10" x14ac:dyDescent="0.25">
      <c r="A239" s="14" t="str">
        <f>IF(231&lt;=COUNTIF(Movimientos!$M$5:$M$3004,"&gt;0"),231,"")</f>
        <v/>
      </c>
      <c r="B239" s="30" t="str">
        <f>IF($A239="","",INDEX(Movimientos!$A$5:$A$3004,MATCH($A239,Movimientos!$M$5:$M$3004,0)))</f>
        <v/>
      </c>
      <c r="C239" s="14" t="str">
        <f>IF($A239="","",INDEX(Movimientos!$B$5:$B$3004,MATCH($A239,Movimientos!$M$5:$M$3004,0)))</f>
        <v/>
      </c>
      <c r="D239" s="14" t="str">
        <f>IF($A239="","",INDEX(Movimientos!$J$5:$J$3004,MATCH($A239,Movimientos!$M$5:$M$3004,0))&amp;"")</f>
        <v/>
      </c>
      <c r="E239" s="14" t="str">
        <f>IF($A239="","",IF(C239="Entrada",INDEX(Movimientos!$F$5:$F$3004,MATCH($A239,Movimientos!$M$5:$M$3004,0)),""))</f>
        <v/>
      </c>
      <c r="F239" s="14" t="str">
        <f>IF($A239="","",IF(C239="Salida",INDEX(Movimientos!$F$5:$F$3004,MATCH($A239,Movimientos!$M$5:$M$3004,0)),""))</f>
        <v/>
      </c>
      <c r="G239" s="14" t="str">
        <f>IF($A239="","",INDEX(Movimientos!$I$5:$I$3004,MATCH($A239,Movimientos!$M$5:$M$3004,0)))</f>
        <v/>
      </c>
      <c r="H239" s="22" t="str">
        <f>IF($A239="","",INDEX(Movimientos!$G$5:$G$3004,MATCH($A239,Movimientos!$M$5:$M$3004,0)))</f>
        <v/>
      </c>
      <c r="I239" s="22" t="str">
        <f>IF($A239="","",INDEX(Movimientos!$H$5:$H$3004,MATCH($A239,Movimientos!$M$5:$M$3004,0)))</f>
        <v/>
      </c>
      <c r="J239" s="14" t="str">
        <f>IF($A239="","",INDEX(Movimientos!$K$5:$K$3004,MATCH($A239,Movimientos!$M$5:$M$3004,0))&amp;"")</f>
        <v/>
      </c>
    </row>
    <row r="240" spans="1:10" x14ac:dyDescent="0.25">
      <c r="A240" s="14" t="str">
        <f>IF(232&lt;=COUNTIF(Movimientos!$M$5:$M$3004,"&gt;0"),232,"")</f>
        <v/>
      </c>
      <c r="B240" s="30" t="str">
        <f>IF($A240="","",INDEX(Movimientos!$A$5:$A$3004,MATCH($A240,Movimientos!$M$5:$M$3004,0)))</f>
        <v/>
      </c>
      <c r="C240" s="14" t="str">
        <f>IF($A240="","",INDEX(Movimientos!$B$5:$B$3004,MATCH($A240,Movimientos!$M$5:$M$3004,0)))</f>
        <v/>
      </c>
      <c r="D240" s="14" t="str">
        <f>IF($A240="","",INDEX(Movimientos!$J$5:$J$3004,MATCH($A240,Movimientos!$M$5:$M$3004,0))&amp;"")</f>
        <v/>
      </c>
      <c r="E240" s="14" t="str">
        <f>IF($A240="","",IF(C240="Entrada",INDEX(Movimientos!$F$5:$F$3004,MATCH($A240,Movimientos!$M$5:$M$3004,0)),""))</f>
        <v/>
      </c>
      <c r="F240" s="14" t="str">
        <f>IF($A240="","",IF(C240="Salida",INDEX(Movimientos!$F$5:$F$3004,MATCH($A240,Movimientos!$M$5:$M$3004,0)),""))</f>
        <v/>
      </c>
      <c r="G240" s="14" t="str">
        <f>IF($A240="","",INDEX(Movimientos!$I$5:$I$3004,MATCH($A240,Movimientos!$M$5:$M$3004,0)))</f>
        <v/>
      </c>
      <c r="H240" s="22" t="str">
        <f>IF($A240="","",INDEX(Movimientos!$G$5:$G$3004,MATCH($A240,Movimientos!$M$5:$M$3004,0)))</f>
        <v/>
      </c>
      <c r="I240" s="22" t="str">
        <f>IF($A240="","",INDEX(Movimientos!$H$5:$H$3004,MATCH($A240,Movimientos!$M$5:$M$3004,0)))</f>
        <v/>
      </c>
      <c r="J240" s="14" t="str">
        <f>IF($A240="","",INDEX(Movimientos!$K$5:$K$3004,MATCH($A240,Movimientos!$M$5:$M$3004,0))&amp;"")</f>
        <v/>
      </c>
    </row>
    <row r="241" spans="1:10" x14ac:dyDescent="0.25">
      <c r="A241" s="14" t="str">
        <f>IF(233&lt;=COUNTIF(Movimientos!$M$5:$M$3004,"&gt;0"),233,"")</f>
        <v/>
      </c>
      <c r="B241" s="30" t="str">
        <f>IF($A241="","",INDEX(Movimientos!$A$5:$A$3004,MATCH($A241,Movimientos!$M$5:$M$3004,0)))</f>
        <v/>
      </c>
      <c r="C241" s="14" t="str">
        <f>IF($A241="","",INDEX(Movimientos!$B$5:$B$3004,MATCH($A241,Movimientos!$M$5:$M$3004,0)))</f>
        <v/>
      </c>
      <c r="D241" s="14" t="str">
        <f>IF($A241="","",INDEX(Movimientos!$J$5:$J$3004,MATCH($A241,Movimientos!$M$5:$M$3004,0))&amp;"")</f>
        <v/>
      </c>
      <c r="E241" s="14" t="str">
        <f>IF($A241="","",IF(C241="Entrada",INDEX(Movimientos!$F$5:$F$3004,MATCH($A241,Movimientos!$M$5:$M$3004,0)),""))</f>
        <v/>
      </c>
      <c r="F241" s="14" t="str">
        <f>IF($A241="","",IF(C241="Salida",INDEX(Movimientos!$F$5:$F$3004,MATCH($A241,Movimientos!$M$5:$M$3004,0)),""))</f>
        <v/>
      </c>
      <c r="G241" s="14" t="str">
        <f>IF($A241="","",INDEX(Movimientos!$I$5:$I$3004,MATCH($A241,Movimientos!$M$5:$M$3004,0)))</f>
        <v/>
      </c>
      <c r="H241" s="22" t="str">
        <f>IF($A241="","",INDEX(Movimientos!$G$5:$G$3004,MATCH($A241,Movimientos!$M$5:$M$3004,0)))</f>
        <v/>
      </c>
      <c r="I241" s="22" t="str">
        <f>IF($A241="","",INDEX(Movimientos!$H$5:$H$3004,MATCH($A241,Movimientos!$M$5:$M$3004,0)))</f>
        <v/>
      </c>
      <c r="J241" s="14" t="str">
        <f>IF($A241="","",INDEX(Movimientos!$K$5:$K$3004,MATCH($A241,Movimientos!$M$5:$M$3004,0))&amp;"")</f>
        <v/>
      </c>
    </row>
    <row r="242" spans="1:10" x14ac:dyDescent="0.25">
      <c r="A242" s="14" t="str">
        <f>IF(234&lt;=COUNTIF(Movimientos!$M$5:$M$3004,"&gt;0"),234,"")</f>
        <v/>
      </c>
      <c r="B242" s="30" t="str">
        <f>IF($A242="","",INDEX(Movimientos!$A$5:$A$3004,MATCH($A242,Movimientos!$M$5:$M$3004,0)))</f>
        <v/>
      </c>
      <c r="C242" s="14" t="str">
        <f>IF($A242="","",INDEX(Movimientos!$B$5:$B$3004,MATCH($A242,Movimientos!$M$5:$M$3004,0)))</f>
        <v/>
      </c>
      <c r="D242" s="14" t="str">
        <f>IF($A242="","",INDEX(Movimientos!$J$5:$J$3004,MATCH($A242,Movimientos!$M$5:$M$3004,0))&amp;"")</f>
        <v/>
      </c>
      <c r="E242" s="14" t="str">
        <f>IF($A242="","",IF(C242="Entrada",INDEX(Movimientos!$F$5:$F$3004,MATCH($A242,Movimientos!$M$5:$M$3004,0)),""))</f>
        <v/>
      </c>
      <c r="F242" s="14" t="str">
        <f>IF($A242="","",IF(C242="Salida",INDEX(Movimientos!$F$5:$F$3004,MATCH($A242,Movimientos!$M$5:$M$3004,0)),""))</f>
        <v/>
      </c>
      <c r="G242" s="14" t="str">
        <f>IF($A242="","",INDEX(Movimientos!$I$5:$I$3004,MATCH($A242,Movimientos!$M$5:$M$3004,0)))</f>
        <v/>
      </c>
      <c r="H242" s="22" t="str">
        <f>IF($A242="","",INDEX(Movimientos!$G$5:$G$3004,MATCH($A242,Movimientos!$M$5:$M$3004,0)))</f>
        <v/>
      </c>
      <c r="I242" s="22" t="str">
        <f>IF($A242="","",INDEX(Movimientos!$H$5:$H$3004,MATCH($A242,Movimientos!$M$5:$M$3004,0)))</f>
        <v/>
      </c>
      <c r="J242" s="14" t="str">
        <f>IF($A242="","",INDEX(Movimientos!$K$5:$K$3004,MATCH($A242,Movimientos!$M$5:$M$3004,0))&amp;"")</f>
        <v/>
      </c>
    </row>
    <row r="243" spans="1:10" x14ac:dyDescent="0.25">
      <c r="A243" s="14" t="str">
        <f>IF(235&lt;=COUNTIF(Movimientos!$M$5:$M$3004,"&gt;0"),235,"")</f>
        <v/>
      </c>
      <c r="B243" s="30" t="str">
        <f>IF($A243="","",INDEX(Movimientos!$A$5:$A$3004,MATCH($A243,Movimientos!$M$5:$M$3004,0)))</f>
        <v/>
      </c>
      <c r="C243" s="14" t="str">
        <f>IF($A243="","",INDEX(Movimientos!$B$5:$B$3004,MATCH($A243,Movimientos!$M$5:$M$3004,0)))</f>
        <v/>
      </c>
      <c r="D243" s="14" t="str">
        <f>IF($A243="","",INDEX(Movimientos!$J$5:$J$3004,MATCH($A243,Movimientos!$M$5:$M$3004,0))&amp;"")</f>
        <v/>
      </c>
      <c r="E243" s="14" t="str">
        <f>IF($A243="","",IF(C243="Entrada",INDEX(Movimientos!$F$5:$F$3004,MATCH($A243,Movimientos!$M$5:$M$3004,0)),""))</f>
        <v/>
      </c>
      <c r="F243" s="14" t="str">
        <f>IF($A243="","",IF(C243="Salida",INDEX(Movimientos!$F$5:$F$3004,MATCH($A243,Movimientos!$M$5:$M$3004,0)),""))</f>
        <v/>
      </c>
      <c r="G243" s="14" t="str">
        <f>IF($A243="","",INDEX(Movimientos!$I$5:$I$3004,MATCH($A243,Movimientos!$M$5:$M$3004,0)))</f>
        <v/>
      </c>
      <c r="H243" s="22" t="str">
        <f>IF($A243="","",INDEX(Movimientos!$G$5:$G$3004,MATCH($A243,Movimientos!$M$5:$M$3004,0)))</f>
        <v/>
      </c>
      <c r="I243" s="22" t="str">
        <f>IF($A243="","",INDEX(Movimientos!$H$5:$H$3004,MATCH($A243,Movimientos!$M$5:$M$3004,0)))</f>
        <v/>
      </c>
      <c r="J243" s="14" t="str">
        <f>IF($A243="","",INDEX(Movimientos!$K$5:$K$3004,MATCH($A243,Movimientos!$M$5:$M$3004,0))&amp;"")</f>
        <v/>
      </c>
    </row>
    <row r="244" spans="1:10" x14ac:dyDescent="0.25">
      <c r="A244" s="14" t="str">
        <f>IF(236&lt;=COUNTIF(Movimientos!$M$5:$M$3004,"&gt;0"),236,"")</f>
        <v/>
      </c>
      <c r="B244" s="30" t="str">
        <f>IF($A244="","",INDEX(Movimientos!$A$5:$A$3004,MATCH($A244,Movimientos!$M$5:$M$3004,0)))</f>
        <v/>
      </c>
      <c r="C244" s="14" t="str">
        <f>IF($A244="","",INDEX(Movimientos!$B$5:$B$3004,MATCH($A244,Movimientos!$M$5:$M$3004,0)))</f>
        <v/>
      </c>
      <c r="D244" s="14" t="str">
        <f>IF($A244="","",INDEX(Movimientos!$J$5:$J$3004,MATCH($A244,Movimientos!$M$5:$M$3004,0))&amp;"")</f>
        <v/>
      </c>
      <c r="E244" s="14" t="str">
        <f>IF($A244="","",IF(C244="Entrada",INDEX(Movimientos!$F$5:$F$3004,MATCH($A244,Movimientos!$M$5:$M$3004,0)),""))</f>
        <v/>
      </c>
      <c r="F244" s="14" t="str">
        <f>IF($A244="","",IF(C244="Salida",INDEX(Movimientos!$F$5:$F$3004,MATCH($A244,Movimientos!$M$5:$M$3004,0)),""))</f>
        <v/>
      </c>
      <c r="G244" s="14" t="str">
        <f>IF($A244="","",INDEX(Movimientos!$I$5:$I$3004,MATCH($A244,Movimientos!$M$5:$M$3004,0)))</f>
        <v/>
      </c>
      <c r="H244" s="22" t="str">
        <f>IF($A244="","",INDEX(Movimientos!$G$5:$G$3004,MATCH($A244,Movimientos!$M$5:$M$3004,0)))</f>
        <v/>
      </c>
      <c r="I244" s="22" t="str">
        <f>IF($A244="","",INDEX(Movimientos!$H$5:$H$3004,MATCH($A244,Movimientos!$M$5:$M$3004,0)))</f>
        <v/>
      </c>
      <c r="J244" s="14" t="str">
        <f>IF($A244="","",INDEX(Movimientos!$K$5:$K$3004,MATCH($A244,Movimientos!$M$5:$M$3004,0))&amp;"")</f>
        <v/>
      </c>
    </row>
    <row r="245" spans="1:10" x14ac:dyDescent="0.25">
      <c r="A245" s="14" t="str">
        <f>IF(237&lt;=COUNTIF(Movimientos!$M$5:$M$3004,"&gt;0"),237,"")</f>
        <v/>
      </c>
      <c r="B245" s="30" t="str">
        <f>IF($A245="","",INDEX(Movimientos!$A$5:$A$3004,MATCH($A245,Movimientos!$M$5:$M$3004,0)))</f>
        <v/>
      </c>
      <c r="C245" s="14" t="str">
        <f>IF($A245="","",INDEX(Movimientos!$B$5:$B$3004,MATCH($A245,Movimientos!$M$5:$M$3004,0)))</f>
        <v/>
      </c>
      <c r="D245" s="14" t="str">
        <f>IF($A245="","",INDEX(Movimientos!$J$5:$J$3004,MATCH($A245,Movimientos!$M$5:$M$3004,0))&amp;"")</f>
        <v/>
      </c>
      <c r="E245" s="14" t="str">
        <f>IF($A245="","",IF(C245="Entrada",INDEX(Movimientos!$F$5:$F$3004,MATCH($A245,Movimientos!$M$5:$M$3004,0)),""))</f>
        <v/>
      </c>
      <c r="F245" s="14" t="str">
        <f>IF($A245="","",IF(C245="Salida",INDEX(Movimientos!$F$5:$F$3004,MATCH($A245,Movimientos!$M$5:$M$3004,0)),""))</f>
        <v/>
      </c>
      <c r="G245" s="14" t="str">
        <f>IF($A245="","",INDEX(Movimientos!$I$5:$I$3004,MATCH($A245,Movimientos!$M$5:$M$3004,0)))</f>
        <v/>
      </c>
      <c r="H245" s="22" t="str">
        <f>IF($A245="","",INDEX(Movimientos!$G$5:$G$3004,MATCH($A245,Movimientos!$M$5:$M$3004,0)))</f>
        <v/>
      </c>
      <c r="I245" s="22" t="str">
        <f>IF($A245="","",INDEX(Movimientos!$H$5:$H$3004,MATCH($A245,Movimientos!$M$5:$M$3004,0)))</f>
        <v/>
      </c>
      <c r="J245" s="14" t="str">
        <f>IF($A245="","",INDEX(Movimientos!$K$5:$K$3004,MATCH($A245,Movimientos!$M$5:$M$3004,0))&amp;"")</f>
        <v/>
      </c>
    </row>
    <row r="246" spans="1:10" x14ac:dyDescent="0.25">
      <c r="A246" s="14" t="str">
        <f>IF(238&lt;=COUNTIF(Movimientos!$M$5:$M$3004,"&gt;0"),238,"")</f>
        <v/>
      </c>
      <c r="B246" s="30" t="str">
        <f>IF($A246="","",INDEX(Movimientos!$A$5:$A$3004,MATCH($A246,Movimientos!$M$5:$M$3004,0)))</f>
        <v/>
      </c>
      <c r="C246" s="14" t="str">
        <f>IF($A246="","",INDEX(Movimientos!$B$5:$B$3004,MATCH($A246,Movimientos!$M$5:$M$3004,0)))</f>
        <v/>
      </c>
      <c r="D246" s="14" t="str">
        <f>IF($A246="","",INDEX(Movimientos!$J$5:$J$3004,MATCH($A246,Movimientos!$M$5:$M$3004,0))&amp;"")</f>
        <v/>
      </c>
      <c r="E246" s="14" t="str">
        <f>IF($A246="","",IF(C246="Entrada",INDEX(Movimientos!$F$5:$F$3004,MATCH($A246,Movimientos!$M$5:$M$3004,0)),""))</f>
        <v/>
      </c>
      <c r="F246" s="14" t="str">
        <f>IF($A246="","",IF(C246="Salida",INDEX(Movimientos!$F$5:$F$3004,MATCH($A246,Movimientos!$M$5:$M$3004,0)),""))</f>
        <v/>
      </c>
      <c r="G246" s="14" t="str">
        <f>IF($A246="","",INDEX(Movimientos!$I$5:$I$3004,MATCH($A246,Movimientos!$M$5:$M$3004,0)))</f>
        <v/>
      </c>
      <c r="H246" s="22" t="str">
        <f>IF($A246="","",INDEX(Movimientos!$G$5:$G$3004,MATCH($A246,Movimientos!$M$5:$M$3004,0)))</f>
        <v/>
      </c>
      <c r="I246" s="22" t="str">
        <f>IF($A246="","",INDEX(Movimientos!$H$5:$H$3004,MATCH($A246,Movimientos!$M$5:$M$3004,0)))</f>
        <v/>
      </c>
      <c r="J246" s="14" t="str">
        <f>IF($A246="","",INDEX(Movimientos!$K$5:$K$3004,MATCH($A246,Movimientos!$M$5:$M$3004,0))&amp;"")</f>
        <v/>
      </c>
    </row>
    <row r="247" spans="1:10" x14ac:dyDescent="0.25">
      <c r="A247" s="14" t="str">
        <f>IF(239&lt;=COUNTIF(Movimientos!$M$5:$M$3004,"&gt;0"),239,"")</f>
        <v/>
      </c>
      <c r="B247" s="30" t="str">
        <f>IF($A247="","",INDEX(Movimientos!$A$5:$A$3004,MATCH($A247,Movimientos!$M$5:$M$3004,0)))</f>
        <v/>
      </c>
      <c r="C247" s="14" t="str">
        <f>IF($A247="","",INDEX(Movimientos!$B$5:$B$3004,MATCH($A247,Movimientos!$M$5:$M$3004,0)))</f>
        <v/>
      </c>
      <c r="D247" s="14" t="str">
        <f>IF($A247="","",INDEX(Movimientos!$J$5:$J$3004,MATCH($A247,Movimientos!$M$5:$M$3004,0))&amp;"")</f>
        <v/>
      </c>
      <c r="E247" s="14" t="str">
        <f>IF($A247="","",IF(C247="Entrada",INDEX(Movimientos!$F$5:$F$3004,MATCH($A247,Movimientos!$M$5:$M$3004,0)),""))</f>
        <v/>
      </c>
      <c r="F247" s="14" t="str">
        <f>IF($A247="","",IF(C247="Salida",INDEX(Movimientos!$F$5:$F$3004,MATCH($A247,Movimientos!$M$5:$M$3004,0)),""))</f>
        <v/>
      </c>
      <c r="G247" s="14" t="str">
        <f>IF($A247="","",INDEX(Movimientos!$I$5:$I$3004,MATCH($A247,Movimientos!$M$5:$M$3004,0)))</f>
        <v/>
      </c>
      <c r="H247" s="22" t="str">
        <f>IF($A247="","",INDEX(Movimientos!$G$5:$G$3004,MATCH($A247,Movimientos!$M$5:$M$3004,0)))</f>
        <v/>
      </c>
      <c r="I247" s="22" t="str">
        <f>IF($A247="","",INDEX(Movimientos!$H$5:$H$3004,MATCH($A247,Movimientos!$M$5:$M$3004,0)))</f>
        <v/>
      </c>
      <c r="J247" s="14" t="str">
        <f>IF($A247="","",INDEX(Movimientos!$K$5:$K$3004,MATCH($A247,Movimientos!$M$5:$M$3004,0))&amp;"")</f>
        <v/>
      </c>
    </row>
    <row r="248" spans="1:10" x14ac:dyDescent="0.25">
      <c r="A248" s="14" t="str">
        <f>IF(240&lt;=COUNTIF(Movimientos!$M$5:$M$3004,"&gt;0"),240,"")</f>
        <v/>
      </c>
      <c r="B248" s="30" t="str">
        <f>IF($A248="","",INDEX(Movimientos!$A$5:$A$3004,MATCH($A248,Movimientos!$M$5:$M$3004,0)))</f>
        <v/>
      </c>
      <c r="C248" s="14" t="str">
        <f>IF($A248="","",INDEX(Movimientos!$B$5:$B$3004,MATCH($A248,Movimientos!$M$5:$M$3004,0)))</f>
        <v/>
      </c>
      <c r="D248" s="14" t="str">
        <f>IF($A248="","",INDEX(Movimientos!$J$5:$J$3004,MATCH($A248,Movimientos!$M$5:$M$3004,0))&amp;"")</f>
        <v/>
      </c>
      <c r="E248" s="14" t="str">
        <f>IF($A248="","",IF(C248="Entrada",INDEX(Movimientos!$F$5:$F$3004,MATCH($A248,Movimientos!$M$5:$M$3004,0)),""))</f>
        <v/>
      </c>
      <c r="F248" s="14" t="str">
        <f>IF($A248="","",IF(C248="Salida",INDEX(Movimientos!$F$5:$F$3004,MATCH($A248,Movimientos!$M$5:$M$3004,0)),""))</f>
        <v/>
      </c>
      <c r="G248" s="14" t="str">
        <f>IF($A248="","",INDEX(Movimientos!$I$5:$I$3004,MATCH($A248,Movimientos!$M$5:$M$3004,0)))</f>
        <v/>
      </c>
      <c r="H248" s="22" t="str">
        <f>IF($A248="","",INDEX(Movimientos!$G$5:$G$3004,MATCH($A248,Movimientos!$M$5:$M$3004,0)))</f>
        <v/>
      </c>
      <c r="I248" s="22" t="str">
        <f>IF($A248="","",INDEX(Movimientos!$H$5:$H$3004,MATCH($A248,Movimientos!$M$5:$M$3004,0)))</f>
        <v/>
      </c>
      <c r="J248" s="14" t="str">
        <f>IF($A248="","",INDEX(Movimientos!$K$5:$K$3004,MATCH($A248,Movimientos!$M$5:$M$3004,0))&amp;"")</f>
        <v/>
      </c>
    </row>
    <row r="249" spans="1:10" x14ac:dyDescent="0.25">
      <c r="A249" s="14" t="str">
        <f>IF(241&lt;=COUNTIF(Movimientos!$M$5:$M$3004,"&gt;0"),241,"")</f>
        <v/>
      </c>
      <c r="B249" s="30" t="str">
        <f>IF($A249="","",INDEX(Movimientos!$A$5:$A$3004,MATCH($A249,Movimientos!$M$5:$M$3004,0)))</f>
        <v/>
      </c>
      <c r="C249" s="14" t="str">
        <f>IF($A249="","",INDEX(Movimientos!$B$5:$B$3004,MATCH($A249,Movimientos!$M$5:$M$3004,0)))</f>
        <v/>
      </c>
      <c r="D249" s="14" t="str">
        <f>IF($A249="","",INDEX(Movimientos!$J$5:$J$3004,MATCH($A249,Movimientos!$M$5:$M$3004,0))&amp;"")</f>
        <v/>
      </c>
      <c r="E249" s="14" t="str">
        <f>IF($A249="","",IF(C249="Entrada",INDEX(Movimientos!$F$5:$F$3004,MATCH($A249,Movimientos!$M$5:$M$3004,0)),""))</f>
        <v/>
      </c>
      <c r="F249" s="14" t="str">
        <f>IF($A249="","",IF(C249="Salida",INDEX(Movimientos!$F$5:$F$3004,MATCH($A249,Movimientos!$M$5:$M$3004,0)),""))</f>
        <v/>
      </c>
      <c r="G249" s="14" t="str">
        <f>IF($A249="","",INDEX(Movimientos!$I$5:$I$3004,MATCH($A249,Movimientos!$M$5:$M$3004,0)))</f>
        <v/>
      </c>
      <c r="H249" s="22" t="str">
        <f>IF($A249="","",INDEX(Movimientos!$G$5:$G$3004,MATCH($A249,Movimientos!$M$5:$M$3004,0)))</f>
        <v/>
      </c>
      <c r="I249" s="22" t="str">
        <f>IF($A249="","",INDEX(Movimientos!$H$5:$H$3004,MATCH($A249,Movimientos!$M$5:$M$3004,0)))</f>
        <v/>
      </c>
      <c r="J249" s="14" t="str">
        <f>IF($A249="","",INDEX(Movimientos!$K$5:$K$3004,MATCH($A249,Movimientos!$M$5:$M$3004,0))&amp;"")</f>
        <v/>
      </c>
    </row>
    <row r="250" spans="1:10" x14ac:dyDescent="0.25">
      <c r="A250" s="14" t="str">
        <f>IF(242&lt;=COUNTIF(Movimientos!$M$5:$M$3004,"&gt;0"),242,"")</f>
        <v/>
      </c>
      <c r="B250" s="30" t="str">
        <f>IF($A250="","",INDEX(Movimientos!$A$5:$A$3004,MATCH($A250,Movimientos!$M$5:$M$3004,0)))</f>
        <v/>
      </c>
      <c r="C250" s="14" t="str">
        <f>IF($A250="","",INDEX(Movimientos!$B$5:$B$3004,MATCH($A250,Movimientos!$M$5:$M$3004,0)))</f>
        <v/>
      </c>
      <c r="D250" s="14" t="str">
        <f>IF($A250="","",INDEX(Movimientos!$J$5:$J$3004,MATCH($A250,Movimientos!$M$5:$M$3004,0))&amp;"")</f>
        <v/>
      </c>
      <c r="E250" s="14" t="str">
        <f>IF($A250="","",IF(C250="Entrada",INDEX(Movimientos!$F$5:$F$3004,MATCH($A250,Movimientos!$M$5:$M$3004,0)),""))</f>
        <v/>
      </c>
      <c r="F250" s="14" t="str">
        <f>IF($A250="","",IF(C250="Salida",INDEX(Movimientos!$F$5:$F$3004,MATCH($A250,Movimientos!$M$5:$M$3004,0)),""))</f>
        <v/>
      </c>
      <c r="G250" s="14" t="str">
        <f>IF($A250="","",INDEX(Movimientos!$I$5:$I$3004,MATCH($A250,Movimientos!$M$5:$M$3004,0)))</f>
        <v/>
      </c>
      <c r="H250" s="22" t="str">
        <f>IF($A250="","",INDEX(Movimientos!$G$5:$G$3004,MATCH($A250,Movimientos!$M$5:$M$3004,0)))</f>
        <v/>
      </c>
      <c r="I250" s="22" t="str">
        <f>IF($A250="","",INDEX(Movimientos!$H$5:$H$3004,MATCH($A250,Movimientos!$M$5:$M$3004,0)))</f>
        <v/>
      </c>
      <c r="J250" s="14" t="str">
        <f>IF($A250="","",INDEX(Movimientos!$K$5:$K$3004,MATCH($A250,Movimientos!$M$5:$M$3004,0))&amp;"")</f>
        <v/>
      </c>
    </row>
    <row r="251" spans="1:10" x14ac:dyDescent="0.25">
      <c r="A251" s="14" t="str">
        <f>IF(243&lt;=COUNTIF(Movimientos!$M$5:$M$3004,"&gt;0"),243,"")</f>
        <v/>
      </c>
      <c r="B251" s="30" t="str">
        <f>IF($A251="","",INDEX(Movimientos!$A$5:$A$3004,MATCH($A251,Movimientos!$M$5:$M$3004,0)))</f>
        <v/>
      </c>
      <c r="C251" s="14" t="str">
        <f>IF($A251="","",INDEX(Movimientos!$B$5:$B$3004,MATCH($A251,Movimientos!$M$5:$M$3004,0)))</f>
        <v/>
      </c>
      <c r="D251" s="14" t="str">
        <f>IF($A251="","",INDEX(Movimientos!$J$5:$J$3004,MATCH($A251,Movimientos!$M$5:$M$3004,0))&amp;"")</f>
        <v/>
      </c>
      <c r="E251" s="14" t="str">
        <f>IF($A251="","",IF(C251="Entrada",INDEX(Movimientos!$F$5:$F$3004,MATCH($A251,Movimientos!$M$5:$M$3004,0)),""))</f>
        <v/>
      </c>
      <c r="F251" s="14" t="str">
        <f>IF($A251="","",IF(C251="Salida",INDEX(Movimientos!$F$5:$F$3004,MATCH($A251,Movimientos!$M$5:$M$3004,0)),""))</f>
        <v/>
      </c>
      <c r="G251" s="14" t="str">
        <f>IF($A251="","",INDEX(Movimientos!$I$5:$I$3004,MATCH($A251,Movimientos!$M$5:$M$3004,0)))</f>
        <v/>
      </c>
      <c r="H251" s="22" t="str">
        <f>IF($A251="","",INDEX(Movimientos!$G$5:$G$3004,MATCH($A251,Movimientos!$M$5:$M$3004,0)))</f>
        <v/>
      </c>
      <c r="I251" s="22" t="str">
        <f>IF($A251="","",INDEX(Movimientos!$H$5:$H$3004,MATCH($A251,Movimientos!$M$5:$M$3004,0)))</f>
        <v/>
      </c>
      <c r="J251" s="14" t="str">
        <f>IF($A251="","",INDEX(Movimientos!$K$5:$K$3004,MATCH($A251,Movimientos!$M$5:$M$3004,0))&amp;"")</f>
        <v/>
      </c>
    </row>
    <row r="252" spans="1:10" x14ac:dyDescent="0.25">
      <c r="A252" s="14" t="str">
        <f>IF(244&lt;=COUNTIF(Movimientos!$M$5:$M$3004,"&gt;0"),244,"")</f>
        <v/>
      </c>
      <c r="B252" s="30" t="str">
        <f>IF($A252="","",INDEX(Movimientos!$A$5:$A$3004,MATCH($A252,Movimientos!$M$5:$M$3004,0)))</f>
        <v/>
      </c>
      <c r="C252" s="14" t="str">
        <f>IF($A252="","",INDEX(Movimientos!$B$5:$B$3004,MATCH($A252,Movimientos!$M$5:$M$3004,0)))</f>
        <v/>
      </c>
      <c r="D252" s="14" t="str">
        <f>IF($A252="","",INDEX(Movimientos!$J$5:$J$3004,MATCH($A252,Movimientos!$M$5:$M$3004,0))&amp;"")</f>
        <v/>
      </c>
      <c r="E252" s="14" t="str">
        <f>IF($A252="","",IF(C252="Entrada",INDEX(Movimientos!$F$5:$F$3004,MATCH($A252,Movimientos!$M$5:$M$3004,0)),""))</f>
        <v/>
      </c>
      <c r="F252" s="14" t="str">
        <f>IF($A252="","",IF(C252="Salida",INDEX(Movimientos!$F$5:$F$3004,MATCH($A252,Movimientos!$M$5:$M$3004,0)),""))</f>
        <v/>
      </c>
      <c r="G252" s="14" t="str">
        <f>IF($A252="","",INDEX(Movimientos!$I$5:$I$3004,MATCH($A252,Movimientos!$M$5:$M$3004,0)))</f>
        <v/>
      </c>
      <c r="H252" s="22" t="str">
        <f>IF($A252="","",INDEX(Movimientos!$G$5:$G$3004,MATCH($A252,Movimientos!$M$5:$M$3004,0)))</f>
        <v/>
      </c>
      <c r="I252" s="22" t="str">
        <f>IF($A252="","",INDEX(Movimientos!$H$5:$H$3004,MATCH($A252,Movimientos!$M$5:$M$3004,0)))</f>
        <v/>
      </c>
      <c r="J252" s="14" t="str">
        <f>IF($A252="","",INDEX(Movimientos!$K$5:$K$3004,MATCH($A252,Movimientos!$M$5:$M$3004,0))&amp;"")</f>
        <v/>
      </c>
    </row>
    <row r="253" spans="1:10" x14ac:dyDescent="0.25">
      <c r="A253" s="14" t="str">
        <f>IF(245&lt;=COUNTIF(Movimientos!$M$5:$M$3004,"&gt;0"),245,"")</f>
        <v/>
      </c>
      <c r="B253" s="30" t="str">
        <f>IF($A253="","",INDEX(Movimientos!$A$5:$A$3004,MATCH($A253,Movimientos!$M$5:$M$3004,0)))</f>
        <v/>
      </c>
      <c r="C253" s="14" t="str">
        <f>IF($A253="","",INDEX(Movimientos!$B$5:$B$3004,MATCH($A253,Movimientos!$M$5:$M$3004,0)))</f>
        <v/>
      </c>
      <c r="D253" s="14" t="str">
        <f>IF($A253="","",INDEX(Movimientos!$J$5:$J$3004,MATCH($A253,Movimientos!$M$5:$M$3004,0))&amp;"")</f>
        <v/>
      </c>
      <c r="E253" s="14" t="str">
        <f>IF($A253="","",IF(C253="Entrada",INDEX(Movimientos!$F$5:$F$3004,MATCH($A253,Movimientos!$M$5:$M$3004,0)),""))</f>
        <v/>
      </c>
      <c r="F253" s="14" t="str">
        <f>IF($A253="","",IF(C253="Salida",INDEX(Movimientos!$F$5:$F$3004,MATCH($A253,Movimientos!$M$5:$M$3004,0)),""))</f>
        <v/>
      </c>
      <c r="G253" s="14" t="str">
        <f>IF($A253="","",INDEX(Movimientos!$I$5:$I$3004,MATCH($A253,Movimientos!$M$5:$M$3004,0)))</f>
        <v/>
      </c>
      <c r="H253" s="22" t="str">
        <f>IF($A253="","",INDEX(Movimientos!$G$5:$G$3004,MATCH($A253,Movimientos!$M$5:$M$3004,0)))</f>
        <v/>
      </c>
      <c r="I253" s="22" t="str">
        <f>IF($A253="","",INDEX(Movimientos!$H$5:$H$3004,MATCH($A253,Movimientos!$M$5:$M$3004,0)))</f>
        <v/>
      </c>
      <c r="J253" s="14" t="str">
        <f>IF($A253="","",INDEX(Movimientos!$K$5:$K$3004,MATCH($A253,Movimientos!$M$5:$M$3004,0))&amp;"")</f>
        <v/>
      </c>
    </row>
    <row r="254" spans="1:10" x14ac:dyDescent="0.25">
      <c r="A254" s="14" t="str">
        <f>IF(246&lt;=COUNTIF(Movimientos!$M$5:$M$3004,"&gt;0"),246,"")</f>
        <v/>
      </c>
      <c r="B254" s="30" t="str">
        <f>IF($A254="","",INDEX(Movimientos!$A$5:$A$3004,MATCH($A254,Movimientos!$M$5:$M$3004,0)))</f>
        <v/>
      </c>
      <c r="C254" s="14" t="str">
        <f>IF($A254="","",INDEX(Movimientos!$B$5:$B$3004,MATCH($A254,Movimientos!$M$5:$M$3004,0)))</f>
        <v/>
      </c>
      <c r="D254" s="14" t="str">
        <f>IF($A254="","",INDEX(Movimientos!$J$5:$J$3004,MATCH($A254,Movimientos!$M$5:$M$3004,0))&amp;"")</f>
        <v/>
      </c>
      <c r="E254" s="14" t="str">
        <f>IF($A254="","",IF(C254="Entrada",INDEX(Movimientos!$F$5:$F$3004,MATCH($A254,Movimientos!$M$5:$M$3004,0)),""))</f>
        <v/>
      </c>
      <c r="F254" s="14" t="str">
        <f>IF($A254="","",IF(C254="Salida",INDEX(Movimientos!$F$5:$F$3004,MATCH($A254,Movimientos!$M$5:$M$3004,0)),""))</f>
        <v/>
      </c>
      <c r="G254" s="14" t="str">
        <f>IF($A254="","",INDEX(Movimientos!$I$5:$I$3004,MATCH($A254,Movimientos!$M$5:$M$3004,0)))</f>
        <v/>
      </c>
      <c r="H254" s="22" t="str">
        <f>IF($A254="","",INDEX(Movimientos!$G$5:$G$3004,MATCH($A254,Movimientos!$M$5:$M$3004,0)))</f>
        <v/>
      </c>
      <c r="I254" s="22" t="str">
        <f>IF($A254="","",INDEX(Movimientos!$H$5:$H$3004,MATCH($A254,Movimientos!$M$5:$M$3004,0)))</f>
        <v/>
      </c>
      <c r="J254" s="14" t="str">
        <f>IF($A254="","",INDEX(Movimientos!$K$5:$K$3004,MATCH($A254,Movimientos!$M$5:$M$3004,0))&amp;"")</f>
        <v/>
      </c>
    </row>
    <row r="255" spans="1:10" x14ac:dyDescent="0.25">
      <c r="A255" s="14" t="str">
        <f>IF(247&lt;=COUNTIF(Movimientos!$M$5:$M$3004,"&gt;0"),247,"")</f>
        <v/>
      </c>
      <c r="B255" s="30" t="str">
        <f>IF($A255="","",INDEX(Movimientos!$A$5:$A$3004,MATCH($A255,Movimientos!$M$5:$M$3004,0)))</f>
        <v/>
      </c>
      <c r="C255" s="14" t="str">
        <f>IF($A255="","",INDEX(Movimientos!$B$5:$B$3004,MATCH($A255,Movimientos!$M$5:$M$3004,0)))</f>
        <v/>
      </c>
      <c r="D255" s="14" t="str">
        <f>IF($A255="","",INDEX(Movimientos!$J$5:$J$3004,MATCH($A255,Movimientos!$M$5:$M$3004,0))&amp;"")</f>
        <v/>
      </c>
      <c r="E255" s="14" t="str">
        <f>IF($A255="","",IF(C255="Entrada",INDEX(Movimientos!$F$5:$F$3004,MATCH($A255,Movimientos!$M$5:$M$3004,0)),""))</f>
        <v/>
      </c>
      <c r="F255" s="14" t="str">
        <f>IF($A255="","",IF(C255="Salida",INDEX(Movimientos!$F$5:$F$3004,MATCH($A255,Movimientos!$M$5:$M$3004,0)),""))</f>
        <v/>
      </c>
      <c r="G255" s="14" t="str">
        <f>IF($A255="","",INDEX(Movimientos!$I$5:$I$3004,MATCH($A255,Movimientos!$M$5:$M$3004,0)))</f>
        <v/>
      </c>
      <c r="H255" s="22" t="str">
        <f>IF($A255="","",INDEX(Movimientos!$G$5:$G$3004,MATCH($A255,Movimientos!$M$5:$M$3004,0)))</f>
        <v/>
      </c>
      <c r="I255" s="22" t="str">
        <f>IF($A255="","",INDEX(Movimientos!$H$5:$H$3004,MATCH($A255,Movimientos!$M$5:$M$3004,0)))</f>
        <v/>
      </c>
      <c r="J255" s="14" t="str">
        <f>IF($A255="","",INDEX(Movimientos!$K$5:$K$3004,MATCH($A255,Movimientos!$M$5:$M$3004,0))&amp;"")</f>
        <v/>
      </c>
    </row>
    <row r="256" spans="1:10" x14ac:dyDescent="0.25">
      <c r="A256" s="14" t="str">
        <f>IF(248&lt;=COUNTIF(Movimientos!$M$5:$M$3004,"&gt;0"),248,"")</f>
        <v/>
      </c>
      <c r="B256" s="30" t="str">
        <f>IF($A256="","",INDEX(Movimientos!$A$5:$A$3004,MATCH($A256,Movimientos!$M$5:$M$3004,0)))</f>
        <v/>
      </c>
      <c r="C256" s="14" t="str">
        <f>IF($A256="","",INDEX(Movimientos!$B$5:$B$3004,MATCH($A256,Movimientos!$M$5:$M$3004,0)))</f>
        <v/>
      </c>
      <c r="D256" s="14" t="str">
        <f>IF($A256="","",INDEX(Movimientos!$J$5:$J$3004,MATCH($A256,Movimientos!$M$5:$M$3004,0))&amp;"")</f>
        <v/>
      </c>
      <c r="E256" s="14" t="str">
        <f>IF($A256="","",IF(C256="Entrada",INDEX(Movimientos!$F$5:$F$3004,MATCH($A256,Movimientos!$M$5:$M$3004,0)),""))</f>
        <v/>
      </c>
      <c r="F256" s="14" t="str">
        <f>IF($A256="","",IF(C256="Salida",INDEX(Movimientos!$F$5:$F$3004,MATCH($A256,Movimientos!$M$5:$M$3004,0)),""))</f>
        <v/>
      </c>
      <c r="G256" s="14" t="str">
        <f>IF($A256="","",INDEX(Movimientos!$I$5:$I$3004,MATCH($A256,Movimientos!$M$5:$M$3004,0)))</f>
        <v/>
      </c>
      <c r="H256" s="22" t="str">
        <f>IF($A256="","",INDEX(Movimientos!$G$5:$G$3004,MATCH($A256,Movimientos!$M$5:$M$3004,0)))</f>
        <v/>
      </c>
      <c r="I256" s="22" t="str">
        <f>IF($A256="","",INDEX(Movimientos!$H$5:$H$3004,MATCH($A256,Movimientos!$M$5:$M$3004,0)))</f>
        <v/>
      </c>
      <c r="J256" s="14" t="str">
        <f>IF($A256="","",INDEX(Movimientos!$K$5:$K$3004,MATCH($A256,Movimientos!$M$5:$M$3004,0))&amp;"")</f>
        <v/>
      </c>
    </row>
    <row r="257" spans="1:10" x14ac:dyDescent="0.25">
      <c r="A257" s="14" t="str">
        <f>IF(249&lt;=COUNTIF(Movimientos!$M$5:$M$3004,"&gt;0"),249,"")</f>
        <v/>
      </c>
      <c r="B257" s="30" t="str">
        <f>IF($A257="","",INDEX(Movimientos!$A$5:$A$3004,MATCH($A257,Movimientos!$M$5:$M$3004,0)))</f>
        <v/>
      </c>
      <c r="C257" s="14" t="str">
        <f>IF($A257="","",INDEX(Movimientos!$B$5:$B$3004,MATCH($A257,Movimientos!$M$5:$M$3004,0)))</f>
        <v/>
      </c>
      <c r="D257" s="14" t="str">
        <f>IF($A257="","",INDEX(Movimientos!$J$5:$J$3004,MATCH($A257,Movimientos!$M$5:$M$3004,0))&amp;"")</f>
        <v/>
      </c>
      <c r="E257" s="14" t="str">
        <f>IF($A257="","",IF(C257="Entrada",INDEX(Movimientos!$F$5:$F$3004,MATCH($A257,Movimientos!$M$5:$M$3004,0)),""))</f>
        <v/>
      </c>
      <c r="F257" s="14" t="str">
        <f>IF($A257="","",IF(C257="Salida",INDEX(Movimientos!$F$5:$F$3004,MATCH($A257,Movimientos!$M$5:$M$3004,0)),""))</f>
        <v/>
      </c>
      <c r="G257" s="14" t="str">
        <f>IF($A257="","",INDEX(Movimientos!$I$5:$I$3004,MATCH($A257,Movimientos!$M$5:$M$3004,0)))</f>
        <v/>
      </c>
      <c r="H257" s="22" t="str">
        <f>IF($A257="","",INDEX(Movimientos!$G$5:$G$3004,MATCH($A257,Movimientos!$M$5:$M$3004,0)))</f>
        <v/>
      </c>
      <c r="I257" s="22" t="str">
        <f>IF($A257="","",INDEX(Movimientos!$H$5:$H$3004,MATCH($A257,Movimientos!$M$5:$M$3004,0)))</f>
        <v/>
      </c>
      <c r="J257" s="14" t="str">
        <f>IF($A257="","",INDEX(Movimientos!$K$5:$K$3004,MATCH($A257,Movimientos!$M$5:$M$3004,0))&amp;"")</f>
        <v/>
      </c>
    </row>
    <row r="258" spans="1:10" x14ac:dyDescent="0.25">
      <c r="A258" s="14" t="str">
        <f>IF(250&lt;=COUNTIF(Movimientos!$M$5:$M$3004,"&gt;0"),250,"")</f>
        <v/>
      </c>
      <c r="B258" s="30" t="str">
        <f>IF($A258="","",INDEX(Movimientos!$A$5:$A$3004,MATCH($A258,Movimientos!$M$5:$M$3004,0)))</f>
        <v/>
      </c>
      <c r="C258" s="14" t="str">
        <f>IF($A258="","",INDEX(Movimientos!$B$5:$B$3004,MATCH($A258,Movimientos!$M$5:$M$3004,0)))</f>
        <v/>
      </c>
      <c r="D258" s="14" t="str">
        <f>IF($A258="","",INDEX(Movimientos!$J$5:$J$3004,MATCH($A258,Movimientos!$M$5:$M$3004,0))&amp;"")</f>
        <v/>
      </c>
      <c r="E258" s="14" t="str">
        <f>IF($A258="","",IF(C258="Entrada",INDEX(Movimientos!$F$5:$F$3004,MATCH($A258,Movimientos!$M$5:$M$3004,0)),""))</f>
        <v/>
      </c>
      <c r="F258" s="14" t="str">
        <f>IF($A258="","",IF(C258="Salida",INDEX(Movimientos!$F$5:$F$3004,MATCH($A258,Movimientos!$M$5:$M$3004,0)),""))</f>
        <v/>
      </c>
      <c r="G258" s="14" t="str">
        <f>IF($A258="","",INDEX(Movimientos!$I$5:$I$3004,MATCH($A258,Movimientos!$M$5:$M$3004,0)))</f>
        <v/>
      </c>
      <c r="H258" s="22" t="str">
        <f>IF($A258="","",INDEX(Movimientos!$G$5:$G$3004,MATCH($A258,Movimientos!$M$5:$M$3004,0)))</f>
        <v/>
      </c>
      <c r="I258" s="22" t="str">
        <f>IF($A258="","",INDEX(Movimientos!$H$5:$H$3004,MATCH($A258,Movimientos!$M$5:$M$3004,0)))</f>
        <v/>
      </c>
      <c r="J258" s="14" t="str">
        <f>IF($A258="","",INDEX(Movimientos!$K$5:$K$3004,MATCH($A258,Movimientos!$M$5:$M$3004,0))&amp;"")</f>
        <v/>
      </c>
    </row>
    <row r="259" spans="1:10" x14ac:dyDescent="0.25">
      <c r="A259" s="14" t="str">
        <f>IF(251&lt;=COUNTIF(Movimientos!$M$5:$M$3004,"&gt;0"),251,"")</f>
        <v/>
      </c>
      <c r="B259" s="30" t="str">
        <f>IF($A259="","",INDEX(Movimientos!$A$5:$A$3004,MATCH($A259,Movimientos!$M$5:$M$3004,0)))</f>
        <v/>
      </c>
      <c r="C259" s="14" t="str">
        <f>IF($A259="","",INDEX(Movimientos!$B$5:$B$3004,MATCH($A259,Movimientos!$M$5:$M$3004,0)))</f>
        <v/>
      </c>
      <c r="D259" s="14" t="str">
        <f>IF($A259="","",INDEX(Movimientos!$J$5:$J$3004,MATCH($A259,Movimientos!$M$5:$M$3004,0))&amp;"")</f>
        <v/>
      </c>
      <c r="E259" s="14" t="str">
        <f>IF($A259="","",IF(C259="Entrada",INDEX(Movimientos!$F$5:$F$3004,MATCH($A259,Movimientos!$M$5:$M$3004,0)),""))</f>
        <v/>
      </c>
      <c r="F259" s="14" t="str">
        <f>IF($A259="","",IF(C259="Salida",INDEX(Movimientos!$F$5:$F$3004,MATCH($A259,Movimientos!$M$5:$M$3004,0)),""))</f>
        <v/>
      </c>
      <c r="G259" s="14" t="str">
        <f>IF($A259="","",INDEX(Movimientos!$I$5:$I$3004,MATCH($A259,Movimientos!$M$5:$M$3004,0)))</f>
        <v/>
      </c>
      <c r="H259" s="22" t="str">
        <f>IF($A259="","",INDEX(Movimientos!$G$5:$G$3004,MATCH($A259,Movimientos!$M$5:$M$3004,0)))</f>
        <v/>
      </c>
      <c r="I259" s="22" t="str">
        <f>IF($A259="","",INDEX(Movimientos!$H$5:$H$3004,MATCH($A259,Movimientos!$M$5:$M$3004,0)))</f>
        <v/>
      </c>
      <c r="J259" s="14" t="str">
        <f>IF($A259="","",INDEX(Movimientos!$K$5:$K$3004,MATCH($A259,Movimientos!$M$5:$M$3004,0))&amp;"")</f>
        <v/>
      </c>
    </row>
    <row r="260" spans="1:10" x14ac:dyDescent="0.25">
      <c r="A260" s="14" t="str">
        <f>IF(252&lt;=COUNTIF(Movimientos!$M$5:$M$3004,"&gt;0"),252,"")</f>
        <v/>
      </c>
      <c r="B260" s="30" t="str">
        <f>IF($A260="","",INDEX(Movimientos!$A$5:$A$3004,MATCH($A260,Movimientos!$M$5:$M$3004,0)))</f>
        <v/>
      </c>
      <c r="C260" s="14" t="str">
        <f>IF($A260="","",INDEX(Movimientos!$B$5:$B$3004,MATCH($A260,Movimientos!$M$5:$M$3004,0)))</f>
        <v/>
      </c>
      <c r="D260" s="14" t="str">
        <f>IF($A260="","",INDEX(Movimientos!$J$5:$J$3004,MATCH($A260,Movimientos!$M$5:$M$3004,0))&amp;"")</f>
        <v/>
      </c>
      <c r="E260" s="14" t="str">
        <f>IF($A260="","",IF(C260="Entrada",INDEX(Movimientos!$F$5:$F$3004,MATCH($A260,Movimientos!$M$5:$M$3004,0)),""))</f>
        <v/>
      </c>
      <c r="F260" s="14" t="str">
        <f>IF($A260="","",IF(C260="Salida",INDEX(Movimientos!$F$5:$F$3004,MATCH($A260,Movimientos!$M$5:$M$3004,0)),""))</f>
        <v/>
      </c>
      <c r="G260" s="14" t="str">
        <f>IF($A260="","",INDEX(Movimientos!$I$5:$I$3004,MATCH($A260,Movimientos!$M$5:$M$3004,0)))</f>
        <v/>
      </c>
      <c r="H260" s="22" t="str">
        <f>IF($A260="","",INDEX(Movimientos!$G$5:$G$3004,MATCH($A260,Movimientos!$M$5:$M$3004,0)))</f>
        <v/>
      </c>
      <c r="I260" s="22" t="str">
        <f>IF($A260="","",INDEX(Movimientos!$H$5:$H$3004,MATCH($A260,Movimientos!$M$5:$M$3004,0)))</f>
        <v/>
      </c>
      <c r="J260" s="14" t="str">
        <f>IF($A260="","",INDEX(Movimientos!$K$5:$K$3004,MATCH($A260,Movimientos!$M$5:$M$3004,0))&amp;"")</f>
        <v/>
      </c>
    </row>
    <row r="261" spans="1:10" x14ac:dyDescent="0.25">
      <c r="A261" s="14" t="str">
        <f>IF(253&lt;=COUNTIF(Movimientos!$M$5:$M$3004,"&gt;0"),253,"")</f>
        <v/>
      </c>
      <c r="B261" s="30" t="str">
        <f>IF($A261="","",INDEX(Movimientos!$A$5:$A$3004,MATCH($A261,Movimientos!$M$5:$M$3004,0)))</f>
        <v/>
      </c>
      <c r="C261" s="14" t="str">
        <f>IF($A261="","",INDEX(Movimientos!$B$5:$B$3004,MATCH($A261,Movimientos!$M$5:$M$3004,0)))</f>
        <v/>
      </c>
      <c r="D261" s="14" t="str">
        <f>IF($A261="","",INDEX(Movimientos!$J$5:$J$3004,MATCH($A261,Movimientos!$M$5:$M$3004,0))&amp;"")</f>
        <v/>
      </c>
      <c r="E261" s="14" t="str">
        <f>IF($A261="","",IF(C261="Entrada",INDEX(Movimientos!$F$5:$F$3004,MATCH($A261,Movimientos!$M$5:$M$3004,0)),""))</f>
        <v/>
      </c>
      <c r="F261" s="14" t="str">
        <f>IF($A261="","",IF(C261="Salida",INDEX(Movimientos!$F$5:$F$3004,MATCH($A261,Movimientos!$M$5:$M$3004,0)),""))</f>
        <v/>
      </c>
      <c r="G261" s="14" t="str">
        <f>IF($A261="","",INDEX(Movimientos!$I$5:$I$3004,MATCH($A261,Movimientos!$M$5:$M$3004,0)))</f>
        <v/>
      </c>
      <c r="H261" s="22" t="str">
        <f>IF($A261="","",INDEX(Movimientos!$G$5:$G$3004,MATCH($A261,Movimientos!$M$5:$M$3004,0)))</f>
        <v/>
      </c>
      <c r="I261" s="22" t="str">
        <f>IF($A261="","",INDEX(Movimientos!$H$5:$H$3004,MATCH($A261,Movimientos!$M$5:$M$3004,0)))</f>
        <v/>
      </c>
      <c r="J261" s="14" t="str">
        <f>IF($A261="","",INDEX(Movimientos!$K$5:$K$3004,MATCH($A261,Movimientos!$M$5:$M$3004,0))&amp;"")</f>
        <v/>
      </c>
    </row>
    <row r="262" spans="1:10" x14ac:dyDescent="0.25">
      <c r="A262" s="14" t="str">
        <f>IF(254&lt;=COUNTIF(Movimientos!$M$5:$M$3004,"&gt;0"),254,"")</f>
        <v/>
      </c>
      <c r="B262" s="30" t="str">
        <f>IF($A262="","",INDEX(Movimientos!$A$5:$A$3004,MATCH($A262,Movimientos!$M$5:$M$3004,0)))</f>
        <v/>
      </c>
      <c r="C262" s="14" t="str">
        <f>IF($A262="","",INDEX(Movimientos!$B$5:$B$3004,MATCH($A262,Movimientos!$M$5:$M$3004,0)))</f>
        <v/>
      </c>
      <c r="D262" s="14" t="str">
        <f>IF($A262="","",INDEX(Movimientos!$J$5:$J$3004,MATCH($A262,Movimientos!$M$5:$M$3004,0))&amp;"")</f>
        <v/>
      </c>
      <c r="E262" s="14" t="str">
        <f>IF($A262="","",IF(C262="Entrada",INDEX(Movimientos!$F$5:$F$3004,MATCH($A262,Movimientos!$M$5:$M$3004,0)),""))</f>
        <v/>
      </c>
      <c r="F262" s="14" t="str">
        <f>IF($A262="","",IF(C262="Salida",INDEX(Movimientos!$F$5:$F$3004,MATCH($A262,Movimientos!$M$5:$M$3004,0)),""))</f>
        <v/>
      </c>
      <c r="G262" s="14" t="str">
        <f>IF($A262="","",INDEX(Movimientos!$I$5:$I$3004,MATCH($A262,Movimientos!$M$5:$M$3004,0)))</f>
        <v/>
      </c>
      <c r="H262" s="22" t="str">
        <f>IF($A262="","",INDEX(Movimientos!$G$5:$G$3004,MATCH($A262,Movimientos!$M$5:$M$3004,0)))</f>
        <v/>
      </c>
      <c r="I262" s="22" t="str">
        <f>IF($A262="","",INDEX(Movimientos!$H$5:$H$3004,MATCH($A262,Movimientos!$M$5:$M$3004,0)))</f>
        <v/>
      </c>
      <c r="J262" s="14" t="str">
        <f>IF($A262="","",INDEX(Movimientos!$K$5:$K$3004,MATCH($A262,Movimientos!$M$5:$M$3004,0))&amp;"")</f>
        <v/>
      </c>
    </row>
    <row r="263" spans="1:10" x14ac:dyDescent="0.25">
      <c r="A263" s="14" t="str">
        <f>IF(255&lt;=COUNTIF(Movimientos!$M$5:$M$3004,"&gt;0"),255,"")</f>
        <v/>
      </c>
      <c r="B263" s="30" t="str">
        <f>IF($A263="","",INDEX(Movimientos!$A$5:$A$3004,MATCH($A263,Movimientos!$M$5:$M$3004,0)))</f>
        <v/>
      </c>
      <c r="C263" s="14" t="str">
        <f>IF($A263="","",INDEX(Movimientos!$B$5:$B$3004,MATCH($A263,Movimientos!$M$5:$M$3004,0)))</f>
        <v/>
      </c>
      <c r="D263" s="14" t="str">
        <f>IF($A263="","",INDEX(Movimientos!$J$5:$J$3004,MATCH($A263,Movimientos!$M$5:$M$3004,0))&amp;"")</f>
        <v/>
      </c>
      <c r="E263" s="14" t="str">
        <f>IF($A263="","",IF(C263="Entrada",INDEX(Movimientos!$F$5:$F$3004,MATCH($A263,Movimientos!$M$5:$M$3004,0)),""))</f>
        <v/>
      </c>
      <c r="F263" s="14" t="str">
        <f>IF($A263="","",IF(C263="Salida",INDEX(Movimientos!$F$5:$F$3004,MATCH($A263,Movimientos!$M$5:$M$3004,0)),""))</f>
        <v/>
      </c>
      <c r="G263" s="14" t="str">
        <f>IF($A263="","",INDEX(Movimientos!$I$5:$I$3004,MATCH($A263,Movimientos!$M$5:$M$3004,0)))</f>
        <v/>
      </c>
      <c r="H263" s="22" t="str">
        <f>IF($A263="","",INDEX(Movimientos!$G$5:$G$3004,MATCH($A263,Movimientos!$M$5:$M$3004,0)))</f>
        <v/>
      </c>
      <c r="I263" s="22" t="str">
        <f>IF($A263="","",INDEX(Movimientos!$H$5:$H$3004,MATCH($A263,Movimientos!$M$5:$M$3004,0)))</f>
        <v/>
      </c>
      <c r="J263" s="14" t="str">
        <f>IF($A263="","",INDEX(Movimientos!$K$5:$K$3004,MATCH($A263,Movimientos!$M$5:$M$3004,0))&amp;"")</f>
        <v/>
      </c>
    </row>
    <row r="264" spans="1:10" x14ac:dyDescent="0.25">
      <c r="A264" s="14" t="str">
        <f>IF(256&lt;=COUNTIF(Movimientos!$M$5:$M$3004,"&gt;0"),256,"")</f>
        <v/>
      </c>
      <c r="B264" s="30" t="str">
        <f>IF($A264="","",INDEX(Movimientos!$A$5:$A$3004,MATCH($A264,Movimientos!$M$5:$M$3004,0)))</f>
        <v/>
      </c>
      <c r="C264" s="14" t="str">
        <f>IF($A264="","",INDEX(Movimientos!$B$5:$B$3004,MATCH($A264,Movimientos!$M$5:$M$3004,0)))</f>
        <v/>
      </c>
      <c r="D264" s="14" t="str">
        <f>IF($A264="","",INDEX(Movimientos!$J$5:$J$3004,MATCH($A264,Movimientos!$M$5:$M$3004,0))&amp;"")</f>
        <v/>
      </c>
      <c r="E264" s="14" t="str">
        <f>IF($A264="","",IF(C264="Entrada",INDEX(Movimientos!$F$5:$F$3004,MATCH($A264,Movimientos!$M$5:$M$3004,0)),""))</f>
        <v/>
      </c>
      <c r="F264" s="14" t="str">
        <f>IF($A264="","",IF(C264="Salida",INDEX(Movimientos!$F$5:$F$3004,MATCH($A264,Movimientos!$M$5:$M$3004,0)),""))</f>
        <v/>
      </c>
      <c r="G264" s="14" t="str">
        <f>IF($A264="","",INDEX(Movimientos!$I$5:$I$3004,MATCH($A264,Movimientos!$M$5:$M$3004,0)))</f>
        <v/>
      </c>
      <c r="H264" s="22" t="str">
        <f>IF($A264="","",INDEX(Movimientos!$G$5:$G$3004,MATCH($A264,Movimientos!$M$5:$M$3004,0)))</f>
        <v/>
      </c>
      <c r="I264" s="22" t="str">
        <f>IF($A264="","",INDEX(Movimientos!$H$5:$H$3004,MATCH($A264,Movimientos!$M$5:$M$3004,0)))</f>
        <v/>
      </c>
      <c r="J264" s="14" t="str">
        <f>IF($A264="","",INDEX(Movimientos!$K$5:$K$3004,MATCH($A264,Movimientos!$M$5:$M$3004,0))&amp;"")</f>
        <v/>
      </c>
    </row>
    <row r="265" spans="1:10" x14ac:dyDescent="0.25">
      <c r="A265" s="14" t="str">
        <f>IF(257&lt;=COUNTIF(Movimientos!$M$5:$M$3004,"&gt;0"),257,"")</f>
        <v/>
      </c>
      <c r="B265" s="30" t="str">
        <f>IF($A265="","",INDEX(Movimientos!$A$5:$A$3004,MATCH($A265,Movimientos!$M$5:$M$3004,0)))</f>
        <v/>
      </c>
      <c r="C265" s="14" t="str">
        <f>IF($A265="","",INDEX(Movimientos!$B$5:$B$3004,MATCH($A265,Movimientos!$M$5:$M$3004,0)))</f>
        <v/>
      </c>
      <c r="D265" s="14" t="str">
        <f>IF($A265="","",INDEX(Movimientos!$J$5:$J$3004,MATCH($A265,Movimientos!$M$5:$M$3004,0))&amp;"")</f>
        <v/>
      </c>
      <c r="E265" s="14" t="str">
        <f>IF($A265="","",IF(C265="Entrada",INDEX(Movimientos!$F$5:$F$3004,MATCH($A265,Movimientos!$M$5:$M$3004,0)),""))</f>
        <v/>
      </c>
      <c r="F265" s="14" t="str">
        <f>IF($A265="","",IF(C265="Salida",INDEX(Movimientos!$F$5:$F$3004,MATCH($A265,Movimientos!$M$5:$M$3004,0)),""))</f>
        <v/>
      </c>
      <c r="G265" s="14" t="str">
        <f>IF($A265="","",INDEX(Movimientos!$I$5:$I$3004,MATCH($A265,Movimientos!$M$5:$M$3004,0)))</f>
        <v/>
      </c>
      <c r="H265" s="22" t="str">
        <f>IF($A265="","",INDEX(Movimientos!$G$5:$G$3004,MATCH($A265,Movimientos!$M$5:$M$3004,0)))</f>
        <v/>
      </c>
      <c r="I265" s="22" t="str">
        <f>IF($A265="","",INDEX(Movimientos!$H$5:$H$3004,MATCH($A265,Movimientos!$M$5:$M$3004,0)))</f>
        <v/>
      </c>
      <c r="J265" s="14" t="str">
        <f>IF($A265="","",INDEX(Movimientos!$K$5:$K$3004,MATCH($A265,Movimientos!$M$5:$M$3004,0))&amp;"")</f>
        <v/>
      </c>
    </row>
    <row r="266" spans="1:10" x14ac:dyDescent="0.25">
      <c r="A266" s="14" t="str">
        <f>IF(258&lt;=COUNTIF(Movimientos!$M$5:$M$3004,"&gt;0"),258,"")</f>
        <v/>
      </c>
      <c r="B266" s="30" t="str">
        <f>IF($A266="","",INDEX(Movimientos!$A$5:$A$3004,MATCH($A266,Movimientos!$M$5:$M$3004,0)))</f>
        <v/>
      </c>
      <c r="C266" s="14" t="str">
        <f>IF($A266="","",INDEX(Movimientos!$B$5:$B$3004,MATCH($A266,Movimientos!$M$5:$M$3004,0)))</f>
        <v/>
      </c>
      <c r="D266" s="14" t="str">
        <f>IF($A266="","",INDEX(Movimientos!$J$5:$J$3004,MATCH($A266,Movimientos!$M$5:$M$3004,0))&amp;"")</f>
        <v/>
      </c>
      <c r="E266" s="14" t="str">
        <f>IF($A266="","",IF(C266="Entrada",INDEX(Movimientos!$F$5:$F$3004,MATCH($A266,Movimientos!$M$5:$M$3004,0)),""))</f>
        <v/>
      </c>
      <c r="F266" s="14" t="str">
        <f>IF($A266="","",IF(C266="Salida",INDEX(Movimientos!$F$5:$F$3004,MATCH($A266,Movimientos!$M$5:$M$3004,0)),""))</f>
        <v/>
      </c>
      <c r="G266" s="14" t="str">
        <f>IF($A266="","",INDEX(Movimientos!$I$5:$I$3004,MATCH($A266,Movimientos!$M$5:$M$3004,0)))</f>
        <v/>
      </c>
      <c r="H266" s="22" t="str">
        <f>IF($A266="","",INDEX(Movimientos!$G$5:$G$3004,MATCH($A266,Movimientos!$M$5:$M$3004,0)))</f>
        <v/>
      </c>
      <c r="I266" s="22" t="str">
        <f>IF($A266="","",INDEX(Movimientos!$H$5:$H$3004,MATCH($A266,Movimientos!$M$5:$M$3004,0)))</f>
        <v/>
      </c>
      <c r="J266" s="14" t="str">
        <f>IF($A266="","",INDEX(Movimientos!$K$5:$K$3004,MATCH($A266,Movimientos!$M$5:$M$3004,0))&amp;"")</f>
        <v/>
      </c>
    </row>
    <row r="267" spans="1:10" x14ac:dyDescent="0.25">
      <c r="A267" s="14" t="str">
        <f>IF(259&lt;=COUNTIF(Movimientos!$M$5:$M$3004,"&gt;0"),259,"")</f>
        <v/>
      </c>
      <c r="B267" s="30" t="str">
        <f>IF($A267="","",INDEX(Movimientos!$A$5:$A$3004,MATCH($A267,Movimientos!$M$5:$M$3004,0)))</f>
        <v/>
      </c>
      <c r="C267" s="14" t="str">
        <f>IF($A267="","",INDEX(Movimientos!$B$5:$B$3004,MATCH($A267,Movimientos!$M$5:$M$3004,0)))</f>
        <v/>
      </c>
      <c r="D267" s="14" t="str">
        <f>IF($A267="","",INDEX(Movimientos!$J$5:$J$3004,MATCH($A267,Movimientos!$M$5:$M$3004,0))&amp;"")</f>
        <v/>
      </c>
      <c r="E267" s="14" t="str">
        <f>IF($A267="","",IF(C267="Entrada",INDEX(Movimientos!$F$5:$F$3004,MATCH($A267,Movimientos!$M$5:$M$3004,0)),""))</f>
        <v/>
      </c>
      <c r="F267" s="14" t="str">
        <f>IF($A267="","",IF(C267="Salida",INDEX(Movimientos!$F$5:$F$3004,MATCH($A267,Movimientos!$M$5:$M$3004,0)),""))</f>
        <v/>
      </c>
      <c r="G267" s="14" t="str">
        <f>IF($A267="","",INDEX(Movimientos!$I$5:$I$3004,MATCH($A267,Movimientos!$M$5:$M$3004,0)))</f>
        <v/>
      </c>
      <c r="H267" s="22" t="str">
        <f>IF($A267="","",INDEX(Movimientos!$G$5:$G$3004,MATCH($A267,Movimientos!$M$5:$M$3004,0)))</f>
        <v/>
      </c>
      <c r="I267" s="22" t="str">
        <f>IF($A267="","",INDEX(Movimientos!$H$5:$H$3004,MATCH($A267,Movimientos!$M$5:$M$3004,0)))</f>
        <v/>
      </c>
      <c r="J267" s="14" t="str">
        <f>IF($A267="","",INDEX(Movimientos!$K$5:$K$3004,MATCH($A267,Movimientos!$M$5:$M$3004,0))&amp;"")</f>
        <v/>
      </c>
    </row>
    <row r="268" spans="1:10" x14ac:dyDescent="0.25">
      <c r="A268" s="14" t="str">
        <f>IF(260&lt;=COUNTIF(Movimientos!$M$5:$M$3004,"&gt;0"),260,"")</f>
        <v/>
      </c>
      <c r="B268" s="30" t="str">
        <f>IF($A268="","",INDEX(Movimientos!$A$5:$A$3004,MATCH($A268,Movimientos!$M$5:$M$3004,0)))</f>
        <v/>
      </c>
      <c r="C268" s="14" t="str">
        <f>IF($A268="","",INDEX(Movimientos!$B$5:$B$3004,MATCH($A268,Movimientos!$M$5:$M$3004,0)))</f>
        <v/>
      </c>
      <c r="D268" s="14" t="str">
        <f>IF($A268="","",INDEX(Movimientos!$J$5:$J$3004,MATCH($A268,Movimientos!$M$5:$M$3004,0))&amp;"")</f>
        <v/>
      </c>
      <c r="E268" s="14" t="str">
        <f>IF($A268="","",IF(C268="Entrada",INDEX(Movimientos!$F$5:$F$3004,MATCH($A268,Movimientos!$M$5:$M$3004,0)),""))</f>
        <v/>
      </c>
      <c r="F268" s="14" t="str">
        <f>IF($A268="","",IF(C268="Salida",INDEX(Movimientos!$F$5:$F$3004,MATCH($A268,Movimientos!$M$5:$M$3004,0)),""))</f>
        <v/>
      </c>
      <c r="G268" s="14" t="str">
        <f>IF($A268="","",INDEX(Movimientos!$I$5:$I$3004,MATCH($A268,Movimientos!$M$5:$M$3004,0)))</f>
        <v/>
      </c>
      <c r="H268" s="22" t="str">
        <f>IF($A268="","",INDEX(Movimientos!$G$5:$G$3004,MATCH($A268,Movimientos!$M$5:$M$3004,0)))</f>
        <v/>
      </c>
      <c r="I268" s="22" t="str">
        <f>IF($A268="","",INDEX(Movimientos!$H$5:$H$3004,MATCH($A268,Movimientos!$M$5:$M$3004,0)))</f>
        <v/>
      </c>
      <c r="J268" s="14" t="str">
        <f>IF($A268="","",INDEX(Movimientos!$K$5:$K$3004,MATCH($A268,Movimientos!$M$5:$M$3004,0))&amp;"")</f>
        <v/>
      </c>
    </row>
    <row r="269" spans="1:10" x14ac:dyDescent="0.25">
      <c r="A269" s="14" t="str">
        <f>IF(261&lt;=COUNTIF(Movimientos!$M$5:$M$3004,"&gt;0"),261,"")</f>
        <v/>
      </c>
      <c r="B269" s="30" t="str">
        <f>IF($A269="","",INDEX(Movimientos!$A$5:$A$3004,MATCH($A269,Movimientos!$M$5:$M$3004,0)))</f>
        <v/>
      </c>
      <c r="C269" s="14" t="str">
        <f>IF($A269="","",INDEX(Movimientos!$B$5:$B$3004,MATCH($A269,Movimientos!$M$5:$M$3004,0)))</f>
        <v/>
      </c>
      <c r="D269" s="14" t="str">
        <f>IF($A269="","",INDEX(Movimientos!$J$5:$J$3004,MATCH($A269,Movimientos!$M$5:$M$3004,0))&amp;"")</f>
        <v/>
      </c>
      <c r="E269" s="14" t="str">
        <f>IF($A269="","",IF(C269="Entrada",INDEX(Movimientos!$F$5:$F$3004,MATCH($A269,Movimientos!$M$5:$M$3004,0)),""))</f>
        <v/>
      </c>
      <c r="F269" s="14" t="str">
        <f>IF($A269="","",IF(C269="Salida",INDEX(Movimientos!$F$5:$F$3004,MATCH($A269,Movimientos!$M$5:$M$3004,0)),""))</f>
        <v/>
      </c>
      <c r="G269" s="14" t="str">
        <f>IF($A269="","",INDEX(Movimientos!$I$5:$I$3004,MATCH($A269,Movimientos!$M$5:$M$3004,0)))</f>
        <v/>
      </c>
      <c r="H269" s="22" t="str">
        <f>IF($A269="","",INDEX(Movimientos!$G$5:$G$3004,MATCH($A269,Movimientos!$M$5:$M$3004,0)))</f>
        <v/>
      </c>
      <c r="I269" s="22" t="str">
        <f>IF($A269="","",INDEX(Movimientos!$H$5:$H$3004,MATCH($A269,Movimientos!$M$5:$M$3004,0)))</f>
        <v/>
      </c>
      <c r="J269" s="14" t="str">
        <f>IF($A269="","",INDEX(Movimientos!$K$5:$K$3004,MATCH($A269,Movimientos!$M$5:$M$3004,0))&amp;"")</f>
        <v/>
      </c>
    </row>
    <row r="270" spans="1:10" x14ac:dyDescent="0.25">
      <c r="A270" s="14" t="str">
        <f>IF(262&lt;=COUNTIF(Movimientos!$M$5:$M$3004,"&gt;0"),262,"")</f>
        <v/>
      </c>
      <c r="B270" s="30" t="str">
        <f>IF($A270="","",INDEX(Movimientos!$A$5:$A$3004,MATCH($A270,Movimientos!$M$5:$M$3004,0)))</f>
        <v/>
      </c>
      <c r="C270" s="14" t="str">
        <f>IF($A270="","",INDEX(Movimientos!$B$5:$B$3004,MATCH($A270,Movimientos!$M$5:$M$3004,0)))</f>
        <v/>
      </c>
      <c r="D270" s="14" t="str">
        <f>IF($A270="","",INDEX(Movimientos!$J$5:$J$3004,MATCH($A270,Movimientos!$M$5:$M$3004,0))&amp;"")</f>
        <v/>
      </c>
      <c r="E270" s="14" t="str">
        <f>IF($A270="","",IF(C270="Entrada",INDEX(Movimientos!$F$5:$F$3004,MATCH($A270,Movimientos!$M$5:$M$3004,0)),""))</f>
        <v/>
      </c>
      <c r="F270" s="14" t="str">
        <f>IF($A270="","",IF(C270="Salida",INDEX(Movimientos!$F$5:$F$3004,MATCH($A270,Movimientos!$M$5:$M$3004,0)),""))</f>
        <v/>
      </c>
      <c r="G270" s="14" t="str">
        <f>IF($A270="","",INDEX(Movimientos!$I$5:$I$3004,MATCH($A270,Movimientos!$M$5:$M$3004,0)))</f>
        <v/>
      </c>
      <c r="H270" s="22" t="str">
        <f>IF($A270="","",INDEX(Movimientos!$G$5:$G$3004,MATCH($A270,Movimientos!$M$5:$M$3004,0)))</f>
        <v/>
      </c>
      <c r="I270" s="22" t="str">
        <f>IF($A270="","",INDEX(Movimientos!$H$5:$H$3004,MATCH($A270,Movimientos!$M$5:$M$3004,0)))</f>
        <v/>
      </c>
      <c r="J270" s="14" t="str">
        <f>IF($A270="","",INDEX(Movimientos!$K$5:$K$3004,MATCH($A270,Movimientos!$M$5:$M$3004,0))&amp;"")</f>
        <v/>
      </c>
    </row>
    <row r="271" spans="1:10" x14ac:dyDescent="0.25">
      <c r="A271" s="14" t="str">
        <f>IF(263&lt;=COUNTIF(Movimientos!$M$5:$M$3004,"&gt;0"),263,"")</f>
        <v/>
      </c>
      <c r="B271" s="30" t="str">
        <f>IF($A271="","",INDEX(Movimientos!$A$5:$A$3004,MATCH($A271,Movimientos!$M$5:$M$3004,0)))</f>
        <v/>
      </c>
      <c r="C271" s="14" t="str">
        <f>IF($A271="","",INDEX(Movimientos!$B$5:$B$3004,MATCH($A271,Movimientos!$M$5:$M$3004,0)))</f>
        <v/>
      </c>
      <c r="D271" s="14" t="str">
        <f>IF($A271="","",INDEX(Movimientos!$J$5:$J$3004,MATCH($A271,Movimientos!$M$5:$M$3004,0))&amp;"")</f>
        <v/>
      </c>
      <c r="E271" s="14" t="str">
        <f>IF($A271="","",IF(C271="Entrada",INDEX(Movimientos!$F$5:$F$3004,MATCH($A271,Movimientos!$M$5:$M$3004,0)),""))</f>
        <v/>
      </c>
      <c r="F271" s="14" t="str">
        <f>IF($A271="","",IF(C271="Salida",INDEX(Movimientos!$F$5:$F$3004,MATCH($A271,Movimientos!$M$5:$M$3004,0)),""))</f>
        <v/>
      </c>
      <c r="G271" s="14" t="str">
        <f>IF($A271="","",INDEX(Movimientos!$I$5:$I$3004,MATCH($A271,Movimientos!$M$5:$M$3004,0)))</f>
        <v/>
      </c>
      <c r="H271" s="22" t="str">
        <f>IF($A271="","",INDEX(Movimientos!$G$5:$G$3004,MATCH($A271,Movimientos!$M$5:$M$3004,0)))</f>
        <v/>
      </c>
      <c r="I271" s="22" t="str">
        <f>IF($A271="","",INDEX(Movimientos!$H$5:$H$3004,MATCH($A271,Movimientos!$M$5:$M$3004,0)))</f>
        <v/>
      </c>
      <c r="J271" s="14" t="str">
        <f>IF($A271="","",INDEX(Movimientos!$K$5:$K$3004,MATCH($A271,Movimientos!$M$5:$M$3004,0))&amp;"")</f>
        <v/>
      </c>
    </row>
    <row r="272" spans="1:10" x14ac:dyDescent="0.25">
      <c r="A272" s="14" t="str">
        <f>IF(264&lt;=COUNTIF(Movimientos!$M$5:$M$3004,"&gt;0"),264,"")</f>
        <v/>
      </c>
      <c r="B272" s="30" t="str">
        <f>IF($A272="","",INDEX(Movimientos!$A$5:$A$3004,MATCH($A272,Movimientos!$M$5:$M$3004,0)))</f>
        <v/>
      </c>
      <c r="C272" s="14" t="str">
        <f>IF($A272="","",INDEX(Movimientos!$B$5:$B$3004,MATCH($A272,Movimientos!$M$5:$M$3004,0)))</f>
        <v/>
      </c>
      <c r="D272" s="14" t="str">
        <f>IF($A272="","",INDEX(Movimientos!$J$5:$J$3004,MATCH($A272,Movimientos!$M$5:$M$3004,0))&amp;"")</f>
        <v/>
      </c>
      <c r="E272" s="14" t="str">
        <f>IF($A272="","",IF(C272="Entrada",INDEX(Movimientos!$F$5:$F$3004,MATCH($A272,Movimientos!$M$5:$M$3004,0)),""))</f>
        <v/>
      </c>
      <c r="F272" s="14" t="str">
        <f>IF($A272="","",IF(C272="Salida",INDEX(Movimientos!$F$5:$F$3004,MATCH($A272,Movimientos!$M$5:$M$3004,0)),""))</f>
        <v/>
      </c>
      <c r="G272" s="14" t="str">
        <f>IF($A272="","",INDEX(Movimientos!$I$5:$I$3004,MATCH($A272,Movimientos!$M$5:$M$3004,0)))</f>
        <v/>
      </c>
      <c r="H272" s="22" t="str">
        <f>IF($A272="","",INDEX(Movimientos!$G$5:$G$3004,MATCH($A272,Movimientos!$M$5:$M$3004,0)))</f>
        <v/>
      </c>
      <c r="I272" s="22" t="str">
        <f>IF($A272="","",INDEX(Movimientos!$H$5:$H$3004,MATCH($A272,Movimientos!$M$5:$M$3004,0)))</f>
        <v/>
      </c>
      <c r="J272" s="14" t="str">
        <f>IF($A272="","",INDEX(Movimientos!$K$5:$K$3004,MATCH($A272,Movimientos!$M$5:$M$3004,0))&amp;"")</f>
        <v/>
      </c>
    </row>
    <row r="273" spans="1:10" x14ac:dyDescent="0.25">
      <c r="A273" s="14" t="str">
        <f>IF(265&lt;=COUNTIF(Movimientos!$M$5:$M$3004,"&gt;0"),265,"")</f>
        <v/>
      </c>
      <c r="B273" s="30" t="str">
        <f>IF($A273="","",INDEX(Movimientos!$A$5:$A$3004,MATCH($A273,Movimientos!$M$5:$M$3004,0)))</f>
        <v/>
      </c>
      <c r="C273" s="14" t="str">
        <f>IF($A273="","",INDEX(Movimientos!$B$5:$B$3004,MATCH($A273,Movimientos!$M$5:$M$3004,0)))</f>
        <v/>
      </c>
      <c r="D273" s="14" t="str">
        <f>IF($A273="","",INDEX(Movimientos!$J$5:$J$3004,MATCH($A273,Movimientos!$M$5:$M$3004,0))&amp;"")</f>
        <v/>
      </c>
      <c r="E273" s="14" t="str">
        <f>IF($A273="","",IF(C273="Entrada",INDEX(Movimientos!$F$5:$F$3004,MATCH($A273,Movimientos!$M$5:$M$3004,0)),""))</f>
        <v/>
      </c>
      <c r="F273" s="14" t="str">
        <f>IF($A273="","",IF(C273="Salida",INDEX(Movimientos!$F$5:$F$3004,MATCH($A273,Movimientos!$M$5:$M$3004,0)),""))</f>
        <v/>
      </c>
      <c r="G273" s="14" t="str">
        <f>IF($A273="","",INDEX(Movimientos!$I$5:$I$3004,MATCH($A273,Movimientos!$M$5:$M$3004,0)))</f>
        <v/>
      </c>
      <c r="H273" s="22" t="str">
        <f>IF($A273="","",INDEX(Movimientos!$G$5:$G$3004,MATCH($A273,Movimientos!$M$5:$M$3004,0)))</f>
        <v/>
      </c>
      <c r="I273" s="22" t="str">
        <f>IF($A273="","",INDEX(Movimientos!$H$5:$H$3004,MATCH($A273,Movimientos!$M$5:$M$3004,0)))</f>
        <v/>
      </c>
      <c r="J273" s="14" t="str">
        <f>IF($A273="","",INDEX(Movimientos!$K$5:$K$3004,MATCH($A273,Movimientos!$M$5:$M$3004,0))&amp;"")</f>
        <v/>
      </c>
    </row>
    <row r="274" spans="1:10" x14ac:dyDescent="0.25">
      <c r="A274" s="14" t="str">
        <f>IF(266&lt;=COUNTIF(Movimientos!$M$5:$M$3004,"&gt;0"),266,"")</f>
        <v/>
      </c>
      <c r="B274" s="30" t="str">
        <f>IF($A274="","",INDEX(Movimientos!$A$5:$A$3004,MATCH($A274,Movimientos!$M$5:$M$3004,0)))</f>
        <v/>
      </c>
      <c r="C274" s="14" t="str">
        <f>IF($A274="","",INDEX(Movimientos!$B$5:$B$3004,MATCH($A274,Movimientos!$M$5:$M$3004,0)))</f>
        <v/>
      </c>
      <c r="D274" s="14" t="str">
        <f>IF($A274="","",INDEX(Movimientos!$J$5:$J$3004,MATCH($A274,Movimientos!$M$5:$M$3004,0))&amp;"")</f>
        <v/>
      </c>
      <c r="E274" s="14" t="str">
        <f>IF($A274="","",IF(C274="Entrada",INDEX(Movimientos!$F$5:$F$3004,MATCH($A274,Movimientos!$M$5:$M$3004,0)),""))</f>
        <v/>
      </c>
      <c r="F274" s="14" t="str">
        <f>IF($A274="","",IF(C274="Salida",INDEX(Movimientos!$F$5:$F$3004,MATCH($A274,Movimientos!$M$5:$M$3004,0)),""))</f>
        <v/>
      </c>
      <c r="G274" s="14" t="str">
        <f>IF($A274="","",INDEX(Movimientos!$I$5:$I$3004,MATCH($A274,Movimientos!$M$5:$M$3004,0)))</f>
        <v/>
      </c>
      <c r="H274" s="22" t="str">
        <f>IF($A274="","",INDEX(Movimientos!$G$5:$G$3004,MATCH($A274,Movimientos!$M$5:$M$3004,0)))</f>
        <v/>
      </c>
      <c r="I274" s="22" t="str">
        <f>IF($A274="","",INDEX(Movimientos!$H$5:$H$3004,MATCH($A274,Movimientos!$M$5:$M$3004,0)))</f>
        <v/>
      </c>
      <c r="J274" s="14" t="str">
        <f>IF($A274="","",INDEX(Movimientos!$K$5:$K$3004,MATCH($A274,Movimientos!$M$5:$M$3004,0))&amp;"")</f>
        <v/>
      </c>
    </row>
    <row r="275" spans="1:10" x14ac:dyDescent="0.25">
      <c r="A275" s="14" t="str">
        <f>IF(267&lt;=COUNTIF(Movimientos!$M$5:$M$3004,"&gt;0"),267,"")</f>
        <v/>
      </c>
      <c r="B275" s="30" t="str">
        <f>IF($A275="","",INDEX(Movimientos!$A$5:$A$3004,MATCH($A275,Movimientos!$M$5:$M$3004,0)))</f>
        <v/>
      </c>
      <c r="C275" s="14" t="str">
        <f>IF($A275="","",INDEX(Movimientos!$B$5:$B$3004,MATCH($A275,Movimientos!$M$5:$M$3004,0)))</f>
        <v/>
      </c>
      <c r="D275" s="14" t="str">
        <f>IF($A275="","",INDEX(Movimientos!$J$5:$J$3004,MATCH($A275,Movimientos!$M$5:$M$3004,0))&amp;"")</f>
        <v/>
      </c>
      <c r="E275" s="14" t="str">
        <f>IF($A275="","",IF(C275="Entrada",INDEX(Movimientos!$F$5:$F$3004,MATCH($A275,Movimientos!$M$5:$M$3004,0)),""))</f>
        <v/>
      </c>
      <c r="F275" s="14" t="str">
        <f>IF($A275="","",IF(C275="Salida",INDEX(Movimientos!$F$5:$F$3004,MATCH($A275,Movimientos!$M$5:$M$3004,0)),""))</f>
        <v/>
      </c>
      <c r="G275" s="14" t="str">
        <f>IF($A275="","",INDEX(Movimientos!$I$5:$I$3004,MATCH($A275,Movimientos!$M$5:$M$3004,0)))</f>
        <v/>
      </c>
      <c r="H275" s="22" t="str">
        <f>IF($A275="","",INDEX(Movimientos!$G$5:$G$3004,MATCH($A275,Movimientos!$M$5:$M$3004,0)))</f>
        <v/>
      </c>
      <c r="I275" s="22" t="str">
        <f>IF($A275="","",INDEX(Movimientos!$H$5:$H$3004,MATCH($A275,Movimientos!$M$5:$M$3004,0)))</f>
        <v/>
      </c>
      <c r="J275" s="14" t="str">
        <f>IF($A275="","",INDEX(Movimientos!$K$5:$K$3004,MATCH($A275,Movimientos!$M$5:$M$3004,0))&amp;"")</f>
        <v/>
      </c>
    </row>
    <row r="276" spans="1:10" x14ac:dyDescent="0.25">
      <c r="A276" s="14" t="str">
        <f>IF(268&lt;=COUNTIF(Movimientos!$M$5:$M$3004,"&gt;0"),268,"")</f>
        <v/>
      </c>
      <c r="B276" s="30" t="str">
        <f>IF($A276="","",INDEX(Movimientos!$A$5:$A$3004,MATCH($A276,Movimientos!$M$5:$M$3004,0)))</f>
        <v/>
      </c>
      <c r="C276" s="14" t="str">
        <f>IF($A276="","",INDEX(Movimientos!$B$5:$B$3004,MATCH($A276,Movimientos!$M$5:$M$3004,0)))</f>
        <v/>
      </c>
      <c r="D276" s="14" t="str">
        <f>IF($A276="","",INDEX(Movimientos!$J$5:$J$3004,MATCH($A276,Movimientos!$M$5:$M$3004,0))&amp;"")</f>
        <v/>
      </c>
      <c r="E276" s="14" t="str">
        <f>IF($A276="","",IF(C276="Entrada",INDEX(Movimientos!$F$5:$F$3004,MATCH($A276,Movimientos!$M$5:$M$3004,0)),""))</f>
        <v/>
      </c>
      <c r="F276" s="14" t="str">
        <f>IF($A276="","",IF(C276="Salida",INDEX(Movimientos!$F$5:$F$3004,MATCH($A276,Movimientos!$M$5:$M$3004,0)),""))</f>
        <v/>
      </c>
      <c r="G276" s="14" t="str">
        <f>IF($A276="","",INDEX(Movimientos!$I$5:$I$3004,MATCH($A276,Movimientos!$M$5:$M$3004,0)))</f>
        <v/>
      </c>
      <c r="H276" s="22" t="str">
        <f>IF($A276="","",INDEX(Movimientos!$G$5:$G$3004,MATCH($A276,Movimientos!$M$5:$M$3004,0)))</f>
        <v/>
      </c>
      <c r="I276" s="22" t="str">
        <f>IF($A276="","",INDEX(Movimientos!$H$5:$H$3004,MATCH($A276,Movimientos!$M$5:$M$3004,0)))</f>
        <v/>
      </c>
      <c r="J276" s="14" t="str">
        <f>IF($A276="","",INDEX(Movimientos!$K$5:$K$3004,MATCH($A276,Movimientos!$M$5:$M$3004,0))&amp;"")</f>
        <v/>
      </c>
    </row>
    <row r="277" spans="1:10" x14ac:dyDescent="0.25">
      <c r="A277" s="14" t="str">
        <f>IF(269&lt;=COUNTIF(Movimientos!$M$5:$M$3004,"&gt;0"),269,"")</f>
        <v/>
      </c>
      <c r="B277" s="30" t="str">
        <f>IF($A277="","",INDEX(Movimientos!$A$5:$A$3004,MATCH($A277,Movimientos!$M$5:$M$3004,0)))</f>
        <v/>
      </c>
      <c r="C277" s="14" t="str">
        <f>IF($A277="","",INDEX(Movimientos!$B$5:$B$3004,MATCH($A277,Movimientos!$M$5:$M$3004,0)))</f>
        <v/>
      </c>
      <c r="D277" s="14" t="str">
        <f>IF($A277="","",INDEX(Movimientos!$J$5:$J$3004,MATCH($A277,Movimientos!$M$5:$M$3004,0))&amp;"")</f>
        <v/>
      </c>
      <c r="E277" s="14" t="str">
        <f>IF($A277="","",IF(C277="Entrada",INDEX(Movimientos!$F$5:$F$3004,MATCH($A277,Movimientos!$M$5:$M$3004,0)),""))</f>
        <v/>
      </c>
      <c r="F277" s="14" t="str">
        <f>IF($A277="","",IF(C277="Salida",INDEX(Movimientos!$F$5:$F$3004,MATCH($A277,Movimientos!$M$5:$M$3004,0)),""))</f>
        <v/>
      </c>
      <c r="G277" s="14" t="str">
        <f>IF($A277="","",INDEX(Movimientos!$I$5:$I$3004,MATCH($A277,Movimientos!$M$5:$M$3004,0)))</f>
        <v/>
      </c>
      <c r="H277" s="22" t="str">
        <f>IF($A277="","",INDEX(Movimientos!$G$5:$G$3004,MATCH($A277,Movimientos!$M$5:$M$3004,0)))</f>
        <v/>
      </c>
      <c r="I277" s="22" t="str">
        <f>IF($A277="","",INDEX(Movimientos!$H$5:$H$3004,MATCH($A277,Movimientos!$M$5:$M$3004,0)))</f>
        <v/>
      </c>
      <c r="J277" s="14" t="str">
        <f>IF($A277="","",INDEX(Movimientos!$K$5:$K$3004,MATCH($A277,Movimientos!$M$5:$M$3004,0))&amp;"")</f>
        <v/>
      </c>
    </row>
    <row r="278" spans="1:10" x14ac:dyDescent="0.25">
      <c r="A278" s="14" t="str">
        <f>IF(270&lt;=COUNTIF(Movimientos!$M$5:$M$3004,"&gt;0"),270,"")</f>
        <v/>
      </c>
      <c r="B278" s="30" t="str">
        <f>IF($A278="","",INDEX(Movimientos!$A$5:$A$3004,MATCH($A278,Movimientos!$M$5:$M$3004,0)))</f>
        <v/>
      </c>
      <c r="C278" s="14" t="str">
        <f>IF($A278="","",INDEX(Movimientos!$B$5:$B$3004,MATCH($A278,Movimientos!$M$5:$M$3004,0)))</f>
        <v/>
      </c>
      <c r="D278" s="14" t="str">
        <f>IF($A278="","",INDEX(Movimientos!$J$5:$J$3004,MATCH($A278,Movimientos!$M$5:$M$3004,0))&amp;"")</f>
        <v/>
      </c>
      <c r="E278" s="14" t="str">
        <f>IF($A278="","",IF(C278="Entrada",INDEX(Movimientos!$F$5:$F$3004,MATCH($A278,Movimientos!$M$5:$M$3004,0)),""))</f>
        <v/>
      </c>
      <c r="F278" s="14" t="str">
        <f>IF($A278="","",IF(C278="Salida",INDEX(Movimientos!$F$5:$F$3004,MATCH($A278,Movimientos!$M$5:$M$3004,0)),""))</f>
        <v/>
      </c>
      <c r="G278" s="14" t="str">
        <f>IF($A278="","",INDEX(Movimientos!$I$5:$I$3004,MATCH($A278,Movimientos!$M$5:$M$3004,0)))</f>
        <v/>
      </c>
      <c r="H278" s="22" t="str">
        <f>IF($A278="","",INDEX(Movimientos!$G$5:$G$3004,MATCH($A278,Movimientos!$M$5:$M$3004,0)))</f>
        <v/>
      </c>
      <c r="I278" s="22" t="str">
        <f>IF($A278="","",INDEX(Movimientos!$H$5:$H$3004,MATCH($A278,Movimientos!$M$5:$M$3004,0)))</f>
        <v/>
      </c>
      <c r="J278" s="14" t="str">
        <f>IF($A278="","",INDEX(Movimientos!$K$5:$K$3004,MATCH($A278,Movimientos!$M$5:$M$3004,0))&amp;"")</f>
        <v/>
      </c>
    </row>
    <row r="279" spans="1:10" x14ac:dyDescent="0.25">
      <c r="A279" s="14" t="str">
        <f>IF(271&lt;=COUNTIF(Movimientos!$M$5:$M$3004,"&gt;0"),271,"")</f>
        <v/>
      </c>
      <c r="B279" s="30" t="str">
        <f>IF($A279="","",INDEX(Movimientos!$A$5:$A$3004,MATCH($A279,Movimientos!$M$5:$M$3004,0)))</f>
        <v/>
      </c>
      <c r="C279" s="14" t="str">
        <f>IF($A279="","",INDEX(Movimientos!$B$5:$B$3004,MATCH($A279,Movimientos!$M$5:$M$3004,0)))</f>
        <v/>
      </c>
      <c r="D279" s="14" t="str">
        <f>IF($A279="","",INDEX(Movimientos!$J$5:$J$3004,MATCH($A279,Movimientos!$M$5:$M$3004,0))&amp;"")</f>
        <v/>
      </c>
      <c r="E279" s="14" t="str">
        <f>IF($A279="","",IF(C279="Entrada",INDEX(Movimientos!$F$5:$F$3004,MATCH($A279,Movimientos!$M$5:$M$3004,0)),""))</f>
        <v/>
      </c>
      <c r="F279" s="14" t="str">
        <f>IF($A279="","",IF(C279="Salida",INDEX(Movimientos!$F$5:$F$3004,MATCH($A279,Movimientos!$M$5:$M$3004,0)),""))</f>
        <v/>
      </c>
      <c r="G279" s="14" t="str">
        <f>IF($A279="","",INDEX(Movimientos!$I$5:$I$3004,MATCH($A279,Movimientos!$M$5:$M$3004,0)))</f>
        <v/>
      </c>
      <c r="H279" s="22" t="str">
        <f>IF($A279="","",INDEX(Movimientos!$G$5:$G$3004,MATCH($A279,Movimientos!$M$5:$M$3004,0)))</f>
        <v/>
      </c>
      <c r="I279" s="22" t="str">
        <f>IF($A279="","",INDEX(Movimientos!$H$5:$H$3004,MATCH($A279,Movimientos!$M$5:$M$3004,0)))</f>
        <v/>
      </c>
      <c r="J279" s="14" t="str">
        <f>IF($A279="","",INDEX(Movimientos!$K$5:$K$3004,MATCH($A279,Movimientos!$M$5:$M$3004,0))&amp;"")</f>
        <v/>
      </c>
    </row>
    <row r="280" spans="1:10" x14ac:dyDescent="0.25">
      <c r="A280" s="14" t="str">
        <f>IF(272&lt;=COUNTIF(Movimientos!$M$5:$M$3004,"&gt;0"),272,"")</f>
        <v/>
      </c>
      <c r="B280" s="30" t="str">
        <f>IF($A280="","",INDEX(Movimientos!$A$5:$A$3004,MATCH($A280,Movimientos!$M$5:$M$3004,0)))</f>
        <v/>
      </c>
      <c r="C280" s="14" t="str">
        <f>IF($A280="","",INDEX(Movimientos!$B$5:$B$3004,MATCH($A280,Movimientos!$M$5:$M$3004,0)))</f>
        <v/>
      </c>
      <c r="D280" s="14" t="str">
        <f>IF($A280="","",INDEX(Movimientos!$J$5:$J$3004,MATCH($A280,Movimientos!$M$5:$M$3004,0))&amp;"")</f>
        <v/>
      </c>
      <c r="E280" s="14" t="str">
        <f>IF($A280="","",IF(C280="Entrada",INDEX(Movimientos!$F$5:$F$3004,MATCH($A280,Movimientos!$M$5:$M$3004,0)),""))</f>
        <v/>
      </c>
      <c r="F280" s="14" t="str">
        <f>IF($A280="","",IF(C280="Salida",INDEX(Movimientos!$F$5:$F$3004,MATCH($A280,Movimientos!$M$5:$M$3004,0)),""))</f>
        <v/>
      </c>
      <c r="G280" s="14" t="str">
        <f>IF($A280="","",INDEX(Movimientos!$I$5:$I$3004,MATCH($A280,Movimientos!$M$5:$M$3004,0)))</f>
        <v/>
      </c>
      <c r="H280" s="22" t="str">
        <f>IF($A280="","",INDEX(Movimientos!$G$5:$G$3004,MATCH($A280,Movimientos!$M$5:$M$3004,0)))</f>
        <v/>
      </c>
      <c r="I280" s="22" t="str">
        <f>IF($A280="","",INDEX(Movimientos!$H$5:$H$3004,MATCH($A280,Movimientos!$M$5:$M$3004,0)))</f>
        <v/>
      </c>
      <c r="J280" s="14" t="str">
        <f>IF($A280="","",INDEX(Movimientos!$K$5:$K$3004,MATCH($A280,Movimientos!$M$5:$M$3004,0))&amp;"")</f>
        <v/>
      </c>
    </row>
    <row r="281" spans="1:10" x14ac:dyDescent="0.25">
      <c r="A281" s="14" t="str">
        <f>IF(273&lt;=COUNTIF(Movimientos!$M$5:$M$3004,"&gt;0"),273,"")</f>
        <v/>
      </c>
      <c r="B281" s="30" t="str">
        <f>IF($A281="","",INDEX(Movimientos!$A$5:$A$3004,MATCH($A281,Movimientos!$M$5:$M$3004,0)))</f>
        <v/>
      </c>
      <c r="C281" s="14" t="str">
        <f>IF($A281="","",INDEX(Movimientos!$B$5:$B$3004,MATCH($A281,Movimientos!$M$5:$M$3004,0)))</f>
        <v/>
      </c>
      <c r="D281" s="14" t="str">
        <f>IF($A281="","",INDEX(Movimientos!$J$5:$J$3004,MATCH($A281,Movimientos!$M$5:$M$3004,0))&amp;"")</f>
        <v/>
      </c>
      <c r="E281" s="14" t="str">
        <f>IF($A281="","",IF(C281="Entrada",INDEX(Movimientos!$F$5:$F$3004,MATCH($A281,Movimientos!$M$5:$M$3004,0)),""))</f>
        <v/>
      </c>
      <c r="F281" s="14" t="str">
        <f>IF($A281="","",IF(C281="Salida",INDEX(Movimientos!$F$5:$F$3004,MATCH($A281,Movimientos!$M$5:$M$3004,0)),""))</f>
        <v/>
      </c>
      <c r="G281" s="14" t="str">
        <f>IF($A281="","",INDEX(Movimientos!$I$5:$I$3004,MATCH($A281,Movimientos!$M$5:$M$3004,0)))</f>
        <v/>
      </c>
      <c r="H281" s="22" t="str">
        <f>IF($A281="","",INDEX(Movimientos!$G$5:$G$3004,MATCH($A281,Movimientos!$M$5:$M$3004,0)))</f>
        <v/>
      </c>
      <c r="I281" s="22" t="str">
        <f>IF($A281="","",INDEX(Movimientos!$H$5:$H$3004,MATCH($A281,Movimientos!$M$5:$M$3004,0)))</f>
        <v/>
      </c>
      <c r="J281" s="14" t="str">
        <f>IF($A281="","",INDEX(Movimientos!$K$5:$K$3004,MATCH($A281,Movimientos!$M$5:$M$3004,0))&amp;"")</f>
        <v/>
      </c>
    </row>
    <row r="282" spans="1:10" x14ac:dyDescent="0.25">
      <c r="A282" s="14" t="str">
        <f>IF(274&lt;=COUNTIF(Movimientos!$M$5:$M$3004,"&gt;0"),274,"")</f>
        <v/>
      </c>
      <c r="B282" s="30" t="str">
        <f>IF($A282="","",INDEX(Movimientos!$A$5:$A$3004,MATCH($A282,Movimientos!$M$5:$M$3004,0)))</f>
        <v/>
      </c>
      <c r="C282" s="14" t="str">
        <f>IF($A282="","",INDEX(Movimientos!$B$5:$B$3004,MATCH($A282,Movimientos!$M$5:$M$3004,0)))</f>
        <v/>
      </c>
      <c r="D282" s="14" t="str">
        <f>IF($A282="","",INDEX(Movimientos!$J$5:$J$3004,MATCH($A282,Movimientos!$M$5:$M$3004,0))&amp;"")</f>
        <v/>
      </c>
      <c r="E282" s="14" t="str">
        <f>IF($A282="","",IF(C282="Entrada",INDEX(Movimientos!$F$5:$F$3004,MATCH($A282,Movimientos!$M$5:$M$3004,0)),""))</f>
        <v/>
      </c>
      <c r="F282" s="14" t="str">
        <f>IF($A282="","",IF(C282="Salida",INDEX(Movimientos!$F$5:$F$3004,MATCH($A282,Movimientos!$M$5:$M$3004,0)),""))</f>
        <v/>
      </c>
      <c r="G282" s="14" t="str">
        <f>IF($A282="","",INDEX(Movimientos!$I$5:$I$3004,MATCH($A282,Movimientos!$M$5:$M$3004,0)))</f>
        <v/>
      </c>
      <c r="H282" s="22" t="str">
        <f>IF($A282="","",INDEX(Movimientos!$G$5:$G$3004,MATCH($A282,Movimientos!$M$5:$M$3004,0)))</f>
        <v/>
      </c>
      <c r="I282" s="22" t="str">
        <f>IF($A282="","",INDEX(Movimientos!$H$5:$H$3004,MATCH($A282,Movimientos!$M$5:$M$3004,0)))</f>
        <v/>
      </c>
      <c r="J282" s="14" t="str">
        <f>IF($A282="","",INDEX(Movimientos!$K$5:$K$3004,MATCH($A282,Movimientos!$M$5:$M$3004,0))&amp;"")</f>
        <v/>
      </c>
    </row>
    <row r="283" spans="1:10" x14ac:dyDescent="0.25">
      <c r="A283" s="14" t="str">
        <f>IF(275&lt;=COUNTIF(Movimientos!$M$5:$M$3004,"&gt;0"),275,"")</f>
        <v/>
      </c>
      <c r="B283" s="30" t="str">
        <f>IF($A283="","",INDEX(Movimientos!$A$5:$A$3004,MATCH($A283,Movimientos!$M$5:$M$3004,0)))</f>
        <v/>
      </c>
      <c r="C283" s="14" t="str">
        <f>IF($A283="","",INDEX(Movimientos!$B$5:$B$3004,MATCH($A283,Movimientos!$M$5:$M$3004,0)))</f>
        <v/>
      </c>
      <c r="D283" s="14" t="str">
        <f>IF($A283="","",INDEX(Movimientos!$J$5:$J$3004,MATCH($A283,Movimientos!$M$5:$M$3004,0))&amp;"")</f>
        <v/>
      </c>
      <c r="E283" s="14" t="str">
        <f>IF($A283="","",IF(C283="Entrada",INDEX(Movimientos!$F$5:$F$3004,MATCH($A283,Movimientos!$M$5:$M$3004,0)),""))</f>
        <v/>
      </c>
      <c r="F283" s="14" t="str">
        <f>IF($A283="","",IF(C283="Salida",INDEX(Movimientos!$F$5:$F$3004,MATCH($A283,Movimientos!$M$5:$M$3004,0)),""))</f>
        <v/>
      </c>
      <c r="G283" s="14" t="str">
        <f>IF($A283="","",INDEX(Movimientos!$I$5:$I$3004,MATCH($A283,Movimientos!$M$5:$M$3004,0)))</f>
        <v/>
      </c>
      <c r="H283" s="22" t="str">
        <f>IF($A283="","",INDEX(Movimientos!$G$5:$G$3004,MATCH($A283,Movimientos!$M$5:$M$3004,0)))</f>
        <v/>
      </c>
      <c r="I283" s="22" t="str">
        <f>IF($A283="","",INDEX(Movimientos!$H$5:$H$3004,MATCH($A283,Movimientos!$M$5:$M$3004,0)))</f>
        <v/>
      </c>
      <c r="J283" s="14" t="str">
        <f>IF($A283="","",INDEX(Movimientos!$K$5:$K$3004,MATCH($A283,Movimientos!$M$5:$M$3004,0))&amp;"")</f>
        <v/>
      </c>
    </row>
    <row r="284" spans="1:10" x14ac:dyDescent="0.25">
      <c r="A284" s="14" t="str">
        <f>IF(276&lt;=COUNTIF(Movimientos!$M$5:$M$3004,"&gt;0"),276,"")</f>
        <v/>
      </c>
      <c r="B284" s="30" t="str">
        <f>IF($A284="","",INDEX(Movimientos!$A$5:$A$3004,MATCH($A284,Movimientos!$M$5:$M$3004,0)))</f>
        <v/>
      </c>
      <c r="C284" s="14" t="str">
        <f>IF($A284="","",INDEX(Movimientos!$B$5:$B$3004,MATCH($A284,Movimientos!$M$5:$M$3004,0)))</f>
        <v/>
      </c>
      <c r="D284" s="14" t="str">
        <f>IF($A284="","",INDEX(Movimientos!$J$5:$J$3004,MATCH($A284,Movimientos!$M$5:$M$3004,0))&amp;"")</f>
        <v/>
      </c>
      <c r="E284" s="14" t="str">
        <f>IF($A284="","",IF(C284="Entrada",INDEX(Movimientos!$F$5:$F$3004,MATCH($A284,Movimientos!$M$5:$M$3004,0)),""))</f>
        <v/>
      </c>
      <c r="F284" s="14" t="str">
        <f>IF($A284="","",IF(C284="Salida",INDEX(Movimientos!$F$5:$F$3004,MATCH($A284,Movimientos!$M$5:$M$3004,0)),""))</f>
        <v/>
      </c>
      <c r="G284" s="14" t="str">
        <f>IF($A284="","",INDEX(Movimientos!$I$5:$I$3004,MATCH($A284,Movimientos!$M$5:$M$3004,0)))</f>
        <v/>
      </c>
      <c r="H284" s="22" t="str">
        <f>IF($A284="","",INDEX(Movimientos!$G$5:$G$3004,MATCH($A284,Movimientos!$M$5:$M$3004,0)))</f>
        <v/>
      </c>
      <c r="I284" s="22" t="str">
        <f>IF($A284="","",INDEX(Movimientos!$H$5:$H$3004,MATCH($A284,Movimientos!$M$5:$M$3004,0)))</f>
        <v/>
      </c>
      <c r="J284" s="14" t="str">
        <f>IF($A284="","",INDEX(Movimientos!$K$5:$K$3004,MATCH($A284,Movimientos!$M$5:$M$3004,0))&amp;"")</f>
        <v/>
      </c>
    </row>
    <row r="285" spans="1:10" x14ac:dyDescent="0.25">
      <c r="A285" s="14" t="str">
        <f>IF(277&lt;=COUNTIF(Movimientos!$M$5:$M$3004,"&gt;0"),277,"")</f>
        <v/>
      </c>
      <c r="B285" s="30" t="str">
        <f>IF($A285="","",INDEX(Movimientos!$A$5:$A$3004,MATCH($A285,Movimientos!$M$5:$M$3004,0)))</f>
        <v/>
      </c>
      <c r="C285" s="14" t="str">
        <f>IF($A285="","",INDEX(Movimientos!$B$5:$B$3004,MATCH($A285,Movimientos!$M$5:$M$3004,0)))</f>
        <v/>
      </c>
      <c r="D285" s="14" t="str">
        <f>IF($A285="","",INDEX(Movimientos!$J$5:$J$3004,MATCH($A285,Movimientos!$M$5:$M$3004,0))&amp;"")</f>
        <v/>
      </c>
      <c r="E285" s="14" t="str">
        <f>IF($A285="","",IF(C285="Entrada",INDEX(Movimientos!$F$5:$F$3004,MATCH($A285,Movimientos!$M$5:$M$3004,0)),""))</f>
        <v/>
      </c>
      <c r="F285" s="14" t="str">
        <f>IF($A285="","",IF(C285="Salida",INDEX(Movimientos!$F$5:$F$3004,MATCH($A285,Movimientos!$M$5:$M$3004,0)),""))</f>
        <v/>
      </c>
      <c r="G285" s="14" t="str">
        <f>IF($A285="","",INDEX(Movimientos!$I$5:$I$3004,MATCH($A285,Movimientos!$M$5:$M$3004,0)))</f>
        <v/>
      </c>
      <c r="H285" s="22" t="str">
        <f>IF($A285="","",INDEX(Movimientos!$G$5:$G$3004,MATCH($A285,Movimientos!$M$5:$M$3004,0)))</f>
        <v/>
      </c>
      <c r="I285" s="22" t="str">
        <f>IF($A285="","",INDEX(Movimientos!$H$5:$H$3004,MATCH($A285,Movimientos!$M$5:$M$3004,0)))</f>
        <v/>
      </c>
      <c r="J285" s="14" t="str">
        <f>IF($A285="","",INDEX(Movimientos!$K$5:$K$3004,MATCH($A285,Movimientos!$M$5:$M$3004,0))&amp;"")</f>
        <v/>
      </c>
    </row>
    <row r="286" spans="1:10" x14ac:dyDescent="0.25">
      <c r="A286" s="14" t="str">
        <f>IF(278&lt;=COUNTIF(Movimientos!$M$5:$M$3004,"&gt;0"),278,"")</f>
        <v/>
      </c>
      <c r="B286" s="30" t="str">
        <f>IF($A286="","",INDEX(Movimientos!$A$5:$A$3004,MATCH($A286,Movimientos!$M$5:$M$3004,0)))</f>
        <v/>
      </c>
      <c r="C286" s="14" t="str">
        <f>IF($A286="","",INDEX(Movimientos!$B$5:$B$3004,MATCH($A286,Movimientos!$M$5:$M$3004,0)))</f>
        <v/>
      </c>
      <c r="D286" s="14" t="str">
        <f>IF($A286="","",INDEX(Movimientos!$J$5:$J$3004,MATCH($A286,Movimientos!$M$5:$M$3004,0))&amp;"")</f>
        <v/>
      </c>
      <c r="E286" s="14" t="str">
        <f>IF($A286="","",IF(C286="Entrada",INDEX(Movimientos!$F$5:$F$3004,MATCH($A286,Movimientos!$M$5:$M$3004,0)),""))</f>
        <v/>
      </c>
      <c r="F286" s="14" t="str">
        <f>IF($A286="","",IF(C286="Salida",INDEX(Movimientos!$F$5:$F$3004,MATCH($A286,Movimientos!$M$5:$M$3004,0)),""))</f>
        <v/>
      </c>
      <c r="G286" s="14" t="str">
        <f>IF($A286="","",INDEX(Movimientos!$I$5:$I$3004,MATCH($A286,Movimientos!$M$5:$M$3004,0)))</f>
        <v/>
      </c>
      <c r="H286" s="22" t="str">
        <f>IF($A286="","",INDEX(Movimientos!$G$5:$G$3004,MATCH($A286,Movimientos!$M$5:$M$3004,0)))</f>
        <v/>
      </c>
      <c r="I286" s="22" t="str">
        <f>IF($A286="","",INDEX(Movimientos!$H$5:$H$3004,MATCH($A286,Movimientos!$M$5:$M$3004,0)))</f>
        <v/>
      </c>
      <c r="J286" s="14" t="str">
        <f>IF($A286="","",INDEX(Movimientos!$K$5:$K$3004,MATCH($A286,Movimientos!$M$5:$M$3004,0))&amp;"")</f>
        <v/>
      </c>
    </row>
    <row r="287" spans="1:10" x14ac:dyDescent="0.25">
      <c r="A287" s="14" t="str">
        <f>IF(279&lt;=COUNTIF(Movimientos!$M$5:$M$3004,"&gt;0"),279,"")</f>
        <v/>
      </c>
      <c r="B287" s="30" t="str">
        <f>IF($A287="","",INDEX(Movimientos!$A$5:$A$3004,MATCH($A287,Movimientos!$M$5:$M$3004,0)))</f>
        <v/>
      </c>
      <c r="C287" s="14" t="str">
        <f>IF($A287="","",INDEX(Movimientos!$B$5:$B$3004,MATCH($A287,Movimientos!$M$5:$M$3004,0)))</f>
        <v/>
      </c>
      <c r="D287" s="14" t="str">
        <f>IF($A287="","",INDEX(Movimientos!$J$5:$J$3004,MATCH($A287,Movimientos!$M$5:$M$3004,0))&amp;"")</f>
        <v/>
      </c>
      <c r="E287" s="14" t="str">
        <f>IF($A287="","",IF(C287="Entrada",INDEX(Movimientos!$F$5:$F$3004,MATCH($A287,Movimientos!$M$5:$M$3004,0)),""))</f>
        <v/>
      </c>
      <c r="F287" s="14" t="str">
        <f>IF($A287="","",IF(C287="Salida",INDEX(Movimientos!$F$5:$F$3004,MATCH($A287,Movimientos!$M$5:$M$3004,0)),""))</f>
        <v/>
      </c>
      <c r="G287" s="14" t="str">
        <f>IF($A287="","",INDEX(Movimientos!$I$5:$I$3004,MATCH($A287,Movimientos!$M$5:$M$3004,0)))</f>
        <v/>
      </c>
      <c r="H287" s="22" t="str">
        <f>IF($A287="","",INDEX(Movimientos!$G$5:$G$3004,MATCH($A287,Movimientos!$M$5:$M$3004,0)))</f>
        <v/>
      </c>
      <c r="I287" s="22" t="str">
        <f>IF($A287="","",INDEX(Movimientos!$H$5:$H$3004,MATCH($A287,Movimientos!$M$5:$M$3004,0)))</f>
        <v/>
      </c>
      <c r="J287" s="14" t="str">
        <f>IF($A287="","",INDEX(Movimientos!$K$5:$K$3004,MATCH($A287,Movimientos!$M$5:$M$3004,0))&amp;"")</f>
        <v/>
      </c>
    </row>
    <row r="288" spans="1:10" x14ac:dyDescent="0.25">
      <c r="A288" s="14" t="str">
        <f>IF(280&lt;=COUNTIF(Movimientos!$M$5:$M$3004,"&gt;0"),280,"")</f>
        <v/>
      </c>
      <c r="B288" s="30" t="str">
        <f>IF($A288="","",INDEX(Movimientos!$A$5:$A$3004,MATCH($A288,Movimientos!$M$5:$M$3004,0)))</f>
        <v/>
      </c>
      <c r="C288" s="14" t="str">
        <f>IF($A288="","",INDEX(Movimientos!$B$5:$B$3004,MATCH($A288,Movimientos!$M$5:$M$3004,0)))</f>
        <v/>
      </c>
      <c r="D288" s="14" t="str">
        <f>IF($A288="","",INDEX(Movimientos!$J$5:$J$3004,MATCH($A288,Movimientos!$M$5:$M$3004,0))&amp;"")</f>
        <v/>
      </c>
      <c r="E288" s="14" t="str">
        <f>IF($A288="","",IF(C288="Entrada",INDEX(Movimientos!$F$5:$F$3004,MATCH($A288,Movimientos!$M$5:$M$3004,0)),""))</f>
        <v/>
      </c>
      <c r="F288" s="14" t="str">
        <f>IF($A288="","",IF(C288="Salida",INDEX(Movimientos!$F$5:$F$3004,MATCH($A288,Movimientos!$M$5:$M$3004,0)),""))</f>
        <v/>
      </c>
      <c r="G288" s="14" t="str">
        <f>IF($A288="","",INDEX(Movimientos!$I$5:$I$3004,MATCH($A288,Movimientos!$M$5:$M$3004,0)))</f>
        <v/>
      </c>
      <c r="H288" s="22" t="str">
        <f>IF($A288="","",INDEX(Movimientos!$G$5:$G$3004,MATCH($A288,Movimientos!$M$5:$M$3004,0)))</f>
        <v/>
      </c>
      <c r="I288" s="22" t="str">
        <f>IF($A288="","",INDEX(Movimientos!$H$5:$H$3004,MATCH($A288,Movimientos!$M$5:$M$3004,0)))</f>
        <v/>
      </c>
      <c r="J288" s="14" t="str">
        <f>IF($A288="","",INDEX(Movimientos!$K$5:$K$3004,MATCH($A288,Movimientos!$M$5:$M$3004,0))&amp;"")</f>
        <v/>
      </c>
    </row>
    <row r="289" spans="1:10" x14ac:dyDescent="0.25">
      <c r="A289" s="14" t="str">
        <f>IF(281&lt;=COUNTIF(Movimientos!$M$5:$M$3004,"&gt;0"),281,"")</f>
        <v/>
      </c>
      <c r="B289" s="30" t="str">
        <f>IF($A289="","",INDEX(Movimientos!$A$5:$A$3004,MATCH($A289,Movimientos!$M$5:$M$3004,0)))</f>
        <v/>
      </c>
      <c r="C289" s="14" t="str">
        <f>IF($A289="","",INDEX(Movimientos!$B$5:$B$3004,MATCH($A289,Movimientos!$M$5:$M$3004,0)))</f>
        <v/>
      </c>
      <c r="D289" s="14" t="str">
        <f>IF($A289="","",INDEX(Movimientos!$J$5:$J$3004,MATCH($A289,Movimientos!$M$5:$M$3004,0))&amp;"")</f>
        <v/>
      </c>
      <c r="E289" s="14" t="str">
        <f>IF($A289="","",IF(C289="Entrada",INDEX(Movimientos!$F$5:$F$3004,MATCH($A289,Movimientos!$M$5:$M$3004,0)),""))</f>
        <v/>
      </c>
      <c r="F289" s="14" t="str">
        <f>IF($A289="","",IF(C289="Salida",INDEX(Movimientos!$F$5:$F$3004,MATCH($A289,Movimientos!$M$5:$M$3004,0)),""))</f>
        <v/>
      </c>
      <c r="G289" s="14" t="str">
        <f>IF($A289="","",INDEX(Movimientos!$I$5:$I$3004,MATCH($A289,Movimientos!$M$5:$M$3004,0)))</f>
        <v/>
      </c>
      <c r="H289" s="22" t="str">
        <f>IF($A289="","",INDEX(Movimientos!$G$5:$G$3004,MATCH($A289,Movimientos!$M$5:$M$3004,0)))</f>
        <v/>
      </c>
      <c r="I289" s="22" t="str">
        <f>IF($A289="","",INDEX(Movimientos!$H$5:$H$3004,MATCH($A289,Movimientos!$M$5:$M$3004,0)))</f>
        <v/>
      </c>
      <c r="J289" s="14" t="str">
        <f>IF($A289="","",INDEX(Movimientos!$K$5:$K$3004,MATCH($A289,Movimientos!$M$5:$M$3004,0))&amp;"")</f>
        <v/>
      </c>
    </row>
    <row r="290" spans="1:10" x14ac:dyDescent="0.25">
      <c r="A290" s="14" t="str">
        <f>IF(282&lt;=COUNTIF(Movimientos!$M$5:$M$3004,"&gt;0"),282,"")</f>
        <v/>
      </c>
      <c r="B290" s="30" t="str">
        <f>IF($A290="","",INDEX(Movimientos!$A$5:$A$3004,MATCH($A290,Movimientos!$M$5:$M$3004,0)))</f>
        <v/>
      </c>
      <c r="C290" s="14" t="str">
        <f>IF($A290="","",INDEX(Movimientos!$B$5:$B$3004,MATCH($A290,Movimientos!$M$5:$M$3004,0)))</f>
        <v/>
      </c>
      <c r="D290" s="14" t="str">
        <f>IF($A290="","",INDEX(Movimientos!$J$5:$J$3004,MATCH($A290,Movimientos!$M$5:$M$3004,0))&amp;"")</f>
        <v/>
      </c>
      <c r="E290" s="14" t="str">
        <f>IF($A290="","",IF(C290="Entrada",INDEX(Movimientos!$F$5:$F$3004,MATCH($A290,Movimientos!$M$5:$M$3004,0)),""))</f>
        <v/>
      </c>
      <c r="F290" s="14" t="str">
        <f>IF($A290="","",IF(C290="Salida",INDEX(Movimientos!$F$5:$F$3004,MATCH($A290,Movimientos!$M$5:$M$3004,0)),""))</f>
        <v/>
      </c>
      <c r="G290" s="14" t="str">
        <f>IF($A290="","",INDEX(Movimientos!$I$5:$I$3004,MATCH($A290,Movimientos!$M$5:$M$3004,0)))</f>
        <v/>
      </c>
      <c r="H290" s="22" t="str">
        <f>IF($A290="","",INDEX(Movimientos!$G$5:$G$3004,MATCH($A290,Movimientos!$M$5:$M$3004,0)))</f>
        <v/>
      </c>
      <c r="I290" s="22" t="str">
        <f>IF($A290="","",INDEX(Movimientos!$H$5:$H$3004,MATCH($A290,Movimientos!$M$5:$M$3004,0)))</f>
        <v/>
      </c>
      <c r="J290" s="14" t="str">
        <f>IF($A290="","",INDEX(Movimientos!$K$5:$K$3004,MATCH($A290,Movimientos!$M$5:$M$3004,0))&amp;"")</f>
        <v/>
      </c>
    </row>
    <row r="291" spans="1:10" x14ac:dyDescent="0.25">
      <c r="A291" s="14" t="str">
        <f>IF(283&lt;=COUNTIF(Movimientos!$M$5:$M$3004,"&gt;0"),283,"")</f>
        <v/>
      </c>
      <c r="B291" s="30" t="str">
        <f>IF($A291="","",INDEX(Movimientos!$A$5:$A$3004,MATCH($A291,Movimientos!$M$5:$M$3004,0)))</f>
        <v/>
      </c>
      <c r="C291" s="14" t="str">
        <f>IF($A291="","",INDEX(Movimientos!$B$5:$B$3004,MATCH($A291,Movimientos!$M$5:$M$3004,0)))</f>
        <v/>
      </c>
      <c r="D291" s="14" t="str">
        <f>IF($A291="","",INDEX(Movimientos!$J$5:$J$3004,MATCH($A291,Movimientos!$M$5:$M$3004,0))&amp;"")</f>
        <v/>
      </c>
      <c r="E291" s="14" t="str">
        <f>IF($A291="","",IF(C291="Entrada",INDEX(Movimientos!$F$5:$F$3004,MATCH($A291,Movimientos!$M$5:$M$3004,0)),""))</f>
        <v/>
      </c>
      <c r="F291" s="14" t="str">
        <f>IF($A291="","",IF(C291="Salida",INDEX(Movimientos!$F$5:$F$3004,MATCH($A291,Movimientos!$M$5:$M$3004,0)),""))</f>
        <v/>
      </c>
      <c r="G291" s="14" t="str">
        <f>IF($A291="","",INDEX(Movimientos!$I$5:$I$3004,MATCH($A291,Movimientos!$M$5:$M$3004,0)))</f>
        <v/>
      </c>
      <c r="H291" s="22" t="str">
        <f>IF($A291="","",INDEX(Movimientos!$G$5:$G$3004,MATCH($A291,Movimientos!$M$5:$M$3004,0)))</f>
        <v/>
      </c>
      <c r="I291" s="22" t="str">
        <f>IF($A291="","",INDEX(Movimientos!$H$5:$H$3004,MATCH($A291,Movimientos!$M$5:$M$3004,0)))</f>
        <v/>
      </c>
      <c r="J291" s="14" t="str">
        <f>IF($A291="","",INDEX(Movimientos!$K$5:$K$3004,MATCH($A291,Movimientos!$M$5:$M$3004,0))&amp;"")</f>
        <v/>
      </c>
    </row>
    <row r="292" spans="1:10" x14ac:dyDescent="0.25">
      <c r="A292" s="14" t="str">
        <f>IF(284&lt;=COUNTIF(Movimientos!$M$5:$M$3004,"&gt;0"),284,"")</f>
        <v/>
      </c>
      <c r="B292" s="30" t="str">
        <f>IF($A292="","",INDEX(Movimientos!$A$5:$A$3004,MATCH($A292,Movimientos!$M$5:$M$3004,0)))</f>
        <v/>
      </c>
      <c r="C292" s="14" t="str">
        <f>IF($A292="","",INDEX(Movimientos!$B$5:$B$3004,MATCH($A292,Movimientos!$M$5:$M$3004,0)))</f>
        <v/>
      </c>
      <c r="D292" s="14" t="str">
        <f>IF($A292="","",INDEX(Movimientos!$J$5:$J$3004,MATCH($A292,Movimientos!$M$5:$M$3004,0))&amp;"")</f>
        <v/>
      </c>
      <c r="E292" s="14" t="str">
        <f>IF($A292="","",IF(C292="Entrada",INDEX(Movimientos!$F$5:$F$3004,MATCH($A292,Movimientos!$M$5:$M$3004,0)),""))</f>
        <v/>
      </c>
      <c r="F292" s="14" t="str">
        <f>IF($A292="","",IF(C292="Salida",INDEX(Movimientos!$F$5:$F$3004,MATCH($A292,Movimientos!$M$5:$M$3004,0)),""))</f>
        <v/>
      </c>
      <c r="G292" s="14" t="str">
        <f>IF($A292="","",INDEX(Movimientos!$I$5:$I$3004,MATCH($A292,Movimientos!$M$5:$M$3004,0)))</f>
        <v/>
      </c>
      <c r="H292" s="22" t="str">
        <f>IF($A292="","",INDEX(Movimientos!$G$5:$G$3004,MATCH($A292,Movimientos!$M$5:$M$3004,0)))</f>
        <v/>
      </c>
      <c r="I292" s="22" t="str">
        <f>IF($A292="","",INDEX(Movimientos!$H$5:$H$3004,MATCH($A292,Movimientos!$M$5:$M$3004,0)))</f>
        <v/>
      </c>
      <c r="J292" s="14" t="str">
        <f>IF($A292="","",INDEX(Movimientos!$K$5:$K$3004,MATCH($A292,Movimientos!$M$5:$M$3004,0))&amp;"")</f>
        <v/>
      </c>
    </row>
    <row r="293" spans="1:10" x14ac:dyDescent="0.25">
      <c r="A293" s="14" t="str">
        <f>IF(285&lt;=COUNTIF(Movimientos!$M$5:$M$3004,"&gt;0"),285,"")</f>
        <v/>
      </c>
      <c r="B293" s="30" t="str">
        <f>IF($A293="","",INDEX(Movimientos!$A$5:$A$3004,MATCH($A293,Movimientos!$M$5:$M$3004,0)))</f>
        <v/>
      </c>
      <c r="C293" s="14" t="str">
        <f>IF($A293="","",INDEX(Movimientos!$B$5:$B$3004,MATCH($A293,Movimientos!$M$5:$M$3004,0)))</f>
        <v/>
      </c>
      <c r="D293" s="14" t="str">
        <f>IF($A293="","",INDEX(Movimientos!$J$5:$J$3004,MATCH($A293,Movimientos!$M$5:$M$3004,0))&amp;"")</f>
        <v/>
      </c>
      <c r="E293" s="14" t="str">
        <f>IF($A293="","",IF(C293="Entrada",INDEX(Movimientos!$F$5:$F$3004,MATCH($A293,Movimientos!$M$5:$M$3004,0)),""))</f>
        <v/>
      </c>
      <c r="F293" s="14" t="str">
        <f>IF($A293="","",IF(C293="Salida",INDEX(Movimientos!$F$5:$F$3004,MATCH($A293,Movimientos!$M$5:$M$3004,0)),""))</f>
        <v/>
      </c>
      <c r="G293" s="14" t="str">
        <f>IF($A293="","",INDEX(Movimientos!$I$5:$I$3004,MATCH($A293,Movimientos!$M$5:$M$3004,0)))</f>
        <v/>
      </c>
      <c r="H293" s="22" t="str">
        <f>IF($A293="","",INDEX(Movimientos!$G$5:$G$3004,MATCH($A293,Movimientos!$M$5:$M$3004,0)))</f>
        <v/>
      </c>
      <c r="I293" s="22" t="str">
        <f>IF($A293="","",INDEX(Movimientos!$H$5:$H$3004,MATCH($A293,Movimientos!$M$5:$M$3004,0)))</f>
        <v/>
      </c>
      <c r="J293" s="14" t="str">
        <f>IF($A293="","",INDEX(Movimientos!$K$5:$K$3004,MATCH($A293,Movimientos!$M$5:$M$3004,0))&amp;"")</f>
        <v/>
      </c>
    </row>
    <row r="294" spans="1:10" x14ac:dyDescent="0.25">
      <c r="A294" s="14" t="str">
        <f>IF(286&lt;=COUNTIF(Movimientos!$M$5:$M$3004,"&gt;0"),286,"")</f>
        <v/>
      </c>
      <c r="B294" s="30" t="str">
        <f>IF($A294="","",INDEX(Movimientos!$A$5:$A$3004,MATCH($A294,Movimientos!$M$5:$M$3004,0)))</f>
        <v/>
      </c>
      <c r="C294" s="14" t="str">
        <f>IF($A294="","",INDEX(Movimientos!$B$5:$B$3004,MATCH($A294,Movimientos!$M$5:$M$3004,0)))</f>
        <v/>
      </c>
      <c r="D294" s="14" t="str">
        <f>IF($A294="","",INDEX(Movimientos!$J$5:$J$3004,MATCH($A294,Movimientos!$M$5:$M$3004,0))&amp;"")</f>
        <v/>
      </c>
      <c r="E294" s="14" t="str">
        <f>IF($A294="","",IF(C294="Entrada",INDEX(Movimientos!$F$5:$F$3004,MATCH($A294,Movimientos!$M$5:$M$3004,0)),""))</f>
        <v/>
      </c>
      <c r="F294" s="14" t="str">
        <f>IF($A294="","",IF(C294="Salida",INDEX(Movimientos!$F$5:$F$3004,MATCH($A294,Movimientos!$M$5:$M$3004,0)),""))</f>
        <v/>
      </c>
      <c r="G294" s="14" t="str">
        <f>IF($A294="","",INDEX(Movimientos!$I$5:$I$3004,MATCH($A294,Movimientos!$M$5:$M$3004,0)))</f>
        <v/>
      </c>
      <c r="H294" s="22" t="str">
        <f>IF($A294="","",INDEX(Movimientos!$G$5:$G$3004,MATCH($A294,Movimientos!$M$5:$M$3004,0)))</f>
        <v/>
      </c>
      <c r="I294" s="22" t="str">
        <f>IF($A294="","",INDEX(Movimientos!$H$5:$H$3004,MATCH($A294,Movimientos!$M$5:$M$3004,0)))</f>
        <v/>
      </c>
      <c r="J294" s="14" t="str">
        <f>IF($A294="","",INDEX(Movimientos!$K$5:$K$3004,MATCH($A294,Movimientos!$M$5:$M$3004,0))&amp;"")</f>
        <v/>
      </c>
    </row>
    <row r="295" spans="1:10" x14ac:dyDescent="0.25">
      <c r="A295" s="14" t="str">
        <f>IF(287&lt;=COUNTIF(Movimientos!$M$5:$M$3004,"&gt;0"),287,"")</f>
        <v/>
      </c>
      <c r="B295" s="30" t="str">
        <f>IF($A295="","",INDEX(Movimientos!$A$5:$A$3004,MATCH($A295,Movimientos!$M$5:$M$3004,0)))</f>
        <v/>
      </c>
      <c r="C295" s="14" t="str">
        <f>IF($A295="","",INDEX(Movimientos!$B$5:$B$3004,MATCH($A295,Movimientos!$M$5:$M$3004,0)))</f>
        <v/>
      </c>
      <c r="D295" s="14" t="str">
        <f>IF($A295="","",INDEX(Movimientos!$J$5:$J$3004,MATCH($A295,Movimientos!$M$5:$M$3004,0))&amp;"")</f>
        <v/>
      </c>
      <c r="E295" s="14" t="str">
        <f>IF($A295="","",IF(C295="Entrada",INDEX(Movimientos!$F$5:$F$3004,MATCH($A295,Movimientos!$M$5:$M$3004,0)),""))</f>
        <v/>
      </c>
      <c r="F295" s="14" t="str">
        <f>IF($A295="","",IF(C295="Salida",INDEX(Movimientos!$F$5:$F$3004,MATCH($A295,Movimientos!$M$5:$M$3004,0)),""))</f>
        <v/>
      </c>
      <c r="G295" s="14" t="str">
        <f>IF($A295="","",INDEX(Movimientos!$I$5:$I$3004,MATCH($A295,Movimientos!$M$5:$M$3004,0)))</f>
        <v/>
      </c>
      <c r="H295" s="22" t="str">
        <f>IF($A295="","",INDEX(Movimientos!$G$5:$G$3004,MATCH($A295,Movimientos!$M$5:$M$3004,0)))</f>
        <v/>
      </c>
      <c r="I295" s="22" t="str">
        <f>IF($A295="","",INDEX(Movimientos!$H$5:$H$3004,MATCH($A295,Movimientos!$M$5:$M$3004,0)))</f>
        <v/>
      </c>
      <c r="J295" s="14" t="str">
        <f>IF($A295="","",INDEX(Movimientos!$K$5:$K$3004,MATCH($A295,Movimientos!$M$5:$M$3004,0))&amp;"")</f>
        <v/>
      </c>
    </row>
    <row r="296" spans="1:10" x14ac:dyDescent="0.25">
      <c r="A296" s="14" t="str">
        <f>IF(288&lt;=COUNTIF(Movimientos!$M$5:$M$3004,"&gt;0"),288,"")</f>
        <v/>
      </c>
      <c r="B296" s="30" t="str">
        <f>IF($A296="","",INDEX(Movimientos!$A$5:$A$3004,MATCH($A296,Movimientos!$M$5:$M$3004,0)))</f>
        <v/>
      </c>
      <c r="C296" s="14" t="str">
        <f>IF($A296="","",INDEX(Movimientos!$B$5:$B$3004,MATCH($A296,Movimientos!$M$5:$M$3004,0)))</f>
        <v/>
      </c>
      <c r="D296" s="14" t="str">
        <f>IF($A296="","",INDEX(Movimientos!$J$5:$J$3004,MATCH($A296,Movimientos!$M$5:$M$3004,0))&amp;"")</f>
        <v/>
      </c>
      <c r="E296" s="14" t="str">
        <f>IF($A296="","",IF(C296="Entrada",INDEX(Movimientos!$F$5:$F$3004,MATCH($A296,Movimientos!$M$5:$M$3004,0)),""))</f>
        <v/>
      </c>
      <c r="F296" s="14" t="str">
        <f>IF($A296="","",IF(C296="Salida",INDEX(Movimientos!$F$5:$F$3004,MATCH($A296,Movimientos!$M$5:$M$3004,0)),""))</f>
        <v/>
      </c>
      <c r="G296" s="14" t="str">
        <f>IF($A296="","",INDEX(Movimientos!$I$5:$I$3004,MATCH($A296,Movimientos!$M$5:$M$3004,0)))</f>
        <v/>
      </c>
      <c r="H296" s="22" t="str">
        <f>IF($A296="","",INDEX(Movimientos!$G$5:$G$3004,MATCH($A296,Movimientos!$M$5:$M$3004,0)))</f>
        <v/>
      </c>
      <c r="I296" s="22" t="str">
        <f>IF($A296="","",INDEX(Movimientos!$H$5:$H$3004,MATCH($A296,Movimientos!$M$5:$M$3004,0)))</f>
        <v/>
      </c>
      <c r="J296" s="14" t="str">
        <f>IF($A296="","",INDEX(Movimientos!$K$5:$K$3004,MATCH($A296,Movimientos!$M$5:$M$3004,0))&amp;"")</f>
        <v/>
      </c>
    </row>
    <row r="297" spans="1:10" x14ac:dyDescent="0.25">
      <c r="A297" s="14" t="str">
        <f>IF(289&lt;=COUNTIF(Movimientos!$M$5:$M$3004,"&gt;0"),289,"")</f>
        <v/>
      </c>
      <c r="B297" s="30" t="str">
        <f>IF($A297="","",INDEX(Movimientos!$A$5:$A$3004,MATCH($A297,Movimientos!$M$5:$M$3004,0)))</f>
        <v/>
      </c>
      <c r="C297" s="14" t="str">
        <f>IF($A297="","",INDEX(Movimientos!$B$5:$B$3004,MATCH($A297,Movimientos!$M$5:$M$3004,0)))</f>
        <v/>
      </c>
      <c r="D297" s="14" t="str">
        <f>IF($A297="","",INDEX(Movimientos!$J$5:$J$3004,MATCH($A297,Movimientos!$M$5:$M$3004,0))&amp;"")</f>
        <v/>
      </c>
      <c r="E297" s="14" t="str">
        <f>IF($A297="","",IF(C297="Entrada",INDEX(Movimientos!$F$5:$F$3004,MATCH($A297,Movimientos!$M$5:$M$3004,0)),""))</f>
        <v/>
      </c>
      <c r="F297" s="14" t="str">
        <f>IF($A297="","",IF(C297="Salida",INDEX(Movimientos!$F$5:$F$3004,MATCH($A297,Movimientos!$M$5:$M$3004,0)),""))</f>
        <v/>
      </c>
      <c r="G297" s="14" t="str">
        <f>IF($A297="","",INDEX(Movimientos!$I$5:$I$3004,MATCH($A297,Movimientos!$M$5:$M$3004,0)))</f>
        <v/>
      </c>
      <c r="H297" s="22" t="str">
        <f>IF($A297="","",INDEX(Movimientos!$G$5:$G$3004,MATCH($A297,Movimientos!$M$5:$M$3004,0)))</f>
        <v/>
      </c>
      <c r="I297" s="22" t="str">
        <f>IF($A297="","",INDEX(Movimientos!$H$5:$H$3004,MATCH($A297,Movimientos!$M$5:$M$3004,0)))</f>
        <v/>
      </c>
      <c r="J297" s="14" t="str">
        <f>IF($A297="","",INDEX(Movimientos!$K$5:$K$3004,MATCH($A297,Movimientos!$M$5:$M$3004,0))&amp;"")</f>
        <v/>
      </c>
    </row>
    <row r="298" spans="1:10" x14ac:dyDescent="0.25">
      <c r="A298" s="14" t="str">
        <f>IF(290&lt;=COUNTIF(Movimientos!$M$5:$M$3004,"&gt;0"),290,"")</f>
        <v/>
      </c>
      <c r="B298" s="30" t="str">
        <f>IF($A298="","",INDEX(Movimientos!$A$5:$A$3004,MATCH($A298,Movimientos!$M$5:$M$3004,0)))</f>
        <v/>
      </c>
      <c r="C298" s="14" t="str">
        <f>IF($A298="","",INDEX(Movimientos!$B$5:$B$3004,MATCH($A298,Movimientos!$M$5:$M$3004,0)))</f>
        <v/>
      </c>
      <c r="D298" s="14" t="str">
        <f>IF($A298="","",INDEX(Movimientos!$J$5:$J$3004,MATCH($A298,Movimientos!$M$5:$M$3004,0))&amp;"")</f>
        <v/>
      </c>
      <c r="E298" s="14" t="str">
        <f>IF($A298="","",IF(C298="Entrada",INDEX(Movimientos!$F$5:$F$3004,MATCH($A298,Movimientos!$M$5:$M$3004,0)),""))</f>
        <v/>
      </c>
      <c r="F298" s="14" t="str">
        <f>IF($A298="","",IF(C298="Salida",INDEX(Movimientos!$F$5:$F$3004,MATCH($A298,Movimientos!$M$5:$M$3004,0)),""))</f>
        <v/>
      </c>
      <c r="G298" s="14" t="str">
        <f>IF($A298="","",INDEX(Movimientos!$I$5:$I$3004,MATCH($A298,Movimientos!$M$5:$M$3004,0)))</f>
        <v/>
      </c>
      <c r="H298" s="22" t="str">
        <f>IF($A298="","",INDEX(Movimientos!$G$5:$G$3004,MATCH($A298,Movimientos!$M$5:$M$3004,0)))</f>
        <v/>
      </c>
      <c r="I298" s="22" t="str">
        <f>IF($A298="","",INDEX(Movimientos!$H$5:$H$3004,MATCH($A298,Movimientos!$M$5:$M$3004,0)))</f>
        <v/>
      </c>
      <c r="J298" s="14" t="str">
        <f>IF($A298="","",INDEX(Movimientos!$K$5:$K$3004,MATCH($A298,Movimientos!$M$5:$M$3004,0))&amp;"")</f>
        <v/>
      </c>
    </row>
    <row r="299" spans="1:10" x14ac:dyDescent="0.25">
      <c r="A299" s="14" t="str">
        <f>IF(291&lt;=COUNTIF(Movimientos!$M$5:$M$3004,"&gt;0"),291,"")</f>
        <v/>
      </c>
      <c r="B299" s="30" t="str">
        <f>IF($A299="","",INDEX(Movimientos!$A$5:$A$3004,MATCH($A299,Movimientos!$M$5:$M$3004,0)))</f>
        <v/>
      </c>
      <c r="C299" s="14" t="str">
        <f>IF($A299="","",INDEX(Movimientos!$B$5:$B$3004,MATCH($A299,Movimientos!$M$5:$M$3004,0)))</f>
        <v/>
      </c>
      <c r="D299" s="14" t="str">
        <f>IF($A299="","",INDEX(Movimientos!$J$5:$J$3004,MATCH($A299,Movimientos!$M$5:$M$3004,0))&amp;"")</f>
        <v/>
      </c>
      <c r="E299" s="14" t="str">
        <f>IF($A299="","",IF(C299="Entrada",INDEX(Movimientos!$F$5:$F$3004,MATCH($A299,Movimientos!$M$5:$M$3004,0)),""))</f>
        <v/>
      </c>
      <c r="F299" s="14" t="str">
        <f>IF($A299="","",IF(C299="Salida",INDEX(Movimientos!$F$5:$F$3004,MATCH($A299,Movimientos!$M$5:$M$3004,0)),""))</f>
        <v/>
      </c>
      <c r="G299" s="14" t="str">
        <f>IF($A299="","",INDEX(Movimientos!$I$5:$I$3004,MATCH($A299,Movimientos!$M$5:$M$3004,0)))</f>
        <v/>
      </c>
      <c r="H299" s="22" t="str">
        <f>IF($A299="","",INDEX(Movimientos!$G$5:$G$3004,MATCH($A299,Movimientos!$M$5:$M$3004,0)))</f>
        <v/>
      </c>
      <c r="I299" s="22" t="str">
        <f>IF($A299="","",INDEX(Movimientos!$H$5:$H$3004,MATCH($A299,Movimientos!$M$5:$M$3004,0)))</f>
        <v/>
      </c>
      <c r="J299" s="14" t="str">
        <f>IF($A299="","",INDEX(Movimientos!$K$5:$K$3004,MATCH($A299,Movimientos!$M$5:$M$3004,0))&amp;"")</f>
        <v/>
      </c>
    </row>
    <row r="300" spans="1:10" x14ac:dyDescent="0.25">
      <c r="A300" s="14" t="str">
        <f>IF(292&lt;=COUNTIF(Movimientos!$M$5:$M$3004,"&gt;0"),292,"")</f>
        <v/>
      </c>
      <c r="B300" s="30" t="str">
        <f>IF($A300="","",INDEX(Movimientos!$A$5:$A$3004,MATCH($A300,Movimientos!$M$5:$M$3004,0)))</f>
        <v/>
      </c>
      <c r="C300" s="14" t="str">
        <f>IF($A300="","",INDEX(Movimientos!$B$5:$B$3004,MATCH($A300,Movimientos!$M$5:$M$3004,0)))</f>
        <v/>
      </c>
      <c r="D300" s="14" t="str">
        <f>IF($A300="","",INDEX(Movimientos!$J$5:$J$3004,MATCH($A300,Movimientos!$M$5:$M$3004,0))&amp;"")</f>
        <v/>
      </c>
      <c r="E300" s="14" t="str">
        <f>IF($A300="","",IF(C300="Entrada",INDEX(Movimientos!$F$5:$F$3004,MATCH($A300,Movimientos!$M$5:$M$3004,0)),""))</f>
        <v/>
      </c>
      <c r="F300" s="14" t="str">
        <f>IF($A300="","",IF(C300="Salida",INDEX(Movimientos!$F$5:$F$3004,MATCH($A300,Movimientos!$M$5:$M$3004,0)),""))</f>
        <v/>
      </c>
      <c r="G300" s="14" t="str">
        <f>IF($A300="","",INDEX(Movimientos!$I$5:$I$3004,MATCH($A300,Movimientos!$M$5:$M$3004,0)))</f>
        <v/>
      </c>
      <c r="H300" s="22" t="str">
        <f>IF($A300="","",INDEX(Movimientos!$G$5:$G$3004,MATCH($A300,Movimientos!$M$5:$M$3004,0)))</f>
        <v/>
      </c>
      <c r="I300" s="22" t="str">
        <f>IF($A300="","",INDEX(Movimientos!$H$5:$H$3004,MATCH($A300,Movimientos!$M$5:$M$3004,0)))</f>
        <v/>
      </c>
      <c r="J300" s="14" t="str">
        <f>IF($A300="","",INDEX(Movimientos!$K$5:$K$3004,MATCH($A300,Movimientos!$M$5:$M$3004,0))&amp;"")</f>
        <v/>
      </c>
    </row>
    <row r="301" spans="1:10" x14ac:dyDescent="0.25">
      <c r="A301" s="14" t="str">
        <f>IF(293&lt;=COUNTIF(Movimientos!$M$5:$M$3004,"&gt;0"),293,"")</f>
        <v/>
      </c>
      <c r="B301" s="30" t="str">
        <f>IF($A301="","",INDEX(Movimientos!$A$5:$A$3004,MATCH($A301,Movimientos!$M$5:$M$3004,0)))</f>
        <v/>
      </c>
      <c r="C301" s="14" t="str">
        <f>IF($A301="","",INDEX(Movimientos!$B$5:$B$3004,MATCH($A301,Movimientos!$M$5:$M$3004,0)))</f>
        <v/>
      </c>
      <c r="D301" s="14" t="str">
        <f>IF($A301="","",INDEX(Movimientos!$J$5:$J$3004,MATCH($A301,Movimientos!$M$5:$M$3004,0))&amp;"")</f>
        <v/>
      </c>
      <c r="E301" s="14" t="str">
        <f>IF($A301="","",IF(C301="Entrada",INDEX(Movimientos!$F$5:$F$3004,MATCH($A301,Movimientos!$M$5:$M$3004,0)),""))</f>
        <v/>
      </c>
      <c r="F301" s="14" t="str">
        <f>IF($A301="","",IF(C301="Salida",INDEX(Movimientos!$F$5:$F$3004,MATCH($A301,Movimientos!$M$5:$M$3004,0)),""))</f>
        <v/>
      </c>
      <c r="G301" s="14" t="str">
        <f>IF($A301="","",INDEX(Movimientos!$I$5:$I$3004,MATCH($A301,Movimientos!$M$5:$M$3004,0)))</f>
        <v/>
      </c>
      <c r="H301" s="22" t="str">
        <f>IF($A301="","",INDEX(Movimientos!$G$5:$G$3004,MATCH($A301,Movimientos!$M$5:$M$3004,0)))</f>
        <v/>
      </c>
      <c r="I301" s="22" t="str">
        <f>IF($A301="","",INDEX(Movimientos!$H$5:$H$3004,MATCH($A301,Movimientos!$M$5:$M$3004,0)))</f>
        <v/>
      </c>
      <c r="J301" s="14" t="str">
        <f>IF($A301="","",INDEX(Movimientos!$K$5:$K$3004,MATCH($A301,Movimientos!$M$5:$M$3004,0))&amp;"")</f>
        <v/>
      </c>
    </row>
    <row r="302" spans="1:10" x14ac:dyDescent="0.25">
      <c r="A302" s="14" t="str">
        <f>IF(294&lt;=COUNTIF(Movimientos!$M$5:$M$3004,"&gt;0"),294,"")</f>
        <v/>
      </c>
      <c r="B302" s="30" t="str">
        <f>IF($A302="","",INDEX(Movimientos!$A$5:$A$3004,MATCH($A302,Movimientos!$M$5:$M$3004,0)))</f>
        <v/>
      </c>
      <c r="C302" s="14" t="str">
        <f>IF($A302="","",INDEX(Movimientos!$B$5:$B$3004,MATCH($A302,Movimientos!$M$5:$M$3004,0)))</f>
        <v/>
      </c>
      <c r="D302" s="14" t="str">
        <f>IF($A302="","",INDEX(Movimientos!$J$5:$J$3004,MATCH($A302,Movimientos!$M$5:$M$3004,0))&amp;"")</f>
        <v/>
      </c>
      <c r="E302" s="14" t="str">
        <f>IF($A302="","",IF(C302="Entrada",INDEX(Movimientos!$F$5:$F$3004,MATCH($A302,Movimientos!$M$5:$M$3004,0)),""))</f>
        <v/>
      </c>
      <c r="F302" s="14" t="str">
        <f>IF($A302="","",IF(C302="Salida",INDEX(Movimientos!$F$5:$F$3004,MATCH($A302,Movimientos!$M$5:$M$3004,0)),""))</f>
        <v/>
      </c>
      <c r="G302" s="14" t="str">
        <f>IF($A302="","",INDEX(Movimientos!$I$5:$I$3004,MATCH($A302,Movimientos!$M$5:$M$3004,0)))</f>
        <v/>
      </c>
      <c r="H302" s="22" t="str">
        <f>IF($A302="","",INDEX(Movimientos!$G$5:$G$3004,MATCH($A302,Movimientos!$M$5:$M$3004,0)))</f>
        <v/>
      </c>
      <c r="I302" s="22" t="str">
        <f>IF($A302="","",INDEX(Movimientos!$H$5:$H$3004,MATCH($A302,Movimientos!$M$5:$M$3004,0)))</f>
        <v/>
      </c>
      <c r="J302" s="14" t="str">
        <f>IF($A302="","",INDEX(Movimientos!$K$5:$K$3004,MATCH($A302,Movimientos!$M$5:$M$3004,0))&amp;"")</f>
        <v/>
      </c>
    </row>
    <row r="303" spans="1:10" x14ac:dyDescent="0.25">
      <c r="A303" s="14" t="str">
        <f>IF(295&lt;=COUNTIF(Movimientos!$M$5:$M$3004,"&gt;0"),295,"")</f>
        <v/>
      </c>
      <c r="B303" s="30" t="str">
        <f>IF($A303="","",INDEX(Movimientos!$A$5:$A$3004,MATCH($A303,Movimientos!$M$5:$M$3004,0)))</f>
        <v/>
      </c>
      <c r="C303" s="14" t="str">
        <f>IF($A303="","",INDEX(Movimientos!$B$5:$B$3004,MATCH($A303,Movimientos!$M$5:$M$3004,0)))</f>
        <v/>
      </c>
      <c r="D303" s="14" t="str">
        <f>IF($A303="","",INDEX(Movimientos!$J$5:$J$3004,MATCH($A303,Movimientos!$M$5:$M$3004,0))&amp;"")</f>
        <v/>
      </c>
      <c r="E303" s="14" t="str">
        <f>IF($A303="","",IF(C303="Entrada",INDEX(Movimientos!$F$5:$F$3004,MATCH($A303,Movimientos!$M$5:$M$3004,0)),""))</f>
        <v/>
      </c>
      <c r="F303" s="14" t="str">
        <f>IF($A303="","",IF(C303="Salida",INDEX(Movimientos!$F$5:$F$3004,MATCH($A303,Movimientos!$M$5:$M$3004,0)),""))</f>
        <v/>
      </c>
      <c r="G303" s="14" t="str">
        <f>IF($A303="","",INDEX(Movimientos!$I$5:$I$3004,MATCH($A303,Movimientos!$M$5:$M$3004,0)))</f>
        <v/>
      </c>
      <c r="H303" s="22" t="str">
        <f>IF($A303="","",INDEX(Movimientos!$G$5:$G$3004,MATCH($A303,Movimientos!$M$5:$M$3004,0)))</f>
        <v/>
      </c>
      <c r="I303" s="22" t="str">
        <f>IF($A303="","",INDEX(Movimientos!$H$5:$H$3004,MATCH($A303,Movimientos!$M$5:$M$3004,0)))</f>
        <v/>
      </c>
      <c r="J303" s="14" t="str">
        <f>IF($A303="","",INDEX(Movimientos!$K$5:$K$3004,MATCH($A303,Movimientos!$M$5:$M$3004,0))&amp;"")</f>
        <v/>
      </c>
    </row>
    <row r="304" spans="1:10" x14ac:dyDescent="0.25">
      <c r="A304" s="14" t="str">
        <f>IF(296&lt;=COUNTIF(Movimientos!$M$5:$M$3004,"&gt;0"),296,"")</f>
        <v/>
      </c>
      <c r="B304" s="30" t="str">
        <f>IF($A304="","",INDEX(Movimientos!$A$5:$A$3004,MATCH($A304,Movimientos!$M$5:$M$3004,0)))</f>
        <v/>
      </c>
      <c r="C304" s="14" t="str">
        <f>IF($A304="","",INDEX(Movimientos!$B$5:$B$3004,MATCH($A304,Movimientos!$M$5:$M$3004,0)))</f>
        <v/>
      </c>
      <c r="D304" s="14" t="str">
        <f>IF($A304="","",INDEX(Movimientos!$J$5:$J$3004,MATCH($A304,Movimientos!$M$5:$M$3004,0))&amp;"")</f>
        <v/>
      </c>
      <c r="E304" s="14" t="str">
        <f>IF($A304="","",IF(C304="Entrada",INDEX(Movimientos!$F$5:$F$3004,MATCH($A304,Movimientos!$M$5:$M$3004,0)),""))</f>
        <v/>
      </c>
      <c r="F304" s="14" t="str">
        <f>IF($A304="","",IF(C304="Salida",INDEX(Movimientos!$F$5:$F$3004,MATCH($A304,Movimientos!$M$5:$M$3004,0)),""))</f>
        <v/>
      </c>
      <c r="G304" s="14" t="str">
        <f>IF($A304="","",INDEX(Movimientos!$I$5:$I$3004,MATCH($A304,Movimientos!$M$5:$M$3004,0)))</f>
        <v/>
      </c>
      <c r="H304" s="22" t="str">
        <f>IF($A304="","",INDEX(Movimientos!$G$5:$G$3004,MATCH($A304,Movimientos!$M$5:$M$3004,0)))</f>
        <v/>
      </c>
      <c r="I304" s="22" t="str">
        <f>IF($A304="","",INDEX(Movimientos!$H$5:$H$3004,MATCH($A304,Movimientos!$M$5:$M$3004,0)))</f>
        <v/>
      </c>
      <c r="J304" s="14" t="str">
        <f>IF($A304="","",INDEX(Movimientos!$K$5:$K$3004,MATCH($A304,Movimientos!$M$5:$M$3004,0))&amp;"")</f>
        <v/>
      </c>
    </row>
    <row r="305" spans="1:10" x14ac:dyDescent="0.25">
      <c r="A305" s="14" t="str">
        <f>IF(297&lt;=COUNTIF(Movimientos!$M$5:$M$3004,"&gt;0"),297,"")</f>
        <v/>
      </c>
      <c r="B305" s="30" t="str">
        <f>IF($A305="","",INDEX(Movimientos!$A$5:$A$3004,MATCH($A305,Movimientos!$M$5:$M$3004,0)))</f>
        <v/>
      </c>
      <c r="C305" s="14" t="str">
        <f>IF($A305="","",INDEX(Movimientos!$B$5:$B$3004,MATCH($A305,Movimientos!$M$5:$M$3004,0)))</f>
        <v/>
      </c>
      <c r="D305" s="14" t="str">
        <f>IF($A305="","",INDEX(Movimientos!$J$5:$J$3004,MATCH($A305,Movimientos!$M$5:$M$3004,0))&amp;"")</f>
        <v/>
      </c>
      <c r="E305" s="14" t="str">
        <f>IF($A305="","",IF(C305="Entrada",INDEX(Movimientos!$F$5:$F$3004,MATCH($A305,Movimientos!$M$5:$M$3004,0)),""))</f>
        <v/>
      </c>
      <c r="F305" s="14" t="str">
        <f>IF($A305="","",IF(C305="Salida",INDEX(Movimientos!$F$5:$F$3004,MATCH($A305,Movimientos!$M$5:$M$3004,0)),""))</f>
        <v/>
      </c>
      <c r="G305" s="14" t="str">
        <f>IF($A305="","",INDEX(Movimientos!$I$5:$I$3004,MATCH($A305,Movimientos!$M$5:$M$3004,0)))</f>
        <v/>
      </c>
      <c r="H305" s="22" t="str">
        <f>IF($A305="","",INDEX(Movimientos!$G$5:$G$3004,MATCH($A305,Movimientos!$M$5:$M$3004,0)))</f>
        <v/>
      </c>
      <c r="I305" s="22" t="str">
        <f>IF($A305="","",INDEX(Movimientos!$H$5:$H$3004,MATCH($A305,Movimientos!$M$5:$M$3004,0)))</f>
        <v/>
      </c>
      <c r="J305" s="14" t="str">
        <f>IF($A305="","",INDEX(Movimientos!$K$5:$K$3004,MATCH($A305,Movimientos!$M$5:$M$3004,0))&amp;"")</f>
        <v/>
      </c>
    </row>
    <row r="306" spans="1:10" x14ac:dyDescent="0.25">
      <c r="A306" s="14" t="str">
        <f>IF(298&lt;=COUNTIF(Movimientos!$M$5:$M$3004,"&gt;0"),298,"")</f>
        <v/>
      </c>
      <c r="B306" s="30" t="str">
        <f>IF($A306="","",INDEX(Movimientos!$A$5:$A$3004,MATCH($A306,Movimientos!$M$5:$M$3004,0)))</f>
        <v/>
      </c>
      <c r="C306" s="14" t="str">
        <f>IF($A306="","",INDEX(Movimientos!$B$5:$B$3004,MATCH($A306,Movimientos!$M$5:$M$3004,0)))</f>
        <v/>
      </c>
      <c r="D306" s="14" t="str">
        <f>IF($A306="","",INDEX(Movimientos!$J$5:$J$3004,MATCH($A306,Movimientos!$M$5:$M$3004,0))&amp;"")</f>
        <v/>
      </c>
      <c r="E306" s="14" t="str">
        <f>IF($A306="","",IF(C306="Entrada",INDEX(Movimientos!$F$5:$F$3004,MATCH($A306,Movimientos!$M$5:$M$3004,0)),""))</f>
        <v/>
      </c>
      <c r="F306" s="14" t="str">
        <f>IF($A306="","",IF(C306="Salida",INDEX(Movimientos!$F$5:$F$3004,MATCH($A306,Movimientos!$M$5:$M$3004,0)),""))</f>
        <v/>
      </c>
      <c r="G306" s="14" t="str">
        <f>IF($A306="","",INDEX(Movimientos!$I$5:$I$3004,MATCH($A306,Movimientos!$M$5:$M$3004,0)))</f>
        <v/>
      </c>
      <c r="H306" s="22" t="str">
        <f>IF($A306="","",INDEX(Movimientos!$G$5:$G$3004,MATCH($A306,Movimientos!$M$5:$M$3004,0)))</f>
        <v/>
      </c>
      <c r="I306" s="22" t="str">
        <f>IF($A306="","",INDEX(Movimientos!$H$5:$H$3004,MATCH($A306,Movimientos!$M$5:$M$3004,0)))</f>
        <v/>
      </c>
      <c r="J306" s="14" t="str">
        <f>IF($A306="","",INDEX(Movimientos!$K$5:$K$3004,MATCH($A306,Movimientos!$M$5:$M$3004,0))&amp;"")</f>
        <v/>
      </c>
    </row>
    <row r="307" spans="1:10" x14ac:dyDescent="0.25">
      <c r="A307" s="14" t="str">
        <f>IF(299&lt;=COUNTIF(Movimientos!$M$5:$M$3004,"&gt;0"),299,"")</f>
        <v/>
      </c>
      <c r="B307" s="30" t="str">
        <f>IF($A307="","",INDEX(Movimientos!$A$5:$A$3004,MATCH($A307,Movimientos!$M$5:$M$3004,0)))</f>
        <v/>
      </c>
      <c r="C307" s="14" t="str">
        <f>IF($A307="","",INDEX(Movimientos!$B$5:$B$3004,MATCH($A307,Movimientos!$M$5:$M$3004,0)))</f>
        <v/>
      </c>
      <c r="D307" s="14" t="str">
        <f>IF($A307="","",INDEX(Movimientos!$J$5:$J$3004,MATCH($A307,Movimientos!$M$5:$M$3004,0))&amp;"")</f>
        <v/>
      </c>
      <c r="E307" s="14" t="str">
        <f>IF($A307="","",IF(C307="Entrada",INDEX(Movimientos!$F$5:$F$3004,MATCH($A307,Movimientos!$M$5:$M$3004,0)),""))</f>
        <v/>
      </c>
      <c r="F307" s="14" t="str">
        <f>IF($A307="","",IF(C307="Salida",INDEX(Movimientos!$F$5:$F$3004,MATCH($A307,Movimientos!$M$5:$M$3004,0)),""))</f>
        <v/>
      </c>
      <c r="G307" s="14" t="str">
        <f>IF($A307="","",INDEX(Movimientos!$I$5:$I$3004,MATCH($A307,Movimientos!$M$5:$M$3004,0)))</f>
        <v/>
      </c>
      <c r="H307" s="22" t="str">
        <f>IF($A307="","",INDEX(Movimientos!$G$5:$G$3004,MATCH($A307,Movimientos!$M$5:$M$3004,0)))</f>
        <v/>
      </c>
      <c r="I307" s="22" t="str">
        <f>IF($A307="","",INDEX(Movimientos!$H$5:$H$3004,MATCH($A307,Movimientos!$M$5:$M$3004,0)))</f>
        <v/>
      </c>
      <c r="J307" s="14" t="str">
        <f>IF($A307="","",INDEX(Movimientos!$K$5:$K$3004,MATCH($A307,Movimientos!$M$5:$M$3004,0))&amp;"")</f>
        <v/>
      </c>
    </row>
    <row r="308" spans="1:10" x14ac:dyDescent="0.25">
      <c r="A308" s="14" t="str">
        <f>IF(300&lt;=COUNTIF(Movimientos!$M$5:$M$3004,"&gt;0"),300,"")</f>
        <v/>
      </c>
      <c r="B308" s="30" t="str">
        <f>IF($A308="","",INDEX(Movimientos!$A$5:$A$3004,MATCH($A308,Movimientos!$M$5:$M$3004,0)))</f>
        <v/>
      </c>
      <c r="C308" s="14" t="str">
        <f>IF($A308="","",INDEX(Movimientos!$B$5:$B$3004,MATCH($A308,Movimientos!$M$5:$M$3004,0)))</f>
        <v/>
      </c>
      <c r="D308" s="14" t="str">
        <f>IF($A308="","",INDEX(Movimientos!$J$5:$J$3004,MATCH($A308,Movimientos!$M$5:$M$3004,0))&amp;"")</f>
        <v/>
      </c>
      <c r="E308" s="14" t="str">
        <f>IF($A308="","",IF(C308="Entrada",INDEX(Movimientos!$F$5:$F$3004,MATCH($A308,Movimientos!$M$5:$M$3004,0)),""))</f>
        <v/>
      </c>
      <c r="F308" s="14" t="str">
        <f>IF($A308="","",IF(C308="Salida",INDEX(Movimientos!$F$5:$F$3004,MATCH($A308,Movimientos!$M$5:$M$3004,0)),""))</f>
        <v/>
      </c>
      <c r="G308" s="14" t="str">
        <f>IF($A308="","",INDEX(Movimientos!$I$5:$I$3004,MATCH($A308,Movimientos!$M$5:$M$3004,0)))</f>
        <v/>
      </c>
      <c r="H308" s="22" t="str">
        <f>IF($A308="","",INDEX(Movimientos!$G$5:$G$3004,MATCH($A308,Movimientos!$M$5:$M$3004,0)))</f>
        <v/>
      </c>
      <c r="I308" s="22" t="str">
        <f>IF($A308="","",INDEX(Movimientos!$H$5:$H$3004,MATCH($A308,Movimientos!$M$5:$M$3004,0)))</f>
        <v/>
      </c>
      <c r="J308" s="14" t="str">
        <f>IF($A308="","",INDEX(Movimientos!$K$5:$K$3004,MATCH($A308,Movimientos!$M$5:$M$3004,0))&amp;"")</f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Productos!$A$5:$A$504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Cómo usar</vt:lpstr>
      <vt:lpstr>Resumen</vt:lpstr>
      <vt:lpstr>Productos</vt:lpstr>
      <vt:lpstr>Movimientos</vt:lpstr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de control de inventario</dc:title>
  <dc:subject>Control de inventario en Excel</dc:subject>
  <dc:creator>Neurovia Systems</dc:creator>
  <cp:keywords>inventario, excel, kardex, control de almacén</cp:keywords>
  <cp:lastModifiedBy>Jesus Jimenez Guzman</cp:lastModifiedBy>
  <dcterms:created xsi:type="dcterms:W3CDTF">2026-10-29T15:09:49Z</dcterms:created>
  <dcterms:modified xsi:type="dcterms:W3CDTF">2026-10-29T15:09:59Z</dcterms:modified>
</cp:coreProperties>
</file>